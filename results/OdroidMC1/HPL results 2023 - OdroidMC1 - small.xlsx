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etfoshr-my.sharepoint.com/personal/krpic_etfos_hr/Documents/Istraživanje/1. SBCC/Results2/OdroidMC1/"/>
    </mc:Choice>
  </mc:AlternateContent>
  <xr:revisionPtr revIDLastSave="1277" documentId="8_{5CE094B1-AE12-41AF-B5C6-06E2AC6F3259}" xr6:coauthVersionLast="47" xr6:coauthVersionMax="47" xr10:uidLastSave="{A94193FC-35F4-4761-992D-360480E4B895}"/>
  <bookViews>
    <workbookView xWindow="-105" yWindow="0" windowWidth="38610" windowHeight="20985" firstSheet="2" activeTab="9" xr2:uid="{CCBEDFF4-7A21-470F-88F2-6CB37BA16186}"/>
  </bookViews>
  <sheets>
    <sheet name="933 builds" sheetId="1" r:id="rId1"/>
    <sheet name="933 params, RAW" sheetId="3" r:id="rId2"/>
    <sheet name="933 params" sheetId="11" r:id="rId3"/>
    <sheet name="825 params, RAW" sheetId="4" r:id="rId4"/>
    <sheet name="825 params" sheetId="12" r:id="rId5"/>
    <sheet name="Top values" sheetId="6" r:id="rId6"/>
    <sheet name="933 params 1 node, RAW" sheetId="9" r:id="rId7"/>
    <sheet name="933 params 1 node" sheetId="13" r:id="rId8"/>
    <sheet name="825 params 1 node, RAW" sheetId="10" r:id="rId9"/>
    <sheet name="825 params 1 node" sheetId="14" r:id="rId10"/>
    <sheet name="Scalability analysis" sheetId="15" r:id="rId11"/>
  </sheets>
  <externalReferences>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4" i="15" l="1"/>
  <c r="BA26" i="15"/>
  <c r="AY26" i="15"/>
  <c r="BA25" i="15"/>
  <c r="AY25" i="15"/>
  <c r="BA24" i="15"/>
  <c r="AY24" i="15"/>
  <c r="BA23" i="15"/>
  <c r="AY23" i="15"/>
  <c r="BA22" i="15"/>
  <c r="AY22" i="15"/>
  <c r="BA21" i="15"/>
  <c r="AY21" i="15"/>
  <c r="BA20" i="15"/>
  <c r="AY20" i="15"/>
  <c r="BA19" i="15"/>
  <c r="AY19" i="15"/>
  <c r="BA18" i="15"/>
  <c r="AY18" i="15"/>
  <c r="BA17" i="15"/>
  <c r="AY17" i="15"/>
  <c r="BA16" i="15"/>
  <c r="AY16" i="15"/>
  <c r="BA15" i="15"/>
  <c r="AY15" i="15"/>
  <c r="AY14" i="15"/>
  <c r="BA13" i="15"/>
  <c r="AY13" i="15"/>
  <c r="BA12" i="15"/>
  <c r="AY12" i="15"/>
  <c r="BA11" i="15"/>
  <c r="AY11" i="15"/>
  <c r="BA10" i="15"/>
  <c r="AY10" i="15"/>
  <c r="BA9" i="15"/>
  <c r="AY9" i="15"/>
  <c r="BA8" i="15"/>
  <c r="AY8" i="15"/>
  <c r="BA7" i="15"/>
  <c r="AY7" i="15"/>
  <c r="BA6" i="15"/>
  <c r="AY6" i="15"/>
  <c r="BA5" i="15"/>
  <c r="AY5" i="15"/>
  <c r="BA4" i="15"/>
  <c r="AY4" i="15"/>
  <c r="BA3" i="15"/>
  <c r="AY3" i="15"/>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4" i="11"/>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4" i="13"/>
  <c r="AU9" i="4"/>
  <c r="AU10" i="4"/>
  <c r="AU11" i="4" s="1"/>
  <c r="AU12" i="4" s="1"/>
  <c r="AU13" i="4" s="1"/>
  <c r="AU14" i="4"/>
  <c r="AU15" i="4" s="1"/>
  <c r="AU16" i="4" s="1"/>
  <c r="AU17" i="4" s="1"/>
  <c r="AU18" i="4" s="1"/>
  <c r="AU19" i="4"/>
  <c r="AU20" i="4"/>
  <c r="AU21" i="4" s="1"/>
  <c r="AU22" i="4" s="1"/>
  <c r="AU23" i="4" s="1"/>
  <c r="AU24" i="4"/>
  <c r="AU25" i="4"/>
  <c r="AU26" i="4" s="1"/>
  <c r="AU27" i="4" s="1"/>
  <c r="AU28" i="4" s="1"/>
  <c r="AU29" i="4"/>
  <c r="AU30" i="4"/>
  <c r="AU31" i="4"/>
  <c r="AU32" i="4"/>
  <c r="AU33" i="4" s="1"/>
  <c r="AU34" i="4"/>
  <c r="AU35" i="4" s="1"/>
  <c r="AU36" i="4" s="1"/>
  <c r="AU37" i="4" s="1"/>
  <c r="AU38" i="4" s="1"/>
  <c r="AU39" i="4"/>
  <c r="AU40" i="4"/>
  <c r="AU41" i="4" s="1"/>
  <c r="AU42" i="4" s="1"/>
  <c r="AU43" i="4" s="1"/>
  <c r="AU44" i="4"/>
  <c r="AU45" i="4" s="1"/>
  <c r="AU46" i="4" s="1"/>
  <c r="AU47" i="4" s="1"/>
  <c r="AU48" i="4" s="1"/>
  <c r="AU49" i="4"/>
  <c r="AU50" i="4" s="1"/>
  <c r="AU51" i="4" s="1"/>
  <c r="AU52" i="4" s="1"/>
  <c r="AU53" i="4" s="1"/>
  <c r="AU54" i="4"/>
  <c r="AU55" i="4"/>
  <c r="AU56" i="4" s="1"/>
  <c r="AU57" i="4" s="1"/>
  <c r="AU58" i="4" s="1"/>
  <c r="AU59" i="4"/>
  <c r="AU60" i="4" s="1"/>
  <c r="AU61" i="4" s="1"/>
  <c r="AU62" i="4" s="1"/>
  <c r="AU63" i="4" s="1"/>
  <c r="AU64" i="4"/>
  <c r="AU65" i="4" s="1"/>
  <c r="AU66" i="4" s="1"/>
  <c r="AU67" i="4" s="1"/>
  <c r="AU68" i="4" s="1"/>
  <c r="AU69" i="4"/>
  <c r="AU70" i="4"/>
  <c r="AU71" i="4" s="1"/>
  <c r="AU72" i="4" s="1"/>
  <c r="AU73" i="4" s="1"/>
  <c r="AU74" i="4"/>
  <c r="AU75" i="4" s="1"/>
  <c r="AU76" i="4" s="1"/>
  <c r="AU77" i="4" s="1"/>
  <c r="AU78" i="4" s="1"/>
  <c r="AU79" i="4"/>
  <c r="AU80" i="4"/>
  <c r="AU81" i="4" s="1"/>
  <c r="AU82" i="4" s="1"/>
  <c r="AU83" i="4" s="1"/>
  <c r="AU84" i="4"/>
  <c r="AU85" i="4"/>
  <c r="AU86" i="4" s="1"/>
  <c r="AU87" i="4" s="1"/>
  <c r="AU88" i="4" s="1"/>
  <c r="AU89" i="4"/>
  <c r="AU90" i="4"/>
  <c r="AU91" i="4"/>
  <c r="AU92" i="4"/>
  <c r="AU93" i="4" s="1"/>
  <c r="AU94" i="4"/>
  <c r="AU95" i="4" s="1"/>
  <c r="AU96" i="4" s="1"/>
  <c r="AU97" i="4" s="1"/>
  <c r="AU98" i="4" s="1"/>
  <c r="AU99" i="4"/>
  <c r="AU100" i="4"/>
  <c r="AU101" i="4" s="1"/>
  <c r="AU102" i="4" s="1"/>
  <c r="AU103" i="4" s="1"/>
  <c r="AU104" i="4"/>
  <c r="AU105" i="4" s="1"/>
  <c r="AU106" i="4" s="1"/>
  <c r="AU107" i="4" s="1"/>
  <c r="AU108" i="4" s="1"/>
  <c r="AU109" i="4"/>
  <c r="AU110" i="4" s="1"/>
  <c r="AU111" i="4" s="1"/>
  <c r="AU112" i="4" s="1"/>
  <c r="AU113" i="4" s="1"/>
  <c r="AU114" i="4"/>
  <c r="AU115" i="4"/>
  <c r="AU116" i="4"/>
  <c r="AU117" i="4" s="1"/>
  <c r="AU118" i="4" s="1"/>
  <c r="AU119" i="4"/>
  <c r="AU120" i="4" s="1"/>
  <c r="AU121" i="4" s="1"/>
  <c r="AU122" i="4" s="1"/>
  <c r="AU123" i="4" s="1"/>
  <c r="AU124" i="4"/>
  <c r="AU125" i="4" s="1"/>
  <c r="AU126" i="4" s="1"/>
  <c r="AU127" i="4" s="1"/>
  <c r="AU128" i="4" s="1"/>
  <c r="AU129" i="4"/>
  <c r="AU130" i="4"/>
  <c r="AU131" i="4" s="1"/>
  <c r="AU132" i="4" s="1"/>
  <c r="AU133" i="4" s="1"/>
  <c r="AU134" i="4"/>
  <c r="AU135" i="4" s="1"/>
  <c r="AU136" i="4" s="1"/>
  <c r="AU137" i="4" s="1"/>
  <c r="AU138" i="4" s="1"/>
  <c r="AU139" i="4"/>
  <c r="AU140" i="4"/>
  <c r="AU141" i="4" s="1"/>
  <c r="AU142" i="4" s="1"/>
  <c r="AU143" i="4" s="1"/>
  <c r="AU144" i="4"/>
  <c r="AU145" i="4"/>
  <c r="AU146" i="4" s="1"/>
  <c r="AU147" i="4" s="1"/>
  <c r="AU148" i="4" s="1"/>
  <c r="AU149" i="4"/>
  <c r="AU150" i="4"/>
  <c r="AU151" i="4"/>
  <c r="AU152" i="4"/>
  <c r="AU153" i="4" s="1"/>
  <c r="AU154" i="4"/>
  <c r="AU155" i="4" s="1"/>
  <c r="AU156" i="4" s="1"/>
  <c r="AU157" i="4" s="1"/>
  <c r="AU158" i="4" s="1"/>
  <c r="AU159" i="4"/>
  <c r="AU160" i="4"/>
  <c r="AU161" i="4" s="1"/>
  <c r="AU162" i="4" s="1"/>
  <c r="AU163" i="4" s="1"/>
  <c r="AU164" i="4"/>
  <c r="AU165" i="4" s="1"/>
  <c r="AU166" i="4" s="1"/>
  <c r="AU167" i="4" s="1"/>
  <c r="AU168" i="4" s="1"/>
  <c r="AU169" i="4"/>
  <c r="AU170" i="4" s="1"/>
  <c r="AU171" i="4" s="1"/>
  <c r="AU172" i="4" s="1"/>
  <c r="AU173" i="4" s="1"/>
  <c r="AU174" i="4"/>
  <c r="AU175" i="4"/>
  <c r="AU176" i="4"/>
  <c r="AU177" i="4" s="1"/>
  <c r="AU178" i="4" s="1"/>
  <c r="AU179" i="4"/>
  <c r="AU180" i="4" s="1"/>
  <c r="AU181" i="4" s="1"/>
  <c r="AU182" i="4" s="1"/>
  <c r="AU183" i="4" s="1"/>
  <c r="AU184" i="4"/>
  <c r="AU185" i="4" s="1"/>
  <c r="AU186" i="4" s="1"/>
  <c r="AU187" i="4" s="1"/>
  <c r="AU188" i="4" s="1"/>
  <c r="AU189" i="4"/>
  <c r="AU190" i="4"/>
  <c r="AU191" i="4" s="1"/>
  <c r="AU192" i="4" s="1"/>
  <c r="AU193" i="4" s="1"/>
  <c r="AU194" i="4"/>
  <c r="AU195" i="4" s="1"/>
  <c r="AU196" i="4" s="1"/>
  <c r="AU197" i="4" s="1"/>
  <c r="AU198" i="4" s="1"/>
  <c r="AU199" i="4"/>
  <c r="AU200" i="4"/>
  <c r="AU201" i="4" s="1"/>
  <c r="AU202" i="4" s="1"/>
  <c r="AU203" i="4" s="1"/>
  <c r="AU204" i="4"/>
  <c r="AU205" i="4"/>
  <c r="AU206" i="4" s="1"/>
  <c r="AU207" i="4" s="1"/>
  <c r="AU208" i="4" s="1"/>
  <c r="AU209" i="4"/>
  <c r="AU210" i="4"/>
  <c r="AU211" i="4"/>
  <c r="AU212" i="4"/>
  <c r="AU213" i="4" s="1"/>
  <c r="AU214" i="4"/>
  <c r="AU215" i="4" s="1"/>
  <c r="AU216" i="4" s="1"/>
  <c r="AU217" i="4" s="1"/>
  <c r="AU218" i="4" s="1"/>
  <c r="AU219" i="4"/>
  <c r="AU220" i="4"/>
  <c r="AU221" i="4" s="1"/>
  <c r="AU222" i="4" s="1"/>
  <c r="AU223" i="4" s="1"/>
  <c r="AU224" i="4"/>
  <c r="AU225" i="4" s="1"/>
  <c r="AU226" i="4" s="1"/>
  <c r="AU227" i="4" s="1"/>
  <c r="AU228" i="4" s="1"/>
  <c r="AU229" i="4"/>
  <c r="AU230" i="4" s="1"/>
  <c r="AU231" i="4" s="1"/>
  <c r="AU232" i="4" s="1"/>
  <c r="AU233" i="4" s="1"/>
  <c r="AU234" i="4"/>
  <c r="AU235" i="4"/>
  <c r="AU236" i="4"/>
  <c r="AU237" i="4" s="1"/>
  <c r="AU238" i="4" s="1"/>
  <c r="AU239" i="4"/>
  <c r="AU240" i="4" s="1"/>
  <c r="AU241" i="4" s="1"/>
  <c r="AU242" i="4" s="1"/>
  <c r="AU243" i="4" s="1"/>
  <c r="AU244" i="4"/>
  <c r="AU245" i="4" s="1"/>
  <c r="AU246" i="4" s="1"/>
  <c r="AU247" i="4" s="1"/>
  <c r="AU248" i="4" s="1"/>
  <c r="AU249" i="4"/>
  <c r="AU250" i="4"/>
  <c r="AU251" i="4" s="1"/>
  <c r="AU252" i="4" s="1"/>
  <c r="AU253" i="4" s="1"/>
  <c r="AU254" i="4"/>
  <c r="AU255" i="4" s="1"/>
  <c r="AU256" i="4" s="1"/>
  <c r="AU257" i="4" s="1"/>
  <c r="AU258" i="4" s="1"/>
  <c r="AU259" i="4"/>
  <c r="AU260" i="4"/>
  <c r="AU261" i="4" s="1"/>
  <c r="AU262" i="4" s="1"/>
  <c r="AU263" i="4" s="1"/>
  <c r="AU264" i="4"/>
  <c r="AU265" i="4"/>
  <c r="AU266" i="4" s="1"/>
  <c r="AU267" i="4" s="1"/>
  <c r="AU268" i="4" s="1"/>
  <c r="AU269" i="4"/>
  <c r="AU270" i="4"/>
  <c r="AU271" i="4"/>
  <c r="AU272" i="4"/>
  <c r="AU273" i="4" s="1"/>
  <c r="AU274" i="4"/>
  <c r="AU275" i="4" s="1"/>
  <c r="AU276" i="4" s="1"/>
  <c r="AU277" i="4" s="1"/>
  <c r="AU278" i="4" s="1"/>
  <c r="AU279" i="4"/>
  <c r="AU280" i="4"/>
  <c r="AU281" i="4" s="1"/>
  <c r="AU282" i="4" s="1"/>
  <c r="AU283" i="4" s="1"/>
  <c r="AU284" i="4"/>
  <c r="AU285" i="4" s="1"/>
  <c r="AU286" i="4" s="1"/>
  <c r="AU287" i="4" s="1"/>
  <c r="AU288" i="4" s="1"/>
  <c r="AU289" i="4"/>
  <c r="AU290" i="4" s="1"/>
  <c r="AU291" i="4" s="1"/>
  <c r="AU292" i="4" s="1"/>
  <c r="AU293" i="4" s="1"/>
  <c r="AU294" i="4"/>
  <c r="AU295" i="4"/>
  <c r="AU296" i="4"/>
  <c r="AU297" i="4" s="1"/>
  <c r="AU298" i="4" s="1"/>
  <c r="AU299" i="4"/>
  <c r="AU300" i="4" s="1"/>
  <c r="AU301" i="4" s="1"/>
  <c r="AU302" i="4" s="1"/>
  <c r="AU303" i="4" s="1"/>
  <c r="AU304" i="4"/>
  <c r="AU305" i="4" s="1"/>
  <c r="AU306" i="4" s="1"/>
  <c r="AU307" i="4" s="1"/>
  <c r="AU308" i="4" s="1"/>
  <c r="AU309" i="4"/>
  <c r="AU310" i="4"/>
  <c r="AU311" i="4" s="1"/>
  <c r="AU312" i="4" s="1"/>
  <c r="AU313" i="4" s="1"/>
  <c r="AU314" i="4"/>
  <c r="AU315" i="4" s="1"/>
  <c r="AU316" i="4" s="1"/>
  <c r="AU317" i="4" s="1"/>
  <c r="AU318" i="4" s="1"/>
  <c r="AU319" i="4"/>
  <c r="AU320" i="4"/>
  <c r="AU321" i="4" s="1"/>
  <c r="AU322" i="4" s="1"/>
  <c r="AU323" i="4" s="1"/>
  <c r="AU324" i="4"/>
  <c r="AU325" i="4"/>
  <c r="AU326" i="4" s="1"/>
  <c r="AU327" i="4" s="1"/>
  <c r="AU328" i="4" s="1"/>
  <c r="AU329" i="4"/>
  <c r="AU330" i="4"/>
  <c r="AU331" i="4"/>
  <c r="AU332" i="4"/>
  <c r="AU333" i="4" s="1"/>
  <c r="AU334" i="4"/>
  <c r="AU335" i="4" s="1"/>
  <c r="AU336" i="4" s="1"/>
  <c r="AU337" i="4" s="1"/>
  <c r="AU338" i="4" s="1"/>
  <c r="AU339" i="4"/>
  <c r="AU340" i="4"/>
  <c r="AU341" i="4" s="1"/>
  <c r="AU342" i="4" s="1"/>
  <c r="AU343" i="4" s="1"/>
  <c r="AU344" i="4"/>
  <c r="AU345" i="4" s="1"/>
  <c r="AU346" i="4" s="1"/>
  <c r="AU347" i="4" s="1"/>
  <c r="AU348" i="4" s="1"/>
  <c r="AU349" i="4"/>
  <c r="AU350" i="4" s="1"/>
  <c r="AU351" i="4" s="1"/>
  <c r="AU352" i="4" s="1"/>
  <c r="AU353" i="4" s="1"/>
  <c r="AU354" i="4"/>
  <c r="AU355" i="4"/>
  <c r="AU356" i="4"/>
  <c r="AU357" i="4" s="1"/>
  <c r="AU358" i="4" s="1"/>
  <c r="AU359" i="4"/>
  <c r="AU360" i="4" s="1"/>
  <c r="AU361" i="4" s="1"/>
  <c r="AU362" i="4" s="1"/>
  <c r="AU363" i="4" s="1"/>
  <c r="AU6" i="4"/>
  <c r="AU7" i="4"/>
  <c r="AU8" i="4"/>
  <c r="AU5" i="4"/>
  <c r="W9" i="4"/>
  <c r="W10" i="4" s="1"/>
  <c r="W11" i="4" s="1"/>
  <c r="W12" i="4" s="1"/>
  <c r="W13" i="4" s="1"/>
  <c r="W14" i="4"/>
  <c r="W15" i="4" s="1"/>
  <c r="W16" i="4" s="1"/>
  <c r="W17" i="4" s="1"/>
  <c r="W18" i="4" s="1"/>
  <c r="W19" i="4"/>
  <c r="W20" i="4"/>
  <c r="W21" i="4" s="1"/>
  <c r="W22" i="4" s="1"/>
  <c r="W23" i="4" s="1"/>
  <c r="W24" i="4"/>
  <c r="W25" i="4"/>
  <c r="W26" i="4"/>
  <c r="W27" i="4" s="1"/>
  <c r="W28" i="4" s="1"/>
  <c r="W29" i="4"/>
  <c r="W30" i="4" s="1"/>
  <c r="W31" i="4" s="1"/>
  <c r="W32" i="4" s="1"/>
  <c r="W33" i="4" s="1"/>
  <c r="W34" i="4"/>
  <c r="W35" i="4" s="1"/>
  <c r="W36" i="4" s="1"/>
  <c r="W37" i="4" s="1"/>
  <c r="W38" i="4" s="1"/>
  <c r="W39" i="4"/>
  <c r="W40" i="4"/>
  <c r="W41" i="4"/>
  <c r="W42" i="4" s="1"/>
  <c r="W43" i="4" s="1"/>
  <c r="W44" i="4"/>
  <c r="W45" i="4" s="1"/>
  <c r="W46" i="4" s="1"/>
  <c r="W47" i="4" s="1"/>
  <c r="W48" i="4" s="1"/>
  <c r="W49" i="4"/>
  <c r="W50" i="4"/>
  <c r="W51" i="4" s="1"/>
  <c r="W52" i="4" s="1"/>
  <c r="W53" i="4" s="1"/>
  <c r="W54" i="4"/>
  <c r="W55" i="4"/>
  <c r="W56" i="4"/>
  <c r="W57" i="4" s="1"/>
  <c r="W58" i="4" s="1"/>
  <c r="W59" i="4"/>
  <c r="W60" i="4" s="1"/>
  <c r="W61" i="4" s="1"/>
  <c r="W62" i="4" s="1"/>
  <c r="W63" i="4" s="1"/>
  <c r="W64" i="4"/>
  <c r="W65" i="4"/>
  <c r="W66" i="4" s="1"/>
  <c r="W67" i="4" s="1"/>
  <c r="W68" i="4" s="1"/>
  <c r="W69" i="4"/>
  <c r="W70" i="4" s="1"/>
  <c r="W71" i="4" s="1"/>
  <c r="W72" i="4" s="1"/>
  <c r="W73" i="4" s="1"/>
  <c r="W74" i="4"/>
  <c r="W75" i="4" s="1"/>
  <c r="W76" i="4" s="1"/>
  <c r="W77" i="4" s="1"/>
  <c r="W78" i="4" s="1"/>
  <c r="W79" i="4"/>
  <c r="W80" i="4"/>
  <c r="W81" i="4" s="1"/>
  <c r="W82" i="4" s="1"/>
  <c r="W83" i="4" s="1"/>
  <c r="W84" i="4"/>
  <c r="W85" i="4"/>
  <c r="W86" i="4"/>
  <c r="W87" i="4" s="1"/>
  <c r="W88" i="4" s="1"/>
  <c r="W89" i="4"/>
  <c r="W90" i="4" s="1"/>
  <c r="W91" i="4" s="1"/>
  <c r="W92" i="4" s="1"/>
  <c r="W93" i="4" s="1"/>
  <c r="W94" i="4"/>
  <c r="W95" i="4" s="1"/>
  <c r="W96" i="4" s="1"/>
  <c r="W97" i="4" s="1"/>
  <c r="W98" i="4" s="1"/>
  <c r="W99" i="4"/>
  <c r="W100" i="4"/>
  <c r="W101" i="4"/>
  <c r="W102" i="4" s="1"/>
  <c r="W103" i="4" s="1"/>
  <c r="W104" i="4"/>
  <c r="W105" i="4" s="1"/>
  <c r="W106" i="4" s="1"/>
  <c r="W107" i="4" s="1"/>
  <c r="W108" i="4" s="1"/>
  <c r="W109" i="4"/>
  <c r="W110" i="4"/>
  <c r="W111" i="4" s="1"/>
  <c r="W112" i="4" s="1"/>
  <c r="W113" i="4" s="1"/>
  <c r="W114" i="4"/>
  <c r="W115" i="4"/>
  <c r="W116" i="4"/>
  <c r="W117" i="4" s="1"/>
  <c r="W118" i="4" s="1"/>
  <c r="W119" i="4"/>
  <c r="W120" i="4" s="1"/>
  <c r="W121" i="4" s="1"/>
  <c r="W122" i="4" s="1"/>
  <c r="W123" i="4" s="1"/>
  <c r="W124" i="4"/>
  <c r="W125" i="4"/>
  <c r="W126" i="4" s="1"/>
  <c r="W127" i="4" s="1"/>
  <c r="W128" i="4" s="1"/>
  <c r="W129" i="4"/>
  <c r="W130" i="4" s="1"/>
  <c r="W131" i="4" s="1"/>
  <c r="W132" i="4" s="1"/>
  <c r="W133" i="4" s="1"/>
  <c r="W134" i="4"/>
  <c r="W135" i="4" s="1"/>
  <c r="W136" i="4" s="1"/>
  <c r="W137" i="4" s="1"/>
  <c r="W138" i="4" s="1"/>
  <c r="W139" i="4"/>
  <c r="W140" i="4"/>
  <c r="W141" i="4" s="1"/>
  <c r="W142" i="4" s="1"/>
  <c r="W143" i="4" s="1"/>
  <c r="W144" i="4"/>
  <c r="W145" i="4"/>
  <c r="W146" i="4"/>
  <c r="W147" i="4" s="1"/>
  <c r="W148" i="4" s="1"/>
  <c r="W149" i="4"/>
  <c r="W150" i="4" s="1"/>
  <c r="W151" i="4" s="1"/>
  <c r="W152" i="4" s="1"/>
  <c r="W153" i="4" s="1"/>
  <c r="W154" i="4"/>
  <c r="W155" i="4"/>
  <c r="W156" i="4" s="1"/>
  <c r="W157" i="4" s="1"/>
  <c r="W158" i="4" s="1"/>
  <c r="W159" i="4"/>
  <c r="W160" i="4"/>
  <c r="W161" i="4"/>
  <c r="W162" i="4" s="1"/>
  <c r="W163" i="4" s="1"/>
  <c r="W164" i="4"/>
  <c r="W165" i="4" s="1"/>
  <c r="W166" i="4" s="1"/>
  <c r="W167" i="4" s="1"/>
  <c r="W168" i="4" s="1"/>
  <c r="W169" i="4"/>
  <c r="W170" i="4"/>
  <c r="W171" i="4" s="1"/>
  <c r="W172" i="4" s="1"/>
  <c r="W173" i="4" s="1"/>
  <c r="W174" i="4"/>
  <c r="W175" i="4"/>
  <c r="W176" i="4"/>
  <c r="W177" i="4" s="1"/>
  <c r="W178" i="4" s="1"/>
  <c r="W179" i="4"/>
  <c r="W180" i="4" s="1"/>
  <c r="W181" i="4" s="1"/>
  <c r="W182" i="4" s="1"/>
  <c r="W183" i="4" s="1"/>
  <c r="W184" i="4"/>
  <c r="W185" i="4"/>
  <c r="W186" i="4" s="1"/>
  <c r="W187" i="4" s="1"/>
  <c r="W188" i="4" s="1"/>
  <c r="W189" i="4"/>
  <c r="W190" i="4" s="1"/>
  <c r="W191" i="4" s="1"/>
  <c r="W192" i="4" s="1"/>
  <c r="W193" i="4" s="1"/>
  <c r="W194" i="4"/>
  <c r="W195" i="4" s="1"/>
  <c r="W196" i="4" s="1"/>
  <c r="W197" i="4" s="1"/>
  <c r="W198" i="4" s="1"/>
  <c r="W199" i="4"/>
  <c r="W200" i="4"/>
  <c r="W201" i="4" s="1"/>
  <c r="W202" i="4" s="1"/>
  <c r="W203" i="4" s="1"/>
  <c r="W204" i="4"/>
  <c r="W205" i="4"/>
  <c r="W206" i="4"/>
  <c r="W207" i="4" s="1"/>
  <c r="W208" i="4" s="1"/>
  <c r="W209" i="4"/>
  <c r="W210" i="4" s="1"/>
  <c r="W211" i="4" s="1"/>
  <c r="W212" i="4" s="1"/>
  <c r="W213" i="4" s="1"/>
  <c r="W214" i="4"/>
  <c r="W215" i="4" s="1"/>
  <c r="W216" i="4" s="1"/>
  <c r="W217" i="4" s="1"/>
  <c r="W218" i="4" s="1"/>
  <c r="W219" i="4"/>
  <c r="W220" i="4"/>
  <c r="W221" i="4"/>
  <c r="W222" i="4" s="1"/>
  <c r="W223" i="4" s="1"/>
  <c r="W224" i="4"/>
  <c r="W225" i="4" s="1"/>
  <c r="W226" i="4" s="1"/>
  <c r="W227" i="4" s="1"/>
  <c r="W228" i="4" s="1"/>
  <c r="W229" i="4"/>
  <c r="W230" i="4" s="1"/>
  <c r="W231" i="4" s="1"/>
  <c r="W232" i="4" s="1"/>
  <c r="W233" i="4" s="1"/>
  <c r="W234" i="4"/>
  <c r="W235" i="4"/>
  <c r="W236" i="4"/>
  <c r="W237" i="4" s="1"/>
  <c r="W238" i="4" s="1"/>
  <c r="W239" i="4"/>
  <c r="W240" i="4" s="1"/>
  <c r="W241" i="4" s="1"/>
  <c r="W242" i="4" s="1"/>
  <c r="W243" i="4" s="1"/>
  <c r="W244" i="4"/>
  <c r="W245" i="4"/>
  <c r="W246" i="4" s="1"/>
  <c r="W247" i="4" s="1"/>
  <c r="W248" i="4" s="1"/>
  <c r="W249" i="4"/>
  <c r="W250" i="4" s="1"/>
  <c r="W251" i="4" s="1"/>
  <c r="W252" i="4" s="1"/>
  <c r="W253" i="4" s="1"/>
  <c r="W254" i="4"/>
  <c r="W255" i="4" s="1"/>
  <c r="W256" i="4" s="1"/>
  <c r="W257" i="4" s="1"/>
  <c r="W258" i="4" s="1"/>
  <c r="W259" i="4"/>
  <c r="W260" i="4"/>
  <c r="W261" i="4" s="1"/>
  <c r="W262" i="4" s="1"/>
  <c r="W263" i="4" s="1"/>
  <c r="W264" i="4"/>
  <c r="W265" i="4" s="1"/>
  <c r="W266" i="4" s="1"/>
  <c r="W267" i="4" s="1"/>
  <c r="W268" i="4" s="1"/>
  <c r="W269" i="4"/>
  <c r="W270" i="4" s="1"/>
  <c r="W271" i="4" s="1"/>
  <c r="W272" i="4" s="1"/>
  <c r="W273" i="4" s="1"/>
  <c r="W274" i="4"/>
  <c r="W275" i="4" s="1"/>
  <c r="W276" i="4" s="1"/>
  <c r="W277" i="4" s="1"/>
  <c r="W278" i="4" s="1"/>
  <c r="W279" i="4"/>
  <c r="W280" i="4"/>
  <c r="W281" i="4"/>
  <c r="W282" i="4" s="1"/>
  <c r="W283" i="4" s="1"/>
  <c r="W284" i="4"/>
  <c r="W285" i="4" s="1"/>
  <c r="W286" i="4" s="1"/>
  <c r="W287" i="4" s="1"/>
  <c r="W288" i="4" s="1"/>
  <c r="W289" i="4"/>
  <c r="W290" i="4" s="1"/>
  <c r="W291" i="4" s="1"/>
  <c r="W292" i="4" s="1"/>
  <c r="W293" i="4" s="1"/>
  <c r="W294" i="4"/>
  <c r="W295" i="4"/>
  <c r="W296" i="4"/>
  <c r="W297" i="4" s="1"/>
  <c r="W298" i="4" s="1"/>
  <c r="W299" i="4"/>
  <c r="W300" i="4" s="1"/>
  <c r="W301" i="4" s="1"/>
  <c r="W302" i="4" s="1"/>
  <c r="W303" i="4" s="1"/>
  <c r="W304" i="4"/>
  <c r="W305" i="4" s="1"/>
  <c r="W306" i="4" s="1"/>
  <c r="W307" i="4" s="1"/>
  <c r="W308" i="4" s="1"/>
  <c r="W309" i="4"/>
  <c r="W310" i="4" s="1"/>
  <c r="W311" i="4" s="1"/>
  <c r="W312" i="4" s="1"/>
  <c r="W313" i="4" s="1"/>
  <c r="W314" i="4"/>
  <c r="W315" i="4" s="1"/>
  <c r="W316" i="4" s="1"/>
  <c r="W317" i="4" s="1"/>
  <c r="W318" i="4" s="1"/>
  <c r="W319" i="4"/>
  <c r="W320" i="4"/>
  <c r="W321" i="4" s="1"/>
  <c r="W322" i="4" s="1"/>
  <c r="W323" i="4" s="1"/>
  <c r="W324" i="4"/>
  <c r="W325" i="4" s="1"/>
  <c r="W326" i="4" s="1"/>
  <c r="W327" i="4" s="1"/>
  <c r="W328" i="4" s="1"/>
  <c r="W329" i="4"/>
  <c r="W330" i="4" s="1"/>
  <c r="W331" i="4" s="1"/>
  <c r="W332" i="4" s="1"/>
  <c r="W333" i="4" s="1"/>
  <c r="W334" i="4"/>
  <c r="W335" i="4" s="1"/>
  <c r="W336" i="4" s="1"/>
  <c r="W337" i="4" s="1"/>
  <c r="W338" i="4" s="1"/>
  <c r="W339" i="4"/>
  <c r="W340" i="4"/>
  <c r="W341" i="4"/>
  <c r="W342" i="4" s="1"/>
  <c r="W343" i="4" s="1"/>
  <c r="W344" i="4"/>
  <c r="W345" i="4" s="1"/>
  <c r="W346" i="4" s="1"/>
  <c r="W347" i="4" s="1"/>
  <c r="W348" i="4" s="1"/>
  <c r="W349" i="4"/>
  <c r="W350" i="4" s="1"/>
  <c r="W351" i="4" s="1"/>
  <c r="W352" i="4" s="1"/>
  <c r="W353" i="4" s="1"/>
  <c r="W354" i="4"/>
  <c r="W355" i="4"/>
  <c r="W356" i="4"/>
  <c r="W357" i="4" s="1"/>
  <c r="W358" i="4" s="1"/>
  <c r="W359" i="4"/>
  <c r="W360" i="4" s="1"/>
  <c r="W361" i="4" s="1"/>
  <c r="W362" i="4" s="1"/>
  <c r="W363" i="4" s="1"/>
  <c r="W6" i="4"/>
  <c r="W7" i="4"/>
  <c r="W8" i="4"/>
  <c r="W5" i="4"/>
  <c r="X8" i="1"/>
  <c r="X9" i="1"/>
  <c r="X10" i="1" s="1"/>
  <c r="X11" i="1" s="1"/>
  <c r="X12" i="1" s="1"/>
  <c r="X13" i="1"/>
  <c r="X14" i="1"/>
  <c r="X15" i="1"/>
  <c r="X16" i="1" s="1"/>
  <c r="X17" i="1" s="1"/>
  <c r="X18" i="1"/>
  <c r="X19" i="1"/>
  <c r="X20" i="1" s="1"/>
  <c r="X21" i="1" s="1"/>
  <c r="X22" i="1" s="1"/>
  <c r="X23" i="1"/>
  <c r="X24" i="1"/>
  <c r="X25" i="1" s="1"/>
  <c r="X26" i="1" s="1"/>
  <c r="X27" i="1" s="1"/>
  <c r="X28" i="1"/>
  <c r="X29" i="1"/>
  <c r="X30" i="1"/>
  <c r="X31" i="1"/>
  <c r="X32" i="1" s="1"/>
  <c r="X33" i="1"/>
  <c r="X34" i="1" s="1"/>
  <c r="X35" i="1" s="1"/>
  <c r="X36" i="1" s="1"/>
  <c r="X37" i="1" s="1"/>
  <c r="X38" i="1"/>
  <c r="X39" i="1" s="1"/>
  <c r="X40" i="1" s="1"/>
  <c r="X41" i="1" s="1"/>
  <c r="X42" i="1" s="1"/>
  <c r="X43" i="1"/>
  <c r="X44" i="1" s="1"/>
  <c r="X45" i="1" s="1"/>
  <c r="X46" i="1" s="1"/>
  <c r="X47" i="1" s="1"/>
  <c r="X48" i="1"/>
  <c r="X49" i="1" s="1"/>
  <c r="X50" i="1" s="1"/>
  <c r="X51" i="1" s="1"/>
  <c r="X52" i="1" s="1"/>
  <c r="X5" i="1"/>
  <c r="X6" i="1" s="1"/>
  <c r="X7" i="1" s="1"/>
  <c r="X4" i="1"/>
  <c r="C2" i="3"/>
  <c r="G1" i="3"/>
  <c r="H1" i="3"/>
  <c r="I1" i="3"/>
  <c r="F1" i="3"/>
  <c r="E1" i="3"/>
  <c r="AC14" i="9"/>
  <c r="AC15" i="9" s="1"/>
  <c r="AC16" i="9" s="1"/>
  <c r="AC17" i="9" s="1"/>
  <c r="AC18" i="9" s="1"/>
  <c r="AC19" i="9"/>
  <c r="AC20" i="9" s="1"/>
  <c r="AC21" i="9" s="1"/>
  <c r="AC22" i="9" s="1"/>
  <c r="AC23" i="9" s="1"/>
  <c r="AC24" i="9"/>
  <c r="AC25" i="9"/>
  <c r="AC26" i="9" s="1"/>
  <c r="AC27" i="9" s="1"/>
  <c r="AC28" i="9" s="1"/>
  <c r="AC29" i="9"/>
  <c r="AC30" i="9" s="1"/>
  <c r="AC31" i="9" s="1"/>
  <c r="AC32" i="9" s="1"/>
  <c r="AC33" i="9" s="1"/>
  <c r="AC34" i="9"/>
  <c r="AC35" i="9"/>
  <c r="AC36" i="9"/>
  <c r="AC37" i="9"/>
  <c r="AC38" i="9" s="1"/>
  <c r="AC39" i="9"/>
  <c r="AC40" i="9" s="1"/>
  <c r="AC41" i="9" s="1"/>
  <c r="AC42" i="9" s="1"/>
  <c r="AC43" i="9" s="1"/>
  <c r="AC44" i="9"/>
  <c r="AC45" i="9" s="1"/>
  <c r="AC46" i="9" s="1"/>
  <c r="AC47" i="9" s="1"/>
  <c r="AC48" i="9" s="1"/>
  <c r="AC49" i="9"/>
  <c r="AC50" i="9" s="1"/>
  <c r="AC51" i="9" s="1"/>
  <c r="AC52" i="9" s="1"/>
  <c r="AC53" i="9" s="1"/>
  <c r="AC54" i="9"/>
  <c r="AC55" i="9"/>
  <c r="AC56" i="9"/>
  <c r="AC57" i="9" s="1"/>
  <c r="AC58" i="9" s="1"/>
  <c r="AC59" i="9"/>
  <c r="AC60" i="9"/>
  <c r="AC61" i="9"/>
  <c r="AC62" i="9" s="1"/>
  <c r="AC63" i="9" s="1"/>
  <c r="AC64" i="9"/>
  <c r="AC65" i="9" s="1"/>
  <c r="AC66" i="9" s="1"/>
  <c r="AC67" i="9" s="1"/>
  <c r="AC68" i="9" s="1"/>
  <c r="AC69" i="9"/>
  <c r="AC70" i="9"/>
  <c r="AC71" i="9"/>
  <c r="AC72" i="9"/>
  <c r="AC73" i="9"/>
  <c r="AC74" i="9"/>
  <c r="AC75" i="9" s="1"/>
  <c r="AC76" i="9" s="1"/>
  <c r="AC77" i="9" s="1"/>
  <c r="AC78" i="9" s="1"/>
  <c r="AC79" i="9"/>
  <c r="AC80" i="9"/>
  <c r="AC81" i="9" s="1"/>
  <c r="AC82" i="9" s="1"/>
  <c r="AC83" i="9" s="1"/>
  <c r="AC84" i="9"/>
  <c r="AC85" i="9"/>
  <c r="AC86" i="9" s="1"/>
  <c r="AC87" i="9" s="1"/>
  <c r="AC88" i="9" s="1"/>
  <c r="AC89" i="9"/>
  <c r="AC90" i="9" s="1"/>
  <c r="AC91" i="9" s="1"/>
  <c r="AC92" i="9" s="1"/>
  <c r="AC93" i="9" s="1"/>
  <c r="AC94" i="9"/>
  <c r="AC95" i="9"/>
  <c r="AC96" i="9"/>
  <c r="AC97" i="9"/>
  <c r="AC98" i="9" s="1"/>
  <c r="AC99" i="9"/>
  <c r="AC100" i="9"/>
  <c r="AC101" i="9" s="1"/>
  <c r="AC102" i="9" s="1"/>
  <c r="AC103" i="9" s="1"/>
  <c r="AC104" i="9"/>
  <c r="AC105" i="9" s="1"/>
  <c r="AC106" i="9" s="1"/>
  <c r="AC107" i="9" s="1"/>
  <c r="AC108" i="9" s="1"/>
  <c r="AC109" i="9"/>
  <c r="AC110" i="9" s="1"/>
  <c r="AC111" i="9" s="1"/>
  <c r="AC112" i="9" s="1"/>
  <c r="AC113" i="9" s="1"/>
  <c r="AC114" i="9"/>
  <c r="AC115" i="9"/>
  <c r="AC116" i="9"/>
  <c r="AC117" i="9" s="1"/>
  <c r="AC118" i="9" s="1"/>
  <c r="AC119" i="9"/>
  <c r="AC120" i="9"/>
  <c r="AC121" i="9"/>
  <c r="AC122" i="9" s="1"/>
  <c r="AC123" i="9" s="1"/>
  <c r="AC124" i="9"/>
  <c r="AC125" i="9" s="1"/>
  <c r="AC126" i="9" s="1"/>
  <c r="AC127" i="9" s="1"/>
  <c r="AC128" i="9" s="1"/>
  <c r="AC129" i="9"/>
  <c r="AC130" i="9"/>
  <c r="AC131" i="9"/>
  <c r="AC132" i="9"/>
  <c r="AC133" i="9"/>
  <c r="AC134" i="9"/>
  <c r="AC135" i="9" s="1"/>
  <c r="AC136" i="9" s="1"/>
  <c r="AC137" i="9" s="1"/>
  <c r="AC138" i="9" s="1"/>
  <c r="AC139" i="9"/>
  <c r="AC140" i="9"/>
  <c r="AC141" i="9" s="1"/>
  <c r="AC142" i="9" s="1"/>
  <c r="AC143" i="9" s="1"/>
  <c r="AC144" i="9"/>
  <c r="AC145" i="9"/>
  <c r="AC146" i="9" s="1"/>
  <c r="AC147" i="9" s="1"/>
  <c r="AC148" i="9" s="1"/>
  <c r="AC149" i="9"/>
  <c r="AC150" i="9"/>
  <c r="AC151" i="9" s="1"/>
  <c r="AC152" i="9" s="1"/>
  <c r="AC153" i="9" s="1"/>
  <c r="AC154" i="9"/>
  <c r="AC155" i="9"/>
  <c r="AC156" i="9"/>
  <c r="AC157" i="9"/>
  <c r="AC158" i="9" s="1"/>
  <c r="AC159" i="9"/>
  <c r="AC160" i="9" s="1"/>
  <c r="AC161" i="9" s="1"/>
  <c r="AC162" i="9" s="1"/>
  <c r="AC163" i="9" s="1"/>
  <c r="AC164" i="9"/>
  <c r="AC165" i="9" s="1"/>
  <c r="AC166" i="9" s="1"/>
  <c r="AC167" i="9" s="1"/>
  <c r="AC168" i="9" s="1"/>
  <c r="AC169" i="9"/>
  <c r="AC170" i="9" s="1"/>
  <c r="AC171" i="9" s="1"/>
  <c r="AC172" i="9" s="1"/>
  <c r="AC173" i="9" s="1"/>
  <c r="AC174" i="9"/>
  <c r="AC175" i="9" s="1"/>
  <c r="AC176" i="9" s="1"/>
  <c r="AC177" i="9" s="1"/>
  <c r="AC178" i="9" s="1"/>
  <c r="AC179" i="9"/>
  <c r="AC180" i="9"/>
  <c r="AC181" i="9"/>
  <c r="AC182" i="9" s="1"/>
  <c r="AC183" i="9" s="1"/>
  <c r="AC184" i="9"/>
  <c r="AC185" i="9" s="1"/>
  <c r="AC186" i="9" s="1"/>
  <c r="AC187" i="9" s="1"/>
  <c r="AC188" i="9" s="1"/>
  <c r="AC189" i="9"/>
  <c r="AC190" i="9"/>
  <c r="AC191" i="9"/>
  <c r="AC192" i="9"/>
  <c r="AC193" i="9"/>
  <c r="AC194" i="9"/>
  <c r="AC195" i="9" s="1"/>
  <c r="AC196" i="9" s="1"/>
  <c r="AC197" i="9" s="1"/>
  <c r="AC198" i="9" s="1"/>
  <c r="AC199" i="9"/>
  <c r="AC200" i="9"/>
  <c r="AC201" i="9" s="1"/>
  <c r="AC202" i="9" s="1"/>
  <c r="AC203" i="9" s="1"/>
  <c r="AC204" i="9"/>
  <c r="AC205" i="9"/>
  <c r="AC206" i="9" s="1"/>
  <c r="AC207" i="9" s="1"/>
  <c r="AC208" i="9" s="1"/>
  <c r="AC209" i="9"/>
  <c r="AC210" i="9"/>
  <c r="AC211" i="9" s="1"/>
  <c r="AC212" i="9" s="1"/>
  <c r="AC213" i="9" s="1"/>
  <c r="AC214" i="9"/>
  <c r="AC215" i="9"/>
  <c r="AC216" i="9"/>
  <c r="AC217" i="9"/>
  <c r="AC218" i="9" s="1"/>
  <c r="AC219" i="9"/>
  <c r="AC220" i="9" s="1"/>
  <c r="AC221" i="9" s="1"/>
  <c r="AC222" i="9" s="1"/>
  <c r="AC223" i="9" s="1"/>
  <c r="AC224" i="9"/>
  <c r="AC225" i="9" s="1"/>
  <c r="AC226" i="9" s="1"/>
  <c r="AC227" i="9" s="1"/>
  <c r="AC228" i="9" s="1"/>
  <c r="AC229" i="9"/>
  <c r="AC230" i="9" s="1"/>
  <c r="AC231" i="9" s="1"/>
  <c r="AC232" i="9" s="1"/>
  <c r="AC233" i="9" s="1"/>
  <c r="AC234" i="9"/>
  <c r="AC235" i="9" s="1"/>
  <c r="AC236" i="9" s="1"/>
  <c r="AC237" i="9" s="1"/>
  <c r="AC238" i="9" s="1"/>
  <c r="AC239" i="9"/>
  <c r="AC240" i="9"/>
  <c r="AC241" i="9"/>
  <c r="AC242" i="9" s="1"/>
  <c r="AC243" i="9" s="1"/>
  <c r="AC244" i="9"/>
  <c r="AC245" i="9" s="1"/>
  <c r="AC246" i="9" s="1"/>
  <c r="AC247" i="9" s="1"/>
  <c r="AC248" i="9" s="1"/>
  <c r="AC249" i="9"/>
  <c r="AC250" i="9"/>
  <c r="AC251" i="9"/>
  <c r="AC252" i="9"/>
  <c r="AC253" i="9"/>
  <c r="AC254" i="9"/>
  <c r="AC255" i="9" s="1"/>
  <c r="AC256" i="9" s="1"/>
  <c r="AC257" i="9" s="1"/>
  <c r="AC258" i="9" s="1"/>
  <c r="AC259" i="9"/>
  <c r="AC260" i="9"/>
  <c r="AC261" i="9" s="1"/>
  <c r="AC262" i="9" s="1"/>
  <c r="AC263" i="9" s="1"/>
  <c r="AC264" i="9"/>
  <c r="AC265" i="9"/>
  <c r="AC266" i="9" s="1"/>
  <c r="AC267" i="9" s="1"/>
  <c r="AC268" i="9" s="1"/>
  <c r="AC269" i="9"/>
  <c r="AC270" i="9"/>
  <c r="AC271" i="9" s="1"/>
  <c r="AC272" i="9" s="1"/>
  <c r="AC273" i="9" s="1"/>
  <c r="AC274" i="9"/>
  <c r="AC275" i="9"/>
  <c r="AC276" i="9"/>
  <c r="AC277" i="9"/>
  <c r="AC278" i="9" s="1"/>
  <c r="AC279" i="9"/>
  <c r="AC280" i="9" s="1"/>
  <c r="AC281" i="9" s="1"/>
  <c r="AC282" i="9" s="1"/>
  <c r="AC283" i="9" s="1"/>
  <c r="AC284" i="9"/>
  <c r="AC285" i="9" s="1"/>
  <c r="AC286" i="9" s="1"/>
  <c r="AC287" i="9" s="1"/>
  <c r="AC288" i="9" s="1"/>
  <c r="AC289" i="9"/>
  <c r="AC290" i="9" s="1"/>
  <c r="AC291" i="9" s="1"/>
  <c r="AC292" i="9" s="1"/>
  <c r="AC293" i="9" s="1"/>
  <c r="AC294" i="9"/>
  <c r="AC295" i="9" s="1"/>
  <c r="AC296" i="9" s="1"/>
  <c r="AC297" i="9" s="1"/>
  <c r="AC298" i="9" s="1"/>
  <c r="AC299" i="9"/>
  <c r="AC300" i="9"/>
  <c r="AC301" i="9"/>
  <c r="AC302" i="9" s="1"/>
  <c r="AC303" i="9" s="1"/>
  <c r="AC10" i="9"/>
  <c r="AC11" i="9" s="1"/>
  <c r="AC12" i="9" s="1"/>
  <c r="AC13" i="9" s="1"/>
  <c r="AC9" i="9"/>
  <c r="AC6" i="9"/>
  <c r="AC7" i="9" s="1"/>
  <c r="AC8" i="9" s="1"/>
  <c r="AC5" i="9"/>
  <c r="N14" i="9"/>
  <c r="N15" i="9" s="1"/>
  <c r="N16" i="9" s="1"/>
  <c r="N17" i="9" s="1"/>
  <c r="N18" i="9" s="1"/>
  <c r="N19" i="9"/>
  <c r="N20" i="9"/>
  <c r="N21" i="9" s="1"/>
  <c r="N22" i="9" s="1"/>
  <c r="N23" i="9" s="1"/>
  <c r="N24" i="9"/>
  <c r="N25" i="9"/>
  <c r="N26" i="9" s="1"/>
  <c r="N27" i="9" s="1"/>
  <c r="N28" i="9" s="1"/>
  <c r="N29" i="9"/>
  <c r="N30" i="9" s="1"/>
  <c r="N31" i="9" s="1"/>
  <c r="N32" i="9" s="1"/>
  <c r="N33" i="9" s="1"/>
  <c r="N34" i="9"/>
  <c r="N35" i="9" s="1"/>
  <c r="N36" i="9" s="1"/>
  <c r="N37" i="9" s="1"/>
  <c r="N38" i="9" s="1"/>
  <c r="N39" i="9"/>
  <c r="N40" i="9" s="1"/>
  <c r="N41" i="9" s="1"/>
  <c r="N42" i="9" s="1"/>
  <c r="N43" i="9" s="1"/>
  <c r="N44" i="9"/>
  <c r="N45" i="9" s="1"/>
  <c r="N46" i="9" s="1"/>
  <c r="N47" i="9" s="1"/>
  <c r="N48" i="9" s="1"/>
  <c r="N49" i="9"/>
  <c r="N50" i="9" s="1"/>
  <c r="N51" i="9" s="1"/>
  <c r="N52" i="9" s="1"/>
  <c r="N53" i="9" s="1"/>
  <c r="N54" i="9"/>
  <c r="N55" i="9"/>
  <c r="N56" i="9"/>
  <c r="N57" i="9" s="1"/>
  <c r="N58" i="9" s="1"/>
  <c r="N59" i="9"/>
  <c r="N60" i="9"/>
  <c r="N61" i="9"/>
  <c r="N62" i="9" s="1"/>
  <c r="N63" i="9" s="1"/>
  <c r="N64" i="9"/>
  <c r="N65" i="9" s="1"/>
  <c r="N66" i="9" s="1"/>
  <c r="N67" i="9" s="1"/>
  <c r="N68" i="9" s="1"/>
  <c r="N69" i="9"/>
  <c r="N70" i="9"/>
  <c r="N71" i="9" s="1"/>
  <c r="N72" i="9" s="1"/>
  <c r="N73" i="9" s="1"/>
  <c r="N74" i="9"/>
  <c r="N75" i="9"/>
  <c r="N76" i="9" s="1"/>
  <c r="N77" i="9" s="1"/>
  <c r="N78" i="9" s="1"/>
  <c r="N79" i="9"/>
  <c r="N80" i="9"/>
  <c r="N81" i="9" s="1"/>
  <c r="N82" i="9" s="1"/>
  <c r="N83" i="9" s="1"/>
  <c r="N84" i="9"/>
  <c r="N85" i="9"/>
  <c r="N86" i="9" s="1"/>
  <c r="N87" i="9" s="1"/>
  <c r="N88" i="9" s="1"/>
  <c r="N89" i="9"/>
  <c r="N90" i="9" s="1"/>
  <c r="N91" i="9" s="1"/>
  <c r="N92" i="9" s="1"/>
  <c r="N93" i="9" s="1"/>
  <c r="N94" i="9"/>
  <c r="N95" i="9" s="1"/>
  <c r="N96" i="9" s="1"/>
  <c r="N97" i="9" s="1"/>
  <c r="N98" i="9" s="1"/>
  <c r="N99" i="9"/>
  <c r="N100" i="9" s="1"/>
  <c r="N101" i="9" s="1"/>
  <c r="N102" i="9" s="1"/>
  <c r="N103" i="9" s="1"/>
  <c r="N104" i="9"/>
  <c r="N105" i="9" s="1"/>
  <c r="N106" i="9" s="1"/>
  <c r="N107" i="9" s="1"/>
  <c r="N108" i="9" s="1"/>
  <c r="N109" i="9"/>
  <c r="N110" i="9" s="1"/>
  <c r="N111" i="9" s="1"/>
  <c r="N112" i="9" s="1"/>
  <c r="N113" i="9" s="1"/>
  <c r="N114" i="9"/>
  <c r="N115" i="9"/>
  <c r="N116" i="9"/>
  <c r="N117" i="9" s="1"/>
  <c r="N118" i="9" s="1"/>
  <c r="N119" i="9"/>
  <c r="N120" i="9"/>
  <c r="N121" i="9"/>
  <c r="N122" i="9" s="1"/>
  <c r="N123" i="9" s="1"/>
  <c r="N124" i="9"/>
  <c r="N125" i="9" s="1"/>
  <c r="N126" i="9" s="1"/>
  <c r="N127" i="9" s="1"/>
  <c r="N128" i="9" s="1"/>
  <c r="N129" i="9"/>
  <c r="N130" i="9"/>
  <c r="N131" i="9" s="1"/>
  <c r="N132" i="9" s="1"/>
  <c r="N133" i="9" s="1"/>
  <c r="N134" i="9"/>
  <c r="N135" i="9"/>
  <c r="N136" i="9" s="1"/>
  <c r="N137" i="9" s="1"/>
  <c r="N138" i="9" s="1"/>
  <c r="N139" i="9"/>
  <c r="N140" i="9"/>
  <c r="N141" i="9" s="1"/>
  <c r="N142" i="9" s="1"/>
  <c r="N143" i="9" s="1"/>
  <c r="N144" i="9"/>
  <c r="N145" i="9"/>
  <c r="N146" i="9" s="1"/>
  <c r="N147" i="9" s="1"/>
  <c r="N148" i="9" s="1"/>
  <c r="N149" i="9"/>
  <c r="N150" i="9" s="1"/>
  <c r="N151" i="9" s="1"/>
  <c r="N152" i="9" s="1"/>
  <c r="N153" i="9" s="1"/>
  <c r="N154" i="9"/>
  <c r="N155" i="9" s="1"/>
  <c r="N156" i="9" s="1"/>
  <c r="N157" i="9" s="1"/>
  <c r="N158" i="9" s="1"/>
  <c r="N159" i="9"/>
  <c r="N160" i="9" s="1"/>
  <c r="N161" i="9" s="1"/>
  <c r="N162" i="9" s="1"/>
  <c r="N163" i="9" s="1"/>
  <c r="N164" i="9"/>
  <c r="N165" i="9" s="1"/>
  <c r="N166" i="9" s="1"/>
  <c r="N167" i="9" s="1"/>
  <c r="N168" i="9" s="1"/>
  <c r="N169" i="9"/>
  <c r="N170" i="9" s="1"/>
  <c r="N171" i="9" s="1"/>
  <c r="N172" i="9" s="1"/>
  <c r="N173" i="9" s="1"/>
  <c r="N174" i="9"/>
  <c r="N175" i="9"/>
  <c r="N176" i="9"/>
  <c r="N177" i="9" s="1"/>
  <c r="N178" i="9" s="1"/>
  <c r="N179" i="9"/>
  <c r="N180" i="9" s="1"/>
  <c r="N181" i="9" s="1"/>
  <c r="N182" i="9" s="1"/>
  <c r="N183" i="9" s="1"/>
  <c r="N184" i="9"/>
  <c r="N185" i="9" s="1"/>
  <c r="N186" i="9" s="1"/>
  <c r="N187" i="9" s="1"/>
  <c r="N188" i="9" s="1"/>
  <c r="N189" i="9"/>
  <c r="N190" i="9" s="1"/>
  <c r="N191" i="9" s="1"/>
  <c r="N192" i="9" s="1"/>
  <c r="N193" i="9" s="1"/>
  <c r="N194" i="9"/>
  <c r="N195" i="9"/>
  <c r="N196" i="9" s="1"/>
  <c r="N197" i="9" s="1"/>
  <c r="N198" i="9" s="1"/>
  <c r="N199" i="9"/>
  <c r="N200" i="9"/>
  <c r="N201" i="9" s="1"/>
  <c r="N202" i="9" s="1"/>
  <c r="N203" i="9" s="1"/>
  <c r="N204" i="9"/>
  <c r="N205" i="9"/>
  <c r="N206" i="9" s="1"/>
  <c r="N207" i="9" s="1"/>
  <c r="N208" i="9" s="1"/>
  <c r="N209" i="9"/>
  <c r="N210" i="9" s="1"/>
  <c r="N211" i="9" s="1"/>
  <c r="N212" i="9" s="1"/>
  <c r="N213" i="9" s="1"/>
  <c r="N214" i="9"/>
  <c r="N215" i="9" s="1"/>
  <c r="N216" i="9" s="1"/>
  <c r="N217" i="9" s="1"/>
  <c r="N218" i="9" s="1"/>
  <c r="N219" i="9"/>
  <c r="N220" i="9" s="1"/>
  <c r="N221" i="9" s="1"/>
  <c r="N222" i="9" s="1"/>
  <c r="N223" i="9" s="1"/>
  <c r="N224" i="9"/>
  <c r="N225" i="9" s="1"/>
  <c r="N226" i="9" s="1"/>
  <c r="N227" i="9" s="1"/>
  <c r="N228" i="9" s="1"/>
  <c r="N229" i="9"/>
  <c r="N230" i="9" s="1"/>
  <c r="N231" i="9" s="1"/>
  <c r="N232" i="9" s="1"/>
  <c r="N233" i="9" s="1"/>
  <c r="N234" i="9"/>
  <c r="N235" i="9"/>
  <c r="N236" i="9"/>
  <c r="N237" i="9" s="1"/>
  <c r="N238" i="9" s="1"/>
  <c r="N239" i="9"/>
  <c r="N240" i="9" s="1"/>
  <c r="N241" i="9" s="1"/>
  <c r="N242" i="9" s="1"/>
  <c r="N243" i="9" s="1"/>
  <c r="N244" i="9"/>
  <c r="N245" i="9" s="1"/>
  <c r="N246" i="9" s="1"/>
  <c r="N247" i="9" s="1"/>
  <c r="N248" i="9" s="1"/>
  <c r="N249" i="9"/>
  <c r="N250" i="9" s="1"/>
  <c r="N251" i="9" s="1"/>
  <c r="N252" i="9" s="1"/>
  <c r="N253" i="9" s="1"/>
  <c r="N254" i="9"/>
  <c r="N255" i="9"/>
  <c r="N256" i="9" s="1"/>
  <c r="N257" i="9" s="1"/>
  <c r="N258" i="9" s="1"/>
  <c r="N259" i="9"/>
  <c r="N260" i="9"/>
  <c r="N261" i="9" s="1"/>
  <c r="N262" i="9" s="1"/>
  <c r="N263" i="9" s="1"/>
  <c r="N264" i="9"/>
  <c r="N265" i="9"/>
  <c r="N266" i="9" s="1"/>
  <c r="N267" i="9" s="1"/>
  <c r="N268" i="9" s="1"/>
  <c r="N269" i="9"/>
  <c r="N270" i="9" s="1"/>
  <c r="N271" i="9" s="1"/>
  <c r="N272" i="9" s="1"/>
  <c r="N273" i="9" s="1"/>
  <c r="N274" i="9"/>
  <c r="N275" i="9" s="1"/>
  <c r="N276" i="9" s="1"/>
  <c r="N277" i="9" s="1"/>
  <c r="N278" i="9" s="1"/>
  <c r="N279" i="9"/>
  <c r="N280" i="9" s="1"/>
  <c r="N281" i="9" s="1"/>
  <c r="N282" i="9" s="1"/>
  <c r="N283" i="9" s="1"/>
  <c r="N284" i="9"/>
  <c r="N285" i="9" s="1"/>
  <c r="N286" i="9" s="1"/>
  <c r="N287" i="9" s="1"/>
  <c r="N288" i="9" s="1"/>
  <c r="N289" i="9"/>
  <c r="N290" i="9" s="1"/>
  <c r="N291" i="9" s="1"/>
  <c r="N292" i="9" s="1"/>
  <c r="N293" i="9" s="1"/>
  <c r="N294" i="9"/>
  <c r="N295" i="9"/>
  <c r="N296" i="9"/>
  <c r="N297" i="9" s="1"/>
  <c r="N298" i="9" s="1"/>
  <c r="N299" i="9"/>
  <c r="N300" i="9" s="1"/>
  <c r="N301" i="9" s="1"/>
  <c r="N302" i="9" s="1"/>
  <c r="N303" i="9" s="1"/>
  <c r="N10" i="9"/>
  <c r="N11" i="9" s="1"/>
  <c r="N12" i="9" s="1"/>
  <c r="N13" i="9" s="1"/>
  <c r="N9" i="9"/>
  <c r="N6" i="9"/>
  <c r="N7" i="9" s="1"/>
  <c r="N8" i="9" s="1"/>
  <c r="N5" i="9"/>
  <c r="N4" i="9"/>
  <c r="G4" i="14" a="1"/>
  <c r="G4" i="14" s="1"/>
  <c r="V1" i="10"/>
  <c r="W1" i="10"/>
  <c r="X1" i="10"/>
  <c r="U1" i="10"/>
  <c r="AC14" i="10"/>
  <c r="AC15" i="10" s="1"/>
  <c r="AC16" i="10" s="1"/>
  <c r="AC17" i="10" s="1"/>
  <c r="AC18" i="10" s="1"/>
  <c r="AC19" i="10"/>
  <c r="AC20" i="10" s="1"/>
  <c r="AC21" i="10" s="1"/>
  <c r="AC22" i="10" s="1"/>
  <c r="AC23" i="10" s="1"/>
  <c r="AC24" i="10"/>
  <c r="AC25" i="10" s="1"/>
  <c r="AC26" i="10" s="1"/>
  <c r="AC27" i="10" s="1"/>
  <c r="AC28" i="10" s="1"/>
  <c r="AC29" i="10"/>
  <c r="AC30" i="10" s="1"/>
  <c r="AC31" i="10" s="1"/>
  <c r="AC32" i="10" s="1"/>
  <c r="AC33" i="10" s="1"/>
  <c r="AC34" i="10"/>
  <c r="AC35" i="10"/>
  <c r="AC36" i="10"/>
  <c r="AC37" i="10" s="1"/>
  <c r="AC38" i="10" s="1"/>
  <c r="AC39" i="10"/>
  <c r="AC40" i="10" s="1"/>
  <c r="AC41" i="10" s="1"/>
  <c r="AC42" i="10" s="1"/>
  <c r="AC43" i="10" s="1"/>
  <c r="AC44" i="10"/>
  <c r="AC45" i="10" s="1"/>
  <c r="AC46" i="10" s="1"/>
  <c r="AC47" i="10" s="1"/>
  <c r="AC48" i="10" s="1"/>
  <c r="AC49" i="10"/>
  <c r="AC50" i="10" s="1"/>
  <c r="AC51" i="10" s="1"/>
  <c r="AC52" i="10" s="1"/>
  <c r="AC53" i="10" s="1"/>
  <c r="AC54" i="10"/>
  <c r="AC55" i="10"/>
  <c r="AC56" i="10" s="1"/>
  <c r="AC57" i="10" s="1"/>
  <c r="AC58" i="10" s="1"/>
  <c r="AC59" i="10"/>
  <c r="AC60" i="10"/>
  <c r="AC61" i="10" s="1"/>
  <c r="AC62" i="10" s="1"/>
  <c r="AC63" i="10" s="1"/>
  <c r="AC64" i="10"/>
  <c r="AC65" i="10" s="1"/>
  <c r="AC66" i="10" s="1"/>
  <c r="AC67" i="10" s="1"/>
  <c r="AC68" i="10" s="1"/>
  <c r="AC69" i="10"/>
  <c r="AC70" i="10"/>
  <c r="AC71" i="10"/>
  <c r="AC72" i="10"/>
  <c r="AC73" i="10" s="1"/>
  <c r="AC74" i="10"/>
  <c r="AC75" i="10"/>
  <c r="AC76" i="10" s="1"/>
  <c r="AC77" i="10" s="1"/>
  <c r="AC78" i="10" s="1"/>
  <c r="AC79" i="10"/>
  <c r="AC80" i="10" s="1"/>
  <c r="AC81" i="10" s="1"/>
  <c r="AC82" i="10" s="1"/>
  <c r="AC83" i="10" s="1"/>
  <c r="AC84" i="10"/>
  <c r="AC85" i="10" s="1"/>
  <c r="AC86" i="10" s="1"/>
  <c r="AC87" i="10" s="1"/>
  <c r="AC88" i="10" s="1"/>
  <c r="AC89" i="10"/>
  <c r="AC90" i="10" s="1"/>
  <c r="AC91" i="10" s="1"/>
  <c r="AC92" i="10" s="1"/>
  <c r="AC93" i="10" s="1"/>
  <c r="AC94" i="10"/>
  <c r="AC95" i="10"/>
  <c r="AC96" i="10"/>
  <c r="AC97" i="10" s="1"/>
  <c r="AC98" i="10" s="1"/>
  <c r="AC99" i="10"/>
  <c r="AC100" i="10" s="1"/>
  <c r="AC101" i="10" s="1"/>
  <c r="AC102" i="10" s="1"/>
  <c r="AC103" i="10" s="1"/>
  <c r="AC104" i="10"/>
  <c r="AC105" i="10"/>
  <c r="AC106" i="10"/>
  <c r="AC107" i="10"/>
  <c r="AC108" i="10"/>
  <c r="AC109" i="10"/>
  <c r="AC110" i="10" s="1"/>
  <c r="AC111" i="10" s="1"/>
  <c r="AC112" i="10" s="1"/>
  <c r="AC113" i="10" s="1"/>
  <c r="AC114" i="10"/>
  <c r="AC115" i="10"/>
  <c r="AC116" i="10" s="1"/>
  <c r="AC117" i="10" s="1"/>
  <c r="AC118" i="10" s="1"/>
  <c r="AC119" i="10"/>
  <c r="AC120" i="10"/>
  <c r="AC121" i="10" s="1"/>
  <c r="AC122" i="10" s="1"/>
  <c r="AC123" i="10" s="1"/>
  <c r="AC124" i="10"/>
  <c r="AC125" i="10" s="1"/>
  <c r="AC126" i="10" s="1"/>
  <c r="AC127" i="10" s="1"/>
  <c r="AC128" i="10" s="1"/>
  <c r="AC129" i="10"/>
  <c r="AC130" i="10"/>
  <c r="AC131" i="10"/>
  <c r="AC132" i="10"/>
  <c r="AC133" i="10" s="1"/>
  <c r="AC134" i="10"/>
  <c r="AC135" i="10"/>
  <c r="AC136" i="10" s="1"/>
  <c r="AC137" i="10" s="1"/>
  <c r="AC138" i="10" s="1"/>
  <c r="AC139" i="10"/>
  <c r="AC140" i="10" s="1"/>
  <c r="AC141" i="10" s="1"/>
  <c r="AC142" i="10" s="1"/>
  <c r="AC143" i="10" s="1"/>
  <c r="AC144" i="10"/>
  <c r="AC145" i="10" s="1"/>
  <c r="AC146" i="10" s="1"/>
  <c r="AC147" i="10" s="1"/>
  <c r="AC148" i="10" s="1"/>
  <c r="AC149" i="10"/>
  <c r="AC150" i="10" s="1"/>
  <c r="AC151" i="10" s="1"/>
  <c r="AC152" i="10" s="1"/>
  <c r="AC153" i="10" s="1"/>
  <c r="AC154" i="10"/>
  <c r="AC155" i="10"/>
  <c r="AC156" i="10"/>
  <c r="AC157" i="10" s="1"/>
  <c r="AC158" i="10" s="1"/>
  <c r="AC159" i="10"/>
  <c r="AC160" i="10" s="1"/>
  <c r="AC161" i="10" s="1"/>
  <c r="AC162" i="10" s="1"/>
  <c r="AC163" i="10" s="1"/>
  <c r="AC164" i="10"/>
  <c r="AC165" i="10"/>
  <c r="AC166" i="10"/>
  <c r="AC167" i="10"/>
  <c r="AC168" i="10"/>
  <c r="AC169" i="10"/>
  <c r="AC170" i="10" s="1"/>
  <c r="AC171" i="10" s="1"/>
  <c r="AC172" i="10" s="1"/>
  <c r="AC173" i="10" s="1"/>
  <c r="AC174" i="10"/>
  <c r="AC175" i="10" s="1"/>
  <c r="AC176" i="10" s="1"/>
  <c r="AC177" i="10" s="1"/>
  <c r="AC178" i="10" s="1"/>
  <c r="AC179" i="10"/>
  <c r="AC180" i="10"/>
  <c r="AC181" i="10" s="1"/>
  <c r="AC182" i="10" s="1"/>
  <c r="AC183" i="10" s="1"/>
  <c r="AC184" i="10"/>
  <c r="AC185" i="10" s="1"/>
  <c r="AC186" i="10" s="1"/>
  <c r="AC187" i="10" s="1"/>
  <c r="AC188" i="10" s="1"/>
  <c r="AC189" i="10"/>
  <c r="AC190" i="10"/>
  <c r="AC191" i="10"/>
  <c r="AC192" i="10"/>
  <c r="AC193" i="10" s="1"/>
  <c r="AC194" i="10"/>
  <c r="AC195" i="10"/>
  <c r="AC196" i="10" s="1"/>
  <c r="AC197" i="10" s="1"/>
  <c r="AC198" i="10" s="1"/>
  <c r="AC199" i="10"/>
  <c r="AC200" i="10" s="1"/>
  <c r="AC201" i="10" s="1"/>
  <c r="AC202" i="10" s="1"/>
  <c r="AC203" i="10" s="1"/>
  <c r="AC204" i="10"/>
  <c r="AC205" i="10" s="1"/>
  <c r="AC206" i="10" s="1"/>
  <c r="AC207" i="10" s="1"/>
  <c r="AC208" i="10" s="1"/>
  <c r="AC209" i="10"/>
  <c r="AC210" i="10" s="1"/>
  <c r="AC211" i="10" s="1"/>
  <c r="AC212" i="10" s="1"/>
  <c r="AC213" i="10" s="1"/>
  <c r="AC214" i="10"/>
  <c r="AC215" i="10"/>
  <c r="AC216" i="10"/>
  <c r="AC217" i="10" s="1"/>
  <c r="AC218" i="10" s="1"/>
  <c r="AC219" i="10"/>
  <c r="AC220" i="10" s="1"/>
  <c r="AC221" i="10" s="1"/>
  <c r="AC222" i="10" s="1"/>
  <c r="AC223" i="10" s="1"/>
  <c r="AC224" i="10"/>
  <c r="AC225" i="10"/>
  <c r="AC226" i="10"/>
  <c r="AC227" i="10"/>
  <c r="AC228" i="10"/>
  <c r="AC229" i="10"/>
  <c r="AC230" i="10" s="1"/>
  <c r="AC231" i="10" s="1"/>
  <c r="AC232" i="10" s="1"/>
  <c r="AC233" i="10" s="1"/>
  <c r="AC234" i="10"/>
  <c r="AC235" i="10" s="1"/>
  <c r="AC236" i="10" s="1"/>
  <c r="AC237" i="10" s="1"/>
  <c r="AC238" i="10" s="1"/>
  <c r="AC239" i="10"/>
  <c r="AC240" i="10"/>
  <c r="AC241" i="10" s="1"/>
  <c r="AC242" i="10" s="1"/>
  <c r="AC243" i="10" s="1"/>
  <c r="AC244" i="10"/>
  <c r="AC245" i="10" s="1"/>
  <c r="AC246" i="10" s="1"/>
  <c r="AC247" i="10" s="1"/>
  <c r="AC248" i="10" s="1"/>
  <c r="AC249" i="10"/>
  <c r="AC250" i="10"/>
  <c r="AC251" i="10"/>
  <c r="AC252" i="10"/>
  <c r="AC253" i="10" s="1"/>
  <c r="AC254" i="10"/>
  <c r="AC255" i="10"/>
  <c r="AC256" i="10" s="1"/>
  <c r="AC257" i="10" s="1"/>
  <c r="AC258" i="10" s="1"/>
  <c r="AC259" i="10"/>
  <c r="AC260" i="10" s="1"/>
  <c r="AC261" i="10" s="1"/>
  <c r="AC262" i="10" s="1"/>
  <c r="AC263" i="10" s="1"/>
  <c r="AC264" i="10"/>
  <c r="AC265" i="10" s="1"/>
  <c r="AC266" i="10" s="1"/>
  <c r="AC267" i="10" s="1"/>
  <c r="AC268" i="10" s="1"/>
  <c r="AC269" i="10"/>
  <c r="AC270" i="10" s="1"/>
  <c r="AC271" i="10" s="1"/>
  <c r="AC272" i="10" s="1"/>
  <c r="AC273" i="10" s="1"/>
  <c r="AC274" i="10"/>
  <c r="AC275" i="10"/>
  <c r="AC276" i="10"/>
  <c r="AC277" i="10" s="1"/>
  <c r="AC278" i="10" s="1"/>
  <c r="AC279" i="10"/>
  <c r="AC280" i="10" s="1"/>
  <c r="AC281" i="10" s="1"/>
  <c r="AC282" i="10" s="1"/>
  <c r="AC283" i="10" s="1"/>
  <c r="AC284" i="10"/>
  <c r="AC285" i="10"/>
  <c r="AC286" i="10"/>
  <c r="AC287" i="10"/>
  <c r="AC288" i="10"/>
  <c r="AC289" i="10"/>
  <c r="AC290" i="10" s="1"/>
  <c r="AC291" i="10" s="1"/>
  <c r="AC292" i="10" s="1"/>
  <c r="AC293" i="10" s="1"/>
  <c r="AC294" i="10"/>
  <c r="AC295" i="10"/>
  <c r="AC296" i="10" s="1"/>
  <c r="AC297" i="10" s="1"/>
  <c r="AC298" i="10" s="1"/>
  <c r="AC299" i="10"/>
  <c r="AC300" i="10"/>
  <c r="AC301" i="10" s="1"/>
  <c r="AC302" i="10" s="1"/>
  <c r="AC303" i="10" s="1"/>
  <c r="AC304" i="10"/>
  <c r="AC305" i="10"/>
  <c r="AC306" i="10" s="1"/>
  <c r="AC307" i="10" s="1"/>
  <c r="AC308" i="10" s="1"/>
  <c r="AC309" i="10"/>
  <c r="AC310" i="10"/>
  <c r="AC311" i="10"/>
  <c r="AC312" i="10"/>
  <c r="AC313" i="10" s="1"/>
  <c r="AC314" i="10"/>
  <c r="AC315" i="10"/>
  <c r="AC316" i="10" s="1"/>
  <c r="AC317" i="10" s="1"/>
  <c r="AC318" i="10" s="1"/>
  <c r="AC319" i="10"/>
  <c r="AC320" i="10" s="1"/>
  <c r="AC321" i="10" s="1"/>
  <c r="AC322" i="10" s="1"/>
  <c r="AC323" i="10" s="1"/>
  <c r="AC324" i="10"/>
  <c r="AC325" i="10" s="1"/>
  <c r="AC326" i="10" s="1"/>
  <c r="AC327" i="10" s="1"/>
  <c r="AC328" i="10" s="1"/>
  <c r="AC329" i="10"/>
  <c r="AC330" i="10" s="1"/>
  <c r="AC331" i="10" s="1"/>
  <c r="AC332" i="10" s="1"/>
  <c r="AC333" i="10" s="1"/>
  <c r="AC334" i="10"/>
  <c r="AC335" i="10"/>
  <c r="AC336" i="10"/>
  <c r="AC337" i="10" s="1"/>
  <c r="AC338" i="10" s="1"/>
  <c r="AC339" i="10"/>
  <c r="AC340" i="10" s="1"/>
  <c r="AC341" i="10" s="1"/>
  <c r="AC342" i="10" s="1"/>
  <c r="AC343" i="10" s="1"/>
  <c r="AC344" i="10"/>
  <c r="AC345" i="10"/>
  <c r="AC346" i="10"/>
  <c r="AC347" i="10"/>
  <c r="AC9" i="10"/>
  <c r="AC10" i="10" s="1"/>
  <c r="AC11" i="10" s="1"/>
  <c r="AC12" i="10" s="1"/>
  <c r="AC8" i="10"/>
  <c r="AC4" i="10"/>
  <c r="N14" i="10"/>
  <c r="N15" i="10" s="1"/>
  <c r="N16" i="10" s="1"/>
  <c r="N17" i="10" s="1"/>
  <c r="N18" i="10" s="1"/>
  <c r="N19" i="10"/>
  <c r="N20" i="10" s="1"/>
  <c r="N21" i="10" s="1"/>
  <c r="N22" i="10" s="1"/>
  <c r="N23" i="10" s="1"/>
  <c r="N24" i="10"/>
  <c r="N25" i="10" s="1"/>
  <c r="N26" i="10" s="1"/>
  <c r="N27" i="10" s="1"/>
  <c r="N28" i="10" s="1"/>
  <c r="N29" i="10"/>
  <c r="N30" i="10" s="1"/>
  <c r="N31" i="10" s="1"/>
  <c r="N32" i="10" s="1"/>
  <c r="N33" i="10" s="1"/>
  <c r="N34" i="10"/>
  <c r="N35" i="10" s="1"/>
  <c r="N36" i="10" s="1"/>
  <c r="N37" i="10" s="1"/>
  <c r="N38" i="10" s="1"/>
  <c r="N39" i="10"/>
  <c r="N40" i="10" s="1"/>
  <c r="N41" i="10" s="1"/>
  <c r="N42" i="10" s="1"/>
  <c r="N43" i="10" s="1"/>
  <c r="N44" i="10"/>
  <c r="N45" i="10" s="1"/>
  <c r="N46" i="10" s="1"/>
  <c r="N47" i="10" s="1"/>
  <c r="N48" i="10" s="1"/>
  <c r="N49" i="10"/>
  <c r="N50" i="10" s="1"/>
  <c r="N51" i="10" s="1"/>
  <c r="N52" i="10" s="1"/>
  <c r="N53" i="10" s="1"/>
  <c r="N54" i="10"/>
  <c r="N55" i="10" s="1"/>
  <c r="N56" i="10" s="1"/>
  <c r="N57" i="10" s="1"/>
  <c r="N58" i="10" s="1"/>
  <c r="N59" i="10"/>
  <c r="N60" i="10" s="1"/>
  <c r="N61" i="10" s="1"/>
  <c r="N62" i="10" s="1"/>
  <c r="N63" i="10" s="1"/>
  <c r="N64" i="10"/>
  <c r="N65" i="10" s="1"/>
  <c r="N66" i="10" s="1"/>
  <c r="N67" i="10" s="1"/>
  <c r="N68" i="10" s="1"/>
  <c r="N69" i="10"/>
  <c r="N70" i="10" s="1"/>
  <c r="N71" i="10" s="1"/>
  <c r="N72" i="10" s="1"/>
  <c r="N73" i="10" s="1"/>
  <c r="N74" i="10"/>
  <c r="N75" i="10" s="1"/>
  <c r="N76" i="10" s="1"/>
  <c r="N77" i="10" s="1"/>
  <c r="N78" i="10" s="1"/>
  <c r="N79" i="10"/>
  <c r="N80" i="10"/>
  <c r="N81" i="10" s="1"/>
  <c r="N82" i="10" s="1"/>
  <c r="N83" i="10" s="1"/>
  <c r="N84" i="10"/>
  <c r="N85" i="10" s="1"/>
  <c r="N86" i="10" s="1"/>
  <c r="N87" i="10" s="1"/>
  <c r="N88" i="10" s="1"/>
  <c r="N89" i="10"/>
  <c r="N90" i="10" s="1"/>
  <c r="N91" i="10" s="1"/>
  <c r="N92" i="10" s="1"/>
  <c r="N93" i="10" s="1"/>
  <c r="N94" i="10"/>
  <c r="N95" i="10" s="1"/>
  <c r="N96" i="10" s="1"/>
  <c r="N97" i="10" s="1"/>
  <c r="N98" i="10" s="1"/>
  <c r="N99" i="10"/>
  <c r="N100" i="10" s="1"/>
  <c r="N101" i="10" s="1"/>
  <c r="N102" i="10" s="1"/>
  <c r="N103" i="10" s="1"/>
  <c r="N104" i="10"/>
  <c r="N105" i="10" s="1"/>
  <c r="N106" i="10" s="1"/>
  <c r="N107" i="10" s="1"/>
  <c r="N108" i="10" s="1"/>
  <c r="N109" i="10"/>
  <c r="N110" i="10" s="1"/>
  <c r="N111" i="10" s="1"/>
  <c r="N112" i="10" s="1"/>
  <c r="N113" i="10" s="1"/>
  <c r="N114" i="10"/>
  <c r="N115" i="10" s="1"/>
  <c r="N116" i="10" s="1"/>
  <c r="N117" i="10" s="1"/>
  <c r="N118" i="10" s="1"/>
  <c r="N119" i="10"/>
  <c r="N120" i="10" s="1"/>
  <c r="N121" i="10" s="1"/>
  <c r="N122" i="10" s="1"/>
  <c r="N123" i="10" s="1"/>
  <c r="N124" i="10"/>
  <c r="N125" i="10" s="1"/>
  <c r="N126" i="10" s="1"/>
  <c r="N127" i="10" s="1"/>
  <c r="N128" i="10" s="1"/>
  <c r="N129" i="10"/>
  <c r="N130" i="10"/>
  <c r="N131" i="10" s="1"/>
  <c r="N132" i="10" s="1"/>
  <c r="N133" i="10" s="1"/>
  <c r="N134" i="10"/>
  <c r="N135" i="10"/>
  <c r="N136" i="10" s="1"/>
  <c r="N137" i="10" s="1"/>
  <c r="N138" i="10" s="1"/>
  <c r="N139" i="10"/>
  <c r="N140" i="10" s="1"/>
  <c r="N141" i="10" s="1"/>
  <c r="N142" i="10" s="1"/>
  <c r="N143" i="10" s="1"/>
  <c r="N144" i="10"/>
  <c r="N145" i="10" s="1"/>
  <c r="N146" i="10" s="1"/>
  <c r="N147" i="10" s="1"/>
  <c r="N148" i="10" s="1"/>
  <c r="N149" i="10"/>
  <c r="N150" i="10" s="1"/>
  <c r="N151" i="10" s="1"/>
  <c r="N152" i="10" s="1"/>
  <c r="N153" i="10" s="1"/>
  <c r="N154" i="10"/>
  <c r="N155" i="10" s="1"/>
  <c r="N156" i="10" s="1"/>
  <c r="N157" i="10" s="1"/>
  <c r="N158" i="10" s="1"/>
  <c r="N159" i="10"/>
  <c r="N160" i="10" s="1"/>
  <c r="N161" i="10" s="1"/>
  <c r="N162" i="10" s="1"/>
  <c r="N163" i="10" s="1"/>
  <c r="N164" i="10"/>
  <c r="N165" i="10" s="1"/>
  <c r="N166" i="10" s="1"/>
  <c r="N167" i="10" s="1"/>
  <c r="N168" i="10" s="1"/>
  <c r="N169" i="10"/>
  <c r="N170" i="10" s="1"/>
  <c r="N171" i="10" s="1"/>
  <c r="N172" i="10" s="1"/>
  <c r="N173" i="10" s="1"/>
  <c r="N174" i="10"/>
  <c r="N175" i="10" s="1"/>
  <c r="N176" i="10" s="1"/>
  <c r="N177" i="10" s="1"/>
  <c r="N178" i="10" s="1"/>
  <c r="N179" i="10"/>
  <c r="N180" i="10" s="1"/>
  <c r="N181" i="10" s="1"/>
  <c r="N182" i="10" s="1"/>
  <c r="N183" i="10" s="1"/>
  <c r="N184" i="10"/>
  <c r="N185" i="10" s="1"/>
  <c r="N186" i="10" s="1"/>
  <c r="N187" i="10" s="1"/>
  <c r="N188" i="10" s="1"/>
  <c r="N189" i="10"/>
  <c r="N190" i="10" s="1"/>
  <c r="N191" i="10" s="1"/>
  <c r="N192" i="10" s="1"/>
  <c r="N193" i="10" s="1"/>
  <c r="N194" i="10"/>
  <c r="N195" i="10"/>
  <c r="N196" i="10" s="1"/>
  <c r="N197" i="10" s="1"/>
  <c r="N198" i="10" s="1"/>
  <c r="N199" i="10"/>
  <c r="N200" i="10" s="1"/>
  <c r="N201" i="10" s="1"/>
  <c r="N202" i="10" s="1"/>
  <c r="N203" i="10" s="1"/>
  <c r="N204" i="10"/>
  <c r="N205" i="10" s="1"/>
  <c r="N206" i="10" s="1"/>
  <c r="N207" i="10" s="1"/>
  <c r="N208" i="10" s="1"/>
  <c r="N209" i="10"/>
  <c r="N210" i="10" s="1"/>
  <c r="N211" i="10" s="1"/>
  <c r="N212" i="10" s="1"/>
  <c r="N213" i="10" s="1"/>
  <c r="N214" i="10"/>
  <c r="N215" i="10" s="1"/>
  <c r="N216" i="10" s="1"/>
  <c r="N217" i="10" s="1"/>
  <c r="N218" i="10" s="1"/>
  <c r="N219" i="10"/>
  <c r="N220" i="10" s="1"/>
  <c r="N221" i="10" s="1"/>
  <c r="N222" i="10" s="1"/>
  <c r="N223" i="10" s="1"/>
  <c r="N224" i="10"/>
  <c r="N225" i="10" s="1"/>
  <c r="N226" i="10" s="1"/>
  <c r="N227" i="10" s="1"/>
  <c r="N228" i="10" s="1"/>
  <c r="N229" i="10"/>
  <c r="N230" i="10" s="1"/>
  <c r="N231" i="10" s="1"/>
  <c r="N232" i="10" s="1"/>
  <c r="N233" i="10" s="1"/>
  <c r="N234" i="10"/>
  <c r="N235" i="10" s="1"/>
  <c r="N236" i="10" s="1"/>
  <c r="N237" i="10" s="1"/>
  <c r="N238" i="10" s="1"/>
  <c r="N239" i="10"/>
  <c r="N240" i="10" s="1"/>
  <c r="N241" i="10" s="1"/>
  <c r="N242" i="10" s="1"/>
  <c r="N243" i="10" s="1"/>
  <c r="N244" i="10"/>
  <c r="N245" i="10" s="1"/>
  <c r="N246" i="10" s="1"/>
  <c r="N247" i="10" s="1"/>
  <c r="N248" i="10" s="1"/>
  <c r="N249" i="10"/>
  <c r="N250" i="10" s="1"/>
  <c r="N251" i="10" s="1"/>
  <c r="N252" i="10" s="1"/>
  <c r="N253" i="10" s="1"/>
  <c r="N254" i="10"/>
  <c r="N255" i="10" s="1"/>
  <c r="N256" i="10" s="1"/>
  <c r="N257" i="10" s="1"/>
  <c r="N258" i="10" s="1"/>
  <c r="N259" i="10"/>
  <c r="N260" i="10" s="1"/>
  <c r="N261" i="10" s="1"/>
  <c r="N262" i="10" s="1"/>
  <c r="N263" i="10" s="1"/>
  <c r="N264" i="10"/>
  <c r="N265" i="10" s="1"/>
  <c r="N266" i="10" s="1"/>
  <c r="N267" i="10" s="1"/>
  <c r="N268" i="10" s="1"/>
  <c r="N269" i="10"/>
  <c r="N270" i="10" s="1"/>
  <c r="N271" i="10" s="1"/>
  <c r="N272" i="10" s="1"/>
  <c r="N273" i="10" s="1"/>
  <c r="N274" i="10"/>
  <c r="N275" i="10" s="1"/>
  <c r="N276" i="10" s="1"/>
  <c r="N277" i="10" s="1"/>
  <c r="N278" i="10" s="1"/>
  <c r="N279" i="10"/>
  <c r="N280" i="10" s="1"/>
  <c r="N281" i="10" s="1"/>
  <c r="N282" i="10" s="1"/>
  <c r="N283" i="10" s="1"/>
  <c r="N284" i="10"/>
  <c r="N285" i="10" s="1"/>
  <c r="N286" i="10" s="1"/>
  <c r="N287" i="10" s="1"/>
  <c r="N288" i="10" s="1"/>
  <c r="N289" i="10"/>
  <c r="N290" i="10" s="1"/>
  <c r="N291" i="10" s="1"/>
  <c r="N292" i="10" s="1"/>
  <c r="N293" i="10" s="1"/>
  <c r="N294" i="10"/>
  <c r="N295" i="10" s="1"/>
  <c r="N296" i="10" s="1"/>
  <c r="N297" i="10" s="1"/>
  <c r="N298" i="10" s="1"/>
  <c r="N299" i="10"/>
  <c r="N300" i="10" s="1"/>
  <c r="N301" i="10" s="1"/>
  <c r="N302" i="10" s="1"/>
  <c r="N303" i="10" s="1"/>
  <c r="N304" i="10"/>
  <c r="N305" i="10" s="1"/>
  <c r="N306" i="10" s="1"/>
  <c r="N307" i="10" s="1"/>
  <c r="N308" i="10" s="1"/>
  <c r="N309" i="10"/>
  <c r="N310" i="10" s="1"/>
  <c r="N311" i="10" s="1"/>
  <c r="N312" i="10" s="1"/>
  <c r="N313" i="10" s="1"/>
  <c r="N314" i="10"/>
  <c r="N315" i="10" s="1"/>
  <c r="N316" i="10" s="1"/>
  <c r="N317" i="10" s="1"/>
  <c r="N318" i="10" s="1"/>
  <c r="N319" i="10"/>
  <c r="N320" i="10" s="1"/>
  <c r="N321" i="10" s="1"/>
  <c r="N322" i="10" s="1"/>
  <c r="N323" i="10" s="1"/>
  <c r="N324" i="10"/>
  <c r="N325" i="10"/>
  <c r="N326" i="10" s="1"/>
  <c r="N327" i="10" s="1"/>
  <c r="N328" i="10" s="1"/>
  <c r="N329" i="10"/>
  <c r="N330" i="10" s="1"/>
  <c r="N331" i="10" s="1"/>
  <c r="N332" i="10" s="1"/>
  <c r="N333" i="10" s="1"/>
  <c r="N334" i="10"/>
  <c r="N335" i="10" s="1"/>
  <c r="N336" i="10" s="1"/>
  <c r="N337" i="10" s="1"/>
  <c r="N338" i="10" s="1"/>
  <c r="N339" i="10"/>
  <c r="N340" i="10"/>
  <c r="N341" i="10"/>
  <c r="N342" i="10" s="1"/>
  <c r="N343" i="10" s="1"/>
  <c r="N344" i="10"/>
  <c r="N345" i="10" s="1"/>
  <c r="N346" i="10" s="1"/>
  <c r="N347" i="10" s="1"/>
  <c r="N348" i="10" s="1"/>
  <c r="N349" i="10"/>
  <c r="N350" i="10" s="1"/>
  <c r="N351" i="10" s="1"/>
  <c r="N352" i="10" s="1"/>
  <c r="N353" i="10" s="1"/>
  <c r="N354" i="10"/>
  <c r="N355" i="10"/>
  <c r="N356" i="10" s="1"/>
  <c r="N357" i="10" s="1"/>
  <c r="N358" i="10" s="1"/>
  <c r="N359" i="10"/>
  <c r="N360" i="10" s="1"/>
  <c r="N361" i="10" s="1"/>
  <c r="N362" i="10" s="1"/>
  <c r="N363" i="10" s="1"/>
  <c r="N364" i="10"/>
  <c r="N365" i="10" s="1"/>
  <c r="N366" i="10" s="1"/>
  <c r="N9" i="10"/>
  <c r="N10" i="10" s="1"/>
  <c r="N11" i="10" s="1"/>
  <c r="N12" i="10" s="1"/>
  <c r="N13" i="10" s="1"/>
  <c r="AU364" i="3"/>
  <c r="AU365" i="3" s="1"/>
  <c r="AU366" i="3" s="1"/>
  <c r="AU367" i="3" s="1"/>
  <c r="AU368" i="3" s="1"/>
  <c r="AU369" i="3"/>
  <c r="AU370" i="3" s="1"/>
  <c r="AU371" i="3" s="1"/>
  <c r="AU372" i="3" s="1"/>
  <c r="AU373" i="3" s="1"/>
  <c r="AU374" i="3"/>
  <c r="AU375" i="3" s="1"/>
  <c r="AU376" i="3" s="1"/>
  <c r="AU377" i="3" s="1"/>
  <c r="AU378" i="3" s="1"/>
  <c r="AU379" i="3"/>
  <c r="AU380" i="3" s="1"/>
  <c r="AU381" i="3" s="1"/>
  <c r="AU382" i="3" s="1"/>
  <c r="AU383" i="3" s="1"/>
  <c r="AU384" i="3"/>
  <c r="AU385" i="3" s="1"/>
  <c r="AU386" i="3" s="1"/>
  <c r="AU387" i="3" s="1"/>
  <c r="AU388" i="3" s="1"/>
  <c r="AU389" i="3"/>
  <c r="AU390" i="3" s="1"/>
  <c r="AU391" i="3" s="1"/>
  <c r="AU392" i="3" s="1"/>
  <c r="AU393" i="3" s="1"/>
  <c r="AU394" i="3"/>
  <c r="AU395" i="3" s="1"/>
  <c r="AU396" i="3" s="1"/>
  <c r="AU397" i="3" s="1"/>
  <c r="AU398" i="3" s="1"/>
  <c r="AU399" i="3"/>
  <c r="AU400" i="3" s="1"/>
  <c r="AU401" i="3" s="1"/>
  <c r="AU402" i="3" s="1"/>
  <c r="AU403" i="3" s="1"/>
  <c r="AU404" i="3"/>
  <c r="AU405" i="3" s="1"/>
  <c r="AU406" i="3" s="1"/>
  <c r="AU407" i="3" s="1"/>
  <c r="AU408" i="3" s="1"/>
  <c r="AU14" i="3"/>
  <c r="AU15" i="3" s="1"/>
  <c r="AU16" i="3" s="1"/>
  <c r="AU17" i="3" s="1"/>
  <c r="AU18" i="3" s="1"/>
  <c r="AU19" i="3"/>
  <c r="AU20" i="3" s="1"/>
  <c r="AU21" i="3" s="1"/>
  <c r="AU22" i="3" s="1"/>
  <c r="AU23" i="3" s="1"/>
  <c r="AU24" i="3"/>
  <c r="AU25" i="3" s="1"/>
  <c r="AU26" i="3" s="1"/>
  <c r="AU27" i="3" s="1"/>
  <c r="AU28" i="3" s="1"/>
  <c r="AU29" i="3"/>
  <c r="AU30" i="3" s="1"/>
  <c r="AU31" i="3" s="1"/>
  <c r="AU32" i="3" s="1"/>
  <c r="AU33" i="3" s="1"/>
  <c r="AU34" i="3"/>
  <c r="AU35" i="3" s="1"/>
  <c r="AU36" i="3" s="1"/>
  <c r="AU37" i="3" s="1"/>
  <c r="AU38" i="3" s="1"/>
  <c r="AU39" i="3"/>
  <c r="AU40" i="3" s="1"/>
  <c r="AU41" i="3" s="1"/>
  <c r="AU42" i="3" s="1"/>
  <c r="AU43" i="3" s="1"/>
  <c r="AU44" i="3"/>
  <c r="AU45" i="3" s="1"/>
  <c r="AU46" i="3" s="1"/>
  <c r="AU47" i="3" s="1"/>
  <c r="AU48" i="3" s="1"/>
  <c r="AU49" i="3"/>
  <c r="AU50" i="3" s="1"/>
  <c r="AU51" i="3" s="1"/>
  <c r="AU52" i="3" s="1"/>
  <c r="AU53" i="3" s="1"/>
  <c r="AU54" i="3"/>
  <c r="AU55" i="3" s="1"/>
  <c r="AU56" i="3" s="1"/>
  <c r="AU57" i="3" s="1"/>
  <c r="AU58" i="3" s="1"/>
  <c r="AU59" i="3"/>
  <c r="AU60" i="3" s="1"/>
  <c r="AU61" i="3" s="1"/>
  <c r="AU62" i="3" s="1"/>
  <c r="AU63" i="3" s="1"/>
  <c r="AU64" i="3"/>
  <c r="AU65" i="3" s="1"/>
  <c r="AU66" i="3" s="1"/>
  <c r="AU67" i="3" s="1"/>
  <c r="AU68" i="3" s="1"/>
  <c r="AU69" i="3"/>
  <c r="AU70" i="3" s="1"/>
  <c r="AU71" i="3" s="1"/>
  <c r="AU72" i="3" s="1"/>
  <c r="AU73" i="3" s="1"/>
  <c r="AU74" i="3"/>
  <c r="AU75" i="3" s="1"/>
  <c r="AU76" i="3" s="1"/>
  <c r="AU77" i="3" s="1"/>
  <c r="AU78" i="3" s="1"/>
  <c r="AU79" i="3"/>
  <c r="AU80" i="3" s="1"/>
  <c r="AU81" i="3" s="1"/>
  <c r="AU82" i="3" s="1"/>
  <c r="AU83" i="3" s="1"/>
  <c r="AU84" i="3"/>
  <c r="AU85" i="3" s="1"/>
  <c r="AU86" i="3" s="1"/>
  <c r="AU87" i="3" s="1"/>
  <c r="AU88" i="3" s="1"/>
  <c r="AU89" i="3"/>
  <c r="AU90" i="3" s="1"/>
  <c r="AU91" i="3" s="1"/>
  <c r="AU92" i="3" s="1"/>
  <c r="AU93" i="3" s="1"/>
  <c r="AU94" i="3"/>
  <c r="AU95" i="3" s="1"/>
  <c r="AU96" i="3" s="1"/>
  <c r="AU97" i="3" s="1"/>
  <c r="AU98" i="3" s="1"/>
  <c r="AU99" i="3"/>
  <c r="AU100" i="3" s="1"/>
  <c r="AU101" i="3" s="1"/>
  <c r="AU102" i="3" s="1"/>
  <c r="AU103" i="3" s="1"/>
  <c r="AU104" i="3"/>
  <c r="AU105" i="3" s="1"/>
  <c r="AU106" i="3" s="1"/>
  <c r="AU107" i="3" s="1"/>
  <c r="AU108" i="3" s="1"/>
  <c r="AU109" i="3"/>
  <c r="AU110" i="3" s="1"/>
  <c r="AU111" i="3" s="1"/>
  <c r="AU112" i="3" s="1"/>
  <c r="AU113" i="3" s="1"/>
  <c r="AU114" i="3"/>
  <c r="AU115" i="3" s="1"/>
  <c r="AU116" i="3" s="1"/>
  <c r="AU117" i="3" s="1"/>
  <c r="AU118" i="3" s="1"/>
  <c r="AU119" i="3"/>
  <c r="AU120" i="3" s="1"/>
  <c r="AU121" i="3" s="1"/>
  <c r="AU122" i="3" s="1"/>
  <c r="AU123" i="3" s="1"/>
  <c r="AU124" i="3"/>
  <c r="AU125" i="3" s="1"/>
  <c r="AU126" i="3" s="1"/>
  <c r="AU127" i="3" s="1"/>
  <c r="AU128" i="3" s="1"/>
  <c r="AU129" i="3"/>
  <c r="AU130" i="3" s="1"/>
  <c r="AU131" i="3" s="1"/>
  <c r="AU132" i="3" s="1"/>
  <c r="AU133" i="3" s="1"/>
  <c r="AU134" i="3"/>
  <c r="AU135" i="3" s="1"/>
  <c r="AU136" i="3" s="1"/>
  <c r="AU137" i="3" s="1"/>
  <c r="AU138" i="3" s="1"/>
  <c r="AU139" i="3"/>
  <c r="AU140" i="3" s="1"/>
  <c r="AU141" i="3" s="1"/>
  <c r="AU142" i="3" s="1"/>
  <c r="AU143" i="3" s="1"/>
  <c r="AU144" i="3"/>
  <c r="AU145" i="3" s="1"/>
  <c r="AU146" i="3" s="1"/>
  <c r="AU147" i="3" s="1"/>
  <c r="AU148" i="3" s="1"/>
  <c r="AU149" i="3"/>
  <c r="AU150" i="3" s="1"/>
  <c r="AU151" i="3" s="1"/>
  <c r="AU152" i="3" s="1"/>
  <c r="AU153" i="3" s="1"/>
  <c r="AU154" i="3"/>
  <c r="AU155" i="3" s="1"/>
  <c r="AU156" i="3" s="1"/>
  <c r="AU157" i="3" s="1"/>
  <c r="AU158" i="3" s="1"/>
  <c r="AU159" i="3"/>
  <c r="AU160" i="3" s="1"/>
  <c r="AU161" i="3" s="1"/>
  <c r="AU162" i="3" s="1"/>
  <c r="AU163" i="3" s="1"/>
  <c r="AU164" i="3"/>
  <c r="AU165" i="3" s="1"/>
  <c r="AU166" i="3" s="1"/>
  <c r="AU167" i="3" s="1"/>
  <c r="AU168" i="3" s="1"/>
  <c r="AU169" i="3"/>
  <c r="AU170" i="3" s="1"/>
  <c r="AU171" i="3" s="1"/>
  <c r="AU172" i="3" s="1"/>
  <c r="AU173" i="3" s="1"/>
  <c r="AU174" i="3"/>
  <c r="AU175" i="3" s="1"/>
  <c r="AU176" i="3" s="1"/>
  <c r="AU177" i="3" s="1"/>
  <c r="AU178" i="3" s="1"/>
  <c r="AU179" i="3"/>
  <c r="AU180" i="3" s="1"/>
  <c r="AU181" i="3" s="1"/>
  <c r="AU182" i="3" s="1"/>
  <c r="AU183" i="3" s="1"/>
  <c r="AU184" i="3"/>
  <c r="AU185" i="3" s="1"/>
  <c r="AU186" i="3" s="1"/>
  <c r="AU187" i="3" s="1"/>
  <c r="AU188" i="3" s="1"/>
  <c r="AU189" i="3"/>
  <c r="AU190" i="3" s="1"/>
  <c r="AU191" i="3" s="1"/>
  <c r="AU192" i="3" s="1"/>
  <c r="AU193" i="3" s="1"/>
  <c r="AU194" i="3"/>
  <c r="AU195" i="3" s="1"/>
  <c r="AU196" i="3" s="1"/>
  <c r="AU197" i="3" s="1"/>
  <c r="AU198" i="3" s="1"/>
  <c r="AU199" i="3"/>
  <c r="AU200" i="3" s="1"/>
  <c r="AU201" i="3" s="1"/>
  <c r="AU202" i="3" s="1"/>
  <c r="AU203" i="3" s="1"/>
  <c r="AU204" i="3"/>
  <c r="AU205" i="3" s="1"/>
  <c r="AU206" i="3" s="1"/>
  <c r="AU207" i="3" s="1"/>
  <c r="AU208" i="3" s="1"/>
  <c r="AU209" i="3"/>
  <c r="AU210" i="3" s="1"/>
  <c r="AU211" i="3" s="1"/>
  <c r="AU212" i="3" s="1"/>
  <c r="AU213" i="3" s="1"/>
  <c r="AU214" i="3"/>
  <c r="AU215" i="3" s="1"/>
  <c r="AU216" i="3" s="1"/>
  <c r="AU217" i="3" s="1"/>
  <c r="AU218" i="3" s="1"/>
  <c r="AU219" i="3"/>
  <c r="AU220" i="3" s="1"/>
  <c r="AU221" i="3" s="1"/>
  <c r="AU222" i="3" s="1"/>
  <c r="AU223" i="3" s="1"/>
  <c r="AU224" i="3"/>
  <c r="AU225" i="3" s="1"/>
  <c r="AU226" i="3" s="1"/>
  <c r="AU227" i="3" s="1"/>
  <c r="AU228" i="3" s="1"/>
  <c r="AU229" i="3"/>
  <c r="AU230" i="3" s="1"/>
  <c r="AU231" i="3" s="1"/>
  <c r="AU232" i="3" s="1"/>
  <c r="AU233" i="3" s="1"/>
  <c r="AU234" i="3"/>
  <c r="AU235" i="3" s="1"/>
  <c r="AU236" i="3" s="1"/>
  <c r="AU237" i="3" s="1"/>
  <c r="AU238" i="3" s="1"/>
  <c r="AU239" i="3"/>
  <c r="AU240" i="3" s="1"/>
  <c r="AU241" i="3" s="1"/>
  <c r="AU242" i="3" s="1"/>
  <c r="AU243" i="3" s="1"/>
  <c r="AU244" i="3"/>
  <c r="AU245" i="3" s="1"/>
  <c r="AU246" i="3" s="1"/>
  <c r="AU247" i="3" s="1"/>
  <c r="AU248" i="3" s="1"/>
  <c r="AU249" i="3"/>
  <c r="AU250" i="3" s="1"/>
  <c r="AU251" i="3" s="1"/>
  <c r="AU252" i="3" s="1"/>
  <c r="AU253" i="3" s="1"/>
  <c r="AU254" i="3"/>
  <c r="AU255" i="3" s="1"/>
  <c r="AU256" i="3" s="1"/>
  <c r="AU257" i="3" s="1"/>
  <c r="AU258" i="3" s="1"/>
  <c r="AU259" i="3"/>
  <c r="AU260" i="3" s="1"/>
  <c r="AU261" i="3" s="1"/>
  <c r="AU262" i="3" s="1"/>
  <c r="AU263" i="3" s="1"/>
  <c r="AU264" i="3"/>
  <c r="AU265" i="3" s="1"/>
  <c r="AU266" i="3" s="1"/>
  <c r="AU267" i="3" s="1"/>
  <c r="AU268" i="3" s="1"/>
  <c r="AU269" i="3"/>
  <c r="AU270" i="3" s="1"/>
  <c r="AU271" i="3" s="1"/>
  <c r="AU272" i="3" s="1"/>
  <c r="AU273" i="3" s="1"/>
  <c r="AU274" i="3"/>
  <c r="AU275" i="3" s="1"/>
  <c r="AU276" i="3" s="1"/>
  <c r="AU277" i="3" s="1"/>
  <c r="AU278" i="3" s="1"/>
  <c r="AU279" i="3"/>
  <c r="AU280" i="3" s="1"/>
  <c r="AU281" i="3" s="1"/>
  <c r="AU282" i="3" s="1"/>
  <c r="AU283" i="3" s="1"/>
  <c r="AU284" i="3"/>
  <c r="AU285" i="3" s="1"/>
  <c r="AU286" i="3" s="1"/>
  <c r="AU287" i="3" s="1"/>
  <c r="AU288" i="3" s="1"/>
  <c r="AU289" i="3"/>
  <c r="AU290" i="3" s="1"/>
  <c r="AU291" i="3" s="1"/>
  <c r="AU292" i="3" s="1"/>
  <c r="AU293" i="3" s="1"/>
  <c r="AU294" i="3"/>
  <c r="AU295" i="3" s="1"/>
  <c r="AU296" i="3" s="1"/>
  <c r="AU297" i="3" s="1"/>
  <c r="AU298" i="3" s="1"/>
  <c r="AU299" i="3"/>
  <c r="AU300" i="3" s="1"/>
  <c r="AU301" i="3" s="1"/>
  <c r="AU302" i="3" s="1"/>
  <c r="AU303" i="3" s="1"/>
  <c r="AU304" i="3"/>
  <c r="AU305" i="3" s="1"/>
  <c r="AU306" i="3" s="1"/>
  <c r="AU307" i="3" s="1"/>
  <c r="AU308" i="3" s="1"/>
  <c r="AU309" i="3"/>
  <c r="AU310" i="3" s="1"/>
  <c r="AU311" i="3" s="1"/>
  <c r="AU312" i="3" s="1"/>
  <c r="AU313" i="3" s="1"/>
  <c r="AU314" i="3"/>
  <c r="AU315" i="3" s="1"/>
  <c r="AU316" i="3" s="1"/>
  <c r="AU317" i="3" s="1"/>
  <c r="AU318" i="3" s="1"/>
  <c r="AU319" i="3"/>
  <c r="AU320" i="3" s="1"/>
  <c r="AU321" i="3" s="1"/>
  <c r="AU322" i="3" s="1"/>
  <c r="AU323" i="3" s="1"/>
  <c r="AU324" i="3"/>
  <c r="AU325" i="3" s="1"/>
  <c r="AU326" i="3" s="1"/>
  <c r="AU327" i="3" s="1"/>
  <c r="AU328" i="3" s="1"/>
  <c r="AU329" i="3"/>
  <c r="AU330" i="3" s="1"/>
  <c r="AU331" i="3" s="1"/>
  <c r="AU332" i="3" s="1"/>
  <c r="AU333" i="3" s="1"/>
  <c r="AU334" i="3"/>
  <c r="AU335" i="3" s="1"/>
  <c r="AU336" i="3" s="1"/>
  <c r="AU337" i="3" s="1"/>
  <c r="AU338" i="3" s="1"/>
  <c r="AU339" i="3"/>
  <c r="AU340" i="3" s="1"/>
  <c r="AU341" i="3" s="1"/>
  <c r="AU342" i="3" s="1"/>
  <c r="AU343" i="3" s="1"/>
  <c r="AU344" i="3"/>
  <c r="AU345" i="3" s="1"/>
  <c r="AU346" i="3" s="1"/>
  <c r="AU347" i="3" s="1"/>
  <c r="AU348" i="3" s="1"/>
  <c r="AU349" i="3"/>
  <c r="AU350" i="3" s="1"/>
  <c r="AU351" i="3" s="1"/>
  <c r="AU352" i="3" s="1"/>
  <c r="AU353" i="3" s="1"/>
  <c r="AU354" i="3"/>
  <c r="AU355" i="3" s="1"/>
  <c r="AU356" i="3" s="1"/>
  <c r="AU357" i="3" s="1"/>
  <c r="AU358" i="3" s="1"/>
  <c r="AU359" i="3"/>
  <c r="AU360" i="3" s="1"/>
  <c r="AU361" i="3" s="1"/>
  <c r="AU362" i="3" s="1"/>
  <c r="AU363" i="3" s="1"/>
  <c r="AU9" i="3"/>
  <c r="AU10" i="3" s="1"/>
  <c r="AU11" i="3" s="1"/>
  <c r="AU12" i="3" s="1"/>
  <c r="AU13" i="3" s="1"/>
  <c r="W19" i="3"/>
  <c r="W20" i="3" s="1"/>
  <c r="W21" i="3" s="1"/>
  <c r="W22" i="3" s="1"/>
  <c r="W23" i="3" s="1"/>
  <c r="W24" i="3"/>
  <c r="W25" i="3" s="1"/>
  <c r="W26" i="3" s="1"/>
  <c r="W27" i="3" s="1"/>
  <c r="W28" i="3" s="1"/>
  <c r="W29" i="3"/>
  <c r="W30" i="3" s="1"/>
  <c r="W31" i="3" s="1"/>
  <c r="W32" i="3" s="1"/>
  <c r="W33" i="3" s="1"/>
  <c r="W34" i="3"/>
  <c r="W35" i="3" s="1"/>
  <c r="W36" i="3" s="1"/>
  <c r="W37" i="3" s="1"/>
  <c r="W38" i="3" s="1"/>
  <c r="W39" i="3"/>
  <c r="W40" i="3" s="1"/>
  <c r="W41" i="3" s="1"/>
  <c r="W42" i="3" s="1"/>
  <c r="W43" i="3" s="1"/>
  <c r="W44" i="3"/>
  <c r="W45" i="3" s="1"/>
  <c r="W46" i="3" s="1"/>
  <c r="W47" i="3" s="1"/>
  <c r="W48" i="3" s="1"/>
  <c r="W49" i="3"/>
  <c r="W50" i="3" s="1"/>
  <c r="W51" i="3" s="1"/>
  <c r="W52" i="3" s="1"/>
  <c r="W53" i="3" s="1"/>
  <c r="W54" i="3"/>
  <c r="W55" i="3" s="1"/>
  <c r="W56" i="3" s="1"/>
  <c r="W57" i="3" s="1"/>
  <c r="W58" i="3" s="1"/>
  <c r="W59" i="3"/>
  <c r="W60" i="3" s="1"/>
  <c r="W61" i="3" s="1"/>
  <c r="W62" i="3" s="1"/>
  <c r="W63" i="3" s="1"/>
  <c r="W64" i="3"/>
  <c r="W65" i="3" s="1"/>
  <c r="W66" i="3" s="1"/>
  <c r="W67" i="3" s="1"/>
  <c r="W68" i="3" s="1"/>
  <c r="W69" i="3"/>
  <c r="W70" i="3" s="1"/>
  <c r="W71" i="3" s="1"/>
  <c r="W72" i="3" s="1"/>
  <c r="W73" i="3" s="1"/>
  <c r="W74" i="3"/>
  <c r="W75" i="3" s="1"/>
  <c r="W76" i="3" s="1"/>
  <c r="W77" i="3" s="1"/>
  <c r="W78" i="3" s="1"/>
  <c r="W79" i="3"/>
  <c r="W80" i="3" s="1"/>
  <c r="W81" i="3" s="1"/>
  <c r="W82" i="3" s="1"/>
  <c r="W83" i="3" s="1"/>
  <c r="W84" i="3"/>
  <c r="W85" i="3" s="1"/>
  <c r="W86" i="3" s="1"/>
  <c r="W87" i="3" s="1"/>
  <c r="W88" i="3" s="1"/>
  <c r="W89" i="3"/>
  <c r="W90" i="3" s="1"/>
  <c r="W91" i="3" s="1"/>
  <c r="W92" i="3" s="1"/>
  <c r="W93" i="3" s="1"/>
  <c r="W124" i="3"/>
  <c r="W125" i="3" s="1"/>
  <c r="W126" i="3" s="1"/>
  <c r="W127" i="3" s="1"/>
  <c r="W128" i="3" s="1"/>
  <c r="W129" i="3"/>
  <c r="W130" i="3" s="1"/>
  <c r="W131" i="3" s="1"/>
  <c r="W132" i="3" s="1"/>
  <c r="W133" i="3" s="1"/>
  <c r="W134" i="3"/>
  <c r="W135" i="3" s="1"/>
  <c r="W136" i="3" s="1"/>
  <c r="W137" i="3" s="1"/>
  <c r="W138" i="3" s="1"/>
  <c r="W139" i="3"/>
  <c r="W140" i="3" s="1"/>
  <c r="W141" i="3" s="1"/>
  <c r="W142" i="3" s="1"/>
  <c r="W143" i="3" s="1"/>
  <c r="W144" i="3"/>
  <c r="W145" i="3" s="1"/>
  <c r="W146" i="3" s="1"/>
  <c r="W147" i="3" s="1"/>
  <c r="W148" i="3" s="1"/>
  <c r="W149" i="3"/>
  <c r="W150" i="3" s="1"/>
  <c r="W151" i="3" s="1"/>
  <c r="W152" i="3" s="1"/>
  <c r="W153" i="3" s="1"/>
  <c r="W154" i="3"/>
  <c r="W155" i="3" s="1"/>
  <c r="W156" i="3" s="1"/>
  <c r="W157" i="3" s="1"/>
  <c r="W158" i="3" s="1"/>
  <c r="W159" i="3"/>
  <c r="W160" i="3" s="1"/>
  <c r="W161" i="3" s="1"/>
  <c r="W162" i="3" s="1"/>
  <c r="W163" i="3" s="1"/>
  <c r="W164" i="3"/>
  <c r="W165" i="3" s="1"/>
  <c r="W166" i="3" s="1"/>
  <c r="W167" i="3" s="1"/>
  <c r="W168" i="3" s="1"/>
  <c r="W184" i="3"/>
  <c r="W185" i="3" s="1"/>
  <c r="W186" i="3" s="1"/>
  <c r="W187" i="3" s="1"/>
  <c r="W188" i="3" s="1"/>
  <c r="W189" i="3"/>
  <c r="W190" i="3" s="1"/>
  <c r="W191" i="3" s="1"/>
  <c r="W192" i="3" s="1"/>
  <c r="W193" i="3" s="1"/>
  <c r="W194" i="3"/>
  <c r="W195" i="3" s="1"/>
  <c r="W196" i="3" s="1"/>
  <c r="W197" i="3" s="1"/>
  <c r="W198" i="3" s="1"/>
  <c r="W199" i="3"/>
  <c r="W200" i="3" s="1"/>
  <c r="W201" i="3" s="1"/>
  <c r="W202" i="3" s="1"/>
  <c r="W203" i="3" s="1"/>
  <c r="W204" i="3"/>
  <c r="W205" i="3" s="1"/>
  <c r="W206" i="3" s="1"/>
  <c r="W207" i="3" s="1"/>
  <c r="W208" i="3" s="1"/>
  <c r="W209" i="3"/>
  <c r="W210" i="3" s="1"/>
  <c r="W211" i="3" s="1"/>
  <c r="W212" i="3" s="1"/>
  <c r="W213" i="3" s="1"/>
  <c r="W214" i="3"/>
  <c r="W215" i="3" s="1"/>
  <c r="W216" i="3" s="1"/>
  <c r="W217" i="3" s="1"/>
  <c r="W218" i="3" s="1"/>
  <c r="W219" i="3"/>
  <c r="W220" i="3" s="1"/>
  <c r="W221" i="3" s="1"/>
  <c r="W222" i="3" s="1"/>
  <c r="W223" i="3" s="1"/>
  <c r="W224" i="3"/>
  <c r="W225" i="3" s="1"/>
  <c r="W226" i="3" s="1"/>
  <c r="W227" i="3" s="1"/>
  <c r="W228" i="3" s="1"/>
  <c r="W229" i="3"/>
  <c r="W230" i="3" s="1"/>
  <c r="W231" i="3" s="1"/>
  <c r="W232" i="3" s="1"/>
  <c r="W233" i="3" s="1"/>
  <c r="W234" i="3"/>
  <c r="W235" i="3" s="1"/>
  <c r="W236" i="3" s="1"/>
  <c r="W237" i="3" s="1"/>
  <c r="W238" i="3" s="1"/>
  <c r="W239" i="3"/>
  <c r="W240" i="3" s="1"/>
  <c r="W241" i="3" s="1"/>
  <c r="W242" i="3" s="1"/>
  <c r="W243" i="3" s="1"/>
  <c r="W244" i="3"/>
  <c r="W245" i="3" s="1"/>
  <c r="W246" i="3" s="1"/>
  <c r="W247" i="3" s="1"/>
  <c r="W248" i="3" s="1"/>
  <c r="W249" i="3"/>
  <c r="W250" i="3" s="1"/>
  <c r="W251" i="3" s="1"/>
  <c r="W252" i="3" s="1"/>
  <c r="W253" i="3" s="1"/>
  <c r="W254" i="3"/>
  <c r="W255" i="3" s="1"/>
  <c r="W256" i="3" s="1"/>
  <c r="W257" i="3" s="1"/>
  <c r="W258" i="3" s="1"/>
  <c r="W259" i="3"/>
  <c r="W260" i="3" s="1"/>
  <c r="W261" i="3" s="1"/>
  <c r="W262" i="3" s="1"/>
  <c r="W263" i="3" s="1"/>
  <c r="W264" i="3"/>
  <c r="W265" i="3" s="1"/>
  <c r="W266" i="3" s="1"/>
  <c r="W267" i="3" s="1"/>
  <c r="W268" i="3" s="1"/>
  <c r="W269" i="3"/>
  <c r="W270" i="3" s="1"/>
  <c r="W271" i="3" s="1"/>
  <c r="W272" i="3" s="1"/>
  <c r="W273" i="3" s="1"/>
  <c r="W274" i="3"/>
  <c r="W275" i="3" s="1"/>
  <c r="W276" i="3" s="1"/>
  <c r="W277" i="3" s="1"/>
  <c r="W278" i="3" s="1"/>
  <c r="W279" i="3"/>
  <c r="W280" i="3" s="1"/>
  <c r="W281" i="3" s="1"/>
  <c r="W282" i="3" s="1"/>
  <c r="W283" i="3" s="1"/>
  <c r="W284" i="3"/>
  <c r="W285" i="3" s="1"/>
  <c r="W286" i="3" s="1"/>
  <c r="W287" i="3" s="1"/>
  <c r="W288" i="3" s="1"/>
  <c r="W289" i="3"/>
  <c r="W290" i="3" s="1"/>
  <c r="W291" i="3" s="1"/>
  <c r="W292" i="3" s="1"/>
  <c r="W293" i="3" s="1"/>
  <c r="W294" i="3"/>
  <c r="W295" i="3" s="1"/>
  <c r="W296" i="3" s="1"/>
  <c r="W297" i="3" s="1"/>
  <c r="W298" i="3" s="1"/>
  <c r="W299" i="3"/>
  <c r="W300" i="3" s="1"/>
  <c r="W301" i="3" s="1"/>
  <c r="W302" i="3" s="1"/>
  <c r="W303" i="3" s="1"/>
  <c r="W304" i="3"/>
  <c r="W305" i="3" s="1"/>
  <c r="W306" i="3" s="1"/>
  <c r="W307" i="3" s="1"/>
  <c r="W308" i="3" s="1"/>
  <c r="W309" i="3"/>
  <c r="W310" i="3" s="1"/>
  <c r="W311" i="3" s="1"/>
  <c r="W312" i="3" s="1"/>
  <c r="W313" i="3" s="1"/>
  <c r="W314" i="3"/>
  <c r="W315" i="3" s="1"/>
  <c r="W316" i="3" s="1"/>
  <c r="W317" i="3" s="1"/>
  <c r="W318" i="3" s="1"/>
  <c r="W319" i="3"/>
  <c r="W320" i="3" s="1"/>
  <c r="W321" i="3" s="1"/>
  <c r="W322" i="3" s="1"/>
  <c r="W323" i="3" s="1"/>
  <c r="W324" i="3"/>
  <c r="W325" i="3" s="1"/>
  <c r="W326" i="3" s="1"/>
  <c r="W327" i="3" s="1"/>
  <c r="W328" i="3" s="1"/>
  <c r="W329" i="3"/>
  <c r="W330" i="3" s="1"/>
  <c r="W331" i="3" s="1"/>
  <c r="W332" i="3" s="1"/>
  <c r="W333" i="3" s="1"/>
  <c r="W334" i="3"/>
  <c r="W335" i="3" s="1"/>
  <c r="W336" i="3" s="1"/>
  <c r="W337" i="3" s="1"/>
  <c r="W338" i="3" s="1"/>
  <c r="W339" i="3"/>
  <c r="W340" i="3" s="1"/>
  <c r="W341" i="3" s="1"/>
  <c r="W342" i="3" s="1"/>
  <c r="W343" i="3" s="1"/>
  <c r="W344" i="3"/>
  <c r="W345" i="3" s="1"/>
  <c r="W346" i="3" s="1"/>
  <c r="W347" i="3" s="1"/>
  <c r="W348" i="3" s="1"/>
  <c r="W349" i="3"/>
  <c r="W350" i="3" s="1"/>
  <c r="W351" i="3" s="1"/>
  <c r="W352" i="3" s="1"/>
  <c r="W353" i="3" s="1"/>
  <c r="W354" i="3"/>
  <c r="W355" i="3" s="1"/>
  <c r="W356" i="3" s="1"/>
  <c r="W357" i="3" s="1"/>
  <c r="W358" i="3" s="1"/>
  <c r="W359" i="3"/>
  <c r="W360" i="3" s="1"/>
  <c r="W361" i="3" s="1"/>
  <c r="W362" i="3" s="1"/>
  <c r="W363" i="3" s="1"/>
  <c r="W364" i="3"/>
  <c r="W365" i="3" s="1"/>
  <c r="W366" i="3" s="1"/>
  <c r="W367" i="3" s="1"/>
  <c r="W368" i="3" s="1"/>
  <c r="W369" i="3"/>
  <c r="W370" i="3" s="1"/>
  <c r="W371" i="3" s="1"/>
  <c r="W372" i="3" s="1"/>
  <c r="W373" i="3" s="1"/>
  <c r="W374" i="3"/>
  <c r="W375" i="3" s="1"/>
  <c r="W376" i="3" s="1"/>
  <c r="W377" i="3" s="1"/>
  <c r="W378" i="3" s="1"/>
  <c r="W379" i="3"/>
  <c r="W380" i="3" s="1"/>
  <c r="W381" i="3" s="1"/>
  <c r="W382" i="3" s="1"/>
  <c r="W383" i="3" s="1"/>
  <c r="W384" i="3"/>
  <c r="W385" i="3" s="1"/>
  <c r="W386" i="3" s="1"/>
  <c r="W387" i="3" s="1"/>
  <c r="W388" i="3" s="1"/>
  <c r="W389" i="3"/>
  <c r="W390" i="3" s="1"/>
  <c r="W391" i="3" s="1"/>
  <c r="W392" i="3" s="1"/>
  <c r="W393" i="3" s="1"/>
  <c r="W394" i="3"/>
  <c r="W395" i="3" s="1"/>
  <c r="W396" i="3" s="1"/>
  <c r="W397" i="3" s="1"/>
  <c r="W398" i="3" s="1"/>
  <c r="W399" i="3"/>
  <c r="W400" i="3" s="1"/>
  <c r="W401" i="3" s="1"/>
  <c r="W402" i="3" s="1"/>
  <c r="W403" i="3" s="1"/>
  <c r="W404" i="3"/>
  <c r="W405" i="3" s="1"/>
  <c r="W406" i="3" s="1"/>
  <c r="W407" i="3" s="1"/>
  <c r="W408" i="3" s="1"/>
  <c r="W94" i="3"/>
  <c r="W95" i="3" s="1"/>
  <c r="W96" i="3" s="1"/>
  <c r="W97" i="3" s="1"/>
  <c r="W98" i="3" s="1"/>
  <c r="W99" i="3"/>
  <c r="W100" i="3" s="1"/>
  <c r="W101" i="3" s="1"/>
  <c r="W102" i="3" s="1"/>
  <c r="W103" i="3" s="1"/>
  <c r="W104" i="3"/>
  <c r="W105" i="3" s="1"/>
  <c r="W106" i="3" s="1"/>
  <c r="W107" i="3" s="1"/>
  <c r="W108" i="3" s="1"/>
  <c r="W109" i="3"/>
  <c r="W110" i="3" s="1"/>
  <c r="W111" i="3" s="1"/>
  <c r="W112" i="3" s="1"/>
  <c r="W113" i="3" s="1"/>
  <c r="W114" i="3"/>
  <c r="W115" i="3" s="1"/>
  <c r="W116" i="3" s="1"/>
  <c r="W117" i="3" s="1"/>
  <c r="W118" i="3" s="1"/>
  <c r="W119" i="3"/>
  <c r="W120" i="3" s="1"/>
  <c r="W121" i="3" s="1"/>
  <c r="W122" i="3" s="1"/>
  <c r="W123" i="3" s="1"/>
  <c r="W169" i="3"/>
  <c r="W170" i="3" s="1"/>
  <c r="W171" i="3" s="1"/>
  <c r="W172" i="3" s="1"/>
  <c r="W173" i="3" s="1"/>
  <c r="W174" i="3"/>
  <c r="W175" i="3" s="1"/>
  <c r="W176" i="3" s="1"/>
  <c r="W177" i="3" s="1"/>
  <c r="W178" i="3" s="1"/>
  <c r="W179" i="3"/>
  <c r="W180" i="3" s="1"/>
  <c r="W181" i="3" s="1"/>
  <c r="W182" i="3" s="1"/>
  <c r="W183" i="3" s="1"/>
  <c r="W14" i="3"/>
  <c r="W15" i="3" s="1"/>
  <c r="W16" i="3" s="1"/>
  <c r="W17" i="3" s="1"/>
  <c r="W18" i="3" s="1"/>
  <c r="W4" i="3"/>
  <c r="W5" i="3" s="1"/>
  <c r="W6" i="3" s="1"/>
  <c r="W7" i="3" s="1"/>
  <c r="W8" i="3" s="1"/>
  <c r="W9" i="3"/>
  <c r="W10" i="3" s="1"/>
  <c r="W11" i="3" s="1"/>
  <c r="W12" i="3" s="1"/>
  <c r="W13" i="3" s="1"/>
  <c r="AC5" i="10"/>
  <c r="AC6" i="10" s="1"/>
  <c r="AC7" i="10" s="1"/>
  <c r="AC13" i="10" l="1"/>
  <c r="R2" i="10" l="1"/>
  <c r="T1" i="10"/>
  <c r="C2" i="10"/>
  <c r="N4" i="10"/>
  <c r="I4" i="13" a="1"/>
  <c r="AC4" i="9"/>
  <c r="B4" i="13" a="1"/>
  <c r="R2" i="9"/>
  <c r="C2" i="9"/>
  <c r="AU4" i="4"/>
  <c r="B4" i="11" a="1"/>
  <c r="B4" i="11" s="1"/>
  <c r="N16" i="6"/>
  <c r="O16" i="6"/>
  <c r="P16" i="6"/>
  <c r="M16" i="6"/>
  <c r="Q16" i="6"/>
  <c r="N14" i="6"/>
  <c r="O14" i="6"/>
  <c r="P14" i="6"/>
  <c r="M14" i="6"/>
  <c r="Q14" i="6"/>
  <c r="N17" i="6"/>
  <c r="O17" i="6"/>
  <c r="P17" i="6"/>
  <c r="M17" i="6"/>
  <c r="Q17" i="6"/>
  <c r="N15" i="6"/>
  <c r="O15" i="6"/>
  <c r="P15" i="6"/>
  <c r="M15" i="6"/>
  <c r="Q15" i="6"/>
  <c r="N6" i="6"/>
  <c r="O6" i="6"/>
  <c r="P6" i="6"/>
  <c r="M6" i="6"/>
  <c r="Q6" i="6"/>
  <c r="N4" i="6"/>
  <c r="O4" i="6"/>
  <c r="P4" i="6"/>
  <c r="M4" i="6"/>
  <c r="Q4" i="6"/>
  <c r="N7" i="6"/>
  <c r="O7" i="6"/>
  <c r="P7" i="6"/>
  <c r="M7" i="6"/>
  <c r="Q7" i="6"/>
  <c r="Q5" i="6"/>
  <c r="N5" i="6"/>
  <c r="O5" i="6"/>
  <c r="P5" i="6"/>
  <c r="M5" i="6"/>
  <c r="C17" i="6"/>
  <c r="D17" i="6"/>
  <c r="E17" i="6"/>
  <c r="F17" i="6"/>
  <c r="G17" i="6"/>
  <c r="C16" i="6"/>
  <c r="D16" i="6"/>
  <c r="E16" i="6"/>
  <c r="F16" i="6"/>
  <c r="G16" i="6"/>
  <c r="C15" i="6"/>
  <c r="D15" i="6"/>
  <c r="E15" i="6"/>
  <c r="F15" i="6"/>
  <c r="G15" i="6"/>
  <c r="C14" i="6"/>
  <c r="D14" i="6"/>
  <c r="E14" i="6"/>
  <c r="F14" i="6"/>
  <c r="G14" i="6"/>
  <c r="H8" i="13" l="1"/>
  <c r="H20" i="13"/>
  <c r="H32" i="13"/>
  <c r="H44" i="13"/>
  <c r="H56" i="13"/>
  <c r="H68" i="13"/>
  <c r="H80" i="13"/>
  <c r="H92" i="13"/>
  <c r="H104" i="13"/>
  <c r="H116" i="13"/>
  <c r="H128" i="13"/>
  <c r="H140" i="13"/>
  <c r="H152" i="13"/>
  <c r="H164" i="13"/>
  <c r="H176" i="13"/>
  <c r="H188" i="13"/>
  <c r="H200" i="13"/>
  <c r="H212" i="13"/>
  <c r="H224" i="13"/>
  <c r="H236" i="13"/>
  <c r="H248" i="13"/>
  <c r="H260" i="13"/>
  <c r="H6" i="13"/>
  <c r="H126" i="13"/>
  <c r="H210" i="13"/>
  <c r="H79" i="13"/>
  <c r="H9" i="13"/>
  <c r="H21" i="13"/>
  <c r="H33" i="13"/>
  <c r="H45" i="13"/>
  <c r="H57" i="13"/>
  <c r="H69" i="13"/>
  <c r="H81" i="13"/>
  <c r="H93" i="13"/>
  <c r="H105" i="13"/>
  <c r="H117" i="13"/>
  <c r="H129" i="13"/>
  <c r="H141" i="13"/>
  <c r="H153" i="13"/>
  <c r="H165" i="13"/>
  <c r="H177" i="13"/>
  <c r="H189" i="13"/>
  <c r="H201" i="13"/>
  <c r="H213" i="13"/>
  <c r="H225" i="13"/>
  <c r="H237" i="13"/>
  <c r="H249" i="13"/>
  <c r="H42" i="13"/>
  <c r="H114" i="13"/>
  <c r="H222" i="13"/>
  <c r="H31" i="13"/>
  <c r="H103" i="13"/>
  <c r="H187" i="13"/>
  <c r="H10" i="13"/>
  <c r="H22" i="13"/>
  <c r="H34" i="13"/>
  <c r="H46" i="13"/>
  <c r="H58" i="13"/>
  <c r="H70" i="13"/>
  <c r="H82" i="13"/>
  <c r="H94" i="13"/>
  <c r="H106" i="13"/>
  <c r="H118" i="13"/>
  <c r="H130" i="13"/>
  <c r="H142" i="13"/>
  <c r="H154" i="13"/>
  <c r="H166" i="13"/>
  <c r="H178" i="13"/>
  <c r="H190" i="13"/>
  <c r="H202" i="13"/>
  <c r="H214" i="13"/>
  <c r="H226" i="13"/>
  <c r="H238" i="13"/>
  <c r="H250" i="13"/>
  <c r="H54" i="13"/>
  <c r="H186" i="13"/>
  <c r="H258" i="13"/>
  <c r="H55" i="13"/>
  <c r="H151" i="13"/>
  <c r="H223" i="13"/>
  <c r="H11" i="13"/>
  <c r="H23" i="13"/>
  <c r="H35" i="13"/>
  <c r="H47" i="13"/>
  <c r="H59" i="13"/>
  <c r="H71" i="13"/>
  <c r="H83" i="13"/>
  <c r="H95" i="13"/>
  <c r="H107" i="13"/>
  <c r="H119" i="13"/>
  <c r="H131" i="13"/>
  <c r="H143" i="13"/>
  <c r="H155" i="13"/>
  <c r="H167" i="13"/>
  <c r="H179" i="13"/>
  <c r="H191" i="13"/>
  <c r="H203" i="13"/>
  <c r="H215" i="13"/>
  <c r="H227" i="13"/>
  <c r="H239" i="13"/>
  <c r="H251" i="13"/>
  <c r="H30" i="13"/>
  <c r="H138" i="13"/>
  <c r="H246" i="13"/>
  <c r="H67" i="13"/>
  <c r="H139" i="13"/>
  <c r="H199" i="13"/>
  <c r="H12" i="13"/>
  <c r="H24" i="13"/>
  <c r="H36" i="13"/>
  <c r="H48" i="13"/>
  <c r="H60" i="13"/>
  <c r="H72" i="13"/>
  <c r="H84" i="13"/>
  <c r="H96" i="13"/>
  <c r="H108" i="13"/>
  <c r="H120" i="13"/>
  <c r="H132" i="13"/>
  <c r="H144" i="13"/>
  <c r="H156" i="13"/>
  <c r="H168" i="13"/>
  <c r="H180" i="13"/>
  <c r="H192" i="13"/>
  <c r="H204" i="13"/>
  <c r="H216" i="13"/>
  <c r="H228" i="13"/>
  <c r="H240" i="13"/>
  <c r="H252" i="13"/>
  <c r="H18" i="13"/>
  <c r="H90" i="13"/>
  <c r="H198" i="13"/>
  <c r="H19" i="13"/>
  <c r="H115" i="13"/>
  <c r="H211" i="13"/>
  <c r="H13" i="13"/>
  <c r="H25" i="13"/>
  <c r="H37" i="13"/>
  <c r="H49" i="13"/>
  <c r="H61" i="13"/>
  <c r="H73" i="13"/>
  <c r="H85" i="13"/>
  <c r="H97" i="13"/>
  <c r="H109" i="13"/>
  <c r="H121" i="13"/>
  <c r="H133" i="13"/>
  <c r="H145" i="13"/>
  <c r="H157" i="13"/>
  <c r="H169" i="13"/>
  <c r="H181" i="13"/>
  <c r="H193" i="13"/>
  <c r="H205" i="13"/>
  <c r="H217" i="13"/>
  <c r="H229" i="13"/>
  <c r="H241" i="13"/>
  <c r="H253" i="13"/>
  <c r="H78" i="13"/>
  <c r="H235" i="13"/>
  <c r="H14" i="13"/>
  <c r="H26" i="13"/>
  <c r="H38" i="13"/>
  <c r="H50" i="13"/>
  <c r="H62" i="13"/>
  <c r="H74" i="13"/>
  <c r="H86" i="13"/>
  <c r="H98" i="13"/>
  <c r="H110" i="13"/>
  <c r="H122" i="13"/>
  <c r="H134" i="13"/>
  <c r="H146" i="13"/>
  <c r="H158" i="13"/>
  <c r="H170" i="13"/>
  <c r="H182" i="13"/>
  <c r="H194" i="13"/>
  <c r="H206" i="13"/>
  <c r="H218" i="13"/>
  <c r="H230" i="13"/>
  <c r="H242" i="13"/>
  <c r="H254" i="13"/>
  <c r="H150" i="13"/>
  <c r="H15" i="13"/>
  <c r="H27" i="13"/>
  <c r="H39" i="13"/>
  <c r="H51" i="13"/>
  <c r="H63" i="13"/>
  <c r="H75" i="13"/>
  <c r="H87" i="13"/>
  <c r="H99" i="13"/>
  <c r="H111" i="13"/>
  <c r="H123" i="13"/>
  <c r="H135" i="13"/>
  <c r="H147" i="13"/>
  <c r="H159" i="13"/>
  <c r="H171" i="13"/>
  <c r="H183" i="13"/>
  <c r="H195" i="13"/>
  <c r="H207" i="13"/>
  <c r="H219" i="13"/>
  <c r="H231" i="13"/>
  <c r="H243" i="13"/>
  <c r="H255" i="13"/>
  <c r="H102" i="13"/>
  <c r="H43" i="13"/>
  <c r="H127" i="13"/>
  <c r="H175" i="13"/>
  <c r="H259" i="13"/>
  <c r="H16" i="13"/>
  <c r="H28" i="13"/>
  <c r="H40" i="13"/>
  <c r="H52" i="13"/>
  <c r="H64" i="13"/>
  <c r="H76" i="13"/>
  <c r="H88" i="13"/>
  <c r="H100" i="13"/>
  <c r="H112" i="13"/>
  <c r="H124" i="13"/>
  <c r="H136" i="13"/>
  <c r="H148" i="13"/>
  <c r="H160" i="13"/>
  <c r="H172" i="13"/>
  <c r="H184" i="13"/>
  <c r="H196" i="13"/>
  <c r="H208" i="13"/>
  <c r="H220" i="13"/>
  <c r="H232" i="13"/>
  <c r="H244" i="13"/>
  <c r="H256" i="13"/>
  <c r="H66" i="13"/>
  <c r="H162" i="13"/>
  <c r="H234" i="13"/>
  <c r="H5" i="13"/>
  <c r="H17" i="13"/>
  <c r="H29" i="13"/>
  <c r="H41" i="13"/>
  <c r="H53" i="13"/>
  <c r="H65" i="13"/>
  <c r="H77" i="13"/>
  <c r="H89" i="13"/>
  <c r="H101" i="13"/>
  <c r="H113" i="13"/>
  <c r="H125" i="13"/>
  <c r="H137" i="13"/>
  <c r="H149" i="13"/>
  <c r="H161" i="13"/>
  <c r="H173" i="13"/>
  <c r="H185" i="13"/>
  <c r="H197" i="13"/>
  <c r="H209" i="13"/>
  <c r="H221" i="13"/>
  <c r="H233" i="13"/>
  <c r="H245" i="13"/>
  <c r="H257" i="13"/>
  <c r="H174" i="13"/>
  <c r="H7" i="13"/>
  <c r="H91" i="13"/>
  <c r="H163" i="13"/>
  <c r="H247" i="13"/>
  <c r="AC1" i="4"/>
  <c r="G4" i="6" s="1"/>
  <c r="G4" i="12" a="1"/>
  <c r="B4" i="13"/>
  <c r="C2" i="13"/>
  <c r="E2" i="13"/>
  <c r="F2" i="13"/>
  <c r="D2" i="13"/>
  <c r="B2" i="13"/>
  <c r="A4" i="14" a="1"/>
  <c r="A2" i="14" s="1"/>
  <c r="I4" i="13"/>
  <c r="H4" i="13" s="1"/>
  <c r="I2" i="13"/>
  <c r="J2" i="13"/>
  <c r="K2" i="13"/>
  <c r="L2" i="13"/>
  <c r="M2" i="13"/>
  <c r="N5" i="10"/>
  <c r="N6" i="10" s="1"/>
  <c r="N7" i="10" s="1"/>
  <c r="N8" i="10" s="1"/>
  <c r="I1" i="10" s="1"/>
  <c r="I1" i="9"/>
  <c r="F1" i="9"/>
  <c r="H1" i="9"/>
  <c r="E1" i="9"/>
  <c r="G1" i="9"/>
  <c r="AF1" i="4"/>
  <c r="AA2" i="4" s="1"/>
  <c r="AE1" i="4"/>
  <c r="AG1" i="4"/>
  <c r="AD1" i="4"/>
  <c r="S17" i="6"/>
  <c r="S5" i="6"/>
  <c r="R15" i="6"/>
  <c r="S15" i="6"/>
  <c r="R7" i="6"/>
  <c r="R17" i="6"/>
  <c r="G4" i="12" l="1"/>
  <c r="I2" i="12"/>
  <c r="J2" i="12"/>
  <c r="K2" i="12"/>
  <c r="G2" i="12"/>
  <c r="H2" i="12"/>
  <c r="B2" i="14"/>
  <c r="D2" i="14"/>
  <c r="E2" i="14"/>
  <c r="C2" i="14"/>
  <c r="A4" i="14"/>
  <c r="F1" i="10"/>
  <c r="H1" i="10"/>
  <c r="G1" i="10"/>
  <c r="E1" i="10"/>
  <c r="G2" i="14"/>
  <c r="H2" i="14"/>
  <c r="I2" i="14"/>
  <c r="J2" i="14"/>
  <c r="K2" i="14"/>
  <c r="S7" i="6"/>
  <c r="R5" i="6"/>
  <c r="H15" i="6" l="1"/>
  <c r="X1" i="9"/>
  <c r="W1" i="9"/>
  <c r="V1" i="9"/>
  <c r="U1" i="9"/>
  <c r="T1" i="9"/>
  <c r="I15" i="6" l="1"/>
  <c r="I17" i="6"/>
  <c r="H17" i="6"/>
  <c r="F5" i="6"/>
  <c r="E5" i="6"/>
  <c r="D5" i="6"/>
  <c r="C5" i="6"/>
  <c r="G5" i="6"/>
  <c r="F4" i="6"/>
  <c r="E4" i="6"/>
  <c r="D4" i="6"/>
  <c r="C4" i="6"/>
  <c r="H5" i="6" l="1"/>
  <c r="W4" i="4" l="1"/>
  <c r="A4" i="12" s="1" a="1"/>
  <c r="A4" i="12" l="1"/>
  <c r="B2" i="12"/>
  <c r="A2" i="12"/>
  <c r="C2" i="12"/>
  <c r="D2" i="12"/>
  <c r="E2" i="12"/>
  <c r="H1" i="4"/>
  <c r="I1" i="4"/>
  <c r="F6" i="6" s="1"/>
  <c r="F1" i="4"/>
  <c r="C6" i="6" s="1"/>
  <c r="G1" i="4"/>
  <c r="D6" i="6" s="1"/>
  <c r="E1" i="4"/>
  <c r="G6" i="6" s="1"/>
  <c r="I5" i="6" s="1"/>
  <c r="AU4" i="3"/>
  <c r="I4" i="11" s="1" a="1"/>
  <c r="I4" i="11" s="1"/>
  <c r="AU5" i="3" l="1"/>
  <c r="AU6" i="3" s="1"/>
  <c r="AU7" i="3" s="1"/>
  <c r="AU8" i="3" s="1"/>
  <c r="C2" i="11"/>
  <c r="D2" i="11"/>
  <c r="B2" i="11"/>
  <c r="F2" i="11"/>
  <c r="E2" i="11"/>
  <c r="E6" i="6"/>
  <c r="C2" i="4"/>
  <c r="D1" i="1"/>
  <c r="X3" i="1" l="1"/>
  <c r="AC1" i="3" l="1"/>
  <c r="G7" i="6" s="1"/>
  <c r="AF1" i="3"/>
  <c r="AE1" i="3"/>
  <c r="D7" i="6" s="1"/>
  <c r="AD1" i="3"/>
  <c r="C7" i="6" s="1"/>
  <c r="AG1" i="3" l="1"/>
  <c r="F7" i="6" s="1"/>
  <c r="J2" i="11"/>
  <c r="L2" i="11"/>
  <c r="M2" i="11"/>
  <c r="I2" i="11"/>
  <c r="K2" i="11"/>
  <c r="AA2" i="3"/>
  <c r="E7" i="6"/>
  <c r="I7" i="6"/>
  <c r="H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<sst xmlns="http://schemas.openxmlformats.org/spreadsheetml/2006/main" count="3460" uniqueCount="60">
  <si>
    <t>small-atlasarch-tune-flags</t>
  </si>
  <si>
    <t>WR00L2L2</t>
  </si>
  <si>
    <t>small-arch-tune-flags</t>
  </si>
  <si>
    <t>small-cpu-flags</t>
  </si>
  <si>
    <t>small</t>
  </si>
  <si>
    <t>small-atlasarch-tune</t>
  </si>
  <si>
    <t>small-arch-tune</t>
  </si>
  <si>
    <t>small-atlasarch-tune2</t>
  </si>
  <si>
    <t>small-cpu</t>
  </si>
  <si>
    <t>small-flags</t>
  </si>
  <si>
    <t>small-atlasarch-tune2-flags</t>
  </si>
  <si>
    <t>RUN</t>
  </si>
  <si>
    <t>N</t>
  </si>
  <si>
    <t>NB</t>
  </si>
  <si>
    <t>P</t>
  </si>
  <si>
    <t>Q</t>
  </si>
  <si>
    <t>Time</t>
  </si>
  <si>
    <t>GFLOPS</t>
  </si>
  <si>
    <t>Date</t>
  </si>
  <si>
    <t>1700MHz</t>
  </si>
  <si>
    <t>1800MHz</t>
  </si>
  <si>
    <t>1900MHz</t>
  </si>
  <si>
    <t>MAX GFLOPS:</t>
  </si>
  <si>
    <t>Odroid10 throttling time [1/100s]</t>
  </si>
  <si>
    <t>Odroid11 throttling time [1/100s]</t>
  </si>
  <si>
    <t>Odroid12 throttling time [1/100s]</t>
  </si>
  <si>
    <t>Odroid13 throttling time [1/100s]</t>
  </si>
  <si>
    <t>Max avg. GFLOPS (and params):</t>
  </si>
  <si>
    <t>ATLAS</t>
  </si>
  <si>
    <t>DRAM Freq.</t>
  </si>
  <si>
    <t>Gflop/s</t>
  </si>
  <si>
    <t>BLAS</t>
  </si>
  <si>
    <t>OpenBLAS</t>
  </si>
  <si>
    <t>Difference BLAS impl.</t>
  </si>
  <si>
    <t>Difference DRAM freq (for 13.089% increase) [%]</t>
  </si>
  <si>
    <t>Big cores</t>
  </si>
  <si>
    <t>Small cores</t>
  </si>
  <si>
    <t>Single node</t>
  </si>
  <si>
    <t>4 - node</t>
  </si>
  <si>
    <t>SNAPSHOT</t>
  </si>
  <si>
    <t>Nikl et al.</t>
  </si>
  <si>
    <t>933 (?)</t>
  </si>
  <si>
    <t>Cloutier et al.</t>
  </si>
  <si>
    <t>Krpic et al.</t>
  </si>
  <si>
    <t>ATLAS (825)</t>
  </si>
  <si>
    <t>ATLAS (933)</t>
  </si>
  <si>
    <t>OpenBLAS (825)</t>
  </si>
  <si>
    <t>OpenBLAS (933)</t>
  </si>
  <si>
    <t>4-node</t>
  </si>
  <si>
    <t>1-node</t>
  </si>
  <si>
    <t>4-nodes</t>
  </si>
  <si>
    <t>Average GFLOP/s</t>
  </si>
  <si>
    <t>ATLAS - small</t>
  </si>
  <si>
    <t>NA</t>
  </si>
  <si>
    <t>N (round)</t>
  </si>
  <si>
    <t>ATLAS speedup</t>
  </si>
  <si>
    <t>OpenBLAS speedup</t>
  </si>
  <si>
    <t>N(beta)</t>
  </si>
  <si>
    <t>N(mid)</t>
  </si>
  <si>
    <t>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</si>
</sst>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00"/>
    <numFmt numFmtId="166" formatCode="0.000"/>
    <numFmt numFmtId="167" formatCode="[$-F400]h:mm:ss\ AM/PM"/>
    <numFmt numFmtId="168" formatCode="yyyy\-mm\-dd;@"/>
    <numFmt numFmtId="169" formatCode="hh:mm:ss"/>
  </numFmts>
  <fonts count="7" x14ac:knownFonts="1">
    <font>
      <sz val="11"/>
      <color theme="1"/>
      <name val="Calibri"/>
      <family val="2"/>
      <charset val="238"/>
      <scheme val="minor"/>
    </font>
    <font>
      <b/>
      <sz val="11"/>
      <color theme="1"/>
      <name val="Calibri"/>
      <family val="2"/>
      <scheme val="minor"/>
    </font>
    <font>
      <b/>
      <sz val="10"/>
      <color theme="1"/>
      <name val="Calibri"/>
      <family val="2"/>
      <scheme val="minor"/>
    </font>
    <font>
      <b/>
      <sz val="11"/>
      <color rgb="FFFF0000"/>
      <name val="Calibri"/>
      <family val="2"/>
      <scheme val="minor"/>
    </font>
    <font>
      <sz val="11"/>
      <color rgb="FF9C5700"/>
      <name val="Calibri"/>
      <family val="2"/>
      <charset val="238"/>
      <scheme val="minor"/>
    </font>
    <font>
      <b/>
      <sz val="11"/>
      <name val="Calibri"/>
      <family val="2"/>
      <scheme val="minor"/>
    </font>
    <font>
      <sz val="11"/>
      <name val="Calibri"/>
      <family val="2"/>
      <charset val="238"/>
      <scheme val="minor"/>
    </font>
  </fonts>
  <fills count="6">
    <fill>
      <patternFill patternType="none"/>
    </fill>
    <fill>
      <patternFill patternType="gray125"/>
    </fill>
    <fill>
      <patternFill patternType="solid">
        <fgColor rgb="FFFFEB9C"/>
      </patternFill>
    </fill>
    <fill>
      <patternFill patternType="solid">
        <fgColor theme="7" tint="0.79998168889431442"/>
        <bgColor indexed="64"/>
      </patternFill>
    </fill>
    <fill>
      <patternFill patternType="solid">
        <fgColor rgb="FFFFC000"/>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0" fontId="4" fillId="2" borderId="0" applyNumberFormat="0" applyBorder="0" applyAlignment="0" applyProtection="0"/>
  </cellStyleXfs>
  <cellXfs count="91">
    <xf numFmtId="0" fontId="0" fillId="0" borderId="0" xfId="0"/>
    <xf numFmtId="14" fontId="0" fillId="0" borderId="0" xfId="0" applyNumberFormat="1"/>
    <xf numFmtId="21" fontId="0" fillId="0" borderId="0" xfId="0" applyNumberFormat="1"/>
    <xf numFmtId="164" fontId="0" fillId="0" borderId="0" xfId="0" applyNumberFormat="1"/>
    <xf numFmtId="165" fontId="0" fillId="0" borderId="0" xfId="0" applyNumberFormat="1"/>
    <xf numFmtId="164" fontId="3" fillId="0" borderId="1" xfId="0" applyNumberFormat="1" applyFont="1" applyBorder="1"/>
    <xf numFmtId="0" fontId="0" fillId="0" borderId="1" xfId="0" applyBorder="1"/>
    <xf numFmtId="164" fontId="0" fillId="0" borderId="1" xfId="0" applyNumberFormat="1" applyBorder="1"/>
    <xf numFmtId="0" fontId="1" fillId="0" borderId="1" xfId="0" applyFont="1" applyBorder="1"/>
    <xf numFmtId="166" fontId="1" fillId="0" borderId="1" xfId="0" applyNumberFormat="1" applyFont="1" applyBorder="1"/>
    <xf numFmtId="164" fontId="1" fillId="0" borderId="1" xfId="0" applyNumberFormat="1" applyFont="1" applyBorder="1"/>
    <xf numFmtId="0" fontId="2" fillId="0" borderId="1" xfId="0" applyFont="1" applyBorder="1" applyAlignment="1">
      <alignment horizontal="center"/>
    </xf>
    <xf numFmtId="0" fontId="4" fillId="2" borderId="0" xfId="1"/>
    <xf numFmtId="164" fontId="4" fillId="2" borderId="0" xfId="1" applyNumberFormat="1"/>
    <xf numFmtId="14" fontId="4" fillId="2" borderId="0" xfId="1" applyNumberFormat="1"/>
    <xf numFmtId="21" fontId="4" fillId="2" borderId="0" xfId="1" applyNumberFormat="1"/>
    <xf numFmtId="2" fontId="0" fillId="0" borderId="0" xfId="0" applyNumberFormat="1"/>
    <xf numFmtId="165" fontId="2" fillId="0" borderId="2" xfId="0" applyNumberFormat="1" applyFont="1" applyBorder="1" applyAlignment="1">
      <alignment horizontal="center"/>
    </xf>
    <xf numFmtId="1" fontId="0" fillId="0" borderId="0" xfId="0" applyNumberFormat="1"/>
    <xf numFmtId="165" fontId="0" fillId="0" borderId="1" xfId="0" applyNumberFormat="1" applyBorder="1"/>
    <xf numFmtId="1" fontId="0" fillId="0" borderId="1" xfId="0" applyNumberFormat="1" applyBorder="1"/>
    <xf numFmtId="1" fontId="1" fillId="0" borderId="1" xfId="0" applyNumberFormat="1" applyFont="1" applyBorder="1"/>
    <xf numFmtId="2" fontId="1" fillId="0" borderId="1" xfId="0" applyNumberFormat="1" applyFont="1" applyBorder="1"/>
    <xf numFmtId="2" fontId="0" fillId="0" borderId="1" xfId="0" applyNumberFormat="1" applyBorder="1"/>
    <xf numFmtId="164" fontId="0" fillId="0" borderId="0" xfId="0" quotePrefix="1" applyNumberFormat="1"/>
    <xf numFmtId="166" fontId="0" fillId="0" borderId="1" xfId="0" applyNumberFormat="1" applyBorder="1"/>
    <xf numFmtId="166" fontId="0" fillId="0" borderId="0" xfId="0" quotePrefix="1" applyNumberFormat="1"/>
    <xf numFmtId="166" fontId="0" fillId="0" borderId="0" xfId="0" applyNumberFormat="1"/>
    <xf numFmtId="165" fontId="3" fillId="0" borderId="1" xfId="0" applyNumberFormat="1" applyFont="1" applyBorder="1"/>
    <xf numFmtId="164" fontId="5" fillId="0" borderId="1" xfId="0" applyNumberFormat="1" applyFont="1" applyBorder="1"/>
    <xf numFmtId="164" fontId="0" fillId="0" borderId="0" xfId="0" applyNumberFormat="1" applyAlignment="1">
      <alignment horizontal="center"/>
    </xf>
    <xf numFmtId="165" fontId="1" fillId="0" borderId="0" xfId="0" applyNumberFormat="1" applyFont="1" applyAlignment="1">
      <alignment horizontal="center"/>
    </xf>
    <xf numFmtId="165" fontId="2" fillId="0" borderId="0" xfId="0" applyNumberFormat="1" applyFont="1" applyAlignment="1">
      <alignment horizontal="center"/>
    </xf>
    <xf numFmtId="14" fontId="0" fillId="0" borderId="1" xfId="0" applyNumberFormat="1" applyBorder="1"/>
    <xf numFmtId="14" fontId="1" fillId="0" borderId="1" xfId="0" applyNumberFormat="1" applyFont="1" applyBorder="1"/>
    <xf numFmtId="167" fontId="0" fillId="0" borderId="1" xfId="0" applyNumberFormat="1" applyBorder="1"/>
    <xf numFmtId="167" fontId="1" fillId="0" borderId="1" xfId="0" applyNumberFormat="1" applyFont="1" applyBorder="1"/>
    <xf numFmtId="167" fontId="0" fillId="0" borderId="0" xfId="0" applyNumberFormat="1"/>
    <xf numFmtId="11" fontId="0" fillId="0" borderId="0" xfId="0" quotePrefix="1" applyNumberFormat="1"/>
    <xf numFmtId="168" fontId="0" fillId="0" borderId="1" xfId="0" applyNumberFormat="1" applyBorder="1"/>
    <xf numFmtId="168" fontId="1" fillId="0" borderId="1" xfId="0" applyNumberFormat="1" applyFont="1" applyBorder="1"/>
    <xf numFmtId="168" fontId="0" fillId="0" borderId="0" xfId="0" applyNumberFormat="1"/>
    <xf numFmtId="169" fontId="0" fillId="0" borderId="1" xfId="0" applyNumberFormat="1" applyBorder="1"/>
    <xf numFmtId="169" fontId="1" fillId="0" borderId="1" xfId="0" applyNumberFormat="1" applyFont="1" applyBorder="1"/>
    <xf numFmtId="169" fontId="0" fillId="0" borderId="0" xfId="0" applyNumberFormat="1"/>
    <xf numFmtId="0" fontId="0" fillId="3" borderId="0" xfId="0" applyFill="1"/>
    <xf numFmtId="164" fontId="0" fillId="3" borderId="0" xfId="0" quotePrefix="1" applyNumberFormat="1" applyFill="1"/>
    <xf numFmtId="14" fontId="0" fillId="3" borderId="0" xfId="0" applyNumberFormat="1" applyFill="1"/>
    <xf numFmtId="21" fontId="0" fillId="3" borderId="0" xfId="0" applyNumberFormat="1" applyFill="1"/>
    <xf numFmtId="164" fontId="0" fillId="3" borderId="0" xfId="0" applyNumberFormat="1" applyFill="1"/>
    <xf numFmtId="0" fontId="6" fillId="0" borderId="0" xfId="0" applyFont="1"/>
    <xf numFmtId="168" fontId="6" fillId="0" borderId="0" xfId="0" applyNumberFormat="1" applyFont="1"/>
    <xf numFmtId="169" fontId="6" fillId="0" borderId="0" xfId="0" applyNumberFormat="1" applyFont="1"/>
    <xf numFmtId="0" fontId="6" fillId="0" borderId="0" xfId="1" applyFont="1" applyFill="1"/>
    <xf numFmtId="168" fontId="6" fillId="0" borderId="0" xfId="1" applyNumberFormat="1" applyFont="1" applyFill="1"/>
    <xf numFmtId="169" fontId="6" fillId="0" borderId="0" xfId="1" applyNumberFormat="1" applyFont="1" applyFill="1"/>
    <xf numFmtId="0" fontId="6" fillId="3" borderId="0" xfId="0" applyFont="1" applyFill="1"/>
    <xf numFmtId="168" fontId="6" fillId="3" borderId="0" xfId="0" applyNumberFormat="1" applyFont="1" applyFill="1"/>
    <xf numFmtId="169" fontId="6" fillId="3" borderId="0" xfId="0" applyNumberFormat="1" applyFont="1" applyFill="1"/>
    <xf numFmtId="0" fontId="6" fillId="3" borderId="0" xfId="1" applyFont="1" applyFill="1"/>
    <xf numFmtId="168" fontId="6" fillId="3" borderId="0" xfId="1" applyNumberFormat="1" applyFont="1" applyFill="1"/>
    <xf numFmtId="169" fontId="6" fillId="3" borderId="0" xfId="1" applyNumberFormat="1" applyFont="1" applyFill="1"/>
    <xf numFmtId="2" fontId="6" fillId="3" borderId="0" xfId="1" applyNumberFormat="1" applyFont="1" applyFill="1"/>
    <xf numFmtId="164" fontId="6" fillId="0" borderId="0" xfId="0" quotePrefix="1" applyNumberFormat="1" applyFont="1"/>
    <xf numFmtId="164" fontId="6" fillId="0" borderId="0" xfId="0" applyNumberFormat="1" applyFont="1"/>
    <xf numFmtId="164" fontId="6" fillId="0" borderId="0" xfId="1" quotePrefix="1" applyNumberFormat="1" applyFont="1" applyFill="1"/>
    <xf numFmtId="164" fontId="6" fillId="0" borderId="0" xfId="1" applyNumberFormat="1" applyFont="1" applyFill="1"/>
    <xf numFmtId="164" fontId="6" fillId="3" borderId="0" xfId="0" quotePrefix="1" applyNumberFormat="1" applyFont="1" applyFill="1"/>
    <xf numFmtId="164" fontId="6" fillId="3" borderId="0" xfId="1" quotePrefix="1" applyNumberFormat="1" applyFont="1" applyFill="1"/>
    <xf numFmtId="164" fontId="6" fillId="3" borderId="0" xfId="1" applyNumberFormat="1" applyFont="1" applyFill="1"/>
    <xf numFmtId="0" fontId="0" fillId="4" borderId="0" xfId="0" applyFill="1"/>
    <xf numFmtId="166" fontId="0" fillId="3" borderId="0" xfId="0" quotePrefix="1" applyNumberFormat="1" applyFill="1"/>
    <xf numFmtId="2" fontId="0" fillId="3" borderId="0" xfId="0" applyNumberFormat="1" applyFill="1"/>
    <xf numFmtId="11" fontId="0" fillId="3" borderId="0" xfId="0" quotePrefix="1" applyNumberFormat="1" applyFill="1"/>
    <xf numFmtId="167" fontId="0" fillId="3" borderId="0" xfId="0" applyNumberFormat="1" applyFill="1"/>
    <xf numFmtId="14" fontId="6" fillId="3" borderId="0" xfId="1" applyNumberFormat="1" applyFont="1" applyFill="1"/>
    <xf numFmtId="21" fontId="6" fillId="3" borderId="0" xfId="1" applyNumberFormat="1" applyFont="1" applyFill="1"/>
    <xf numFmtId="1" fontId="1" fillId="0" borderId="7" xfId="0" applyNumberFormat="1" applyFont="1" applyBorder="1"/>
    <xf numFmtId="0" fontId="0" fillId="0" borderId="0" xfId="0" applyAlignment="1">
      <alignment wrapText="1"/>
    </xf>
    <xf numFmtId="11" fontId="0" fillId="5" borderId="0" xfId="0" quotePrefix="1" applyNumberFormat="1" applyFill="1"/>
    <xf numFmtId="0" fontId="1" fillId="0" borderId="1" xfId="0" applyFont="1" applyBorder="1" applyAlignment="1">
      <alignment horizontal="left"/>
    </xf>
    <xf numFmtId="0" fontId="2" fillId="0" borderId="0" xfId="0" applyFont="1" applyAlignment="1">
      <alignment horizontal="center"/>
    </xf>
    <xf numFmtId="0" fontId="1" fillId="0" borderId="0" xfId="0" applyFont="1" applyAlignment="1">
      <alignment horizontal="center"/>
    </xf>
    <xf numFmtId="0" fontId="1" fillId="0" borderId="1" xfId="0" applyFont="1" applyBorder="1" applyAlignment="1">
      <alignment horizontal="left" vertical="center"/>
    </xf>
    <xf numFmtId="0" fontId="1" fillId="0" borderId="1"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2" fillId="0" borderId="1" xfId="0" applyFont="1" applyBorder="1" applyAlignment="1">
      <alignment horizontal="center"/>
    </xf>
  </cellXfs>
  <cellStyles count="2">
    <cellStyle name="Neutralno" xfId="1" builtinId="28"/>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r-H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'933 builds'!$A$56:$A$65</c:f>
              <c:strCache>
                <c:ptCount val="10"/>
                <c:pt idx="0">
                  <c:v>small</c:v>
                </c:pt>
                <c:pt idx="1">
                  <c:v>small-arch-tune</c:v>
                </c:pt>
                <c:pt idx="2">
                  <c:v>small-arch-tune-flags</c:v>
                </c:pt>
                <c:pt idx="3">
                  <c:v>small-atlasarch-tune</c:v>
                </c:pt>
                <c:pt idx="4">
                  <c:v>small-atlasarch-tune2</c:v>
                </c:pt>
                <c:pt idx="5">
                  <c:v>small-atlasarch-tune2-flags</c:v>
                </c:pt>
                <c:pt idx="6">
                  <c:v>small-atlasarch-tune-flags</c:v>
                </c:pt>
                <c:pt idx="7">
                  <c:v>small-cpu</c:v>
                </c:pt>
                <c:pt idx="8">
                  <c:v>small-cpu-flags</c:v>
                </c:pt>
                <c:pt idx="9">
                  <c:v>small-flags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'933 builds'!$A$56:$A$65</c:f>
              <c:strCache>
                <c:ptCount val="10"/>
                <c:pt idx="0">
                  <c:v>small</c:v>
                </c:pt>
                <c:pt idx="1">
                  <c:v>small-arch-tune</c:v>
                </c:pt>
                <c:pt idx="2">
                  <c:v>small-arch-tune-flags</c:v>
                </c:pt>
                <c:pt idx="3">
                  <c:v>small-atlasarch-tune</c:v>
                </c:pt>
                <c:pt idx="4">
                  <c:v>small-atlasarch-tune2</c:v>
                </c:pt>
                <c:pt idx="5">
                  <c:v>small-atlasarch-tune2-flags</c:v>
                </c:pt>
                <c:pt idx="6">
                  <c:v>small-atlasarch-tune-flags</c:v>
                </c:pt>
                <c:pt idx="7">
                  <c:v>small-cpu</c:v>
                </c:pt>
                <c:pt idx="8">
                  <c:v>small-cpu-flags</c:v>
                </c:pt>
                <c:pt idx="9">
                  <c:v>small-flags</c:v>
                </c:pt>
              </c:strCache>
            </c:strRef>
          </c:cat>
          <c:val>
            <c:numRef>
              <c:f>'933 builds'!$B$56:$B$65</c:f>
              <c:numCache>
                <c:formatCode>General</c:formatCode>
                <c:ptCount val="10"/>
                <c:pt idx="0">
                  <c:v>8.5284800000000001</c:v>
                </c:pt>
                <c:pt idx="1">
                  <c:v>5.7035200000000001</c:v>
                </c:pt>
                <c:pt idx="2">
                  <c:v>8.3876799999999996</c:v>
                </c:pt>
                <c:pt idx="3">
                  <c:v>7.2748000000000008</c:v>
                </c:pt>
                <c:pt idx="4">
                  <c:v>7.2752999999999997</c:v>
                </c:pt>
                <c:pt idx="5">
                  <c:v>8.0888400000000011</c:v>
                </c:pt>
                <c:pt idx="6">
                  <c:v>8.5175599999999996</c:v>
                </c:pt>
                <c:pt idx="7">
                  <c:v>7.2655199999999995</c:v>
                </c:pt>
                <c:pt idx="8">
                  <c:v>8.3857400000000002</c:v>
                </c:pt>
                <c:pt idx="9">
                  <c:v>8.0902599999999989</c:v>
                </c:pt>
              </c:numCache>
            </c:numRef>
          </c:val>
          <c:extLst>
            <c:ext xmlns:c16="http://schemas.microsoft.com/office/drawing/2014/chart" uri="{C3380CC4-5D6E-409C-BE32-E72D297353CC}">
              <c16:uniqueId val="{00000000-2F9E-4245-816B-61F028AAD1FD}"/>
            </c:ext>
          </c:extLst>
        </c:ser>
        <c:dLbls>
          <c:showLegendKey val="0"/>
          <c:showVal val="0"/>
          <c:showCatName val="0"/>
          <c:showSerName val="0"/>
          <c:showPercent val="0"/>
          <c:showBubbleSize val="0"/>
        </c:dLbls>
        <c:gapWidth val="100"/>
        <c:overlap val="-24"/>
        <c:axId val="540087279"/>
        <c:axId val="535438751"/>
      </c:barChart>
      <c:catAx>
        <c:axId val="5400872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hr-HR"/>
                  <a:t>ATLAS Build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535438751"/>
        <c:crosses val="autoZero"/>
        <c:auto val="1"/>
        <c:lblAlgn val="ctr"/>
        <c:lblOffset val="100"/>
        <c:noMultiLvlLbl val="0"/>
      </c:catAx>
      <c:valAx>
        <c:axId val="53543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hr-HR"/>
                  <a:t>Performance [Gflop/s]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54008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r-H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values'!$A$27:$A$31</c:f>
              <c:strCache>
                <c:ptCount val="5"/>
                <c:pt idx="0">
                  <c:v>Krpic et al.</c:v>
                </c:pt>
                <c:pt idx="1">
                  <c:v>ATLAS (825)</c:v>
                </c:pt>
                <c:pt idx="2">
                  <c:v>ATLAS (933)</c:v>
                </c:pt>
                <c:pt idx="3">
                  <c:v>OpenBLAS (825)</c:v>
                </c:pt>
                <c:pt idx="4">
                  <c:v>OpenBLAS (933)</c:v>
                </c:pt>
              </c:strCache>
            </c:strRef>
          </c:cat>
          <c:val>
            <c:numRef>
              <c:f>'Top values'!$G$27:$G$31</c:f>
              <c:numCache>
                <c:formatCode>0.00</c:formatCode>
                <c:ptCount val="5"/>
                <c:pt idx="0">
                  <c:v>7.9950000000000001</c:v>
                </c:pt>
                <c:pt idx="1">
                  <c:v>8.8926600000000011</c:v>
                </c:pt>
                <c:pt idx="2">
                  <c:v>8.99756</c:v>
                </c:pt>
                <c:pt idx="3">
                  <c:v>9.9495400000000007</c:v>
                </c:pt>
                <c:pt idx="4">
                  <c:v>10.039</c:v>
                </c:pt>
              </c:numCache>
            </c:numRef>
          </c:val>
          <c:extLst>
            <c:ext xmlns:c16="http://schemas.microsoft.com/office/drawing/2014/chart" uri="{C3380CC4-5D6E-409C-BE32-E72D297353CC}">
              <c16:uniqueId val="{00000000-7101-4DCD-B58F-02145D8D2955}"/>
            </c:ext>
          </c:extLst>
        </c:ser>
        <c:dLbls>
          <c:showLegendKey val="0"/>
          <c:showVal val="0"/>
          <c:showCatName val="0"/>
          <c:showSerName val="0"/>
          <c:showPercent val="0"/>
          <c:showBubbleSize val="0"/>
        </c:dLbls>
        <c:gapWidth val="100"/>
        <c:overlap val="-24"/>
        <c:axId val="143605039"/>
        <c:axId val="143605999"/>
      </c:barChart>
      <c:catAx>
        <c:axId val="143605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3605999"/>
        <c:crosses val="autoZero"/>
        <c:auto val="1"/>
        <c:lblAlgn val="ctr"/>
        <c:lblOffset val="100"/>
        <c:noMultiLvlLbl val="0"/>
      </c:catAx>
      <c:valAx>
        <c:axId val="14360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hr-HR"/>
                  <a:t>Gflop/s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3605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r-H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values'!$A$37:$A$42</c:f>
              <c:strCache>
                <c:ptCount val="6"/>
                <c:pt idx="0">
                  <c:v>Nikl et al.</c:v>
                </c:pt>
                <c:pt idx="1">
                  <c:v>Krpic et al.</c:v>
                </c:pt>
                <c:pt idx="2">
                  <c:v>ATLAS (825)</c:v>
                </c:pt>
                <c:pt idx="3">
                  <c:v>ATLAS (933)</c:v>
                </c:pt>
                <c:pt idx="4">
                  <c:v>OpenBLAS (825)</c:v>
                </c:pt>
                <c:pt idx="5">
                  <c:v>OpenBLAS (933)</c:v>
                </c:pt>
              </c:strCache>
            </c:strRef>
          </c:cat>
          <c:val>
            <c:numRef>
              <c:f>'Top values'!$G$37:$G$42</c:f>
              <c:numCache>
                <c:formatCode>0.00</c:formatCode>
                <c:ptCount val="6"/>
                <c:pt idx="0">
                  <c:v>1.98</c:v>
                </c:pt>
                <c:pt idx="1">
                  <c:v>2.0659999999999998</c:v>
                </c:pt>
                <c:pt idx="2">
                  <c:v>2.3067000000000002</c:v>
                </c:pt>
                <c:pt idx="3">
                  <c:v>2.3340999999999998</c:v>
                </c:pt>
                <c:pt idx="4">
                  <c:v>2.5746000000000002</c:v>
                </c:pt>
                <c:pt idx="5">
                  <c:v>2.5901999999999998</c:v>
                </c:pt>
              </c:numCache>
            </c:numRef>
          </c:val>
          <c:extLst>
            <c:ext xmlns:c16="http://schemas.microsoft.com/office/drawing/2014/chart" uri="{C3380CC4-5D6E-409C-BE32-E72D297353CC}">
              <c16:uniqueId val="{00000000-D0A6-4F40-B540-B819FFC82CA8}"/>
            </c:ext>
          </c:extLst>
        </c:ser>
        <c:dLbls>
          <c:dLblPos val="outEnd"/>
          <c:showLegendKey val="0"/>
          <c:showVal val="1"/>
          <c:showCatName val="0"/>
          <c:showSerName val="0"/>
          <c:showPercent val="0"/>
          <c:showBubbleSize val="0"/>
        </c:dLbls>
        <c:gapWidth val="100"/>
        <c:overlap val="-24"/>
        <c:axId val="143605039"/>
        <c:axId val="143605999"/>
      </c:barChart>
      <c:catAx>
        <c:axId val="143605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3605999"/>
        <c:crosses val="autoZero"/>
        <c:auto val="1"/>
        <c:lblAlgn val="ctr"/>
        <c:lblOffset val="100"/>
        <c:noMultiLvlLbl val="0"/>
      </c:catAx>
      <c:valAx>
        <c:axId val="14360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hr-HR"/>
                  <a:t>Gflop/s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3605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r-H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values'!$K$27:$K$31</c:f>
              <c:strCache>
                <c:ptCount val="5"/>
                <c:pt idx="0">
                  <c:v>Krpic et al.</c:v>
                </c:pt>
                <c:pt idx="1">
                  <c:v>ATLAS (825)</c:v>
                </c:pt>
                <c:pt idx="2">
                  <c:v>ATLAS (933)</c:v>
                </c:pt>
                <c:pt idx="3">
                  <c:v>OpenBLAS (825)</c:v>
                </c:pt>
                <c:pt idx="4">
                  <c:v>OpenBLAS (933)</c:v>
                </c:pt>
              </c:strCache>
            </c:strRef>
          </c:cat>
          <c:val>
            <c:numRef>
              <c:f>'Top values'!$Q$27:$Q$31</c:f>
              <c:numCache>
                <c:formatCode>0.00</c:formatCode>
                <c:ptCount val="5"/>
                <c:pt idx="0">
                  <c:v>30.899000000000001</c:v>
                </c:pt>
                <c:pt idx="1">
                  <c:v>37.409800000000004</c:v>
                </c:pt>
                <c:pt idx="2">
                  <c:v>38.205200000000005</c:v>
                </c:pt>
                <c:pt idx="3">
                  <c:v>40.822799999999994</c:v>
                </c:pt>
                <c:pt idx="4">
                  <c:v>41.718399999999995</c:v>
                </c:pt>
              </c:numCache>
            </c:numRef>
          </c:val>
          <c:extLst>
            <c:ext xmlns:c16="http://schemas.microsoft.com/office/drawing/2014/chart" uri="{C3380CC4-5D6E-409C-BE32-E72D297353CC}">
              <c16:uniqueId val="{00000000-AED3-4305-8AD7-9370FD7FBB75}"/>
            </c:ext>
          </c:extLst>
        </c:ser>
        <c:dLbls>
          <c:dLblPos val="outEnd"/>
          <c:showLegendKey val="0"/>
          <c:showVal val="1"/>
          <c:showCatName val="0"/>
          <c:showSerName val="0"/>
          <c:showPercent val="0"/>
          <c:showBubbleSize val="0"/>
        </c:dLbls>
        <c:gapWidth val="100"/>
        <c:overlap val="-24"/>
        <c:axId val="143605039"/>
        <c:axId val="143605999"/>
      </c:barChart>
      <c:catAx>
        <c:axId val="143605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3605999"/>
        <c:crosses val="autoZero"/>
        <c:auto val="1"/>
        <c:lblAlgn val="ctr"/>
        <c:lblOffset val="100"/>
        <c:noMultiLvlLbl val="0"/>
      </c:catAx>
      <c:valAx>
        <c:axId val="14360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hr-HR"/>
                  <a:t>Gflop/s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3605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r-H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values'!$K$37:$K$43</c:f>
              <c:strCache>
                <c:ptCount val="7"/>
                <c:pt idx="0">
                  <c:v>Cloutier et al.</c:v>
                </c:pt>
                <c:pt idx="1">
                  <c:v>Krpic et al.</c:v>
                </c:pt>
                <c:pt idx="2">
                  <c:v>Nikl et al.</c:v>
                </c:pt>
                <c:pt idx="3">
                  <c:v>ATLAS (825)</c:v>
                </c:pt>
                <c:pt idx="4">
                  <c:v>ATLAS (933)</c:v>
                </c:pt>
                <c:pt idx="5">
                  <c:v>OpenBLAS (825)</c:v>
                </c:pt>
                <c:pt idx="6">
                  <c:v>OpenBLAS (933)</c:v>
                </c:pt>
              </c:strCache>
            </c:strRef>
          </c:cat>
          <c:val>
            <c:numRef>
              <c:f>'Top values'!$Q$37:$Q$43</c:f>
              <c:numCache>
                <c:formatCode>0.00</c:formatCode>
                <c:ptCount val="7"/>
                <c:pt idx="0">
                  <c:v>8.3000000000000007</c:v>
                </c:pt>
                <c:pt idx="1">
                  <c:v>8.8059999999999992</c:v>
                </c:pt>
                <c:pt idx="2">
                  <c:v>9.34</c:v>
                </c:pt>
                <c:pt idx="3">
                  <c:v>10.5688</c:v>
                </c:pt>
                <c:pt idx="4">
                  <c:v>10.793400000000002</c:v>
                </c:pt>
                <c:pt idx="5">
                  <c:v>11.215799999999998</c:v>
                </c:pt>
                <c:pt idx="6">
                  <c:v>11.4762</c:v>
                </c:pt>
              </c:numCache>
            </c:numRef>
          </c:val>
          <c:extLst>
            <c:ext xmlns:c16="http://schemas.microsoft.com/office/drawing/2014/chart" uri="{C3380CC4-5D6E-409C-BE32-E72D297353CC}">
              <c16:uniqueId val="{00000000-3708-40FF-BD1A-B1E1DBC365AF}"/>
            </c:ext>
          </c:extLst>
        </c:ser>
        <c:dLbls>
          <c:dLblPos val="outEnd"/>
          <c:showLegendKey val="0"/>
          <c:showVal val="1"/>
          <c:showCatName val="0"/>
          <c:showSerName val="0"/>
          <c:showPercent val="0"/>
          <c:showBubbleSize val="0"/>
        </c:dLbls>
        <c:gapWidth val="100"/>
        <c:overlap val="-24"/>
        <c:axId val="143605039"/>
        <c:axId val="143605999"/>
      </c:barChart>
      <c:catAx>
        <c:axId val="143605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3605999"/>
        <c:crosses val="autoZero"/>
        <c:auto val="1"/>
        <c:lblAlgn val="ctr"/>
        <c:lblOffset val="100"/>
        <c:noMultiLvlLbl val="0"/>
      </c:catAx>
      <c:valAx>
        <c:axId val="14360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hr-HR"/>
                  <a:t>Gflop/s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3605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0</xdr:colOff>
      <xdr:row>64</xdr:row>
      <xdr:rowOff>0</xdr:rowOff>
    </xdr:from>
    <xdr:to>
      <xdr:col>15</xdr:col>
      <xdr:colOff>304800</xdr:colOff>
      <xdr:row>78</xdr:row>
      <xdr:rowOff>76200</xdr:rowOff>
    </xdr:to>
    <xdr:graphicFrame macro="">
      <xdr:nvGraphicFramePr>
        <xdr:cNvPr id="2" name="Chart 1">
          <a:extLst>
            <a:ext uri="{FF2B5EF4-FFF2-40B4-BE49-F238E27FC236}">
              <a16:creationId xmlns:a16="http://schemas.microsoft.com/office/drawing/2014/main" id="{71103364-56A3-4183-BB19-8D80280D0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2495550</xdr:colOff>
      <xdr:row>25</xdr:row>
      <xdr:rowOff>61912</xdr:rowOff>
    </xdr:from>
    <xdr:to>
      <xdr:col>23</xdr:col>
      <xdr:colOff>14700</xdr:colOff>
      <xdr:row>34</xdr:row>
      <xdr:rowOff>147412</xdr:rowOff>
    </xdr:to>
    <xdr:graphicFrame macro="">
      <xdr:nvGraphicFramePr>
        <xdr:cNvPr id="2" name="Grafikon 1">
          <a:extLst>
            <a:ext uri="{FF2B5EF4-FFF2-40B4-BE49-F238E27FC236}">
              <a16:creationId xmlns:a16="http://schemas.microsoft.com/office/drawing/2014/main" id="{20B784E2-7041-916D-F025-D5A986FFC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2486025</xdr:colOff>
      <xdr:row>41</xdr:row>
      <xdr:rowOff>104775</xdr:rowOff>
    </xdr:from>
    <xdr:to>
      <xdr:col>23</xdr:col>
      <xdr:colOff>5175</xdr:colOff>
      <xdr:row>50</xdr:row>
      <xdr:rowOff>190275</xdr:rowOff>
    </xdr:to>
    <xdr:graphicFrame macro="">
      <xdr:nvGraphicFramePr>
        <xdr:cNvPr id="3" name="Grafikon 2">
          <a:extLst>
            <a:ext uri="{FF2B5EF4-FFF2-40B4-BE49-F238E27FC236}">
              <a16:creationId xmlns:a16="http://schemas.microsoft.com/office/drawing/2014/main" id="{61F86DB1-1F1A-49DE-8FA1-F4F79A8EA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76200</xdr:colOff>
      <xdr:row>25</xdr:row>
      <xdr:rowOff>28575</xdr:rowOff>
    </xdr:from>
    <xdr:to>
      <xdr:col>31</xdr:col>
      <xdr:colOff>129000</xdr:colOff>
      <xdr:row>34</xdr:row>
      <xdr:rowOff>114075</xdr:rowOff>
    </xdr:to>
    <xdr:graphicFrame macro="">
      <xdr:nvGraphicFramePr>
        <xdr:cNvPr id="4" name="Grafikon 3">
          <a:extLst>
            <a:ext uri="{FF2B5EF4-FFF2-40B4-BE49-F238E27FC236}">
              <a16:creationId xmlns:a16="http://schemas.microsoft.com/office/drawing/2014/main" id="{CA30EA3B-F8DA-4461-AC3C-2AA97B42F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0</xdr:colOff>
      <xdr:row>41</xdr:row>
      <xdr:rowOff>0</xdr:rowOff>
    </xdr:from>
    <xdr:to>
      <xdr:col>31</xdr:col>
      <xdr:colOff>52800</xdr:colOff>
      <xdr:row>50</xdr:row>
      <xdr:rowOff>85500</xdr:rowOff>
    </xdr:to>
    <xdr:graphicFrame macro="">
      <xdr:nvGraphicFramePr>
        <xdr:cNvPr id="5" name="Grafikon 4">
          <a:extLst>
            <a:ext uri="{FF2B5EF4-FFF2-40B4-BE49-F238E27FC236}">
              <a16:creationId xmlns:a16="http://schemas.microsoft.com/office/drawing/2014/main" id="{3878F24F-9EBB-4F4F-92B2-237EB392A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tfoshr-my.sharepoint.com/personal/krpic_etfos_hr/Documents/Istra&#382;ivanje/1.%20SBCC/Results/HPL%20results%202023%20-%20OdroidMC1.xlsx" TargetMode="External"/><Relationship Id="rId1" Type="http://schemas.openxmlformats.org/officeDocument/2006/relationships/externalLinkPath" Target="HPL%20results%202023%20-%20OdroidM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 2024"/>
      <sheetName val="HPL 1 node, params"/>
      <sheetName val="HPL 4 node, params"/>
      <sheetName val="HPL 4 nodes, builds"/>
      <sheetName val="4 - node"/>
      <sheetName val="Arch details"/>
      <sheetName val="HPL_Builds"/>
      <sheetName val="ATLAS builds"/>
      <sheetName val="ATLAS make time results"/>
      <sheetName val="4 node, builds (2024)"/>
      <sheetName val="4 node, 933, params (2024)"/>
      <sheetName val="4 node, 825, params (2024)"/>
      <sheetName val="1 node, 933, params (2024)"/>
      <sheetName val="1 node, 825, params (2024)"/>
      <sheetName val="4 node, 933, scaling (2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F3">
            <v>38.205200000000005</v>
          </cell>
          <cell r="G3">
            <v>28888</v>
          </cell>
          <cell r="H3">
            <v>184</v>
          </cell>
          <cell r="I3">
            <v>2</v>
          </cell>
          <cell r="J3">
            <v>8</v>
          </cell>
          <cell r="AD3">
            <v>41.718399999999995</v>
          </cell>
          <cell r="AE3">
            <v>29040</v>
          </cell>
          <cell r="AF3">
            <v>120</v>
          </cell>
          <cell r="AG3">
            <v>2</v>
          </cell>
          <cell r="AH3">
            <v>8</v>
          </cell>
        </row>
      </sheetData>
      <sheetData sheetId="11" refreshError="1">
        <row r="3">
          <cell r="F3">
            <v>37.409800000000004</v>
          </cell>
          <cell r="G3">
            <v>28960</v>
          </cell>
          <cell r="H3">
            <v>160</v>
          </cell>
          <cell r="I3">
            <v>2</v>
          </cell>
          <cell r="J3">
            <v>8</v>
          </cell>
          <cell r="AD3">
            <v>40.822799999999994</v>
          </cell>
          <cell r="AE3">
            <v>28992</v>
          </cell>
          <cell r="AF3">
            <v>96</v>
          </cell>
          <cell r="AG3">
            <v>2</v>
          </cell>
          <cell r="AH3">
            <v>8</v>
          </cell>
        </row>
      </sheetData>
      <sheetData sheetId="12" refreshError="1">
        <row r="2">
          <cell r="C2">
            <v>10.793400000000002</v>
          </cell>
          <cell r="D2">
            <v>14560</v>
          </cell>
          <cell r="E2">
            <v>160</v>
          </cell>
          <cell r="F2">
            <v>2</v>
          </cell>
          <cell r="G2">
            <v>2</v>
          </cell>
          <cell r="S2">
            <v>11.4762</v>
          </cell>
          <cell r="T2">
            <v>14544</v>
          </cell>
          <cell r="U2">
            <v>144</v>
          </cell>
          <cell r="V2">
            <v>2</v>
          </cell>
          <cell r="W2">
            <v>2</v>
          </cell>
        </row>
      </sheetData>
      <sheetData sheetId="13" refreshError="1">
        <row r="2">
          <cell r="C2">
            <v>10.5688</v>
          </cell>
          <cell r="D2">
            <v>14560</v>
          </cell>
          <cell r="E2">
            <v>160</v>
          </cell>
          <cell r="F2">
            <v>2</v>
          </cell>
          <cell r="G2">
            <v>2</v>
          </cell>
          <cell r="S2">
            <v>11.215799999999998</v>
          </cell>
          <cell r="T2">
            <v>14592</v>
          </cell>
          <cell r="U2">
            <v>192</v>
          </cell>
          <cell r="V2">
            <v>2</v>
          </cell>
          <cell r="W2">
            <v>2</v>
          </cell>
        </row>
      </sheetData>
      <sheetData sheetId="1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E2F55C-BABB-4ECF-B385-68F567C14018}" name="Table1" displayName="Table1" ref="A2:E74" totalsRowShown="0">
  <autoFilter ref="A2:E74" xr:uid="{36E2F55C-BABB-4ECF-B385-68F567C14018}"/>
  <sortState xmlns:xlrd2="http://schemas.microsoft.com/office/spreadsheetml/2017/richdata2" ref="A3:E74">
    <sortCondition ref="C3:C74"/>
    <sortCondition descending="1" ref="A3:A74"/>
    <sortCondition ref="B3:B74"/>
  </sortState>
  <tableColumns count="5">
    <tableColumn id="1" xr3:uid="{BBA761FC-3858-4399-ADD8-EEBEEA0733A3}" name="N (round)"/>
    <tableColumn id="2" xr3:uid="{C2DD0D2C-60D8-47AA-9AD2-E76A0E923B85}" name="NB"/>
    <tableColumn id="3" xr3:uid="{6121B1AA-64E7-45BC-93A9-DB33424883BB}" name="P"/>
    <tableColumn id="4" xr3:uid="{D2129B2A-DFAC-47AA-AB75-F1DAE630D732}" name="Q"/>
    <tableColumn id="5" xr3:uid="{8F3FC36D-1EA3-4541-8EDC-3E2E072CC98C}" name="Average GFLOP/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37710E-C7AF-4295-B17B-3583BE4E3C58}" name="Table2" displayName="Table2" ref="G2:K74" totalsRowShown="0">
  <autoFilter ref="G2:K74" xr:uid="{E737710E-C7AF-4295-B17B-3583BE4E3C58}"/>
  <sortState xmlns:xlrd2="http://schemas.microsoft.com/office/spreadsheetml/2017/richdata2" ref="G3:K74">
    <sortCondition ref="I3:I74"/>
    <sortCondition descending="1" ref="G3:G74"/>
    <sortCondition ref="H3:H74"/>
  </sortState>
  <tableColumns count="5">
    <tableColumn id="1" xr3:uid="{EA665162-597B-4ABB-841B-9504C5725C54}" name="N (round)"/>
    <tableColumn id="2" xr3:uid="{FB76B664-298A-4A4B-8ED2-50AA579BDE78}" name="NB"/>
    <tableColumn id="3" xr3:uid="{95BF3B1D-6D75-4AB7-8DFF-8BF435B31BAA}" name="P"/>
    <tableColumn id="4" xr3:uid="{3FD568A1-6BB2-4AE8-BA58-08AD038A74EA}" name="Q"/>
    <tableColumn id="5" xr3:uid="{2069F1FB-0EEC-4933-A097-B9DB9660ACF7}" name="Average GFLOP/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8AD730-090E-4C3B-83C5-F58B5E6D8E39}" name="Table3" displayName="Table3" ref="M2:Q50" totalsRowShown="0">
  <autoFilter ref="M2:Q50" xr:uid="{818AD730-090E-4C3B-83C5-F58B5E6D8E39}"/>
  <sortState xmlns:xlrd2="http://schemas.microsoft.com/office/spreadsheetml/2017/richdata2" ref="M3:Q50">
    <sortCondition ref="O3:O50"/>
    <sortCondition descending="1" ref="M3:M50"/>
    <sortCondition ref="N3:N50"/>
  </sortState>
  <tableColumns count="5">
    <tableColumn id="1" xr3:uid="{E974E7C2-BC1E-4392-AB1D-C2527AFB9975}" name="N (round)"/>
    <tableColumn id="2" xr3:uid="{04020BD4-3687-4DA5-BC1D-64E07458E0A0}" name="NB"/>
    <tableColumn id="3" xr3:uid="{BEAFF453-F1A6-45FA-A017-0BF0F784DA96}" name="P"/>
    <tableColumn id="4" xr3:uid="{FC55ABC4-88F4-4DD4-8BBD-BF5F6393194F}" name="Q"/>
    <tableColumn id="5" xr3:uid="{D6FCE44B-FD8B-4DFE-BE2A-794CD615E149}" name="Average GFLOP/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C8094C-769B-4EDA-B9F4-187C526DB663}" name="Table4" displayName="Table4" ref="S2:W50" totalsRowShown="0">
  <autoFilter ref="S2:W50" xr:uid="{61C8094C-769B-4EDA-B9F4-187C526DB663}"/>
  <sortState xmlns:xlrd2="http://schemas.microsoft.com/office/spreadsheetml/2017/richdata2" ref="S3:W50">
    <sortCondition ref="U3:U50"/>
    <sortCondition descending="1" ref="S3:S50"/>
    <sortCondition ref="T3:T50"/>
  </sortState>
  <tableColumns count="5">
    <tableColumn id="1" xr3:uid="{4D66B72E-E3CE-44B3-82C1-0878A10B8AB7}" name="N (round)"/>
    <tableColumn id="2" xr3:uid="{F42BB92C-9794-454E-A03D-32833444C605}" name="NB"/>
    <tableColumn id="3" xr3:uid="{EF6A3D13-37E4-4646-89FC-D4D5BD51BA14}" name="P"/>
    <tableColumn id="4" xr3:uid="{E57AE56E-EE85-446A-8652-185B720B96D1}" name="Q"/>
    <tableColumn id="5" xr3:uid="{49B7C3F2-492C-4CDF-84FB-6A3489520706}" name="Average GFLOP/s"/>
  </tableColumns>
  <tableStyleInfo name="TableStyleMedium2" showFirstColumn="0" showLastColumn="0" showRowStripes="1" showColumnStripes="0"/>
</table>
</file>

<file path=xl/theme/theme1.xml><?xml version="1.0" encoding="utf-8"?>
<a:theme xmlns:a="http://schemas.openxmlformats.org/drawingml/2006/main" name="Tema sustav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9095-037D-4AED-90A1-E528969EB27A}">
  <dimension ref="A1:X65"/>
  <sheetViews>
    <sheetView zoomScaleNormal="100" workbookViewId="0">
      <selection activeCell="B56" sqref="B56:B65"/>
    </sheetView>
  </sheetViews>
  <sheetFormatPr defaultColWidth="8.85546875" defaultRowHeight="15" x14ac:dyDescent="0.25"/>
  <cols>
    <col min="1" max="1" width="25.42578125" bestFit="1" customWidth="1"/>
    <col min="9" max="9" width="9.140625" style="3"/>
    <col min="24" max="24" width="9.140625" style="4"/>
  </cols>
  <sheetData>
    <row r="1" spans="1:24" x14ac:dyDescent="0.25">
      <c r="B1" s="80" t="s">
        <v>22</v>
      </c>
      <c r="C1" s="80"/>
      <c r="D1" s="5">
        <f>MAX(I:I)</f>
        <v>8.5334000000000003</v>
      </c>
      <c r="E1" s="6"/>
      <c r="F1" s="6"/>
      <c r="G1" s="6"/>
      <c r="H1" s="6"/>
      <c r="I1" s="7"/>
      <c r="J1" s="6"/>
      <c r="K1" s="6"/>
      <c r="L1" s="81" t="s">
        <v>23</v>
      </c>
      <c r="M1" s="81"/>
      <c r="N1" s="81"/>
      <c r="O1" s="81" t="s">
        <v>24</v>
      </c>
      <c r="P1" s="81"/>
      <c r="Q1" s="81"/>
      <c r="R1" s="81" t="s">
        <v>25</v>
      </c>
      <c r="S1" s="81"/>
      <c r="T1" s="81"/>
      <c r="U1" s="81" t="s">
        <v>26</v>
      </c>
      <c r="V1" s="81"/>
      <c r="W1" s="81"/>
    </row>
    <row r="2" spans="1:24" x14ac:dyDescent="0.25">
      <c r="B2" s="8" t="s">
        <v>11</v>
      </c>
      <c r="C2" s="8"/>
      <c r="D2" s="8" t="s">
        <v>12</v>
      </c>
      <c r="E2" s="8" t="s">
        <v>13</v>
      </c>
      <c r="F2" s="8" t="s">
        <v>14</v>
      </c>
      <c r="G2" s="8" t="s">
        <v>15</v>
      </c>
      <c r="H2" s="8" t="s">
        <v>16</v>
      </c>
      <c r="I2" s="9" t="s">
        <v>17</v>
      </c>
      <c r="J2" s="10" t="s">
        <v>18</v>
      </c>
      <c r="K2" s="8" t="s">
        <v>16</v>
      </c>
      <c r="L2" s="11" t="s">
        <v>19</v>
      </c>
      <c r="M2" s="11" t="s">
        <v>20</v>
      </c>
      <c r="N2" s="11" t="s">
        <v>21</v>
      </c>
      <c r="O2" s="11" t="s">
        <v>19</v>
      </c>
      <c r="P2" s="11" t="s">
        <v>20</v>
      </c>
      <c r="Q2" s="11" t="s">
        <v>21</v>
      </c>
      <c r="R2" s="11" t="s">
        <v>19</v>
      </c>
      <c r="S2" s="11" t="s">
        <v>20</v>
      </c>
      <c r="T2" s="11" t="s">
        <v>21</v>
      </c>
      <c r="U2" s="11" t="s">
        <v>19</v>
      </c>
      <c r="V2" s="11" t="s">
        <v>20</v>
      </c>
      <c r="W2" s="11" t="s">
        <v>21</v>
      </c>
    </row>
    <row r="3" spans="1:24" x14ac:dyDescent="0.25">
      <c r="A3" t="s">
        <v>0</v>
      </c>
      <c r="B3">
        <v>0</v>
      </c>
      <c r="C3" t="s">
        <v>1</v>
      </c>
      <c r="D3">
        <v>25984</v>
      </c>
      <c r="E3">
        <v>128</v>
      </c>
      <c r="F3">
        <v>2</v>
      </c>
      <c r="G3">
        <v>8</v>
      </c>
      <c r="H3">
        <v>1372.97</v>
      </c>
      <c r="I3" s="3">
        <v>8.5192999999999994</v>
      </c>
      <c r="J3" s="1">
        <v>45318</v>
      </c>
      <c r="K3" s="2">
        <v>0.26398148148148148</v>
      </c>
      <c r="L3">
        <v>0</v>
      </c>
      <c r="M3">
        <v>0</v>
      </c>
      <c r="N3">
        <v>0</v>
      </c>
      <c r="O3">
        <v>0</v>
      </c>
      <c r="P3">
        <v>0</v>
      </c>
      <c r="Q3">
        <v>0</v>
      </c>
      <c r="R3">
        <v>0</v>
      </c>
      <c r="S3">
        <v>0</v>
      </c>
      <c r="T3">
        <v>0</v>
      </c>
      <c r="U3">
        <v>0</v>
      </c>
      <c r="V3">
        <v>0</v>
      </c>
      <c r="W3">
        <v>0</v>
      </c>
      <c r="X3" s="4">
        <f>AVERAGE(I3:I7)</f>
        <v>8.5175599999999996</v>
      </c>
    </row>
    <row r="4" spans="1:24" x14ac:dyDescent="0.25">
      <c r="A4" t="s">
        <v>0</v>
      </c>
      <c r="B4">
        <v>1</v>
      </c>
      <c r="C4" t="s">
        <v>1</v>
      </c>
      <c r="D4">
        <v>25984</v>
      </c>
      <c r="E4">
        <v>128</v>
      </c>
      <c r="F4">
        <v>2</v>
      </c>
      <c r="G4">
        <v>8</v>
      </c>
      <c r="H4">
        <v>1373.17</v>
      </c>
      <c r="I4" s="3">
        <v>8.5181000000000004</v>
      </c>
      <c r="J4" s="1">
        <v>45318</v>
      </c>
      <c r="K4" s="2">
        <v>0.28020833333333334</v>
      </c>
      <c r="L4">
        <v>0</v>
      </c>
      <c r="M4">
        <v>0</v>
      </c>
      <c r="N4">
        <v>0</v>
      </c>
      <c r="O4">
        <v>0</v>
      </c>
      <c r="P4">
        <v>0</v>
      </c>
      <c r="Q4">
        <v>0</v>
      </c>
      <c r="R4">
        <v>0</v>
      </c>
      <c r="S4">
        <v>0</v>
      </c>
      <c r="T4">
        <v>0</v>
      </c>
      <c r="U4">
        <v>0</v>
      </c>
      <c r="V4">
        <v>0</v>
      </c>
      <c r="W4">
        <v>0</v>
      </c>
      <c r="X4" s="4">
        <f>X3</f>
        <v>8.5175599999999996</v>
      </c>
    </row>
    <row r="5" spans="1:24" x14ac:dyDescent="0.25">
      <c r="A5" t="s">
        <v>0</v>
      </c>
      <c r="B5">
        <v>2</v>
      </c>
      <c r="C5" t="s">
        <v>1</v>
      </c>
      <c r="D5">
        <v>25984</v>
      </c>
      <c r="E5">
        <v>128</v>
      </c>
      <c r="F5">
        <v>2</v>
      </c>
      <c r="G5">
        <v>8</v>
      </c>
      <c r="H5">
        <v>1373.85</v>
      </c>
      <c r="I5" s="3">
        <v>8.5138999999999996</v>
      </c>
      <c r="J5" s="1">
        <v>45318</v>
      </c>
      <c r="K5" s="2">
        <v>0.29645833333333332</v>
      </c>
      <c r="L5">
        <v>0</v>
      </c>
      <c r="M5">
        <v>0</v>
      </c>
      <c r="N5">
        <v>0</v>
      </c>
      <c r="O5">
        <v>0</v>
      </c>
      <c r="P5">
        <v>0</v>
      </c>
      <c r="Q5">
        <v>0</v>
      </c>
      <c r="R5">
        <v>0</v>
      </c>
      <c r="S5">
        <v>0</v>
      </c>
      <c r="T5">
        <v>0</v>
      </c>
      <c r="U5">
        <v>0</v>
      </c>
      <c r="V5">
        <v>0</v>
      </c>
      <c r="W5">
        <v>0</v>
      </c>
      <c r="X5" s="4">
        <f t="shared" ref="X5:X7" si="0">X4</f>
        <v>8.5175599999999996</v>
      </c>
    </row>
    <row r="6" spans="1:24" x14ac:dyDescent="0.25">
      <c r="A6" t="s">
        <v>0</v>
      </c>
      <c r="B6">
        <v>3</v>
      </c>
      <c r="C6" t="s">
        <v>1</v>
      </c>
      <c r="D6">
        <v>25984</v>
      </c>
      <c r="E6">
        <v>128</v>
      </c>
      <c r="F6">
        <v>2</v>
      </c>
      <c r="G6">
        <v>8</v>
      </c>
      <c r="H6">
        <v>1373.24</v>
      </c>
      <c r="I6" s="3">
        <v>8.5175999999999998</v>
      </c>
      <c r="J6" s="1">
        <v>45318</v>
      </c>
      <c r="K6" s="2">
        <v>0.31269675925925927</v>
      </c>
      <c r="L6">
        <v>0</v>
      </c>
      <c r="M6">
        <v>0</v>
      </c>
      <c r="N6">
        <v>0</v>
      </c>
      <c r="O6">
        <v>0</v>
      </c>
      <c r="P6">
        <v>0</v>
      </c>
      <c r="Q6">
        <v>0</v>
      </c>
      <c r="R6">
        <v>0</v>
      </c>
      <c r="S6">
        <v>0</v>
      </c>
      <c r="T6">
        <v>0</v>
      </c>
      <c r="U6">
        <v>0</v>
      </c>
      <c r="V6">
        <v>0</v>
      </c>
      <c r="W6">
        <v>0</v>
      </c>
      <c r="X6" s="4">
        <f t="shared" si="0"/>
        <v>8.5175599999999996</v>
      </c>
    </row>
    <row r="7" spans="1:24" x14ac:dyDescent="0.25">
      <c r="A7" t="s">
        <v>0</v>
      </c>
      <c r="B7">
        <v>4</v>
      </c>
      <c r="C7" t="s">
        <v>1</v>
      </c>
      <c r="D7">
        <v>25984</v>
      </c>
      <c r="E7">
        <v>128</v>
      </c>
      <c r="F7">
        <v>2</v>
      </c>
      <c r="G7">
        <v>8</v>
      </c>
      <c r="H7">
        <v>1373.03</v>
      </c>
      <c r="I7" s="3">
        <v>8.5189000000000004</v>
      </c>
      <c r="J7" s="1">
        <v>45318</v>
      </c>
      <c r="K7" s="2">
        <v>0.32892361111111112</v>
      </c>
      <c r="L7">
        <v>0</v>
      </c>
      <c r="M7">
        <v>0</v>
      </c>
      <c r="N7">
        <v>0</v>
      </c>
      <c r="O7">
        <v>0</v>
      </c>
      <c r="P7">
        <v>0</v>
      </c>
      <c r="Q7">
        <v>0</v>
      </c>
      <c r="R7">
        <v>0</v>
      </c>
      <c r="S7">
        <v>0</v>
      </c>
      <c r="T7">
        <v>0</v>
      </c>
      <c r="U7">
        <v>0</v>
      </c>
      <c r="V7">
        <v>0</v>
      </c>
      <c r="W7">
        <v>0</v>
      </c>
      <c r="X7" s="4">
        <f t="shared" si="0"/>
        <v>8.5175599999999996</v>
      </c>
    </row>
    <row r="8" spans="1:24" x14ac:dyDescent="0.25">
      <c r="A8" t="s">
        <v>2</v>
      </c>
      <c r="B8">
        <v>0</v>
      </c>
      <c r="C8" t="s">
        <v>1</v>
      </c>
      <c r="D8">
        <v>25984</v>
      </c>
      <c r="E8">
        <v>128</v>
      </c>
      <c r="F8">
        <v>2</v>
      </c>
      <c r="G8">
        <v>8</v>
      </c>
      <c r="H8">
        <v>1394.44</v>
      </c>
      <c r="I8" s="3">
        <v>8.3880999999999997</v>
      </c>
      <c r="J8" s="1">
        <v>45318</v>
      </c>
      <c r="K8" s="2">
        <v>0.34531249999999997</v>
      </c>
      <c r="L8">
        <v>0</v>
      </c>
      <c r="M8">
        <v>0</v>
      </c>
      <c r="N8">
        <v>0</v>
      </c>
      <c r="O8">
        <v>0</v>
      </c>
      <c r="P8">
        <v>0</v>
      </c>
      <c r="Q8">
        <v>0</v>
      </c>
      <c r="R8">
        <v>0</v>
      </c>
      <c r="S8">
        <v>0</v>
      </c>
      <c r="T8">
        <v>0</v>
      </c>
      <c r="U8">
        <v>0</v>
      </c>
      <c r="V8">
        <v>0</v>
      </c>
      <c r="W8">
        <v>0</v>
      </c>
      <c r="X8" s="4">
        <f t="shared" ref="X8" si="1">AVERAGE(I8:I12)</f>
        <v>8.3876799999999996</v>
      </c>
    </row>
    <row r="9" spans="1:24" x14ac:dyDescent="0.25">
      <c r="A9" t="s">
        <v>2</v>
      </c>
      <c r="B9">
        <v>1</v>
      </c>
      <c r="C9" t="s">
        <v>1</v>
      </c>
      <c r="D9">
        <v>25984</v>
      </c>
      <c r="E9">
        <v>128</v>
      </c>
      <c r="F9">
        <v>2</v>
      </c>
      <c r="G9">
        <v>8</v>
      </c>
      <c r="H9">
        <v>1394.48</v>
      </c>
      <c r="I9" s="3">
        <v>8.3879000000000001</v>
      </c>
      <c r="J9" s="1">
        <v>45318</v>
      </c>
      <c r="K9" s="2">
        <v>0.36170138888888892</v>
      </c>
      <c r="L9">
        <v>0</v>
      </c>
      <c r="M9">
        <v>0</v>
      </c>
      <c r="N9">
        <v>0</v>
      </c>
      <c r="O9">
        <v>0</v>
      </c>
      <c r="P9">
        <v>0</v>
      </c>
      <c r="Q9">
        <v>0</v>
      </c>
      <c r="R9">
        <v>0</v>
      </c>
      <c r="S9">
        <v>0</v>
      </c>
      <c r="T9">
        <v>0</v>
      </c>
      <c r="U9">
        <v>0</v>
      </c>
      <c r="V9">
        <v>0</v>
      </c>
      <c r="W9">
        <v>0</v>
      </c>
      <c r="X9" s="4">
        <f t="shared" ref="X9:X52" si="2">X8</f>
        <v>8.3876799999999996</v>
      </c>
    </row>
    <row r="10" spans="1:24" x14ac:dyDescent="0.25">
      <c r="A10" t="s">
        <v>2</v>
      </c>
      <c r="B10">
        <v>2</v>
      </c>
      <c r="C10" t="s">
        <v>1</v>
      </c>
      <c r="D10">
        <v>25984</v>
      </c>
      <c r="E10">
        <v>128</v>
      </c>
      <c r="F10">
        <v>2</v>
      </c>
      <c r="G10">
        <v>8</v>
      </c>
      <c r="H10">
        <v>1394.53</v>
      </c>
      <c r="I10" s="3">
        <v>8.3876000000000008</v>
      </c>
      <c r="J10" s="1">
        <v>45318</v>
      </c>
      <c r="K10" s="2">
        <v>0.37809027777777776</v>
      </c>
      <c r="L10">
        <v>0</v>
      </c>
      <c r="M10">
        <v>0</v>
      </c>
      <c r="N10">
        <v>0</v>
      </c>
      <c r="O10">
        <v>0</v>
      </c>
      <c r="P10">
        <v>0</v>
      </c>
      <c r="Q10">
        <v>0</v>
      </c>
      <c r="R10">
        <v>0</v>
      </c>
      <c r="S10">
        <v>0</v>
      </c>
      <c r="T10">
        <v>0</v>
      </c>
      <c r="U10">
        <v>0</v>
      </c>
      <c r="V10">
        <v>0</v>
      </c>
      <c r="W10">
        <v>0</v>
      </c>
      <c r="X10" s="4">
        <f t="shared" si="2"/>
        <v>8.3876799999999996</v>
      </c>
    </row>
    <row r="11" spans="1:24" x14ac:dyDescent="0.25">
      <c r="A11" t="s">
        <v>2</v>
      </c>
      <c r="B11">
        <v>3</v>
      </c>
      <c r="C11" t="s">
        <v>1</v>
      </c>
      <c r="D11">
        <v>25984</v>
      </c>
      <c r="E11">
        <v>128</v>
      </c>
      <c r="F11">
        <v>2</v>
      </c>
      <c r="G11">
        <v>8</v>
      </c>
      <c r="H11">
        <v>1395</v>
      </c>
      <c r="I11" s="3">
        <v>8.3848000000000003</v>
      </c>
      <c r="J11" s="1">
        <v>45318</v>
      </c>
      <c r="K11" s="2">
        <v>0.39447916666666666</v>
      </c>
      <c r="L11">
        <v>0</v>
      </c>
      <c r="M11">
        <v>0</v>
      </c>
      <c r="N11">
        <v>0</v>
      </c>
      <c r="O11">
        <v>0</v>
      </c>
      <c r="P11">
        <v>0</v>
      </c>
      <c r="Q11">
        <v>0</v>
      </c>
      <c r="R11">
        <v>0</v>
      </c>
      <c r="S11">
        <v>0</v>
      </c>
      <c r="T11">
        <v>0</v>
      </c>
      <c r="U11">
        <v>0</v>
      </c>
      <c r="V11">
        <v>0</v>
      </c>
      <c r="W11">
        <v>0</v>
      </c>
      <c r="X11" s="4">
        <f t="shared" si="2"/>
        <v>8.3876799999999996</v>
      </c>
    </row>
    <row r="12" spans="1:24" x14ac:dyDescent="0.25">
      <c r="A12" t="s">
        <v>2</v>
      </c>
      <c r="B12">
        <v>4</v>
      </c>
      <c r="C12" t="s">
        <v>1</v>
      </c>
      <c r="D12">
        <v>25984</v>
      </c>
      <c r="E12">
        <v>128</v>
      </c>
      <c r="F12">
        <v>2</v>
      </c>
      <c r="G12">
        <v>8</v>
      </c>
      <c r="H12">
        <v>1394.13</v>
      </c>
      <c r="I12" s="3">
        <v>8.39</v>
      </c>
      <c r="J12" s="1">
        <v>45318</v>
      </c>
      <c r="K12" s="2">
        <v>0.41085648148148146</v>
      </c>
      <c r="L12">
        <v>0</v>
      </c>
      <c r="M12">
        <v>0</v>
      </c>
      <c r="N12">
        <v>0</v>
      </c>
      <c r="O12">
        <v>0</v>
      </c>
      <c r="P12">
        <v>0</v>
      </c>
      <c r="Q12">
        <v>0</v>
      </c>
      <c r="R12">
        <v>0</v>
      </c>
      <c r="S12">
        <v>0</v>
      </c>
      <c r="T12">
        <v>0</v>
      </c>
      <c r="U12">
        <v>0</v>
      </c>
      <c r="V12">
        <v>0</v>
      </c>
      <c r="W12">
        <v>0</v>
      </c>
      <c r="X12" s="4">
        <f t="shared" si="2"/>
        <v>8.3876799999999996</v>
      </c>
    </row>
    <row r="13" spans="1:24" x14ac:dyDescent="0.25">
      <c r="A13" t="s">
        <v>3</v>
      </c>
      <c r="B13">
        <v>0</v>
      </c>
      <c r="C13" t="s">
        <v>1</v>
      </c>
      <c r="D13">
        <v>25984</v>
      </c>
      <c r="E13">
        <v>128</v>
      </c>
      <c r="F13">
        <v>2</v>
      </c>
      <c r="G13">
        <v>8</v>
      </c>
      <c r="H13">
        <v>1395.27</v>
      </c>
      <c r="I13" s="3">
        <v>8.3831000000000007</v>
      </c>
      <c r="J13" s="1">
        <v>45318</v>
      </c>
      <c r="K13" s="2">
        <v>0.42751157407407409</v>
      </c>
      <c r="L13">
        <v>0</v>
      </c>
      <c r="M13">
        <v>0</v>
      </c>
      <c r="N13">
        <v>0</v>
      </c>
      <c r="O13">
        <v>0</v>
      </c>
      <c r="P13">
        <v>0</v>
      </c>
      <c r="Q13">
        <v>0</v>
      </c>
      <c r="R13">
        <v>0</v>
      </c>
      <c r="S13">
        <v>0</v>
      </c>
      <c r="T13">
        <v>0</v>
      </c>
      <c r="U13">
        <v>0</v>
      </c>
      <c r="V13">
        <v>0</v>
      </c>
      <c r="W13">
        <v>0</v>
      </c>
      <c r="X13" s="4">
        <f t="shared" ref="X13" si="3">AVERAGE(I13:I17)</f>
        <v>8.3857400000000002</v>
      </c>
    </row>
    <row r="14" spans="1:24" x14ac:dyDescent="0.25">
      <c r="A14" t="s">
        <v>3</v>
      </c>
      <c r="B14">
        <v>1</v>
      </c>
      <c r="C14" t="s">
        <v>1</v>
      </c>
      <c r="D14">
        <v>25984</v>
      </c>
      <c r="E14">
        <v>128</v>
      </c>
      <c r="F14">
        <v>2</v>
      </c>
      <c r="G14">
        <v>8</v>
      </c>
      <c r="H14">
        <v>1395.18</v>
      </c>
      <c r="I14" s="3">
        <v>8.3835999999999995</v>
      </c>
      <c r="J14" s="1">
        <v>45318</v>
      </c>
      <c r="K14" s="2">
        <v>0.44391203703703702</v>
      </c>
      <c r="L14">
        <v>0</v>
      </c>
      <c r="M14">
        <v>0</v>
      </c>
      <c r="N14">
        <v>0</v>
      </c>
      <c r="O14">
        <v>0</v>
      </c>
      <c r="P14">
        <v>0</v>
      </c>
      <c r="Q14">
        <v>0</v>
      </c>
      <c r="R14">
        <v>0</v>
      </c>
      <c r="S14">
        <v>0</v>
      </c>
      <c r="T14">
        <v>0</v>
      </c>
      <c r="U14">
        <v>0</v>
      </c>
      <c r="V14">
        <v>0</v>
      </c>
      <c r="W14">
        <v>0</v>
      </c>
      <c r="X14" s="4">
        <f t="shared" ref="X14" si="4">X13</f>
        <v>8.3857400000000002</v>
      </c>
    </row>
    <row r="15" spans="1:24" x14ac:dyDescent="0.25">
      <c r="A15" t="s">
        <v>3</v>
      </c>
      <c r="B15">
        <v>2</v>
      </c>
      <c r="C15" t="s">
        <v>1</v>
      </c>
      <c r="D15">
        <v>25984</v>
      </c>
      <c r="E15">
        <v>128</v>
      </c>
      <c r="F15">
        <v>2</v>
      </c>
      <c r="G15">
        <v>8</v>
      </c>
      <c r="H15">
        <v>1394.42</v>
      </c>
      <c r="I15" s="3">
        <v>8.3881999999999994</v>
      </c>
      <c r="J15" s="1">
        <v>45318</v>
      </c>
      <c r="K15" s="2">
        <v>0.46030092592592592</v>
      </c>
      <c r="L15">
        <v>0</v>
      </c>
      <c r="M15">
        <v>0</v>
      </c>
      <c r="N15">
        <v>0</v>
      </c>
      <c r="O15">
        <v>0</v>
      </c>
      <c r="P15">
        <v>0</v>
      </c>
      <c r="Q15">
        <v>0</v>
      </c>
      <c r="R15">
        <v>0</v>
      </c>
      <c r="S15">
        <v>0</v>
      </c>
      <c r="T15">
        <v>0</v>
      </c>
      <c r="U15">
        <v>0</v>
      </c>
      <c r="V15">
        <v>0</v>
      </c>
      <c r="W15">
        <v>0</v>
      </c>
      <c r="X15" s="4">
        <f t="shared" si="2"/>
        <v>8.3857400000000002</v>
      </c>
    </row>
    <row r="16" spans="1:24" x14ac:dyDescent="0.25">
      <c r="A16" t="s">
        <v>3</v>
      </c>
      <c r="B16">
        <v>3</v>
      </c>
      <c r="C16" t="s">
        <v>1</v>
      </c>
      <c r="D16">
        <v>25984</v>
      </c>
      <c r="E16">
        <v>128</v>
      </c>
      <c r="F16">
        <v>2</v>
      </c>
      <c r="G16">
        <v>8</v>
      </c>
      <c r="H16">
        <v>1394.84</v>
      </c>
      <c r="I16" s="3">
        <v>8.3856999999999999</v>
      </c>
      <c r="J16" s="1">
        <v>45318</v>
      </c>
      <c r="K16" s="2">
        <v>0.47670138888888891</v>
      </c>
      <c r="L16">
        <v>0</v>
      </c>
      <c r="M16">
        <v>0</v>
      </c>
      <c r="N16">
        <v>0</v>
      </c>
      <c r="O16">
        <v>0</v>
      </c>
      <c r="P16">
        <v>0</v>
      </c>
      <c r="Q16">
        <v>0</v>
      </c>
      <c r="R16">
        <v>0</v>
      </c>
      <c r="S16">
        <v>0</v>
      </c>
      <c r="T16">
        <v>0</v>
      </c>
      <c r="U16">
        <v>0</v>
      </c>
      <c r="V16">
        <v>0</v>
      </c>
      <c r="W16">
        <v>0</v>
      </c>
      <c r="X16" s="4">
        <f t="shared" si="2"/>
        <v>8.3857400000000002</v>
      </c>
    </row>
    <row r="17" spans="1:24" x14ac:dyDescent="0.25">
      <c r="A17" t="s">
        <v>3</v>
      </c>
      <c r="B17">
        <v>4</v>
      </c>
      <c r="C17" t="s">
        <v>1</v>
      </c>
      <c r="D17">
        <v>25984</v>
      </c>
      <c r="E17">
        <v>128</v>
      </c>
      <c r="F17">
        <v>2</v>
      </c>
      <c r="G17">
        <v>8</v>
      </c>
      <c r="H17">
        <v>1394.44</v>
      </c>
      <c r="I17" s="3">
        <v>8.3880999999999997</v>
      </c>
      <c r="J17" s="1">
        <v>45318</v>
      </c>
      <c r="K17" s="2">
        <v>0.49309027777777775</v>
      </c>
      <c r="L17">
        <v>0</v>
      </c>
      <c r="M17">
        <v>0</v>
      </c>
      <c r="N17">
        <v>0</v>
      </c>
      <c r="O17">
        <v>0</v>
      </c>
      <c r="P17">
        <v>0</v>
      </c>
      <c r="Q17">
        <v>0</v>
      </c>
      <c r="R17">
        <v>0</v>
      </c>
      <c r="S17">
        <v>0</v>
      </c>
      <c r="T17">
        <v>0</v>
      </c>
      <c r="U17">
        <v>0</v>
      </c>
      <c r="V17">
        <v>0</v>
      </c>
      <c r="W17">
        <v>0</v>
      </c>
      <c r="X17" s="4">
        <f t="shared" si="2"/>
        <v>8.3857400000000002</v>
      </c>
    </row>
    <row r="18" spans="1:24" x14ac:dyDescent="0.25">
      <c r="A18" t="s">
        <v>4</v>
      </c>
      <c r="B18">
        <v>0</v>
      </c>
      <c r="C18" t="s">
        <v>1</v>
      </c>
      <c r="D18">
        <v>25984</v>
      </c>
      <c r="E18">
        <v>128</v>
      </c>
      <c r="F18">
        <v>2</v>
      </c>
      <c r="G18">
        <v>8</v>
      </c>
      <c r="H18">
        <v>1372.21</v>
      </c>
      <c r="I18" s="3">
        <v>8.5239999999999991</v>
      </c>
      <c r="J18" s="1">
        <v>45319</v>
      </c>
      <c r="K18" s="2">
        <v>0.11185185185185186</v>
      </c>
      <c r="L18">
        <v>0</v>
      </c>
      <c r="M18">
        <v>0</v>
      </c>
      <c r="N18">
        <v>0</v>
      </c>
      <c r="O18">
        <v>0</v>
      </c>
      <c r="P18">
        <v>0</v>
      </c>
      <c r="Q18">
        <v>0</v>
      </c>
      <c r="R18">
        <v>0</v>
      </c>
      <c r="S18">
        <v>0</v>
      </c>
      <c r="T18">
        <v>0</v>
      </c>
      <c r="U18">
        <v>0</v>
      </c>
      <c r="V18">
        <v>0</v>
      </c>
      <c r="W18">
        <v>0</v>
      </c>
      <c r="X18" s="4">
        <f t="shared" ref="X18" si="5">AVERAGE(I18:I22)</f>
        <v>8.5284800000000001</v>
      </c>
    </row>
    <row r="19" spans="1:24" x14ac:dyDescent="0.25">
      <c r="A19" t="s">
        <v>4</v>
      </c>
      <c r="B19">
        <v>1</v>
      </c>
      <c r="C19" t="s">
        <v>1</v>
      </c>
      <c r="D19">
        <v>25984</v>
      </c>
      <c r="E19">
        <v>128</v>
      </c>
      <c r="F19">
        <v>2</v>
      </c>
      <c r="G19">
        <v>8</v>
      </c>
      <c r="H19">
        <v>1371.46</v>
      </c>
      <c r="I19" s="3">
        <v>8.5287000000000006</v>
      </c>
      <c r="J19" s="1">
        <v>45319</v>
      </c>
      <c r="K19" s="2">
        <v>0.12804398148148147</v>
      </c>
      <c r="L19">
        <v>0</v>
      </c>
      <c r="M19">
        <v>0</v>
      </c>
      <c r="N19">
        <v>0</v>
      </c>
      <c r="O19">
        <v>0</v>
      </c>
      <c r="P19">
        <v>0</v>
      </c>
      <c r="Q19">
        <v>0</v>
      </c>
      <c r="R19">
        <v>0</v>
      </c>
      <c r="S19">
        <v>0</v>
      </c>
      <c r="T19">
        <v>0</v>
      </c>
      <c r="U19">
        <v>0</v>
      </c>
      <c r="V19">
        <v>0</v>
      </c>
      <c r="W19">
        <v>0</v>
      </c>
      <c r="X19" s="4">
        <f t="shared" ref="X19" si="6">X18</f>
        <v>8.5284800000000001</v>
      </c>
    </row>
    <row r="20" spans="1:24" x14ac:dyDescent="0.25">
      <c r="A20" t="s">
        <v>4</v>
      </c>
      <c r="B20">
        <v>2</v>
      </c>
      <c r="C20" t="s">
        <v>1</v>
      </c>
      <c r="D20">
        <v>25984</v>
      </c>
      <c r="E20">
        <v>128</v>
      </c>
      <c r="F20">
        <v>2</v>
      </c>
      <c r="G20">
        <v>8</v>
      </c>
      <c r="H20">
        <v>1371.85</v>
      </c>
      <c r="I20" s="3">
        <v>8.5263000000000009</v>
      </c>
      <c r="J20" s="1">
        <v>45319</v>
      </c>
      <c r="K20" s="2">
        <v>0.14423611111111112</v>
      </c>
      <c r="L20">
        <v>0</v>
      </c>
      <c r="M20">
        <v>0</v>
      </c>
      <c r="N20">
        <v>0</v>
      </c>
      <c r="O20">
        <v>0</v>
      </c>
      <c r="P20">
        <v>0</v>
      </c>
      <c r="Q20">
        <v>0</v>
      </c>
      <c r="R20">
        <v>0</v>
      </c>
      <c r="S20">
        <v>0</v>
      </c>
      <c r="T20">
        <v>0</v>
      </c>
      <c r="U20">
        <v>0</v>
      </c>
      <c r="V20">
        <v>0</v>
      </c>
      <c r="W20">
        <v>0</v>
      </c>
      <c r="X20" s="4">
        <f t="shared" si="2"/>
        <v>8.5284800000000001</v>
      </c>
    </row>
    <row r="21" spans="1:24" x14ac:dyDescent="0.25">
      <c r="A21" t="s">
        <v>4</v>
      </c>
      <c r="B21">
        <v>3</v>
      </c>
      <c r="C21" t="s">
        <v>1</v>
      </c>
      <c r="D21">
        <v>25984</v>
      </c>
      <c r="E21">
        <v>128</v>
      </c>
      <c r="F21">
        <v>2</v>
      </c>
      <c r="G21">
        <v>8</v>
      </c>
      <c r="H21">
        <v>1370.71</v>
      </c>
      <c r="I21" s="3">
        <v>8.5334000000000003</v>
      </c>
      <c r="J21" s="1">
        <v>45319</v>
      </c>
      <c r="K21" s="2">
        <v>0.16042824074074075</v>
      </c>
      <c r="L21">
        <v>0</v>
      </c>
      <c r="M21">
        <v>0</v>
      </c>
      <c r="N21">
        <v>0</v>
      </c>
      <c r="O21">
        <v>0</v>
      </c>
      <c r="P21">
        <v>0</v>
      </c>
      <c r="Q21">
        <v>0</v>
      </c>
      <c r="R21">
        <v>0</v>
      </c>
      <c r="S21">
        <v>0</v>
      </c>
      <c r="T21">
        <v>0</v>
      </c>
      <c r="U21">
        <v>0</v>
      </c>
      <c r="V21">
        <v>0</v>
      </c>
      <c r="W21">
        <v>0</v>
      </c>
      <c r="X21" s="4">
        <f t="shared" si="2"/>
        <v>8.5284800000000001</v>
      </c>
    </row>
    <row r="22" spans="1:24" x14ac:dyDescent="0.25">
      <c r="A22" t="s">
        <v>4</v>
      </c>
      <c r="B22">
        <v>4</v>
      </c>
      <c r="C22" t="s">
        <v>1</v>
      </c>
      <c r="D22">
        <v>25984</v>
      </c>
      <c r="E22">
        <v>128</v>
      </c>
      <c r="F22">
        <v>2</v>
      </c>
      <c r="G22">
        <v>8</v>
      </c>
      <c r="H22">
        <v>1371.24</v>
      </c>
      <c r="I22" s="3">
        <v>8.5299999999999994</v>
      </c>
      <c r="J22" s="1">
        <v>45319</v>
      </c>
      <c r="K22" s="2">
        <v>0.17660879629629631</v>
      </c>
      <c r="L22">
        <v>0</v>
      </c>
      <c r="M22">
        <v>0</v>
      </c>
      <c r="N22">
        <v>0</v>
      </c>
      <c r="O22">
        <v>0</v>
      </c>
      <c r="P22">
        <v>0</v>
      </c>
      <c r="Q22">
        <v>0</v>
      </c>
      <c r="R22">
        <v>0</v>
      </c>
      <c r="S22">
        <v>0</v>
      </c>
      <c r="T22">
        <v>0</v>
      </c>
      <c r="U22">
        <v>0</v>
      </c>
      <c r="V22">
        <v>0</v>
      </c>
      <c r="W22">
        <v>0</v>
      </c>
      <c r="X22" s="4">
        <f t="shared" si="2"/>
        <v>8.5284800000000001</v>
      </c>
    </row>
    <row r="23" spans="1:24" x14ac:dyDescent="0.25">
      <c r="A23" t="s">
        <v>5</v>
      </c>
      <c r="B23">
        <v>0</v>
      </c>
      <c r="C23" t="s">
        <v>1</v>
      </c>
      <c r="D23">
        <v>25984</v>
      </c>
      <c r="E23">
        <v>128</v>
      </c>
      <c r="F23">
        <v>2</v>
      </c>
      <c r="G23">
        <v>8</v>
      </c>
      <c r="H23">
        <v>1606.63</v>
      </c>
      <c r="I23" s="3">
        <v>7.2803000000000004</v>
      </c>
      <c r="J23" s="1">
        <v>45319</v>
      </c>
      <c r="K23" s="2">
        <v>0.19552083333333334</v>
      </c>
      <c r="L23">
        <v>0</v>
      </c>
      <c r="M23">
        <v>0</v>
      </c>
      <c r="N23">
        <v>0</v>
      </c>
      <c r="O23">
        <v>0</v>
      </c>
      <c r="P23">
        <v>0</v>
      </c>
      <c r="Q23">
        <v>0</v>
      </c>
      <c r="R23">
        <v>0</v>
      </c>
      <c r="S23">
        <v>0</v>
      </c>
      <c r="T23">
        <v>0</v>
      </c>
      <c r="U23">
        <v>0</v>
      </c>
      <c r="V23">
        <v>0</v>
      </c>
      <c r="W23">
        <v>0</v>
      </c>
      <c r="X23" s="4">
        <f t="shared" ref="X23" si="7">AVERAGE(I23:I27)</f>
        <v>7.2748000000000008</v>
      </c>
    </row>
    <row r="24" spans="1:24" x14ac:dyDescent="0.25">
      <c r="A24" t="s">
        <v>5</v>
      </c>
      <c r="B24">
        <v>1</v>
      </c>
      <c r="C24" t="s">
        <v>1</v>
      </c>
      <c r="D24">
        <v>25984</v>
      </c>
      <c r="E24">
        <v>128</v>
      </c>
      <c r="F24">
        <v>2</v>
      </c>
      <c r="G24">
        <v>8</v>
      </c>
      <c r="H24">
        <v>1607.74</v>
      </c>
      <c r="I24" s="3">
        <v>7.2751999999999999</v>
      </c>
      <c r="J24" s="1">
        <v>45319</v>
      </c>
      <c r="K24" s="2">
        <v>0.21443287037037037</v>
      </c>
      <c r="L24">
        <v>0</v>
      </c>
      <c r="M24">
        <v>0</v>
      </c>
      <c r="N24">
        <v>0</v>
      </c>
      <c r="O24">
        <v>0</v>
      </c>
      <c r="P24">
        <v>0</v>
      </c>
      <c r="Q24">
        <v>0</v>
      </c>
      <c r="R24">
        <v>0</v>
      </c>
      <c r="S24">
        <v>0</v>
      </c>
      <c r="T24">
        <v>0</v>
      </c>
      <c r="U24">
        <v>0</v>
      </c>
      <c r="V24">
        <v>0</v>
      </c>
      <c r="W24">
        <v>0</v>
      </c>
      <c r="X24" s="4">
        <f t="shared" ref="X24" si="8">X23</f>
        <v>7.2748000000000008</v>
      </c>
    </row>
    <row r="25" spans="1:24" x14ac:dyDescent="0.25">
      <c r="A25" t="s">
        <v>5</v>
      </c>
      <c r="B25">
        <v>2</v>
      </c>
      <c r="C25" t="s">
        <v>1</v>
      </c>
      <c r="D25">
        <v>25984</v>
      </c>
      <c r="E25">
        <v>128</v>
      </c>
      <c r="F25">
        <v>2</v>
      </c>
      <c r="G25">
        <v>8</v>
      </c>
      <c r="H25">
        <v>1607.85</v>
      </c>
      <c r="I25" s="3">
        <v>7.2747999999999999</v>
      </c>
      <c r="J25" s="1">
        <v>45319</v>
      </c>
      <c r="K25" s="2">
        <v>0.23335648148148147</v>
      </c>
      <c r="L25">
        <v>0</v>
      </c>
      <c r="M25">
        <v>0</v>
      </c>
      <c r="N25">
        <v>0</v>
      </c>
      <c r="O25">
        <v>0</v>
      </c>
      <c r="P25">
        <v>0</v>
      </c>
      <c r="Q25">
        <v>0</v>
      </c>
      <c r="R25">
        <v>0</v>
      </c>
      <c r="S25">
        <v>0</v>
      </c>
      <c r="T25">
        <v>0</v>
      </c>
      <c r="U25">
        <v>0</v>
      </c>
      <c r="V25">
        <v>0</v>
      </c>
      <c r="W25">
        <v>0</v>
      </c>
      <c r="X25" s="4">
        <f t="shared" si="2"/>
        <v>7.2748000000000008</v>
      </c>
    </row>
    <row r="26" spans="1:24" x14ac:dyDescent="0.25">
      <c r="A26" t="s">
        <v>5</v>
      </c>
      <c r="B26">
        <v>3</v>
      </c>
      <c r="C26" t="s">
        <v>1</v>
      </c>
      <c r="D26">
        <v>25984</v>
      </c>
      <c r="E26">
        <v>128</v>
      </c>
      <c r="F26">
        <v>2</v>
      </c>
      <c r="G26">
        <v>8</v>
      </c>
      <c r="H26">
        <v>1608.49</v>
      </c>
      <c r="I26" s="3">
        <v>7.2718999999999996</v>
      </c>
      <c r="J26" s="1">
        <v>45319</v>
      </c>
      <c r="K26" s="2">
        <v>0.25229166666666664</v>
      </c>
      <c r="L26">
        <v>0</v>
      </c>
      <c r="M26">
        <v>0</v>
      </c>
      <c r="N26">
        <v>0</v>
      </c>
      <c r="O26">
        <v>0</v>
      </c>
      <c r="P26">
        <v>0</v>
      </c>
      <c r="Q26">
        <v>0</v>
      </c>
      <c r="R26">
        <v>0</v>
      </c>
      <c r="S26">
        <v>0</v>
      </c>
      <c r="T26">
        <v>0</v>
      </c>
      <c r="U26">
        <v>0</v>
      </c>
      <c r="V26">
        <v>0</v>
      </c>
      <c r="W26">
        <v>0</v>
      </c>
      <c r="X26" s="4">
        <f t="shared" si="2"/>
        <v>7.2748000000000008</v>
      </c>
    </row>
    <row r="27" spans="1:24" x14ac:dyDescent="0.25">
      <c r="A27" t="s">
        <v>5</v>
      </c>
      <c r="B27">
        <v>4</v>
      </c>
      <c r="C27" t="s">
        <v>1</v>
      </c>
      <c r="D27">
        <v>25984</v>
      </c>
      <c r="E27">
        <v>128</v>
      </c>
      <c r="F27">
        <v>2</v>
      </c>
      <c r="G27">
        <v>8</v>
      </c>
      <c r="H27">
        <v>1608.51</v>
      </c>
      <c r="I27" s="3">
        <v>7.2717999999999998</v>
      </c>
      <c r="J27" s="1">
        <v>45319</v>
      </c>
      <c r="K27" s="2">
        <v>0.27121527777777776</v>
      </c>
      <c r="L27">
        <v>0</v>
      </c>
      <c r="M27">
        <v>0</v>
      </c>
      <c r="N27">
        <v>0</v>
      </c>
      <c r="O27">
        <v>0</v>
      </c>
      <c r="P27">
        <v>0</v>
      </c>
      <c r="Q27">
        <v>0</v>
      </c>
      <c r="R27">
        <v>0</v>
      </c>
      <c r="S27">
        <v>0</v>
      </c>
      <c r="T27">
        <v>0</v>
      </c>
      <c r="U27">
        <v>0</v>
      </c>
      <c r="V27">
        <v>0</v>
      </c>
      <c r="W27">
        <v>0</v>
      </c>
      <c r="X27" s="4">
        <f t="shared" si="2"/>
        <v>7.2748000000000008</v>
      </c>
    </row>
    <row r="28" spans="1:24" x14ac:dyDescent="0.25">
      <c r="A28" t="s">
        <v>6</v>
      </c>
      <c r="B28">
        <v>0</v>
      </c>
      <c r="C28" t="s">
        <v>1</v>
      </c>
      <c r="D28">
        <v>25984</v>
      </c>
      <c r="E28">
        <v>128</v>
      </c>
      <c r="F28">
        <v>2</v>
      </c>
      <c r="G28">
        <v>8</v>
      </c>
      <c r="H28">
        <v>2050.62</v>
      </c>
      <c r="I28" s="3">
        <v>5.7039999999999997</v>
      </c>
      <c r="J28" s="1">
        <v>45319</v>
      </c>
      <c r="K28" s="2">
        <v>0.29630787037037037</v>
      </c>
      <c r="L28">
        <v>0</v>
      </c>
      <c r="M28">
        <v>0</v>
      </c>
      <c r="N28">
        <v>0</v>
      </c>
      <c r="O28">
        <v>0</v>
      </c>
      <c r="P28">
        <v>0</v>
      </c>
      <c r="Q28">
        <v>0</v>
      </c>
      <c r="R28">
        <v>0</v>
      </c>
      <c r="S28">
        <v>0</v>
      </c>
      <c r="T28">
        <v>0</v>
      </c>
      <c r="U28">
        <v>0</v>
      </c>
      <c r="V28">
        <v>0</v>
      </c>
      <c r="W28">
        <v>0</v>
      </c>
      <c r="X28" s="4">
        <f t="shared" ref="X28" si="9">AVERAGE(I28:I32)</f>
        <v>5.7035200000000001</v>
      </c>
    </row>
    <row r="29" spans="1:24" x14ac:dyDescent="0.25">
      <c r="A29" t="s">
        <v>6</v>
      </c>
      <c r="B29">
        <v>1</v>
      </c>
      <c r="C29" t="s">
        <v>1</v>
      </c>
      <c r="D29">
        <v>25984</v>
      </c>
      <c r="E29">
        <v>128</v>
      </c>
      <c r="F29">
        <v>2</v>
      </c>
      <c r="G29">
        <v>8</v>
      </c>
      <c r="H29">
        <v>2050.7399999999998</v>
      </c>
      <c r="I29" s="3">
        <v>5.7037000000000004</v>
      </c>
      <c r="J29" s="1">
        <v>45319</v>
      </c>
      <c r="K29" s="2">
        <v>0.32138888888888889</v>
      </c>
      <c r="L29">
        <v>0</v>
      </c>
      <c r="M29">
        <v>0</v>
      </c>
      <c r="N29">
        <v>0</v>
      </c>
      <c r="O29">
        <v>0</v>
      </c>
      <c r="P29">
        <v>0</v>
      </c>
      <c r="Q29">
        <v>0</v>
      </c>
      <c r="R29">
        <v>0</v>
      </c>
      <c r="S29">
        <v>0</v>
      </c>
      <c r="T29">
        <v>0</v>
      </c>
      <c r="U29">
        <v>0</v>
      </c>
      <c r="V29">
        <v>0</v>
      </c>
      <c r="W29">
        <v>0</v>
      </c>
      <c r="X29" s="4">
        <f t="shared" ref="X29" si="10">X28</f>
        <v>5.7035200000000001</v>
      </c>
    </row>
    <row r="30" spans="1:24" x14ac:dyDescent="0.25">
      <c r="A30" t="s">
        <v>6</v>
      </c>
      <c r="B30">
        <v>2</v>
      </c>
      <c r="C30" t="s">
        <v>1</v>
      </c>
      <c r="D30">
        <v>25984</v>
      </c>
      <c r="E30">
        <v>128</v>
      </c>
      <c r="F30">
        <v>2</v>
      </c>
      <c r="G30">
        <v>8</v>
      </c>
      <c r="H30">
        <v>2050.7199999999998</v>
      </c>
      <c r="I30" s="3">
        <v>5.7037000000000004</v>
      </c>
      <c r="J30" s="1">
        <v>45319</v>
      </c>
      <c r="K30" s="2">
        <v>0.34648148148148145</v>
      </c>
      <c r="L30">
        <v>0</v>
      </c>
      <c r="M30">
        <v>0</v>
      </c>
      <c r="N30">
        <v>0</v>
      </c>
      <c r="O30">
        <v>0</v>
      </c>
      <c r="P30">
        <v>0</v>
      </c>
      <c r="Q30">
        <v>0</v>
      </c>
      <c r="R30">
        <v>0</v>
      </c>
      <c r="S30">
        <v>0</v>
      </c>
      <c r="T30">
        <v>0</v>
      </c>
      <c r="U30">
        <v>0</v>
      </c>
      <c r="V30">
        <v>0</v>
      </c>
      <c r="W30">
        <v>0</v>
      </c>
      <c r="X30" s="4">
        <f t="shared" si="2"/>
        <v>5.7035200000000001</v>
      </c>
    </row>
    <row r="31" spans="1:24" x14ac:dyDescent="0.25">
      <c r="A31" t="s">
        <v>6</v>
      </c>
      <c r="B31">
        <v>3</v>
      </c>
      <c r="C31" t="s">
        <v>1</v>
      </c>
      <c r="D31">
        <v>25984</v>
      </c>
      <c r="E31">
        <v>128</v>
      </c>
      <c r="F31">
        <v>2</v>
      </c>
      <c r="G31">
        <v>8</v>
      </c>
      <c r="H31">
        <v>2050.7199999999998</v>
      </c>
      <c r="I31" s="3">
        <v>5.7037000000000004</v>
      </c>
      <c r="J31" s="1">
        <v>45319</v>
      </c>
      <c r="K31" s="2">
        <v>0.37156250000000002</v>
      </c>
      <c r="L31">
        <v>0</v>
      </c>
      <c r="M31">
        <v>0</v>
      </c>
      <c r="N31">
        <v>0</v>
      </c>
      <c r="O31">
        <v>0</v>
      </c>
      <c r="P31">
        <v>0</v>
      </c>
      <c r="Q31">
        <v>0</v>
      </c>
      <c r="R31">
        <v>0</v>
      </c>
      <c r="S31">
        <v>0</v>
      </c>
      <c r="T31">
        <v>0</v>
      </c>
      <c r="U31">
        <v>0</v>
      </c>
      <c r="V31">
        <v>0</v>
      </c>
      <c r="W31">
        <v>0</v>
      </c>
      <c r="X31" s="4">
        <f t="shared" si="2"/>
        <v>5.7035200000000001</v>
      </c>
    </row>
    <row r="32" spans="1:24" x14ac:dyDescent="0.25">
      <c r="A32" t="s">
        <v>6</v>
      </c>
      <c r="B32">
        <v>4</v>
      </c>
      <c r="C32" t="s">
        <v>1</v>
      </c>
      <c r="D32">
        <v>25984</v>
      </c>
      <c r="E32">
        <v>128</v>
      </c>
      <c r="F32">
        <v>2</v>
      </c>
      <c r="G32">
        <v>8</v>
      </c>
      <c r="H32">
        <v>2051.16</v>
      </c>
      <c r="I32" s="3">
        <v>5.7024999999999997</v>
      </c>
      <c r="J32" s="1">
        <v>45319</v>
      </c>
      <c r="K32" s="2">
        <v>0.39665509259259263</v>
      </c>
      <c r="L32">
        <v>0</v>
      </c>
      <c r="M32">
        <v>0</v>
      </c>
      <c r="N32">
        <v>0</v>
      </c>
      <c r="O32">
        <v>0</v>
      </c>
      <c r="P32">
        <v>0</v>
      </c>
      <c r="Q32">
        <v>0</v>
      </c>
      <c r="R32">
        <v>0</v>
      </c>
      <c r="S32">
        <v>0</v>
      </c>
      <c r="T32">
        <v>0</v>
      </c>
      <c r="U32">
        <v>0</v>
      </c>
      <c r="V32">
        <v>0</v>
      </c>
      <c r="W32">
        <v>0</v>
      </c>
      <c r="X32" s="4">
        <f t="shared" si="2"/>
        <v>5.7035200000000001</v>
      </c>
    </row>
    <row r="33" spans="1:24" x14ac:dyDescent="0.25">
      <c r="A33" t="s">
        <v>7</v>
      </c>
      <c r="B33">
        <v>0</v>
      </c>
      <c r="C33" t="s">
        <v>1</v>
      </c>
      <c r="D33">
        <v>25984</v>
      </c>
      <c r="E33">
        <v>128</v>
      </c>
      <c r="F33">
        <v>2</v>
      </c>
      <c r="G33">
        <v>8</v>
      </c>
      <c r="H33">
        <v>1607.2</v>
      </c>
      <c r="I33" s="3">
        <v>7.2777000000000003</v>
      </c>
      <c r="J33" s="1">
        <v>45319</v>
      </c>
      <c r="K33" s="2">
        <v>0.41556712962962966</v>
      </c>
      <c r="L33">
        <v>0</v>
      </c>
      <c r="M33">
        <v>0</v>
      </c>
      <c r="N33">
        <v>0</v>
      </c>
      <c r="O33">
        <v>0</v>
      </c>
      <c r="P33">
        <v>0</v>
      </c>
      <c r="Q33">
        <v>0</v>
      </c>
      <c r="R33">
        <v>0</v>
      </c>
      <c r="S33">
        <v>0</v>
      </c>
      <c r="T33">
        <v>0</v>
      </c>
      <c r="U33">
        <v>0</v>
      </c>
      <c r="V33">
        <v>0</v>
      </c>
      <c r="W33">
        <v>0</v>
      </c>
      <c r="X33" s="4">
        <f t="shared" ref="X33" si="11">AVERAGE(I33:I37)</f>
        <v>7.2752999999999997</v>
      </c>
    </row>
    <row r="34" spans="1:24" x14ac:dyDescent="0.25">
      <c r="A34" t="s">
        <v>7</v>
      </c>
      <c r="B34">
        <v>1</v>
      </c>
      <c r="C34" t="s">
        <v>1</v>
      </c>
      <c r="D34">
        <v>25984</v>
      </c>
      <c r="E34">
        <v>128</v>
      </c>
      <c r="F34">
        <v>2</v>
      </c>
      <c r="G34">
        <v>8</v>
      </c>
      <c r="H34">
        <v>1607.85</v>
      </c>
      <c r="I34" s="3">
        <v>7.2747999999999999</v>
      </c>
      <c r="J34" s="1">
        <v>45319</v>
      </c>
      <c r="K34" s="2">
        <v>0.43449074074074073</v>
      </c>
      <c r="L34">
        <v>0</v>
      </c>
      <c r="M34">
        <v>0</v>
      </c>
      <c r="N34">
        <v>0</v>
      </c>
      <c r="O34">
        <v>0</v>
      </c>
      <c r="P34">
        <v>0</v>
      </c>
      <c r="Q34">
        <v>0</v>
      </c>
      <c r="R34">
        <v>0</v>
      </c>
      <c r="S34">
        <v>0</v>
      </c>
      <c r="T34">
        <v>0</v>
      </c>
      <c r="U34">
        <v>0</v>
      </c>
      <c r="V34">
        <v>0</v>
      </c>
      <c r="W34">
        <v>0</v>
      </c>
      <c r="X34" s="4">
        <f t="shared" ref="X34" si="12">X33</f>
        <v>7.2752999999999997</v>
      </c>
    </row>
    <row r="35" spans="1:24" x14ac:dyDescent="0.25">
      <c r="A35" t="s">
        <v>7</v>
      </c>
      <c r="B35">
        <v>2</v>
      </c>
      <c r="C35" t="s">
        <v>1</v>
      </c>
      <c r="D35">
        <v>25984</v>
      </c>
      <c r="E35">
        <v>128</v>
      </c>
      <c r="F35">
        <v>2</v>
      </c>
      <c r="G35">
        <v>8</v>
      </c>
      <c r="H35">
        <v>1608.07</v>
      </c>
      <c r="I35" s="3">
        <v>7.2736999999999998</v>
      </c>
      <c r="J35" s="1">
        <v>45319</v>
      </c>
      <c r="K35" s="2">
        <v>0.45341435185185186</v>
      </c>
      <c r="L35">
        <v>0</v>
      </c>
      <c r="M35">
        <v>0</v>
      </c>
      <c r="N35">
        <v>0</v>
      </c>
      <c r="O35">
        <v>0</v>
      </c>
      <c r="P35">
        <v>0</v>
      </c>
      <c r="Q35">
        <v>0</v>
      </c>
      <c r="R35">
        <v>0</v>
      </c>
      <c r="S35">
        <v>0</v>
      </c>
      <c r="T35">
        <v>0</v>
      </c>
      <c r="U35">
        <v>0</v>
      </c>
      <c r="V35">
        <v>0</v>
      </c>
      <c r="W35">
        <v>0</v>
      </c>
      <c r="X35" s="4">
        <f t="shared" si="2"/>
        <v>7.2752999999999997</v>
      </c>
    </row>
    <row r="36" spans="1:24" x14ac:dyDescent="0.25">
      <c r="A36" t="s">
        <v>7</v>
      </c>
      <c r="B36">
        <v>3</v>
      </c>
      <c r="C36" t="s">
        <v>1</v>
      </c>
      <c r="D36">
        <v>25984</v>
      </c>
      <c r="E36">
        <v>128</v>
      </c>
      <c r="F36">
        <v>2</v>
      </c>
      <c r="G36">
        <v>8</v>
      </c>
      <c r="H36">
        <v>1607.65</v>
      </c>
      <c r="I36" s="3">
        <v>7.2756999999999996</v>
      </c>
      <c r="J36" s="1">
        <v>45319</v>
      </c>
      <c r="K36" s="2">
        <v>0.47232638888888889</v>
      </c>
      <c r="L36">
        <v>0</v>
      </c>
      <c r="M36">
        <v>0</v>
      </c>
      <c r="N36">
        <v>0</v>
      </c>
      <c r="O36">
        <v>0</v>
      </c>
      <c r="P36">
        <v>0</v>
      </c>
      <c r="Q36">
        <v>0</v>
      </c>
      <c r="R36">
        <v>0</v>
      </c>
      <c r="S36">
        <v>0</v>
      </c>
      <c r="T36">
        <v>0</v>
      </c>
      <c r="U36">
        <v>0</v>
      </c>
      <c r="V36">
        <v>0</v>
      </c>
      <c r="W36">
        <v>0</v>
      </c>
      <c r="X36" s="4">
        <f t="shared" si="2"/>
        <v>7.2752999999999997</v>
      </c>
    </row>
    <row r="37" spans="1:24" x14ac:dyDescent="0.25">
      <c r="A37" t="s">
        <v>7</v>
      </c>
      <c r="B37">
        <v>4</v>
      </c>
      <c r="C37" t="s">
        <v>1</v>
      </c>
      <c r="D37">
        <v>25984</v>
      </c>
      <c r="E37">
        <v>128</v>
      </c>
      <c r="F37">
        <v>2</v>
      </c>
      <c r="G37">
        <v>8</v>
      </c>
      <c r="H37">
        <v>1607.88</v>
      </c>
      <c r="I37" s="3">
        <v>7.2746000000000004</v>
      </c>
      <c r="J37" s="1">
        <v>45319</v>
      </c>
      <c r="K37" s="2">
        <v>0.49124999999999996</v>
      </c>
      <c r="L37">
        <v>0</v>
      </c>
      <c r="M37">
        <v>0</v>
      </c>
      <c r="N37">
        <v>0</v>
      </c>
      <c r="O37">
        <v>0</v>
      </c>
      <c r="P37">
        <v>0</v>
      </c>
      <c r="Q37">
        <v>0</v>
      </c>
      <c r="R37">
        <v>0</v>
      </c>
      <c r="S37">
        <v>0</v>
      </c>
      <c r="T37">
        <v>0</v>
      </c>
      <c r="U37">
        <v>0</v>
      </c>
      <c r="V37">
        <v>0</v>
      </c>
      <c r="W37">
        <v>0</v>
      </c>
      <c r="X37" s="4">
        <f t="shared" si="2"/>
        <v>7.2752999999999997</v>
      </c>
    </row>
    <row r="38" spans="1:24" x14ac:dyDescent="0.25">
      <c r="A38" t="s">
        <v>8</v>
      </c>
      <c r="B38">
        <v>0</v>
      </c>
      <c r="C38" t="s">
        <v>1</v>
      </c>
      <c r="D38">
        <v>25984</v>
      </c>
      <c r="E38">
        <v>128</v>
      </c>
      <c r="F38">
        <v>2</v>
      </c>
      <c r="G38">
        <v>8</v>
      </c>
      <c r="H38">
        <v>1609.33</v>
      </c>
      <c r="I38" s="3">
        <v>7.2680999999999996</v>
      </c>
      <c r="J38" s="1">
        <v>45319</v>
      </c>
      <c r="K38" s="2">
        <v>0.51122685185185179</v>
      </c>
      <c r="L38">
        <v>0</v>
      </c>
      <c r="M38">
        <v>0</v>
      </c>
      <c r="N38">
        <v>0</v>
      </c>
      <c r="O38">
        <v>0</v>
      </c>
      <c r="P38">
        <v>0</v>
      </c>
      <c r="Q38">
        <v>0</v>
      </c>
      <c r="R38">
        <v>0</v>
      </c>
      <c r="S38">
        <v>0</v>
      </c>
      <c r="T38">
        <v>0</v>
      </c>
      <c r="U38">
        <v>0</v>
      </c>
      <c r="V38">
        <v>0</v>
      </c>
      <c r="W38">
        <v>0</v>
      </c>
      <c r="X38" s="4">
        <f t="shared" ref="X38" si="13">AVERAGE(I38:I42)</f>
        <v>7.2655199999999995</v>
      </c>
    </row>
    <row r="39" spans="1:24" x14ac:dyDescent="0.25">
      <c r="A39" t="s">
        <v>8</v>
      </c>
      <c r="B39">
        <v>1</v>
      </c>
      <c r="C39" t="s">
        <v>1</v>
      </c>
      <c r="D39">
        <v>25984</v>
      </c>
      <c r="E39">
        <v>128</v>
      </c>
      <c r="F39">
        <v>2</v>
      </c>
      <c r="G39">
        <v>8</v>
      </c>
      <c r="H39">
        <v>1610.6</v>
      </c>
      <c r="I39" s="3">
        <v>7.2622999999999998</v>
      </c>
      <c r="J39" s="1">
        <v>45319</v>
      </c>
      <c r="K39" s="2">
        <v>0.53122685185185181</v>
      </c>
      <c r="L39">
        <v>0</v>
      </c>
      <c r="M39">
        <v>0</v>
      </c>
      <c r="N39">
        <v>0</v>
      </c>
      <c r="O39">
        <v>0</v>
      </c>
      <c r="P39">
        <v>0</v>
      </c>
      <c r="Q39">
        <v>0</v>
      </c>
      <c r="R39">
        <v>0</v>
      </c>
      <c r="S39">
        <v>0</v>
      </c>
      <c r="T39">
        <v>0</v>
      </c>
      <c r="U39">
        <v>0</v>
      </c>
      <c r="V39">
        <v>0</v>
      </c>
      <c r="W39">
        <v>0</v>
      </c>
      <c r="X39" s="4">
        <f t="shared" ref="X39" si="14">X38</f>
        <v>7.2655199999999995</v>
      </c>
    </row>
    <row r="40" spans="1:24" x14ac:dyDescent="0.25">
      <c r="A40" t="s">
        <v>8</v>
      </c>
      <c r="B40">
        <v>2</v>
      </c>
      <c r="C40" t="s">
        <v>1</v>
      </c>
      <c r="D40">
        <v>25984</v>
      </c>
      <c r="E40">
        <v>128</v>
      </c>
      <c r="F40">
        <v>2</v>
      </c>
      <c r="G40">
        <v>8</v>
      </c>
      <c r="H40">
        <v>1609.79</v>
      </c>
      <c r="I40" s="3">
        <v>7.266</v>
      </c>
      <c r="J40" s="1">
        <v>45319</v>
      </c>
      <c r="K40" s="2">
        <v>0.55120370370370375</v>
      </c>
      <c r="L40">
        <v>0</v>
      </c>
      <c r="M40">
        <v>0</v>
      </c>
      <c r="N40">
        <v>0</v>
      </c>
      <c r="O40">
        <v>0</v>
      </c>
      <c r="P40">
        <v>0</v>
      </c>
      <c r="Q40">
        <v>0</v>
      </c>
      <c r="R40">
        <v>0</v>
      </c>
      <c r="S40">
        <v>0</v>
      </c>
      <c r="T40">
        <v>0</v>
      </c>
      <c r="U40">
        <v>0</v>
      </c>
      <c r="V40">
        <v>0</v>
      </c>
      <c r="W40">
        <v>0</v>
      </c>
      <c r="X40" s="4">
        <f t="shared" si="2"/>
        <v>7.2655199999999995</v>
      </c>
    </row>
    <row r="41" spans="1:24" x14ac:dyDescent="0.25">
      <c r="A41" t="s">
        <v>8</v>
      </c>
      <c r="B41">
        <v>3</v>
      </c>
      <c r="C41" t="s">
        <v>1</v>
      </c>
      <c r="D41">
        <v>25984</v>
      </c>
      <c r="E41">
        <v>128</v>
      </c>
      <c r="F41">
        <v>2</v>
      </c>
      <c r="G41">
        <v>8</v>
      </c>
      <c r="H41">
        <v>1609.62</v>
      </c>
      <c r="I41" s="3">
        <v>7.2667999999999999</v>
      </c>
      <c r="J41" s="1">
        <v>45319</v>
      </c>
      <c r="K41" s="2">
        <v>0.57119212962962962</v>
      </c>
      <c r="L41">
        <v>0</v>
      </c>
      <c r="M41">
        <v>0</v>
      </c>
      <c r="N41">
        <v>0</v>
      </c>
      <c r="O41">
        <v>0</v>
      </c>
      <c r="P41">
        <v>0</v>
      </c>
      <c r="Q41">
        <v>0</v>
      </c>
      <c r="R41">
        <v>0</v>
      </c>
      <c r="S41">
        <v>0</v>
      </c>
      <c r="T41">
        <v>0</v>
      </c>
      <c r="U41">
        <v>0</v>
      </c>
      <c r="V41">
        <v>0</v>
      </c>
      <c r="W41">
        <v>0</v>
      </c>
      <c r="X41" s="4">
        <f t="shared" si="2"/>
        <v>7.2655199999999995</v>
      </c>
    </row>
    <row r="42" spans="1:24" x14ac:dyDescent="0.25">
      <c r="A42" t="s">
        <v>8</v>
      </c>
      <c r="B42">
        <v>4</v>
      </c>
      <c r="C42" t="s">
        <v>1</v>
      </c>
      <c r="D42">
        <v>25984</v>
      </c>
      <c r="E42">
        <v>128</v>
      </c>
      <c r="F42">
        <v>2</v>
      </c>
      <c r="G42">
        <v>8</v>
      </c>
      <c r="H42">
        <v>1610.13</v>
      </c>
      <c r="I42" s="3">
        <v>7.2644000000000002</v>
      </c>
      <c r="J42" s="1">
        <v>45319</v>
      </c>
      <c r="K42" s="2">
        <v>0.59118055555555549</v>
      </c>
      <c r="L42">
        <v>0</v>
      </c>
      <c r="M42">
        <v>0</v>
      </c>
      <c r="N42">
        <v>0</v>
      </c>
      <c r="O42">
        <v>0</v>
      </c>
      <c r="P42">
        <v>0</v>
      </c>
      <c r="Q42">
        <v>0</v>
      </c>
      <c r="R42">
        <v>0</v>
      </c>
      <c r="S42">
        <v>0</v>
      </c>
      <c r="T42">
        <v>0</v>
      </c>
      <c r="U42">
        <v>0</v>
      </c>
      <c r="V42">
        <v>0</v>
      </c>
      <c r="W42">
        <v>0</v>
      </c>
      <c r="X42" s="4">
        <f t="shared" si="2"/>
        <v>7.2655199999999995</v>
      </c>
    </row>
    <row r="43" spans="1:24" x14ac:dyDescent="0.25">
      <c r="A43" t="s">
        <v>9</v>
      </c>
      <c r="B43">
        <v>0</v>
      </c>
      <c r="C43" t="s">
        <v>1</v>
      </c>
      <c r="D43">
        <v>25984</v>
      </c>
      <c r="E43">
        <v>128</v>
      </c>
      <c r="F43">
        <v>2</v>
      </c>
      <c r="G43">
        <v>8</v>
      </c>
      <c r="H43">
        <v>1445.13</v>
      </c>
      <c r="I43" s="3">
        <v>8.0938999999999997</v>
      </c>
      <c r="J43" s="1">
        <v>45319</v>
      </c>
      <c r="K43" s="2">
        <v>0.60826388888888883</v>
      </c>
      <c r="L43">
        <v>0</v>
      </c>
      <c r="M43">
        <v>0</v>
      </c>
      <c r="N43">
        <v>0</v>
      </c>
      <c r="O43">
        <v>0</v>
      </c>
      <c r="P43">
        <v>0</v>
      </c>
      <c r="Q43">
        <v>0</v>
      </c>
      <c r="R43">
        <v>0</v>
      </c>
      <c r="S43">
        <v>0</v>
      </c>
      <c r="T43">
        <v>0</v>
      </c>
      <c r="U43">
        <v>0</v>
      </c>
      <c r="V43">
        <v>0</v>
      </c>
      <c r="W43">
        <v>0</v>
      </c>
      <c r="X43" s="4">
        <f t="shared" ref="X43" si="15">AVERAGE(I43:I47)</f>
        <v>8.0902599999999989</v>
      </c>
    </row>
    <row r="44" spans="1:24" x14ac:dyDescent="0.25">
      <c r="A44" t="s">
        <v>9</v>
      </c>
      <c r="B44">
        <v>1</v>
      </c>
      <c r="C44" t="s">
        <v>1</v>
      </c>
      <c r="D44">
        <v>25984</v>
      </c>
      <c r="E44">
        <v>128</v>
      </c>
      <c r="F44">
        <v>2</v>
      </c>
      <c r="G44">
        <v>8</v>
      </c>
      <c r="H44">
        <v>1445.45</v>
      </c>
      <c r="I44" s="3">
        <v>8.0921000000000003</v>
      </c>
      <c r="J44" s="1">
        <v>45319</v>
      </c>
      <c r="K44" s="2">
        <v>0.62534722222222217</v>
      </c>
      <c r="L44">
        <v>0</v>
      </c>
      <c r="M44">
        <v>0</v>
      </c>
      <c r="N44">
        <v>0</v>
      </c>
      <c r="O44">
        <v>0</v>
      </c>
      <c r="P44">
        <v>0</v>
      </c>
      <c r="Q44">
        <v>0</v>
      </c>
      <c r="R44">
        <v>0</v>
      </c>
      <c r="S44">
        <v>0</v>
      </c>
      <c r="T44">
        <v>0</v>
      </c>
      <c r="U44">
        <v>0</v>
      </c>
      <c r="V44">
        <v>0</v>
      </c>
      <c r="W44">
        <v>0</v>
      </c>
      <c r="X44" s="4">
        <f t="shared" ref="X44" si="16">X43</f>
        <v>8.0902599999999989</v>
      </c>
    </row>
    <row r="45" spans="1:24" x14ac:dyDescent="0.25">
      <c r="A45" t="s">
        <v>9</v>
      </c>
      <c r="B45">
        <v>2</v>
      </c>
      <c r="C45" t="s">
        <v>1</v>
      </c>
      <c r="D45">
        <v>25984</v>
      </c>
      <c r="E45">
        <v>128</v>
      </c>
      <c r="F45">
        <v>2</v>
      </c>
      <c r="G45">
        <v>8</v>
      </c>
      <c r="H45">
        <v>1446.35</v>
      </c>
      <c r="I45" s="3">
        <v>8.0870999999999995</v>
      </c>
      <c r="J45" s="1">
        <v>45319</v>
      </c>
      <c r="K45" s="2">
        <v>0.64244212962962965</v>
      </c>
      <c r="L45">
        <v>0</v>
      </c>
      <c r="M45">
        <v>0</v>
      </c>
      <c r="N45">
        <v>0</v>
      </c>
      <c r="O45">
        <v>0</v>
      </c>
      <c r="P45">
        <v>0</v>
      </c>
      <c r="Q45">
        <v>0</v>
      </c>
      <c r="R45">
        <v>0</v>
      </c>
      <c r="S45">
        <v>0</v>
      </c>
      <c r="T45">
        <v>0</v>
      </c>
      <c r="U45">
        <v>0</v>
      </c>
      <c r="V45">
        <v>0</v>
      </c>
      <c r="W45">
        <v>0</v>
      </c>
      <c r="X45" s="4">
        <f t="shared" si="2"/>
        <v>8.0902599999999989</v>
      </c>
    </row>
    <row r="46" spans="1:24" x14ac:dyDescent="0.25">
      <c r="A46" t="s">
        <v>9</v>
      </c>
      <c r="B46">
        <v>3</v>
      </c>
      <c r="C46" t="s">
        <v>1</v>
      </c>
      <c r="D46">
        <v>25984</v>
      </c>
      <c r="E46">
        <v>128</v>
      </c>
      <c r="F46">
        <v>2</v>
      </c>
      <c r="G46">
        <v>8</v>
      </c>
      <c r="H46">
        <v>1445.93</v>
      </c>
      <c r="I46" s="3">
        <v>8.0893999999999995</v>
      </c>
      <c r="J46" s="1">
        <v>45319</v>
      </c>
      <c r="K46" s="2">
        <v>0.65953703703703703</v>
      </c>
      <c r="L46">
        <v>0</v>
      </c>
      <c r="M46">
        <v>0</v>
      </c>
      <c r="N46">
        <v>0</v>
      </c>
      <c r="O46">
        <v>0</v>
      </c>
      <c r="P46">
        <v>0</v>
      </c>
      <c r="Q46">
        <v>0</v>
      </c>
      <c r="R46">
        <v>0</v>
      </c>
      <c r="S46">
        <v>0</v>
      </c>
      <c r="T46">
        <v>0</v>
      </c>
      <c r="U46">
        <v>0</v>
      </c>
      <c r="V46">
        <v>0</v>
      </c>
      <c r="W46">
        <v>0</v>
      </c>
      <c r="X46" s="4">
        <f t="shared" si="2"/>
        <v>8.0902599999999989</v>
      </c>
    </row>
    <row r="47" spans="1:24" x14ac:dyDescent="0.25">
      <c r="A47" t="s">
        <v>9</v>
      </c>
      <c r="B47">
        <v>4</v>
      </c>
      <c r="C47" t="s">
        <v>1</v>
      </c>
      <c r="D47">
        <v>25984</v>
      </c>
      <c r="E47">
        <v>128</v>
      </c>
      <c r="F47">
        <v>2</v>
      </c>
      <c r="G47">
        <v>8</v>
      </c>
      <c r="H47">
        <v>1446.04</v>
      </c>
      <c r="I47" s="3">
        <v>8.0888000000000009</v>
      </c>
      <c r="J47" s="1">
        <v>45319</v>
      </c>
      <c r="K47" s="2">
        <v>0.67663194444444441</v>
      </c>
      <c r="L47">
        <v>0</v>
      </c>
      <c r="M47">
        <v>0</v>
      </c>
      <c r="N47">
        <v>0</v>
      </c>
      <c r="O47">
        <v>0</v>
      </c>
      <c r="P47">
        <v>0</v>
      </c>
      <c r="Q47">
        <v>0</v>
      </c>
      <c r="R47">
        <v>0</v>
      </c>
      <c r="S47">
        <v>0</v>
      </c>
      <c r="T47">
        <v>0</v>
      </c>
      <c r="U47">
        <v>0</v>
      </c>
      <c r="V47">
        <v>0</v>
      </c>
      <c r="W47">
        <v>0</v>
      </c>
      <c r="X47" s="4">
        <f t="shared" si="2"/>
        <v>8.0902599999999989</v>
      </c>
    </row>
    <row r="48" spans="1:24" x14ac:dyDescent="0.25">
      <c r="A48" t="s">
        <v>10</v>
      </c>
      <c r="B48">
        <v>0</v>
      </c>
      <c r="C48" t="s">
        <v>1</v>
      </c>
      <c r="D48">
        <v>25984</v>
      </c>
      <c r="E48">
        <v>128</v>
      </c>
      <c r="F48">
        <v>2</v>
      </c>
      <c r="G48">
        <v>8</v>
      </c>
      <c r="H48">
        <v>1446.24</v>
      </c>
      <c r="I48" s="3">
        <v>8.0876999999999999</v>
      </c>
      <c r="J48" s="1">
        <v>45319</v>
      </c>
      <c r="K48" s="2">
        <v>0.85688657407407398</v>
      </c>
      <c r="L48">
        <v>0</v>
      </c>
      <c r="M48">
        <v>0</v>
      </c>
      <c r="N48">
        <v>0</v>
      </c>
      <c r="O48">
        <v>0</v>
      </c>
      <c r="P48">
        <v>0</v>
      </c>
      <c r="Q48">
        <v>0</v>
      </c>
      <c r="R48">
        <v>0</v>
      </c>
      <c r="S48">
        <v>0</v>
      </c>
      <c r="T48">
        <v>0</v>
      </c>
      <c r="U48">
        <v>0</v>
      </c>
      <c r="V48">
        <v>0</v>
      </c>
      <c r="W48">
        <v>0</v>
      </c>
      <c r="X48" s="4">
        <f t="shared" ref="X48" si="17">AVERAGE(I48:I52)</f>
        <v>8.0888400000000011</v>
      </c>
    </row>
    <row r="49" spans="1:24" x14ac:dyDescent="0.25">
      <c r="A49" t="s">
        <v>10</v>
      </c>
      <c r="B49">
        <v>1</v>
      </c>
      <c r="C49" t="s">
        <v>1</v>
      </c>
      <c r="D49">
        <v>25984</v>
      </c>
      <c r="E49">
        <v>128</v>
      </c>
      <c r="F49">
        <v>2</v>
      </c>
      <c r="G49">
        <v>8</v>
      </c>
      <c r="H49">
        <v>1446.06</v>
      </c>
      <c r="I49" s="3">
        <v>8.0886999999999993</v>
      </c>
      <c r="J49" s="1">
        <v>45319</v>
      </c>
      <c r="K49" s="2">
        <v>0.87398148148148147</v>
      </c>
      <c r="L49">
        <v>0</v>
      </c>
      <c r="M49">
        <v>0</v>
      </c>
      <c r="N49">
        <v>0</v>
      </c>
      <c r="O49">
        <v>0</v>
      </c>
      <c r="P49">
        <v>0</v>
      </c>
      <c r="Q49">
        <v>0</v>
      </c>
      <c r="R49">
        <v>0</v>
      </c>
      <c r="S49">
        <v>0</v>
      </c>
      <c r="T49">
        <v>0</v>
      </c>
      <c r="U49">
        <v>0</v>
      </c>
      <c r="V49">
        <v>0</v>
      </c>
      <c r="W49">
        <v>0</v>
      </c>
      <c r="X49" s="4">
        <f t="shared" ref="X49" si="18">X48</f>
        <v>8.0888400000000011</v>
      </c>
    </row>
    <row r="50" spans="1:24" x14ac:dyDescent="0.25">
      <c r="A50" t="s">
        <v>10</v>
      </c>
      <c r="B50">
        <v>2</v>
      </c>
      <c r="C50" t="s">
        <v>1</v>
      </c>
      <c r="D50">
        <v>25984</v>
      </c>
      <c r="E50">
        <v>128</v>
      </c>
      <c r="F50">
        <v>2</v>
      </c>
      <c r="G50">
        <v>8</v>
      </c>
      <c r="H50">
        <v>1445.75</v>
      </c>
      <c r="I50" s="3">
        <v>8.0904000000000007</v>
      </c>
      <c r="J50" s="1">
        <v>45319</v>
      </c>
      <c r="K50" s="2">
        <v>0.89106481481481481</v>
      </c>
      <c r="L50">
        <v>0</v>
      </c>
      <c r="M50">
        <v>0</v>
      </c>
      <c r="N50">
        <v>0</v>
      </c>
      <c r="O50">
        <v>0</v>
      </c>
      <c r="P50">
        <v>0</v>
      </c>
      <c r="Q50">
        <v>0</v>
      </c>
      <c r="R50">
        <v>0</v>
      </c>
      <c r="S50">
        <v>0</v>
      </c>
      <c r="T50">
        <v>0</v>
      </c>
      <c r="U50">
        <v>0</v>
      </c>
      <c r="V50">
        <v>0</v>
      </c>
      <c r="W50">
        <v>0</v>
      </c>
      <c r="X50" s="4">
        <f t="shared" si="2"/>
        <v>8.0888400000000011</v>
      </c>
    </row>
    <row r="51" spans="1:24" x14ac:dyDescent="0.25">
      <c r="A51" t="s">
        <v>10</v>
      </c>
      <c r="B51">
        <v>3</v>
      </c>
      <c r="C51" t="s">
        <v>1</v>
      </c>
      <c r="D51">
        <v>25984</v>
      </c>
      <c r="E51">
        <v>128</v>
      </c>
      <c r="F51">
        <v>2</v>
      </c>
      <c r="G51">
        <v>8</v>
      </c>
      <c r="H51">
        <v>1445.73</v>
      </c>
      <c r="I51" s="3">
        <v>8.0905000000000005</v>
      </c>
      <c r="J51" s="1">
        <v>45319</v>
      </c>
      <c r="K51" s="2">
        <v>0.9081597222222223</v>
      </c>
      <c r="L51">
        <v>0</v>
      </c>
      <c r="M51">
        <v>0</v>
      </c>
      <c r="N51">
        <v>0</v>
      </c>
      <c r="O51">
        <v>0</v>
      </c>
      <c r="P51">
        <v>0</v>
      </c>
      <c r="Q51">
        <v>0</v>
      </c>
      <c r="R51">
        <v>0</v>
      </c>
      <c r="S51">
        <v>0</v>
      </c>
      <c r="T51">
        <v>0</v>
      </c>
      <c r="U51">
        <v>0</v>
      </c>
      <c r="V51">
        <v>0</v>
      </c>
      <c r="W51">
        <v>0</v>
      </c>
      <c r="X51" s="4">
        <f t="shared" si="2"/>
        <v>8.0888400000000011</v>
      </c>
    </row>
    <row r="52" spans="1:24" x14ac:dyDescent="0.25">
      <c r="A52" t="s">
        <v>10</v>
      </c>
      <c r="B52">
        <v>4</v>
      </c>
      <c r="C52" t="s">
        <v>1</v>
      </c>
      <c r="D52">
        <v>25984</v>
      </c>
      <c r="E52">
        <v>128</v>
      </c>
      <c r="F52">
        <v>2</v>
      </c>
      <c r="G52">
        <v>8</v>
      </c>
      <c r="H52">
        <v>1446.37</v>
      </c>
      <c r="I52" s="3">
        <v>8.0869</v>
      </c>
      <c r="J52" s="1">
        <v>45319</v>
      </c>
      <c r="K52" s="2">
        <v>0.92525462962962957</v>
      </c>
      <c r="L52">
        <v>0</v>
      </c>
      <c r="M52">
        <v>0</v>
      </c>
      <c r="N52">
        <v>0</v>
      </c>
      <c r="O52">
        <v>0</v>
      </c>
      <c r="P52">
        <v>0</v>
      </c>
      <c r="Q52">
        <v>0</v>
      </c>
      <c r="R52">
        <v>0</v>
      </c>
      <c r="S52">
        <v>0</v>
      </c>
      <c r="T52">
        <v>0</v>
      </c>
      <c r="U52">
        <v>0</v>
      </c>
      <c r="V52">
        <v>0</v>
      </c>
      <c r="W52">
        <v>0</v>
      </c>
      <c r="X52" s="4">
        <f t="shared" si="2"/>
        <v>8.0888400000000011</v>
      </c>
    </row>
    <row r="56" spans="1:24" x14ac:dyDescent="0.25">
      <c r="A56" t="s">
        <v>4</v>
      </c>
      <c r="B56">
        <v>8.5284800000000001</v>
      </c>
    </row>
    <row r="57" spans="1:24" x14ac:dyDescent="0.25">
      <c r="A57" t="s">
        <v>6</v>
      </c>
      <c r="B57">
        <v>5.7035200000000001</v>
      </c>
    </row>
    <row r="58" spans="1:24" x14ac:dyDescent="0.25">
      <c r="A58" t="s">
        <v>2</v>
      </c>
      <c r="B58">
        <v>8.3876799999999996</v>
      </c>
    </row>
    <row r="59" spans="1:24" x14ac:dyDescent="0.25">
      <c r="A59" t="s">
        <v>5</v>
      </c>
      <c r="B59">
        <v>7.2748000000000008</v>
      </c>
    </row>
    <row r="60" spans="1:24" x14ac:dyDescent="0.25">
      <c r="A60" t="s">
        <v>7</v>
      </c>
      <c r="B60">
        <v>7.2752999999999997</v>
      </c>
    </row>
    <row r="61" spans="1:24" x14ac:dyDescent="0.25">
      <c r="A61" t="s">
        <v>10</v>
      </c>
      <c r="B61">
        <v>8.0888400000000011</v>
      </c>
    </row>
    <row r="62" spans="1:24" x14ac:dyDescent="0.25">
      <c r="A62" t="s">
        <v>0</v>
      </c>
      <c r="B62">
        <v>8.5175599999999996</v>
      </c>
    </row>
    <row r="63" spans="1:24" x14ac:dyDescent="0.25">
      <c r="A63" t="s">
        <v>8</v>
      </c>
      <c r="B63">
        <v>7.2655199999999995</v>
      </c>
    </row>
    <row r="64" spans="1:24" x14ac:dyDescent="0.25">
      <c r="A64" t="s">
        <v>3</v>
      </c>
      <c r="B64">
        <v>8.3857400000000002</v>
      </c>
    </row>
    <row r="65" spans="1:2" x14ac:dyDescent="0.25">
      <c r="A65" t="s">
        <v>9</v>
      </c>
      <c r="B65">
        <v>8.0902599999999989</v>
      </c>
    </row>
  </sheetData>
  <sortState xmlns:xlrd2="http://schemas.microsoft.com/office/spreadsheetml/2017/richdata2" ref="A56:B65">
    <sortCondition ref="A56:A65"/>
  </sortState>
  <mergeCells count="5">
    <mergeCell ref="B1:C1"/>
    <mergeCell ref="L1:N1"/>
    <mergeCell ref="O1:Q1"/>
    <mergeCell ref="R1:T1"/>
    <mergeCell ref="U1:W1"/>
  </mergeCells>
  <conditionalFormatting sqref="X3:X52">
    <cfRule type="colorScale" priority="4">
      <colorScale>
        <cfvo type="min"/>
        <cfvo type="percentile" val="50"/>
        <cfvo type="max"/>
        <color rgb="FFF8696B"/>
        <color rgb="FFFFEB84"/>
        <color rgb="FF63BE7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FC20-8EB9-4D1D-8751-350A99ACD543}">
  <dimension ref="A1:CC494"/>
  <sheetViews>
    <sheetView topLeftCell="A325" zoomScaleNormal="100" workbookViewId="0">
      <selection activeCell="I8" sqref="I8"/>
    </sheetView>
  </sheetViews>
  <sheetFormatPr defaultColWidth="8.85546875" defaultRowHeight="15" x14ac:dyDescent="0.25"/>
  <cols>
    <col min="7" max="7" width="10.42578125" style="16" bestFit="1" customWidth="1"/>
    <col min="8" max="8" width="9.140625" style="3"/>
    <col min="9" max="9" width="9.140625" style="1"/>
    <col min="10" max="10" width="9.140625" style="37"/>
    <col min="31" max="31" width="9.140625" style="16"/>
    <col min="32" max="32" width="9.140625" style="3"/>
  </cols>
  <sheetData>
    <row r="1" spans="1:81" x14ac:dyDescent="0.25">
      <c r="A1" s="83" t="s">
        <v>27</v>
      </c>
      <c r="B1" s="83"/>
      <c r="C1" s="83"/>
      <c r="D1" s="83"/>
      <c r="E1" s="19">
        <f>MAX(W$1:W$500)</f>
        <v>9.0212199999999996</v>
      </c>
      <c r="F1" s="20">
        <f>INDEX(C$1:C$500,MATCH(MAX($W$1:$W$500),$W$1:$W$500,0))</f>
        <v>28992</v>
      </c>
      <c r="G1" s="20">
        <f t="shared" ref="G1:I1" si="0">INDEX(D$1:D$500,MATCH(MAX($W$1:$W$500),$W$1:$W$500,0))</f>
        <v>96</v>
      </c>
      <c r="H1" s="20">
        <f t="shared" si="0"/>
        <v>2</v>
      </c>
      <c r="I1" s="20">
        <f t="shared" si="0"/>
        <v>8</v>
      </c>
      <c r="J1" s="35"/>
      <c r="L1" s="82" t="s">
        <v>52</v>
      </c>
      <c r="M1" s="82"/>
      <c r="N1" s="82"/>
      <c r="O1" s="82"/>
      <c r="P1" s="82"/>
      <c r="Q1" s="82"/>
      <c r="R1" s="82"/>
      <c r="S1" s="82"/>
      <c r="T1" s="82"/>
      <c r="U1" s="82"/>
      <c r="Y1" s="83" t="s">
        <v>27</v>
      </c>
      <c r="Z1" s="83"/>
      <c r="AA1" s="83"/>
      <c r="AB1" s="83"/>
      <c r="AC1" s="19">
        <f>MAX(AU:AU)</f>
        <v>10.039</v>
      </c>
      <c r="AD1" s="20">
        <f>INDEX(AA:AA,MATCH(MAX($AU:$AU),$AU:$AU,0))</f>
        <v>29056</v>
      </c>
      <c r="AE1" s="23">
        <f>INDEX(AB:AB,MATCH(MAX($AU:$AU),$AU:$AU,0))</f>
        <v>64</v>
      </c>
      <c r="AF1" s="7">
        <f>INDEX(AC:AC,MATCH(MAX($AU:$AU),$AU:$AU,0))</f>
        <v>2</v>
      </c>
      <c r="AG1" s="20">
        <f>INDEX(AD:AD,MATCH(MAX($AU:$AU),$AU:$AU,0))</f>
        <v>8</v>
      </c>
      <c r="AH1" s="6"/>
      <c r="AJ1" s="82" t="s">
        <v>32</v>
      </c>
      <c r="AK1" s="82"/>
      <c r="AL1" s="82"/>
      <c r="AM1" s="82"/>
      <c r="AN1" s="82"/>
      <c r="AO1" s="82"/>
      <c r="AP1" s="82"/>
      <c r="AQ1" s="82"/>
      <c r="AR1" s="82"/>
      <c r="AS1" s="82"/>
      <c r="AT1" s="82"/>
    </row>
    <row r="2" spans="1:81" x14ac:dyDescent="0.25">
      <c r="A2" s="80" t="s">
        <v>22</v>
      </c>
      <c r="B2" s="80"/>
      <c r="C2" s="5">
        <f>MAX(H$1:H$500)</f>
        <v>9.0245999999999995</v>
      </c>
      <c r="D2" s="6"/>
      <c r="E2" s="6"/>
      <c r="F2" s="6"/>
      <c r="G2" s="23"/>
      <c r="H2" s="7"/>
      <c r="I2" s="33"/>
      <c r="J2" s="35"/>
      <c r="K2" s="81" t="s">
        <v>23</v>
      </c>
      <c r="L2" s="81"/>
      <c r="M2" s="81"/>
      <c r="N2" s="81" t="s">
        <v>24</v>
      </c>
      <c r="O2" s="81"/>
      <c r="P2" s="81"/>
      <c r="Q2" s="81" t="s">
        <v>25</v>
      </c>
      <c r="R2" s="81"/>
      <c r="S2" s="81"/>
      <c r="T2" s="81" t="s">
        <v>26</v>
      </c>
      <c r="U2" s="81"/>
      <c r="V2" s="81"/>
      <c r="Y2" s="80" t="s">
        <v>22</v>
      </c>
      <c r="Z2" s="80"/>
      <c r="AA2" s="5">
        <f>MAX(AF:AF)</f>
        <v>10.045</v>
      </c>
      <c r="AB2" s="6"/>
      <c r="AC2" s="6"/>
      <c r="AD2" s="6"/>
      <c r="AE2" s="23"/>
      <c r="AF2" s="7"/>
      <c r="AG2" s="6"/>
      <c r="AH2" s="6"/>
      <c r="AI2" s="81" t="s">
        <v>23</v>
      </c>
      <c r="AJ2" s="81"/>
      <c r="AK2" s="81"/>
      <c r="AL2" s="81" t="s">
        <v>24</v>
      </c>
      <c r="AM2" s="81"/>
      <c r="AN2" s="81"/>
      <c r="AO2" s="81" t="s">
        <v>25</v>
      </c>
      <c r="AP2" s="81"/>
      <c r="AQ2" s="81"/>
      <c r="AR2" s="81" t="s">
        <v>26</v>
      </c>
      <c r="AS2" s="81"/>
      <c r="AT2" s="81"/>
    </row>
    <row r="3" spans="1:81" x14ac:dyDescent="0.25">
      <c r="A3" s="8" t="s">
        <v>11</v>
      </c>
      <c r="B3" s="8"/>
      <c r="C3" s="8" t="s">
        <v>12</v>
      </c>
      <c r="D3" s="8" t="s">
        <v>13</v>
      </c>
      <c r="E3" s="8" t="s">
        <v>14</v>
      </c>
      <c r="F3" s="8" t="s">
        <v>15</v>
      </c>
      <c r="G3" s="22" t="s">
        <v>16</v>
      </c>
      <c r="H3" s="10" t="s">
        <v>17</v>
      </c>
      <c r="I3" s="34" t="s">
        <v>18</v>
      </c>
      <c r="J3" s="36" t="s">
        <v>16</v>
      </c>
      <c r="K3" s="11" t="s">
        <v>19</v>
      </c>
      <c r="L3" s="11" t="s">
        <v>20</v>
      </c>
      <c r="M3" s="11" t="s">
        <v>21</v>
      </c>
      <c r="N3" s="11" t="s">
        <v>19</v>
      </c>
      <c r="O3" s="11" t="s">
        <v>20</v>
      </c>
      <c r="P3" s="11" t="s">
        <v>21</v>
      </c>
      <c r="Q3" s="11" t="s">
        <v>19</v>
      </c>
      <c r="R3" s="11" t="s">
        <v>20</v>
      </c>
      <c r="S3" s="11" t="s">
        <v>21</v>
      </c>
      <c r="T3" s="11" t="s">
        <v>19</v>
      </c>
      <c r="U3" s="11" t="s">
        <v>20</v>
      </c>
      <c r="V3" s="11" t="s">
        <v>21</v>
      </c>
      <c r="Y3" s="8" t="s">
        <v>11</v>
      </c>
      <c r="Z3" s="8"/>
      <c r="AA3" s="8" t="s">
        <v>12</v>
      </c>
      <c r="AB3" s="8" t="s">
        <v>13</v>
      </c>
      <c r="AC3" s="8" t="s">
        <v>14</v>
      </c>
      <c r="AD3" s="8" t="s">
        <v>15</v>
      </c>
      <c r="AE3" s="22" t="s">
        <v>16</v>
      </c>
      <c r="AF3" s="10" t="s">
        <v>17</v>
      </c>
      <c r="AG3" s="10" t="s">
        <v>18</v>
      </c>
      <c r="AH3" s="8" t="s">
        <v>16</v>
      </c>
      <c r="AI3" s="11" t="s">
        <v>19</v>
      </c>
      <c r="AJ3" s="11" t="s">
        <v>20</v>
      </c>
      <c r="AK3" s="11" t="s">
        <v>21</v>
      </c>
      <c r="AL3" s="11" t="s">
        <v>19</v>
      </c>
      <c r="AM3" s="11" t="s">
        <v>20</v>
      </c>
      <c r="AN3" s="11" t="s">
        <v>21</v>
      </c>
      <c r="AO3" s="11" t="s">
        <v>19</v>
      </c>
      <c r="AP3" s="11" t="s">
        <v>20</v>
      </c>
      <c r="AQ3" s="11" t="s">
        <v>21</v>
      </c>
      <c r="AR3" s="11" t="s">
        <v>19</v>
      </c>
      <c r="AS3" s="11" t="s">
        <v>20</v>
      </c>
      <c r="AT3" s="11" t="s">
        <v>21</v>
      </c>
    </row>
    <row r="4" spans="1:81" x14ac:dyDescent="0.25">
      <c r="A4">
        <v>0</v>
      </c>
      <c r="B4" t="s">
        <v>1</v>
      </c>
      <c r="C4">
        <v>25984</v>
      </c>
      <c r="D4">
        <v>32</v>
      </c>
      <c r="E4">
        <v>1</v>
      </c>
      <c r="F4">
        <v>16</v>
      </c>
      <c r="G4" s="16">
        <v>1363.97</v>
      </c>
      <c r="H4" s="24">
        <v>8.5754999999999999</v>
      </c>
      <c r="I4" s="1">
        <v>45482</v>
      </c>
      <c r="J4" s="37">
        <v>4.9525462962962966E-2</v>
      </c>
      <c r="K4">
        <v>0</v>
      </c>
      <c r="L4">
        <v>0</v>
      </c>
      <c r="M4">
        <v>0</v>
      </c>
      <c r="N4">
        <v>0</v>
      </c>
      <c r="O4">
        <v>0</v>
      </c>
      <c r="P4">
        <v>0</v>
      </c>
      <c r="Q4">
        <v>0</v>
      </c>
      <c r="R4">
        <v>0</v>
      </c>
      <c r="S4">
        <v>0</v>
      </c>
      <c r="T4">
        <v>0</v>
      </c>
      <c r="U4">
        <v>0</v>
      </c>
      <c r="V4">
        <v>0</v>
      </c>
      <c r="W4" s="3">
        <f>AVERAGE(H4:H8)</f>
        <v>8.5776399999999988</v>
      </c>
      <c r="X4" s="30"/>
      <c r="Y4">
        <v>0</v>
      </c>
      <c r="Z4" t="s">
        <v>1</v>
      </c>
      <c r="AA4">
        <v>25984</v>
      </c>
      <c r="AB4">
        <v>32</v>
      </c>
      <c r="AC4">
        <v>1</v>
      </c>
      <c r="AD4">
        <v>16</v>
      </c>
      <c r="AE4" s="16">
        <v>1229.3900000000001</v>
      </c>
      <c r="AF4" s="24">
        <v>9.5142000000000007</v>
      </c>
      <c r="AG4" s="1">
        <v>45477</v>
      </c>
      <c r="AH4" s="2">
        <v>0.6285532407407407</v>
      </c>
      <c r="AI4">
        <v>0</v>
      </c>
      <c r="AJ4">
        <v>0</v>
      </c>
      <c r="AK4">
        <v>0</v>
      </c>
      <c r="AL4">
        <v>0</v>
      </c>
      <c r="AM4">
        <v>0</v>
      </c>
      <c r="AN4">
        <v>0</v>
      </c>
      <c r="AO4">
        <v>0</v>
      </c>
      <c r="AP4">
        <v>0</v>
      </c>
      <c r="AQ4">
        <v>0</v>
      </c>
      <c r="AR4">
        <v>0</v>
      </c>
      <c r="AS4">
        <v>0</v>
      </c>
      <c r="AT4">
        <v>0</v>
      </c>
      <c r="AU4" s="3">
        <f>AVERAGE(AF4:AF8)</f>
        <v>9.5150800000000011</v>
      </c>
      <c r="BZ4" s="16"/>
      <c r="CA4" s="24"/>
      <c r="CB4" s="1"/>
      <c r="CC4" s="2"/>
    </row>
    <row r="5" spans="1:81" x14ac:dyDescent="0.25">
      <c r="A5">
        <v>1</v>
      </c>
      <c r="B5" t="s">
        <v>1</v>
      </c>
      <c r="C5">
        <v>25984</v>
      </c>
      <c r="D5">
        <v>32</v>
      </c>
      <c r="E5">
        <v>1</v>
      </c>
      <c r="F5">
        <v>16</v>
      </c>
      <c r="G5" s="16">
        <v>1363.56</v>
      </c>
      <c r="H5" s="24">
        <v>8.5780999999999992</v>
      </c>
      <c r="I5" s="1">
        <v>45482</v>
      </c>
      <c r="J5" s="37">
        <v>0.5587037037037037</v>
      </c>
      <c r="K5">
        <v>0</v>
      </c>
      <c r="L5">
        <v>0</v>
      </c>
      <c r="M5">
        <v>0</v>
      </c>
      <c r="N5">
        <v>0</v>
      </c>
      <c r="O5">
        <v>0</v>
      </c>
      <c r="P5">
        <v>0</v>
      </c>
      <c r="Q5">
        <v>0</v>
      </c>
      <c r="R5">
        <v>0</v>
      </c>
      <c r="S5">
        <v>0</v>
      </c>
      <c r="T5">
        <v>0</v>
      </c>
      <c r="U5">
        <v>0</v>
      </c>
      <c r="V5">
        <v>0</v>
      </c>
      <c r="W5" s="3">
        <f>W4</f>
        <v>8.5776399999999988</v>
      </c>
      <c r="X5" s="30"/>
      <c r="Y5">
        <v>1</v>
      </c>
      <c r="Z5" t="s">
        <v>1</v>
      </c>
      <c r="AA5">
        <v>25984</v>
      </c>
      <c r="AB5">
        <v>32</v>
      </c>
      <c r="AC5">
        <v>1</v>
      </c>
      <c r="AD5">
        <v>16</v>
      </c>
      <c r="AE5" s="16">
        <v>1228.94</v>
      </c>
      <c r="AF5" s="24">
        <v>9.5177999999999994</v>
      </c>
      <c r="AG5" s="1">
        <v>45478</v>
      </c>
      <c r="AH5" s="2">
        <v>0.13922453703703705</v>
      </c>
      <c r="AI5">
        <v>0</v>
      </c>
      <c r="AJ5">
        <v>0</v>
      </c>
      <c r="AK5">
        <v>0</v>
      </c>
      <c r="AL5">
        <v>0</v>
      </c>
      <c r="AM5">
        <v>0</v>
      </c>
      <c r="AN5">
        <v>0</v>
      </c>
      <c r="AO5">
        <v>0</v>
      </c>
      <c r="AP5">
        <v>0</v>
      </c>
      <c r="AQ5">
        <v>0</v>
      </c>
      <c r="AR5">
        <v>0</v>
      </c>
      <c r="AS5">
        <v>0</v>
      </c>
      <c r="AT5">
        <v>0</v>
      </c>
      <c r="AU5" s="3">
        <f>AU4</f>
        <v>9.5150800000000011</v>
      </c>
      <c r="BZ5" s="16"/>
      <c r="CA5" s="24"/>
      <c r="CB5" s="1"/>
      <c r="CC5" s="2"/>
    </row>
    <row r="6" spans="1:81" x14ac:dyDescent="0.25">
      <c r="A6">
        <v>2</v>
      </c>
      <c r="B6" t="s">
        <v>1</v>
      </c>
      <c r="C6">
        <v>25984</v>
      </c>
      <c r="D6">
        <v>32</v>
      </c>
      <c r="E6">
        <v>1</v>
      </c>
      <c r="F6">
        <v>16</v>
      </c>
      <c r="G6" s="16">
        <v>1364.14</v>
      </c>
      <c r="H6" s="24">
        <v>8.5744000000000007</v>
      </c>
      <c r="I6" s="1">
        <v>45483</v>
      </c>
      <c r="J6" s="37">
        <v>0.11537037037037037</v>
      </c>
      <c r="K6">
        <v>0</v>
      </c>
      <c r="L6">
        <v>0</v>
      </c>
      <c r="M6">
        <v>0</v>
      </c>
      <c r="N6">
        <v>0</v>
      </c>
      <c r="O6">
        <v>0</v>
      </c>
      <c r="P6">
        <v>0</v>
      </c>
      <c r="Q6">
        <v>0</v>
      </c>
      <c r="R6">
        <v>0</v>
      </c>
      <c r="S6">
        <v>0</v>
      </c>
      <c r="T6">
        <v>0</v>
      </c>
      <c r="U6">
        <v>0</v>
      </c>
      <c r="V6">
        <v>0</v>
      </c>
      <c r="W6" s="3">
        <f>W5</f>
        <v>8.5776399999999988</v>
      </c>
      <c r="X6" s="30"/>
      <c r="Y6">
        <v>2</v>
      </c>
      <c r="Z6" t="s">
        <v>1</v>
      </c>
      <c r="AA6">
        <v>25984</v>
      </c>
      <c r="AB6">
        <v>32</v>
      </c>
      <c r="AC6">
        <v>1</v>
      </c>
      <c r="AD6">
        <v>16</v>
      </c>
      <c r="AE6" s="16">
        <v>1229.43</v>
      </c>
      <c r="AF6" s="24">
        <v>9.5138999999999996</v>
      </c>
      <c r="AG6" s="1">
        <v>45478</v>
      </c>
      <c r="AH6" s="2">
        <v>0.64995370370370376</v>
      </c>
      <c r="AI6">
        <v>0</v>
      </c>
      <c r="AJ6">
        <v>0</v>
      </c>
      <c r="AK6">
        <v>0</v>
      </c>
      <c r="AL6">
        <v>0</v>
      </c>
      <c r="AM6">
        <v>0</v>
      </c>
      <c r="AN6">
        <v>0</v>
      </c>
      <c r="AO6">
        <v>0</v>
      </c>
      <c r="AP6">
        <v>0</v>
      </c>
      <c r="AQ6">
        <v>0</v>
      </c>
      <c r="AR6">
        <v>0</v>
      </c>
      <c r="AS6">
        <v>0</v>
      </c>
      <c r="AT6">
        <v>0</v>
      </c>
      <c r="AU6" s="3">
        <f>AU5</f>
        <v>9.5150800000000011</v>
      </c>
      <c r="BZ6" s="16"/>
      <c r="CA6" s="24"/>
      <c r="CB6" s="1"/>
      <c r="CC6" s="2"/>
    </row>
    <row r="7" spans="1:81" x14ac:dyDescent="0.25">
      <c r="A7">
        <v>3</v>
      </c>
      <c r="B7" t="s">
        <v>1</v>
      </c>
      <c r="C7">
        <v>25984</v>
      </c>
      <c r="D7">
        <v>32</v>
      </c>
      <c r="E7">
        <v>1</v>
      </c>
      <c r="F7">
        <v>16</v>
      </c>
      <c r="G7" s="16">
        <v>1362.85</v>
      </c>
      <c r="H7" s="24">
        <v>8.5825999999999993</v>
      </c>
      <c r="I7" s="1">
        <v>45477</v>
      </c>
      <c r="J7" s="37">
        <v>0.53040509259259261</v>
      </c>
      <c r="K7">
        <v>0</v>
      </c>
      <c r="L7">
        <v>0</v>
      </c>
      <c r="M7">
        <v>0</v>
      </c>
      <c r="N7">
        <v>0</v>
      </c>
      <c r="O7">
        <v>0</v>
      </c>
      <c r="P7">
        <v>0</v>
      </c>
      <c r="Q7">
        <v>0</v>
      </c>
      <c r="R7">
        <v>0</v>
      </c>
      <c r="S7">
        <v>0</v>
      </c>
      <c r="T7">
        <v>0</v>
      </c>
      <c r="U7">
        <v>0</v>
      </c>
      <c r="V7">
        <v>0</v>
      </c>
      <c r="W7" s="3">
        <f>W6</f>
        <v>8.5776399999999988</v>
      </c>
      <c r="X7" s="30"/>
      <c r="Y7">
        <v>3</v>
      </c>
      <c r="Z7" t="s">
        <v>1</v>
      </c>
      <c r="AA7">
        <v>25984</v>
      </c>
      <c r="AB7">
        <v>32</v>
      </c>
      <c r="AC7">
        <v>1</v>
      </c>
      <c r="AD7">
        <v>16</v>
      </c>
      <c r="AE7" s="16">
        <v>1229.5999999999999</v>
      </c>
      <c r="AF7" s="24">
        <v>9.5127000000000006</v>
      </c>
      <c r="AG7" s="1">
        <v>45479</v>
      </c>
      <c r="AH7" s="2">
        <v>0.16050925925925927</v>
      </c>
      <c r="AI7">
        <v>0</v>
      </c>
      <c r="AJ7">
        <v>0</v>
      </c>
      <c r="AK7">
        <v>0</v>
      </c>
      <c r="AL7">
        <v>0</v>
      </c>
      <c r="AM7">
        <v>0</v>
      </c>
      <c r="AN7">
        <v>0</v>
      </c>
      <c r="AO7">
        <v>0</v>
      </c>
      <c r="AP7">
        <v>0</v>
      </c>
      <c r="AQ7">
        <v>0</v>
      </c>
      <c r="AR7">
        <v>0</v>
      </c>
      <c r="AS7">
        <v>0</v>
      </c>
      <c r="AT7">
        <v>0</v>
      </c>
      <c r="AU7" s="3">
        <f>AU6</f>
        <v>9.5150800000000011</v>
      </c>
      <c r="BZ7" s="16"/>
      <c r="CA7" s="24"/>
      <c r="CB7" s="1"/>
      <c r="CC7" s="2"/>
    </row>
    <row r="8" spans="1:81" x14ac:dyDescent="0.25">
      <c r="A8">
        <v>4</v>
      </c>
      <c r="B8" t="s">
        <v>1</v>
      </c>
      <c r="C8">
        <v>25984</v>
      </c>
      <c r="D8">
        <v>32</v>
      </c>
      <c r="E8">
        <v>1</v>
      </c>
      <c r="F8">
        <v>16</v>
      </c>
      <c r="G8" s="16">
        <v>1363.64</v>
      </c>
      <c r="H8" s="24">
        <v>8.5776000000000003</v>
      </c>
      <c r="I8" s="1">
        <v>45478</v>
      </c>
      <c r="J8" s="37">
        <v>5.5231481481481479E-2</v>
      </c>
      <c r="K8">
        <v>0</v>
      </c>
      <c r="L8">
        <v>0</v>
      </c>
      <c r="M8">
        <v>0</v>
      </c>
      <c r="N8">
        <v>0</v>
      </c>
      <c r="O8">
        <v>0</v>
      </c>
      <c r="P8">
        <v>0</v>
      </c>
      <c r="Q8">
        <v>0</v>
      </c>
      <c r="R8">
        <v>0</v>
      </c>
      <c r="S8">
        <v>0</v>
      </c>
      <c r="T8">
        <v>0</v>
      </c>
      <c r="U8">
        <v>0</v>
      </c>
      <c r="V8">
        <v>0</v>
      </c>
      <c r="W8" s="3">
        <f>W7</f>
        <v>8.5776399999999988</v>
      </c>
      <c r="X8" s="30"/>
      <c r="Y8">
        <v>4</v>
      </c>
      <c r="Z8" t="s">
        <v>1</v>
      </c>
      <c r="AA8">
        <v>25984</v>
      </c>
      <c r="AB8">
        <v>32</v>
      </c>
      <c r="AC8">
        <v>1</v>
      </c>
      <c r="AD8">
        <v>16</v>
      </c>
      <c r="AE8" s="16">
        <v>1229.06</v>
      </c>
      <c r="AF8" s="24">
        <v>9.5167999999999999</v>
      </c>
      <c r="AG8" s="1">
        <v>45479</v>
      </c>
      <c r="AH8" s="2">
        <v>0.6712731481481482</v>
      </c>
      <c r="AI8">
        <v>0</v>
      </c>
      <c r="AJ8">
        <v>0</v>
      </c>
      <c r="AK8">
        <v>0</v>
      </c>
      <c r="AL8">
        <v>0</v>
      </c>
      <c r="AM8">
        <v>0</v>
      </c>
      <c r="AN8">
        <v>0</v>
      </c>
      <c r="AO8">
        <v>0</v>
      </c>
      <c r="AP8">
        <v>0</v>
      </c>
      <c r="AQ8">
        <v>0</v>
      </c>
      <c r="AR8">
        <v>0</v>
      </c>
      <c r="AS8">
        <v>0</v>
      </c>
      <c r="AT8">
        <v>0</v>
      </c>
      <c r="AU8" s="3">
        <f>AU7</f>
        <v>9.5150800000000011</v>
      </c>
      <c r="BZ8" s="16"/>
      <c r="CA8" s="24"/>
      <c r="CB8" s="1"/>
      <c r="CC8" s="2"/>
    </row>
    <row r="9" spans="1:81" x14ac:dyDescent="0.25">
      <c r="A9">
        <v>0</v>
      </c>
      <c r="B9" t="s">
        <v>1</v>
      </c>
      <c r="C9">
        <v>27520</v>
      </c>
      <c r="D9">
        <v>32</v>
      </c>
      <c r="E9">
        <v>1</v>
      </c>
      <c r="F9">
        <v>16</v>
      </c>
      <c r="G9" s="16">
        <v>1618.88</v>
      </c>
      <c r="H9" s="24">
        <v>8.5837000000000003</v>
      </c>
      <c r="I9" s="1">
        <v>45481</v>
      </c>
      <c r="J9" s="37">
        <v>0.87810185185185186</v>
      </c>
      <c r="K9">
        <v>0</v>
      </c>
      <c r="L9">
        <v>0</v>
      </c>
      <c r="M9">
        <v>0</v>
      </c>
      <c r="N9">
        <v>0</v>
      </c>
      <c r="O9">
        <v>0</v>
      </c>
      <c r="P9">
        <v>0</v>
      </c>
      <c r="Q9">
        <v>0</v>
      </c>
      <c r="R9">
        <v>0</v>
      </c>
      <c r="S9">
        <v>0</v>
      </c>
      <c r="T9">
        <v>0</v>
      </c>
      <c r="U9">
        <v>0</v>
      </c>
      <c r="V9">
        <v>0</v>
      </c>
      <c r="W9" s="3">
        <f>AVERAGE(H9:H13)</f>
        <v>8.5820799999999995</v>
      </c>
      <c r="X9" s="30"/>
      <c r="Y9">
        <v>0</v>
      </c>
      <c r="Z9" t="s">
        <v>1</v>
      </c>
      <c r="AA9">
        <v>27520</v>
      </c>
      <c r="AB9">
        <v>32</v>
      </c>
      <c r="AC9">
        <v>1</v>
      </c>
      <c r="AD9">
        <v>16</v>
      </c>
      <c r="AE9" s="16">
        <v>1455.12</v>
      </c>
      <c r="AF9" s="24">
        <v>9.5496999999999996</v>
      </c>
      <c r="AG9" s="1">
        <v>45477</v>
      </c>
      <c r="AH9" s="2">
        <v>0.46255787037037038</v>
      </c>
      <c r="AI9">
        <v>0</v>
      </c>
      <c r="AJ9">
        <v>0</v>
      </c>
      <c r="AK9">
        <v>0</v>
      </c>
      <c r="AL9">
        <v>0</v>
      </c>
      <c r="AM9">
        <v>0</v>
      </c>
      <c r="AN9">
        <v>0</v>
      </c>
      <c r="AO9">
        <v>0</v>
      </c>
      <c r="AP9">
        <v>0</v>
      </c>
      <c r="AQ9">
        <v>0</v>
      </c>
      <c r="AR9">
        <v>0</v>
      </c>
      <c r="AS9">
        <v>0</v>
      </c>
      <c r="AT9">
        <v>0</v>
      </c>
      <c r="AU9" s="3">
        <f>AVERAGE(AF9:AF13)</f>
        <v>9.542860000000001</v>
      </c>
      <c r="BZ9" s="16"/>
      <c r="CA9" s="24"/>
      <c r="CB9" s="1"/>
      <c r="CC9" s="2"/>
    </row>
    <row r="10" spans="1:81" x14ac:dyDescent="0.25">
      <c r="A10">
        <v>1</v>
      </c>
      <c r="B10" t="s">
        <v>1</v>
      </c>
      <c r="C10">
        <v>27520</v>
      </c>
      <c r="D10">
        <v>32</v>
      </c>
      <c r="E10">
        <v>1</v>
      </c>
      <c r="F10">
        <v>16</v>
      </c>
      <c r="G10" s="16">
        <v>1619.72</v>
      </c>
      <c r="H10" s="24">
        <v>8.5792999999999999</v>
      </c>
      <c r="I10" s="1">
        <v>45482</v>
      </c>
      <c r="J10" s="37">
        <v>0.40324074074074073</v>
      </c>
      <c r="K10">
        <v>0</v>
      </c>
      <c r="L10">
        <v>0</v>
      </c>
      <c r="M10">
        <v>0</v>
      </c>
      <c r="N10">
        <v>0</v>
      </c>
      <c r="O10">
        <v>0</v>
      </c>
      <c r="P10">
        <v>0</v>
      </c>
      <c r="Q10">
        <v>0</v>
      </c>
      <c r="R10">
        <v>0</v>
      </c>
      <c r="S10">
        <v>0</v>
      </c>
      <c r="T10">
        <v>0</v>
      </c>
      <c r="U10">
        <v>0</v>
      </c>
      <c r="V10">
        <v>0</v>
      </c>
      <c r="W10" s="3">
        <f>W9</f>
        <v>8.5820799999999995</v>
      </c>
      <c r="X10" s="30"/>
      <c r="Y10">
        <v>1</v>
      </c>
      <c r="Z10" t="s">
        <v>1</v>
      </c>
      <c r="AA10">
        <v>27520</v>
      </c>
      <c r="AB10">
        <v>32</v>
      </c>
      <c r="AC10">
        <v>1</v>
      </c>
      <c r="AD10">
        <v>16</v>
      </c>
      <c r="AE10" s="16">
        <v>1457.1</v>
      </c>
      <c r="AF10" s="24">
        <v>9.5367999999999995</v>
      </c>
      <c r="AG10" s="1">
        <v>45477</v>
      </c>
      <c r="AH10" s="2">
        <v>0.97311342592592598</v>
      </c>
      <c r="AI10">
        <v>0</v>
      </c>
      <c r="AJ10">
        <v>0</v>
      </c>
      <c r="AK10">
        <v>0</v>
      </c>
      <c r="AL10">
        <v>0</v>
      </c>
      <c r="AM10">
        <v>0</v>
      </c>
      <c r="AN10">
        <v>0</v>
      </c>
      <c r="AO10">
        <v>0</v>
      </c>
      <c r="AP10">
        <v>0</v>
      </c>
      <c r="AQ10">
        <v>0</v>
      </c>
      <c r="AR10">
        <v>0</v>
      </c>
      <c r="AS10">
        <v>0</v>
      </c>
      <c r="AT10">
        <v>0</v>
      </c>
      <c r="AU10" s="3">
        <f>AU9</f>
        <v>9.542860000000001</v>
      </c>
      <c r="BZ10" s="16"/>
      <c r="CA10" s="24"/>
      <c r="CB10" s="1"/>
      <c r="CC10" s="2"/>
    </row>
    <row r="11" spans="1:81" x14ac:dyDescent="0.25">
      <c r="A11">
        <v>2</v>
      </c>
      <c r="B11" t="s">
        <v>1</v>
      </c>
      <c r="C11">
        <v>27520</v>
      </c>
      <c r="D11">
        <v>32</v>
      </c>
      <c r="E11">
        <v>1</v>
      </c>
      <c r="F11">
        <v>16</v>
      </c>
      <c r="G11" s="16">
        <v>1619.71</v>
      </c>
      <c r="H11" s="24">
        <v>8.5792999999999999</v>
      </c>
      <c r="I11" s="1">
        <v>45482</v>
      </c>
      <c r="J11" s="37">
        <v>0.94396990740740738</v>
      </c>
      <c r="K11">
        <v>0</v>
      </c>
      <c r="L11">
        <v>0</v>
      </c>
      <c r="M11">
        <v>0</v>
      </c>
      <c r="N11">
        <v>0</v>
      </c>
      <c r="O11">
        <v>0</v>
      </c>
      <c r="P11">
        <v>0</v>
      </c>
      <c r="Q11">
        <v>0</v>
      </c>
      <c r="R11">
        <v>0</v>
      </c>
      <c r="S11">
        <v>0</v>
      </c>
      <c r="T11">
        <v>0</v>
      </c>
      <c r="U11">
        <v>0</v>
      </c>
      <c r="V11">
        <v>0</v>
      </c>
      <c r="W11" s="3">
        <f>W10</f>
        <v>8.5820799999999995</v>
      </c>
      <c r="X11" s="30"/>
      <c r="Y11">
        <v>2</v>
      </c>
      <c r="Z11" t="s">
        <v>1</v>
      </c>
      <c r="AA11">
        <v>27520</v>
      </c>
      <c r="AB11">
        <v>32</v>
      </c>
      <c r="AC11">
        <v>1</v>
      </c>
      <c r="AD11">
        <v>16</v>
      </c>
      <c r="AE11" s="16">
        <v>1455.66</v>
      </c>
      <c r="AF11" s="24">
        <v>9.5462000000000007</v>
      </c>
      <c r="AG11" s="1">
        <v>45478</v>
      </c>
      <c r="AH11" s="2">
        <v>0.48377314814814815</v>
      </c>
      <c r="AI11">
        <v>0</v>
      </c>
      <c r="AJ11">
        <v>0</v>
      </c>
      <c r="AK11">
        <v>0</v>
      </c>
      <c r="AL11">
        <v>0</v>
      </c>
      <c r="AM11">
        <v>0</v>
      </c>
      <c r="AN11">
        <v>0</v>
      </c>
      <c r="AO11">
        <v>0</v>
      </c>
      <c r="AP11">
        <v>0</v>
      </c>
      <c r="AQ11">
        <v>0</v>
      </c>
      <c r="AR11">
        <v>0</v>
      </c>
      <c r="AS11">
        <v>0</v>
      </c>
      <c r="AT11">
        <v>0</v>
      </c>
      <c r="AU11" s="3">
        <f>AU10</f>
        <v>9.542860000000001</v>
      </c>
      <c r="BZ11" s="16"/>
      <c r="CA11" s="24"/>
      <c r="CB11" s="1"/>
      <c r="CC11" s="2"/>
    </row>
    <row r="12" spans="1:81" x14ac:dyDescent="0.25">
      <c r="A12">
        <v>3</v>
      </c>
      <c r="B12" t="s">
        <v>1</v>
      </c>
      <c r="C12">
        <v>27520</v>
      </c>
      <c r="D12">
        <v>32</v>
      </c>
      <c r="E12">
        <v>1</v>
      </c>
      <c r="F12">
        <v>16</v>
      </c>
      <c r="G12" s="16">
        <v>1619.43</v>
      </c>
      <c r="H12" s="24">
        <v>8.5808</v>
      </c>
      <c r="I12" s="1">
        <v>45483</v>
      </c>
      <c r="J12" s="37">
        <v>0.4690509259259259</v>
      </c>
      <c r="K12">
        <v>0</v>
      </c>
      <c r="L12">
        <v>0</v>
      </c>
      <c r="M12">
        <v>0</v>
      </c>
      <c r="N12">
        <v>0</v>
      </c>
      <c r="O12">
        <v>0</v>
      </c>
      <c r="P12">
        <v>0</v>
      </c>
      <c r="Q12">
        <v>0</v>
      </c>
      <c r="R12">
        <v>0</v>
      </c>
      <c r="S12">
        <v>0</v>
      </c>
      <c r="T12">
        <v>0</v>
      </c>
      <c r="U12">
        <v>0</v>
      </c>
      <c r="V12">
        <v>0</v>
      </c>
      <c r="W12" s="3">
        <f>W11</f>
        <v>8.5820799999999995</v>
      </c>
      <c r="X12" s="30"/>
      <c r="Y12">
        <v>3</v>
      </c>
      <c r="Z12" t="s">
        <v>1</v>
      </c>
      <c r="AA12">
        <v>27520</v>
      </c>
      <c r="AB12">
        <v>32</v>
      </c>
      <c r="AC12">
        <v>1</v>
      </c>
      <c r="AD12">
        <v>16</v>
      </c>
      <c r="AE12" s="16">
        <v>1456.75</v>
      </c>
      <c r="AF12" s="24">
        <v>9.5389999999999997</v>
      </c>
      <c r="AG12" s="1">
        <v>45478</v>
      </c>
      <c r="AH12" s="2">
        <v>0.9943981481481482</v>
      </c>
      <c r="AI12">
        <v>0</v>
      </c>
      <c r="AJ12">
        <v>0</v>
      </c>
      <c r="AK12">
        <v>0</v>
      </c>
      <c r="AL12">
        <v>0</v>
      </c>
      <c r="AM12">
        <v>0</v>
      </c>
      <c r="AN12">
        <v>0</v>
      </c>
      <c r="AO12">
        <v>0</v>
      </c>
      <c r="AP12">
        <v>0</v>
      </c>
      <c r="AQ12">
        <v>0</v>
      </c>
      <c r="AR12">
        <v>0</v>
      </c>
      <c r="AS12">
        <v>0</v>
      </c>
      <c r="AT12">
        <v>0</v>
      </c>
      <c r="AU12" s="3">
        <f>AU11</f>
        <v>9.542860000000001</v>
      </c>
      <c r="BZ12" s="16"/>
      <c r="CA12" s="24"/>
      <c r="CB12" s="1"/>
      <c r="CC12" s="2"/>
    </row>
    <row r="13" spans="1:81" x14ac:dyDescent="0.25">
      <c r="A13">
        <v>4</v>
      </c>
      <c r="B13" t="s">
        <v>1</v>
      </c>
      <c r="C13">
        <v>27520</v>
      </c>
      <c r="D13">
        <v>32</v>
      </c>
      <c r="E13">
        <v>1</v>
      </c>
      <c r="F13">
        <v>16</v>
      </c>
      <c r="G13" s="16">
        <v>1618.21</v>
      </c>
      <c r="H13" s="24">
        <v>8.5873000000000008</v>
      </c>
      <c r="I13" s="1">
        <v>45477</v>
      </c>
      <c r="J13" s="37">
        <v>0.88393518518518521</v>
      </c>
      <c r="K13">
        <v>0</v>
      </c>
      <c r="L13">
        <v>0</v>
      </c>
      <c r="M13">
        <v>0</v>
      </c>
      <c r="N13">
        <v>0</v>
      </c>
      <c r="O13">
        <v>0</v>
      </c>
      <c r="P13">
        <v>0</v>
      </c>
      <c r="Q13">
        <v>0</v>
      </c>
      <c r="R13">
        <v>0</v>
      </c>
      <c r="S13">
        <v>0</v>
      </c>
      <c r="T13">
        <v>0</v>
      </c>
      <c r="U13">
        <v>0</v>
      </c>
      <c r="V13">
        <v>0</v>
      </c>
      <c r="W13" s="3">
        <f>W12</f>
        <v>8.5820799999999995</v>
      </c>
      <c r="X13" s="30"/>
      <c r="Y13">
        <v>4</v>
      </c>
      <c r="Z13" t="s">
        <v>1</v>
      </c>
      <c r="AA13">
        <v>27520</v>
      </c>
      <c r="AB13">
        <v>32</v>
      </c>
      <c r="AC13">
        <v>1</v>
      </c>
      <c r="AD13">
        <v>16</v>
      </c>
      <c r="AE13" s="16">
        <v>1456.21</v>
      </c>
      <c r="AF13" s="24">
        <v>9.5426000000000002</v>
      </c>
      <c r="AG13" s="1">
        <v>45479</v>
      </c>
      <c r="AH13" s="2">
        <v>0.50518518518518518</v>
      </c>
      <c r="AI13">
        <v>0</v>
      </c>
      <c r="AJ13">
        <v>0</v>
      </c>
      <c r="AK13">
        <v>0</v>
      </c>
      <c r="AL13">
        <v>0</v>
      </c>
      <c r="AM13">
        <v>0</v>
      </c>
      <c r="AN13">
        <v>0</v>
      </c>
      <c r="AO13">
        <v>0</v>
      </c>
      <c r="AP13">
        <v>0</v>
      </c>
      <c r="AQ13">
        <v>0</v>
      </c>
      <c r="AR13">
        <v>0</v>
      </c>
      <c r="AS13">
        <v>0</v>
      </c>
      <c r="AT13">
        <v>0</v>
      </c>
      <c r="AU13" s="3">
        <f>AU12</f>
        <v>9.542860000000001</v>
      </c>
      <c r="BZ13" s="16"/>
      <c r="CA13" s="24"/>
      <c r="CB13" s="1"/>
      <c r="CC13" s="2"/>
    </row>
    <row r="14" spans="1:81" x14ac:dyDescent="0.25">
      <c r="A14">
        <v>0</v>
      </c>
      <c r="B14" t="s">
        <v>1</v>
      </c>
      <c r="C14">
        <v>29056</v>
      </c>
      <c r="D14">
        <v>32</v>
      </c>
      <c r="E14">
        <v>1</v>
      </c>
      <c r="F14">
        <v>16</v>
      </c>
      <c r="G14" s="16">
        <v>1893.24</v>
      </c>
      <c r="H14" s="24">
        <v>8.6386000000000003</v>
      </c>
      <c r="I14" s="1">
        <v>45482</v>
      </c>
      <c r="J14" s="37">
        <v>0.20321759259259259</v>
      </c>
      <c r="K14">
        <v>0</v>
      </c>
      <c r="L14">
        <v>0</v>
      </c>
      <c r="M14">
        <v>0</v>
      </c>
      <c r="N14">
        <v>0</v>
      </c>
      <c r="O14">
        <v>0</v>
      </c>
      <c r="P14">
        <v>0</v>
      </c>
      <c r="Q14">
        <v>0</v>
      </c>
      <c r="R14">
        <v>0</v>
      </c>
      <c r="S14">
        <v>0</v>
      </c>
      <c r="T14">
        <v>0</v>
      </c>
      <c r="U14">
        <v>0</v>
      </c>
      <c r="V14">
        <v>0</v>
      </c>
      <c r="W14" s="3">
        <f>AVERAGE(H14:H18)</f>
        <v>8.6498600000000003</v>
      </c>
      <c r="X14" s="30"/>
      <c r="Y14">
        <v>0</v>
      </c>
      <c r="Z14" t="s">
        <v>1</v>
      </c>
      <c r="AA14">
        <v>29056</v>
      </c>
      <c r="AB14">
        <v>32</v>
      </c>
      <c r="AC14">
        <v>1</v>
      </c>
      <c r="AD14">
        <v>16</v>
      </c>
      <c r="AE14" s="16">
        <v>1706.21</v>
      </c>
      <c r="AF14" s="24">
        <v>9.5855999999999995</v>
      </c>
      <c r="AG14" s="1">
        <v>45477</v>
      </c>
      <c r="AH14" s="2">
        <v>0.77922453703703709</v>
      </c>
      <c r="AI14">
        <v>0</v>
      </c>
      <c r="AJ14">
        <v>0</v>
      </c>
      <c r="AK14">
        <v>0</v>
      </c>
      <c r="AL14">
        <v>0</v>
      </c>
      <c r="AM14">
        <v>0</v>
      </c>
      <c r="AN14">
        <v>0</v>
      </c>
      <c r="AO14">
        <v>0</v>
      </c>
      <c r="AP14">
        <v>0</v>
      </c>
      <c r="AQ14">
        <v>0</v>
      </c>
      <c r="AR14">
        <v>0</v>
      </c>
      <c r="AS14">
        <v>0</v>
      </c>
      <c r="AT14">
        <v>0</v>
      </c>
      <c r="AU14" s="3">
        <f>AVERAGE(AF14:AF18)</f>
        <v>9.5888399999999994</v>
      </c>
      <c r="BZ14" s="16"/>
      <c r="CA14" s="24"/>
      <c r="CB14" s="1"/>
      <c r="CC14" s="2"/>
    </row>
    <row r="15" spans="1:81" x14ac:dyDescent="0.25">
      <c r="A15">
        <v>1</v>
      </c>
      <c r="B15" t="s">
        <v>1</v>
      </c>
      <c r="C15">
        <v>29056</v>
      </c>
      <c r="D15">
        <v>32</v>
      </c>
      <c r="E15">
        <v>1</v>
      </c>
      <c r="F15">
        <v>16</v>
      </c>
      <c r="G15" s="16">
        <v>1890.13</v>
      </c>
      <c r="H15" s="24">
        <v>8.6527999999999992</v>
      </c>
      <c r="I15" s="1">
        <v>45482</v>
      </c>
      <c r="J15" s="37">
        <v>0.74396990740740743</v>
      </c>
      <c r="K15">
        <v>0</v>
      </c>
      <c r="L15">
        <v>0</v>
      </c>
      <c r="M15">
        <v>0</v>
      </c>
      <c r="N15">
        <v>0</v>
      </c>
      <c r="O15">
        <v>0</v>
      </c>
      <c r="P15">
        <v>0</v>
      </c>
      <c r="Q15">
        <v>0</v>
      </c>
      <c r="R15">
        <v>0</v>
      </c>
      <c r="S15">
        <v>0</v>
      </c>
      <c r="T15">
        <v>0</v>
      </c>
      <c r="U15">
        <v>0</v>
      </c>
      <c r="V15">
        <v>0</v>
      </c>
      <c r="W15" s="3">
        <f>W14</f>
        <v>8.6498600000000003</v>
      </c>
      <c r="X15" s="30"/>
      <c r="Y15">
        <v>1</v>
      </c>
      <c r="Z15" t="s">
        <v>1</v>
      </c>
      <c r="AA15">
        <v>29056</v>
      </c>
      <c r="AB15">
        <v>32</v>
      </c>
      <c r="AC15">
        <v>1</v>
      </c>
      <c r="AD15">
        <v>16</v>
      </c>
      <c r="AE15" s="16">
        <v>1705.62</v>
      </c>
      <c r="AF15" s="24">
        <v>9.5889000000000006</v>
      </c>
      <c r="AG15" s="1">
        <v>45478</v>
      </c>
      <c r="AH15" s="2">
        <v>0.28994212962962962</v>
      </c>
      <c r="AI15">
        <v>0</v>
      </c>
      <c r="AJ15">
        <v>0</v>
      </c>
      <c r="AK15">
        <v>0</v>
      </c>
      <c r="AL15">
        <v>0</v>
      </c>
      <c r="AM15">
        <v>0</v>
      </c>
      <c r="AN15">
        <v>0</v>
      </c>
      <c r="AO15">
        <v>0</v>
      </c>
      <c r="AP15">
        <v>0</v>
      </c>
      <c r="AQ15">
        <v>0</v>
      </c>
      <c r="AR15">
        <v>0</v>
      </c>
      <c r="AS15">
        <v>0</v>
      </c>
      <c r="AT15">
        <v>0</v>
      </c>
      <c r="AU15" s="3">
        <f>AU14</f>
        <v>9.5888399999999994</v>
      </c>
      <c r="BZ15" s="16"/>
      <c r="CA15" s="24"/>
      <c r="CB15" s="1"/>
      <c r="CC15" s="2"/>
    </row>
    <row r="16" spans="1:81" x14ac:dyDescent="0.25">
      <c r="A16">
        <v>2</v>
      </c>
      <c r="B16" t="s">
        <v>1</v>
      </c>
      <c r="C16">
        <v>29056</v>
      </c>
      <c r="D16">
        <v>32</v>
      </c>
      <c r="E16">
        <v>1</v>
      </c>
      <c r="F16">
        <v>16</v>
      </c>
      <c r="G16" s="16">
        <v>1892.69</v>
      </c>
      <c r="H16" s="24">
        <v>8.6410999999999998</v>
      </c>
      <c r="I16" s="1">
        <v>45483</v>
      </c>
      <c r="J16" s="37">
        <v>0.2691087962962963</v>
      </c>
      <c r="K16">
        <v>0</v>
      </c>
      <c r="L16">
        <v>0</v>
      </c>
      <c r="M16">
        <v>0</v>
      </c>
      <c r="N16">
        <v>0</v>
      </c>
      <c r="O16">
        <v>0</v>
      </c>
      <c r="P16">
        <v>0</v>
      </c>
      <c r="Q16">
        <v>0</v>
      </c>
      <c r="R16">
        <v>0</v>
      </c>
      <c r="S16">
        <v>0</v>
      </c>
      <c r="T16">
        <v>0</v>
      </c>
      <c r="U16">
        <v>0</v>
      </c>
      <c r="V16">
        <v>0</v>
      </c>
      <c r="W16" s="3">
        <f>W15</f>
        <v>8.6498600000000003</v>
      </c>
      <c r="X16" s="30"/>
      <c r="Y16">
        <v>2</v>
      </c>
      <c r="Z16" t="s">
        <v>1</v>
      </c>
      <c r="AA16">
        <v>29056</v>
      </c>
      <c r="AB16">
        <v>32</v>
      </c>
      <c r="AC16">
        <v>1</v>
      </c>
      <c r="AD16">
        <v>16</v>
      </c>
      <c r="AE16" s="16">
        <v>1705.29</v>
      </c>
      <c r="AF16" s="24">
        <v>9.5907</v>
      </c>
      <c r="AG16" s="1">
        <v>45478</v>
      </c>
      <c r="AH16" s="2">
        <v>0.8006712962962963</v>
      </c>
      <c r="AI16">
        <v>0</v>
      </c>
      <c r="AJ16">
        <v>0</v>
      </c>
      <c r="AK16">
        <v>0</v>
      </c>
      <c r="AL16">
        <v>0</v>
      </c>
      <c r="AM16">
        <v>0</v>
      </c>
      <c r="AN16">
        <v>0</v>
      </c>
      <c r="AO16">
        <v>0</v>
      </c>
      <c r="AP16">
        <v>0</v>
      </c>
      <c r="AQ16">
        <v>0</v>
      </c>
      <c r="AR16">
        <v>0</v>
      </c>
      <c r="AS16">
        <v>0</v>
      </c>
      <c r="AT16">
        <v>0</v>
      </c>
      <c r="AU16" s="3">
        <f>AU15</f>
        <v>9.5888399999999994</v>
      </c>
      <c r="BZ16" s="16"/>
      <c r="CA16" s="24"/>
      <c r="CB16" s="1"/>
      <c r="CC16" s="2"/>
    </row>
    <row r="17" spans="1:81" x14ac:dyDescent="0.25">
      <c r="A17">
        <v>3</v>
      </c>
      <c r="B17" t="s">
        <v>1</v>
      </c>
      <c r="C17">
        <v>29056</v>
      </c>
      <c r="D17">
        <v>32</v>
      </c>
      <c r="E17">
        <v>1</v>
      </c>
      <c r="F17">
        <v>16</v>
      </c>
      <c r="G17" s="16">
        <v>1889.85</v>
      </c>
      <c r="H17" s="24">
        <v>8.6540999999999997</v>
      </c>
      <c r="I17" s="1">
        <v>45477</v>
      </c>
      <c r="J17" s="37">
        <v>0.6840046296296296</v>
      </c>
      <c r="K17">
        <v>0</v>
      </c>
      <c r="L17">
        <v>0</v>
      </c>
      <c r="M17">
        <v>0</v>
      </c>
      <c r="N17">
        <v>0</v>
      </c>
      <c r="O17">
        <v>0</v>
      </c>
      <c r="P17">
        <v>0</v>
      </c>
      <c r="Q17">
        <v>0</v>
      </c>
      <c r="R17">
        <v>0</v>
      </c>
      <c r="S17">
        <v>0</v>
      </c>
      <c r="T17">
        <v>0</v>
      </c>
      <c r="U17">
        <v>0</v>
      </c>
      <c r="V17">
        <v>0</v>
      </c>
      <c r="W17" s="3">
        <f>W16</f>
        <v>8.6498600000000003</v>
      </c>
      <c r="X17" s="30"/>
      <c r="Y17">
        <v>3</v>
      </c>
      <c r="Z17" t="s">
        <v>1</v>
      </c>
      <c r="AA17">
        <v>29056</v>
      </c>
      <c r="AB17">
        <v>32</v>
      </c>
      <c r="AC17">
        <v>1</v>
      </c>
      <c r="AD17">
        <v>16</v>
      </c>
      <c r="AE17" s="16">
        <v>1704.89</v>
      </c>
      <c r="AF17" s="24">
        <v>9.593</v>
      </c>
      <c r="AG17" s="1">
        <v>45479</v>
      </c>
      <c r="AH17" s="2">
        <v>0.31133101851851852</v>
      </c>
      <c r="AI17">
        <v>0</v>
      </c>
      <c r="AJ17">
        <v>0</v>
      </c>
      <c r="AK17">
        <v>0</v>
      </c>
      <c r="AL17">
        <v>0</v>
      </c>
      <c r="AM17">
        <v>0</v>
      </c>
      <c r="AN17">
        <v>0</v>
      </c>
      <c r="AO17">
        <v>0</v>
      </c>
      <c r="AP17">
        <v>0</v>
      </c>
      <c r="AQ17">
        <v>0</v>
      </c>
      <c r="AR17">
        <v>0</v>
      </c>
      <c r="AS17">
        <v>0</v>
      </c>
      <c r="AT17">
        <v>0</v>
      </c>
      <c r="AU17" s="3">
        <f>AU16</f>
        <v>9.5888399999999994</v>
      </c>
      <c r="BZ17" s="16"/>
      <c r="CA17" s="24"/>
      <c r="CB17" s="1"/>
      <c r="CC17" s="2"/>
    </row>
    <row r="18" spans="1:81" x14ac:dyDescent="0.25">
      <c r="A18">
        <v>4</v>
      </c>
      <c r="B18" t="s">
        <v>1</v>
      </c>
      <c r="C18">
        <v>29056</v>
      </c>
      <c r="D18">
        <v>32</v>
      </c>
      <c r="E18">
        <v>1</v>
      </c>
      <c r="F18">
        <v>16</v>
      </c>
      <c r="G18" s="16">
        <v>1887.97</v>
      </c>
      <c r="H18" s="24">
        <v>8.6626999999999992</v>
      </c>
      <c r="I18" s="1">
        <v>45477</v>
      </c>
      <c r="J18" s="37">
        <v>0.57290509259259259</v>
      </c>
      <c r="K18">
        <v>0</v>
      </c>
      <c r="L18">
        <v>0</v>
      </c>
      <c r="M18">
        <v>0</v>
      </c>
      <c r="N18">
        <v>0</v>
      </c>
      <c r="O18">
        <v>0</v>
      </c>
      <c r="P18">
        <v>0</v>
      </c>
      <c r="Q18">
        <v>0</v>
      </c>
      <c r="R18">
        <v>0</v>
      </c>
      <c r="S18">
        <v>0</v>
      </c>
      <c r="T18">
        <v>0</v>
      </c>
      <c r="U18">
        <v>0</v>
      </c>
      <c r="V18">
        <v>0</v>
      </c>
      <c r="W18" s="3">
        <f>W17</f>
        <v>8.6498600000000003</v>
      </c>
      <c r="X18" s="30"/>
      <c r="Y18">
        <v>4</v>
      </c>
      <c r="Z18" t="s">
        <v>1</v>
      </c>
      <c r="AA18">
        <v>29056</v>
      </c>
      <c r="AB18">
        <v>32</v>
      </c>
      <c r="AC18">
        <v>1</v>
      </c>
      <c r="AD18">
        <v>16</v>
      </c>
      <c r="AE18" s="16">
        <v>1706.14</v>
      </c>
      <c r="AF18" s="24">
        <v>9.5860000000000003</v>
      </c>
      <c r="AG18" s="1">
        <v>45479</v>
      </c>
      <c r="AH18" s="2">
        <v>0.8220601851851852</v>
      </c>
      <c r="AI18">
        <v>0</v>
      </c>
      <c r="AJ18">
        <v>0</v>
      </c>
      <c r="AK18">
        <v>0</v>
      </c>
      <c r="AL18">
        <v>0</v>
      </c>
      <c r="AM18">
        <v>0</v>
      </c>
      <c r="AN18">
        <v>0</v>
      </c>
      <c r="AO18">
        <v>0</v>
      </c>
      <c r="AP18">
        <v>0</v>
      </c>
      <c r="AQ18">
        <v>0</v>
      </c>
      <c r="AR18">
        <v>0</v>
      </c>
      <c r="AS18">
        <v>0</v>
      </c>
      <c r="AT18">
        <v>0</v>
      </c>
      <c r="AU18" s="3">
        <f>AU17</f>
        <v>9.5888399999999994</v>
      </c>
      <c r="BZ18" s="16"/>
      <c r="CA18" s="24"/>
      <c r="CB18" s="1"/>
      <c r="CC18" s="2"/>
    </row>
    <row r="19" spans="1:81" x14ac:dyDescent="0.25">
      <c r="A19">
        <v>0</v>
      </c>
      <c r="B19" t="s">
        <v>1</v>
      </c>
      <c r="C19">
        <v>25984</v>
      </c>
      <c r="D19">
        <v>32</v>
      </c>
      <c r="E19">
        <v>2</v>
      </c>
      <c r="F19">
        <v>8</v>
      </c>
      <c r="G19" s="16">
        <v>1341.13</v>
      </c>
      <c r="H19" s="24">
        <v>8.7215000000000007</v>
      </c>
      <c r="I19" s="1">
        <v>45482</v>
      </c>
      <c r="J19" s="37">
        <v>6.535879629629629E-2</v>
      </c>
      <c r="K19">
        <v>0</v>
      </c>
      <c r="L19">
        <v>0</v>
      </c>
      <c r="M19">
        <v>0</v>
      </c>
      <c r="N19">
        <v>0</v>
      </c>
      <c r="O19">
        <v>0</v>
      </c>
      <c r="P19">
        <v>0</v>
      </c>
      <c r="Q19">
        <v>0</v>
      </c>
      <c r="R19">
        <v>0</v>
      </c>
      <c r="S19">
        <v>0</v>
      </c>
      <c r="T19">
        <v>0</v>
      </c>
      <c r="U19">
        <v>0</v>
      </c>
      <c r="V19">
        <v>0</v>
      </c>
      <c r="W19" s="3">
        <f>AVERAGE(H19:H23)</f>
        <v>8.7267600000000023</v>
      </c>
      <c r="X19" s="30"/>
      <c r="Y19">
        <v>0</v>
      </c>
      <c r="Z19" t="s">
        <v>1</v>
      </c>
      <c r="AA19">
        <v>25984</v>
      </c>
      <c r="AB19">
        <v>32</v>
      </c>
      <c r="AC19">
        <v>2</v>
      </c>
      <c r="AD19">
        <v>8</v>
      </c>
      <c r="AE19" s="16">
        <v>1221.44</v>
      </c>
      <c r="AF19" s="24">
        <v>9.5762</v>
      </c>
      <c r="AG19" s="1">
        <v>45477</v>
      </c>
      <c r="AH19" s="2">
        <v>0.64405092592592594</v>
      </c>
      <c r="AI19">
        <v>0</v>
      </c>
      <c r="AJ19">
        <v>0</v>
      </c>
      <c r="AK19">
        <v>0</v>
      </c>
      <c r="AL19">
        <v>0</v>
      </c>
      <c r="AM19">
        <v>0</v>
      </c>
      <c r="AN19">
        <v>0</v>
      </c>
      <c r="AO19">
        <v>0</v>
      </c>
      <c r="AP19">
        <v>0</v>
      </c>
      <c r="AQ19">
        <v>0</v>
      </c>
      <c r="AR19">
        <v>0</v>
      </c>
      <c r="AS19">
        <v>0</v>
      </c>
      <c r="AT19">
        <v>0</v>
      </c>
      <c r="AU19" s="3">
        <f>AVERAGE(AF19:AF23)</f>
        <v>9.5702600000000011</v>
      </c>
      <c r="BZ19" s="16"/>
      <c r="CA19" s="24"/>
      <c r="CB19" s="1"/>
      <c r="CC19" s="2"/>
    </row>
    <row r="20" spans="1:81" x14ac:dyDescent="0.25">
      <c r="A20">
        <v>1</v>
      </c>
      <c r="B20" t="s">
        <v>1</v>
      </c>
      <c r="C20">
        <v>25984</v>
      </c>
      <c r="D20">
        <v>32</v>
      </c>
      <c r="E20">
        <v>2</v>
      </c>
      <c r="F20">
        <v>8</v>
      </c>
      <c r="G20" s="16">
        <v>1340.29</v>
      </c>
      <c r="H20" s="24">
        <v>8.7270000000000003</v>
      </c>
      <c r="I20" s="1">
        <v>45482</v>
      </c>
      <c r="J20" s="37">
        <v>0.57453703703703707</v>
      </c>
      <c r="K20">
        <v>0</v>
      </c>
      <c r="L20">
        <v>0</v>
      </c>
      <c r="M20">
        <v>0</v>
      </c>
      <c r="N20">
        <v>0</v>
      </c>
      <c r="O20">
        <v>0</v>
      </c>
      <c r="P20">
        <v>0</v>
      </c>
      <c r="Q20">
        <v>0</v>
      </c>
      <c r="R20">
        <v>0</v>
      </c>
      <c r="S20">
        <v>0</v>
      </c>
      <c r="T20">
        <v>0</v>
      </c>
      <c r="U20">
        <v>0</v>
      </c>
      <c r="V20">
        <v>0</v>
      </c>
      <c r="W20" s="3">
        <f>W19</f>
        <v>8.7267600000000023</v>
      </c>
      <c r="X20" s="30"/>
      <c r="Y20">
        <v>1</v>
      </c>
      <c r="Z20" t="s">
        <v>1</v>
      </c>
      <c r="AA20">
        <v>25984</v>
      </c>
      <c r="AB20">
        <v>32</v>
      </c>
      <c r="AC20">
        <v>2</v>
      </c>
      <c r="AD20">
        <v>8</v>
      </c>
      <c r="AE20" s="16">
        <v>1222.3800000000001</v>
      </c>
      <c r="AF20" s="24">
        <v>9.5687999999999995</v>
      </c>
      <c r="AG20" s="1">
        <v>45478</v>
      </c>
      <c r="AH20" s="2">
        <v>0.1547337962962963</v>
      </c>
      <c r="AI20">
        <v>0</v>
      </c>
      <c r="AJ20">
        <v>0</v>
      </c>
      <c r="AK20">
        <v>0</v>
      </c>
      <c r="AL20">
        <v>0</v>
      </c>
      <c r="AM20">
        <v>0</v>
      </c>
      <c r="AN20">
        <v>0</v>
      </c>
      <c r="AO20">
        <v>0</v>
      </c>
      <c r="AP20">
        <v>0</v>
      </c>
      <c r="AQ20">
        <v>0</v>
      </c>
      <c r="AR20">
        <v>0</v>
      </c>
      <c r="AS20">
        <v>0</v>
      </c>
      <c r="AT20">
        <v>0</v>
      </c>
      <c r="AU20" s="3">
        <f>AU19</f>
        <v>9.5702600000000011</v>
      </c>
      <c r="BZ20" s="16"/>
      <c r="CA20" s="24"/>
      <c r="CB20" s="1"/>
      <c r="CC20" s="2"/>
    </row>
    <row r="21" spans="1:81" x14ac:dyDescent="0.25">
      <c r="A21">
        <v>2</v>
      </c>
      <c r="B21" t="s">
        <v>1</v>
      </c>
      <c r="C21">
        <v>25984</v>
      </c>
      <c r="D21">
        <v>32</v>
      </c>
      <c r="E21">
        <v>2</v>
      </c>
      <c r="F21">
        <v>8</v>
      </c>
      <c r="G21" s="16">
        <v>1341.31</v>
      </c>
      <c r="H21" s="24">
        <v>8.7202999999999999</v>
      </c>
      <c r="I21" s="1">
        <v>45483</v>
      </c>
      <c r="J21" s="37">
        <v>0.13121527777777778</v>
      </c>
      <c r="K21">
        <v>0</v>
      </c>
      <c r="L21">
        <v>0</v>
      </c>
      <c r="M21">
        <v>0</v>
      </c>
      <c r="N21">
        <v>0</v>
      </c>
      <c r="O21">
        <v>0</v>
      </c>
      <c r="P21">
        <v>0</v>
      </c>
      <c r="Q21">
        <v>0</v>
      </c>
      <c r="R21">
        <v>0</v>
      </c>
      <c r="S21">
        <v>0</v>
      </c>
      <c r="T21">
        <v>0</v>
      </c>
      <c r="U21">
        <v>0</v>
      </c>
      <c r="V21">
        <v>0</v>
      </c>
      <c r="W21" s="3">
        <f>W20</f>
        <v>8.7267600000000023</v>
      </c>
      <c r="X21" s="30"/>
      <c r="Y21">
        <v>2</v>
      </c>
      <c r="Z21" t="s">
        <v>1</v>
      </c>
      <c r="AA21">
        <v>25984</v>
      </c>
      <c r="AB21">
        <v>32</v>
      </c>
      <c r="AC21">
        <v>2</v>
      </c>
      <c r="AD21">
        <v>8</v>
      </c>
      <c r="AE21" s="16">
        <v>1221.92</v>
      </c>
      <c r="AF21" s="24">
        <v>9.5724</v>
      </c>
      <c r="AG21" s="1">
        <v>45478</v>
      </c>
      <c r="AH21" s="2">
        <v>0.66546296296296292</v>
      </c>
      <c r="AI21">
        <v>0</v>
      </c>
      <c r="AJ21">
        <v>0</v>
      </c>
      <c r="AK21">
        <v>0</v>
      </c>
      <c r="AL21">
        <v>0</v>
      </c>
      <c r="AM21">
        <v>0</v>
      </c>
      <c r="AN21">
        <v>0</v>
      </c>
      <c r="AO21">
        <v>0</v>
      </c>
      <c r="AP21">
        <v>0</v>
      </c>
      <c r="AQ21">
        <v>0</v>
      </c>
      <c r="AR21">
        <v>0</v>
      </c>
      <c r="AS21">
        <v>0</v>
      </c>
      <c r="AT21">
        <v>0</v>
      </c>
      <c r="AU21" s="3">
        <f>AU20</f>
        <v>9.5702600000000011</v>
      </c>
      <c r="BZ21" s="16"/>
      <c r="CA21" s="24"/>
      <c r="CB21" s="1"/>
      <c r="CC21" s="2"/>
    </row>
    <row r="22" spans="1:81" x14ac:dyDescent="0.25">
      <c r="A22">
        <v>3</v>
      </c>
      <c r="B22" t="s">
        <v>1</v>
      </c>
      <c r="C22">
        <v>25984</v>
      </c>
      <c r="D22">
        <v>32</v>
      </c>
      <c r="E22">
        <v>2</v>
      </c>
      <c r="F22">
        <v>8</v>
      </c>
      <c r="G22" s="16">
        <v>1339.78</v>
      </c>
      <c r="H22" s="24">
        <v>8.7302999999999997</v>
      </c>
      <c r="I22" s="1">
        <v>45477</v>
      </c>
      <c r="J22" s="37">
        <v>0.54622685185185182</v>
      </c>
      <c r="K22">
        <v>0</v>
      </c>
      <c r="L22">
        <v>0</v>
      </c>
      <c r="M22">
        <v>0</v>
      </c>
      <c r="N22">
        <v>0</v>
      </c>
      <c r="O22">
        <v>0</v>
      </c>
      <c r="P22">
        <v>0</v>
      </c>
      <c r="Q22">
        <v>0</v>
      </c>
      <c r="R22">
        <v>0</v>
      </c>
      <c r="S22">
        <v>0</v>
      </c>
      <c r="T22">
        <v>0</v>
      </c>
      <c r="U22">
        <v>0</v>
      </c>
      <c r="V22">
        <v>0</v>
      </c>
      <c r="W22" s="3">
        <f>W21</f>
        <v>8.7267600000000023</v>
      </c>
      <c r="X22" s="30"/>
      <c r="Y22">
        <v>3</v>
      </c>
      <c r="Z22" t="s">
        <v>1</v>
      </c>
      <c r="AA22">
        <v>25984</v>
      </c>
      <c r="AB22">
        <v>32</v>
      </c>
      <c r="AC22">
        <v>2</v>
      </c>
      <c r="AD22">
        <v>8</v>
      </c>
      <c r="AE22" s="16">
        <v>1222.69</v>
      </c>
      <c r="AF22" s="24">
        <v>9.5663999999999998</v>
      </c>
      <c r="AG22" s="1">
        <v>45479</v>
      </c>
      <c r="AH22" s="2">
        <v>0.17601851851851852</v>
      </c>
      <c r="AI22">
        <v>0</v>
      </c>
      <c r="AJ22">
        <v>0</v>
      </c>
      <c r="AK22">
        <v>0</v>
      </c>
      <c r="AL22">
        <v>0</v>
      </c>
      <c r="AM22">
        <v>0</v>
      </c>
      <c r="AN22">
        <v>0</v>
      </c>
      <c r="AO22">
        <v>0</v>
      </c>
      <c r="AP22">
        <v>0</v>
      </c>
      <c r="AQ22">
        <v>0</v>
      </c>
      <c r="AR22">
        <v>0</v>
      </c>
      <c r="AS22">
        <v>0</v>
      </c>
      <c r="AT22">
        <v>0</v>
      </c>
      <c r="AU22" s="3">
        <f>AU21</f>
        <v>9.5702600000000011</v>
      </c>
      <c r="BZ22" s="16"/>
      <c r="CA22" s="24"/>
      <c r="CB22" s="1"/>
      <c r="CC22" s="2"/>
    </row>
    <row r="23" spans="1:81" x14ac:dyDescent="0.25">
      <c r="A23">
        <v>4</v>
      </c>
      <c r="B23" t="s">
        <v>1</v>
      </c>
      <c r="C23">
        <v>25984</v>
      </c>
      <c r="D23">
        <v>32</v>
      </c>
      <c r="E23">
        <v>2</v>
      </c>
      <c r="F23">
        <v>8</v>
      </c>
      <c r="G23" s="16">
        <v>1339.11</v>
      </c>
      <c r="H23" s="24">
        <v>8.7347000000000001</v>
      </c>
      <c r="I23" s="1">
        <v>45477</v>
      </c>
      <c r="J23" s="37">
        <v>0.4352199074074074</v>
      </c>
      <c r="K23">
        <v>0</v>
      </c>
      <c r="L23">
        <v>0</v>
      </c>
      <c r="M23">
        <v>0</v>
      </c>
      <c r="N23">
        <v>0</v>
      </c>
      <c r="O23">
        <v>0</v>
      </c>
      <c r="P23">
        <v>0</v>
      </c>
      <c r="Q23">
        <v>0</v>
      </c>
      <c r="R23">
        <v>0</v>
      </c>
      <c r="S23">
        <v>0</v>
      </c>
      <c r="T23">
        <v>0</v>
      </c>
      <c r="U23">
        <v>0</v>
      </c>
      <c r="V23">
        <v>0</v>
      </c>
      <c r="W23" s="3">
        <f>W22</f>
        <v>8.7267600000000023</v>
      </c>
      <c r="X23" s="30"/>
      <c r="Y23">
        <v>4</v>
      </c>
      <c r="Z23" t="s">
        <v>1</v>
      </c>
      <c r="AA23">
        <v>25984</v>
      </c>
      <c r="AB23">
        <v>32</v>
      </c>
      <c r="AC23">
        <v>2</v>
      </c>
      <c r="AD23">
        <v>8</v>
      </c>
      <c r="AE23" s="16">
        <v>1222.55</v>
      </c>
      <c r="AF23" s="24">
        <v>9.5675000000000008</v>
      </c>
      <c r="AG23" s="1">
        <v>45479</v>
      </c>
      <c r="AH23" s="2">
        <v>0.68678240740740737</v>
      </c>
      <c r="AI23">
        <v>0</v>
      </c>
      <c r="AJ23">
        <v>0</v>
      </c>
      <c r="AK23">
        <v>0</v>
      </c>
      <c r="AL23">
        <v>0</v>
      </c>
      <c r="AM23">
        <v>0</v>
      </c>
      <c r="AN23">
        <v>0</v>
      </c>
      <c r="AO23">
        <v>0</v>
      </c>
      <c r="AP23">
        <v>0</v>
      </c>
      <c r="AQ23">
        <v>0</v>
      </c>
      <c r="AR23">
        <v>0</v>
      </c>
      <c r="AS23">
        <v>0</v>
      </c>
      <c r="AT23">
        <v>0</v>
      </c>
      <c r="AU23" s="3">
        <f>AU22</f>
        <v>9.5702600000000011</v>
      </c>
      <c r="BZ23" s="16"/>
      <c r="CA23" s="24"/>
      <c r="CB23" s="1"/>
      <c r="CC23" s="2"/>
    </row>
    <row r="24" spans="1:81" x14ac:dyDescent="0.25">
      <c r="A24">
        <v>0</v>
      </c>
      <c r="B24" t="s">
        <v>1</v>
      </c>
      <c r="C24">
        <v>27520</v>
      </c>
      <c r="D24">
        <v>32</v>
      </c>
      <c r="E24">
        <v>2</v>
      </c>
      <c r="F24">
        <v>8</v>
      </c>
      <c r="G24" s="16">
        <v>1588.02</v>
      </c>
      <c r="H24" s="24">
        <v>8.7505000000000006</v>
      </c>
      <c r="I24" s="1">
        <v>45481</v>
      </c>
      <c r="J24" s="37">
        <v>0.89682870370370371</v>
      </c>
      <c r="K24">
        <v>0</v>
      </c>
      <c r="L24">
        <v>0</v>
      </c>
      <c r="M24">
        <v>0</v>
      </c>
      <c r="N24">
        <v>0</v>
      </c>
      <c r="O24">
        <v>0</v>
      </c>
      <c r="P24">
        <v>0</v>
      </c>
      <c r="Q24">
        <v>0</v>
      </c>
      <c r="R24">
        <v>0</v>
      </c>
      <c r="S24">
        <v>0</v>
      </c>
      <c r="T24">
        <v>0</v>
      </c>
      <c r="U24">
        <v>0</v>
      </c>
      <c r="V24">
        <v>0</v>
      </c>
      <c r="W24" s="3">
        <f>AVERAGE(H24:H28)</f>
        <v>8.748899999999999</v>
      </c>
      <c r="X24" s="30"/>
      <c r="Y24">
        <v>0</v>
      </c>
      <c r="Z24" t="s">
        <v>1</v>
      </c>
      <c r="AA24">
        <v>27520</v>
      </c>
      <c r="AB24">
        <v>32</v>
      </c>
      <c r="AC24">
        <v>2</v>
      </c>
      <c r="AD24">
        <v>8</v>
      </c>
      <c r="AE24" s="16">
        <v>1443.25</v>
      </c>
      <c r="AF24" s="24">
        <v>9.6281999999999996</v>
      </c>
      <c r="AG24" s="1">
        <v>45477</v>
      </c>
      <c r="AH24" s="2">
        <v>0.48078703703703701</v>
      </c>
      <c r="AI24">
        <v>0</v>
      </c>
      <c r="AJ24">
        <v>0</v>
      </c>
      <c r="AK24">
        <v>0</v>
      </c>
      <c r="AL24">
        <v>0</v>
      </c>
      <c r="AM24">
        <v>0</v>
      </c>
      <c r="AN24">
        <v>0</v>
      </c>
      <c r="AO24">
        <v>0</v>
      </c>
      <c r="AP24">
        <v>0</v>
      </c>
      <c r="AQ24">
        <v>0</v>
      </c>
      <c r="AR24">
        <v>0</v>
      </c>
      <c r="AS24">
        <v>0</v>
      </c>
      <c r="AT24">
        <v>0</v>
      </c>
      <c r="AU24" s="3">
        <f>AVERAGE(AF24:AF28)</f>
        <v>9.6196200000000012</v>
      </c>
      <c r="BZ24" s="16"/>
      <c r="CA24" s="24"/>
      <c r="CB24" s="1"/>
      <c r="CC24" s="2"/>
    </row>
    <row r="25" spans="1:81" x14ac:dyDescent="0.25">
      <c r="A25">
        <v>1</v>
      </c>
      <c r="B25" t="s">
        <v>1</v>
      </c>
      <c r="C25">
        <v>27520</v>
      </c>
      <c r="D25">
        <v>32</v>
      </c>
      <c r="E25">
        <v>2</v>
      </c>
      <c r="F25">
        <v>8</v>
      </c>
      <c r="G25" s="16">
        <v>1589.06</v>
      </c>
      <c r="H25" s="24">
        <v>8.7447999999999997</v>
      </c>
      <c r="I25" s="1">
        <v>45482</v>
      </c>
      <c r="J25" s="37">
        <v>0.6885648148148148</v>
      </c>
      <c r="K25">
        <v>0</v>
      </c>
      <c r="L25">
        <v>0</v>
      </c>
      <c r="M25">
        <v>0</v>
      </c>
      <c r="N25">
        <v>0</v>
      </c>
      <c r="O25">
        <v>0</v>
      </c>
      <c r="P25">
        <v>0</v>
      </c>
      <c r="Q25">
        <v>0</v>
      </c>
      <c r="R25">
        <v>0</v>
      </c>
      <c r="S25">
        <v>0</v>
      </c>
      <c r="T25">
        <v>0</v>
      </c>
      <c r="U25">
        <v>0</v>
      </c>
      <c r="V25">
        <v>0</v>
      </c>
      <c r="W25" s="3">
        <f>W24</f>
        <v>8.748899999999999</v>
      </c>
      <c r="X25" s="30"/>
      <c r="Y25">
        <v>1</v>
      </c>
      <c r="Z25" t="s">
        <v>1</v>
      </c>
      <c r="AA25">
        <v>27520</v>
      </c>
      <c r="AB25">
        <v>32</v>
      </c>
      <c r="AC25">
        <v>2</v>
      </c>
      <c r="AD25">
        <v>8</v>
      </c>
      <c r="AE25" s="16">
        <v>1444.98</v>
      </c>
      <c r="AF25" s="24">
        <v>9.6166999999999998</v>
      </c>
      <c r="AG25" s="1">
        <v>45477</v>
      </c>
      <c r="AH25" s="2">
        <v>0.99135416666666665</v>
      </c>
      <c r="AI25">
        <v>0</v>
      </c>
      <c r="AJ25">
        <v>0</v>
      </c>
      <c r="AK25">
        <v>0</v>
      </c>
      <c r="AL25">
        <v>0</v>
      </c>
      <c r="AM25">
        <v>0</v>
      </c>
      <c r="AN25">
        <v>0</v>
      </c>
      <c r="AO25">
        <v>0</v>
      </c>
      <c r="AP25">
        <v>0</v>
      </c>
      <c r="AQ25">
        <v>0</v>
      </c>
      <c r="AR25">
        <v>0</v>
      </c>
      <c r="AS25">
        <v>0</v>
      </c>
      <c r="AT25">
        <v>0</v>
      </c>
      <c r="AU25" s="3">
        <f>AU24</f>
        <v>9.6196200000000012</v>
      </c>
      <c r="BZ25" s="16"/>
      <c r="CA25" s="24"/>
      <c r="CB25" s="1"/>
      <c r="CC25" s="2"/>
    </row>
    <row r="26" spans="1:81" x14ac:dyDescent="0.25">
      <c r="A26">
        <v>2</v>
      </c>
      <c r="B26" t="s">
        <v>1</v>
      </c>
      <c r="C26">
        <v>27520</v>
      </c>
      <c r="D26">
        <v>32</v>
      </c>
      <c r="E26">
        <v>2</v>
      </c>
      <c r="F26">
        <v>8</v>
      </c>
      <c r="G26" s="16">
        <v>1588.56</v>
      </c>
      <c r="H26" s="24">
        <v>8.7476000000000003</v>
      </c>
      <c r="I26" s="1">
        <v>45482</v>
      </c>
      <c r="J26" s="37">
        <v>0.96270833333333339</v>
      </c>
      <c r="K26">
        <v>0</v>
      </c>
      <c r="L26">
        <v>0</v>
      </c>
      <c r="M26">
        <v>0</v>
      </c>
      <c r="N26">
        <v>0</v>
      </c>
      <c r="O26">
        <v>0</v>
      </c>
      <c r="P26">
        <v>0</v>
      </c>
      <c r="Q26">
        <v>0</v>
      </c>
      <c r="R26">
        <v>0</v>
      </c>
      <c r="S26">
        <v>0</v>
      </c>
      <c r="T26">
        <v>0</v>
      </c>
      <c r="U26">
        <v>0</v>
      </c>
      <c r="V26">
        <v>0</v>
      </c>
      <c r="W26" s="3">
        <f>W25</f>
        <v>8.748899999999999</v>
      </c>
      <c r="X26" s="30"/>
      <c r="Y26">
        <v>2</v>
      </c>
      <c r="Z26" t="s">
        <v>1</v>
      </c>
      <c r="AA26">
        <v>27520</v>
      </c>
      <c r="AB26">
        <v>32</v>
      </c>
      <c r="AC26">
        <v>2</v>
      </c>
      <c r="AD26">
        <v>8</v>
      </c>
      <c r="AE26" s="16">
        <v>1445.18</v>
      </c>
      <c r="AF26" s="24">
        <v>9.6153999999999993</v>
      </c>
      <c r="AG26" s="1">
        <v>45478</v>
      </c>
      <c r="AH26" s="2">
        <v>0.50202546296296291</v>
      </c>
      <c r="AI26">
        <v>0</v>
      </c>
      <c r="AJ26">
        <v>0</v>
      </c>
      <c r="AK26">
        <v>0</v>
      </c>
      <c r="AL26">
        <v>0</v>
      </c>
      <c r="AM26">
        <v>0</v>
      </c>
      <c r="AN26">
        <v>0</v>
      </c>
      <c r="AO26">
        <v>0</v>
      </c>
      <c r="AP26">
        <v>0</v>
      </c>
      <c r="AQ26">
        <v>0</v>
      </c>
      <c r="AR26">
        <v>0</v>
      </c>
      <c r="AS26">
        <v>0</v>
      </c>
      <c r="AT26">
        <v>0</v>
      </c>
      <c r="AU26" s="3">
        <f>AU25</f>
        <v>9.6196200000000012</v>
      </c>
      <c r="BZ26" s="16"/>
      <c r="CA26" s="24"/>
      <c r="CB26" s="1"/>
      <c r="CC26" s="2"/>
    </row>
    <row r="27" spans="1:81" x14ac:dyDescent="0.25">
      <c r="A27">
        <v>3</v>
      </c>
      <c r="B27" t="s">
        <v>1</v>
      </c>
      <c r="C27">
        <v>27520</v>
      </c>
      <c r="D27">
        <v>32</v>
      </c>
      <c r="E27">
        <v>2</v>
      </c>
      <c r="F27">
        <v>8</v>
      </c>
      <c r="G27" s="16">
        <v>1588.82</v>
      </c>
      <c r="H27" s="24">
        <v>8.7461000000000002</v>
      </c>
      <c r="I27" s="1">
        <v>45483</v>
      </c>
      <c r="J27" s="37">
        <v>0.48778935185185185</v>
      </c>
      <c r="K27">
        <v>0</v>
      </c>
      <c r="L27">
        <v>0</v>
      </c>
      <c r="M27">
        <v>0</v>
      </c>
      <c r="N27">
        <v>0</v>
      </c>
      <c r="O27">
        <v>0</v>
      </c>
      <c r="P27">
        <v>0</v>
      </c>
      <c r="Q27">
        <v>0</v>
      </c>
      <c r="R27">
        <v>0</v>
      </c>
      <c r="S27">
        <v>0</v>
      </c>
      <c r="T27">
        <v>0</v>
      </c>
      <c r="U27">
        <v>0</v>
      </c>
      <c r="V27">
        <v>0</v>
      </c>
      <c r="W27" s="3">
        <f>W26</f>
        <v>8.748899999999999</v>
      </c>
      <c r="X27" s="30"/>
      <c r="Y27">
        <v>3</v>
      </c>
      <c r="Z27" t="s">
        <v>1</v>
      </c>
      <c r="AA27">
        <v>27520</v>
      </c>
      <c r="AB27">
        <v>32</v>
      </c>
      <c r="AC27">
        <v>2</v>
      </c>
      <c r="AD27">
        <v>8</v>
      </c>
      <c r="AE27" s="16">
        <v>1444.42</v>
      </c>
      <c r="AF27" s="24">
        <v>9.6204999999999998</v>
      </c>
      <c r="AG27" s="1">
        <v>45479</v>
      </c>
      <c r="AH27" s="2">
        <v>1.2638888888888889E-2</v>
      </c>
      <c r="AI27">
        <v>0</v>
      </c>
      <c r="AJ27">
        <v>0</v>
      </c>
      <c r="AK27">
        <v>0</v>
      </c>
      <c r="AL27">
        <v>0</v>
      </c>
      <c r="AM27">
        <v>0</v>
      </c>
      <c r="AN27">
        <v>0</v>
      </c>
      <c r="AO27">
        <v>0</v>
      </c>
      <c r="AP27">
        <v>0</v>
      </c>
      <c r="AQ27">
        <v>0</v>
      </c>
      <c r="AR27">
        <v>0</v>
      </c>
      <c r="AS27">
        <v>0</v>
      </c>
      <c r="AT27">
        <v>0</v>
      </c>
      <c r="AU27" s="3">
        <f>AU26</f>
        <v>9.6196200000000012</v>
      </c>
      <c r="BZ27" s="16"/>
      <c r="CA27" s="24"/>
      <c r="CB27" s="1"/>
      <c r="CC27" s="2"/>
    </row>
    <row r="28" spans="1:81" x14ac:dyDescent="0.25">
      <c r="A28">
        <v>4</v>
      </c>
      <c r="B28" t="s">
        <v>1</v>
      </c>
      <c r="C28">
        <v>27520</v>
      </c>
      <c r="D28">
        <v>32</v>
      </c>
      <c r="E28">
        <v>2</v>
      </c>
      <c r="F28">
        <v>8</v>
      </c>
      <c r="G28" s="16">
        <v>1587.11</v>
      </c>
      <c r="H28" s="24">
        <v>8.7554999999999996</v>
      </c>
      <c r="I28" s="1">
        <v>45477</v>
      </c>
      <c r="J28" s="37">
        <v>0.90266203703703707</v>
      </c>
      <c r="K28">
        <v>0</v>
      </c>
      <c r="L28">
        <v>0</v>
      </c>
      <c r="M28">
        <v>0</v>
      </c>
      <c r="N28">
        <v>0</v>
      </c>
      <c r="O28">
        <v>0</v>
      </c>
      <c r="P28">
        <v>0</v>
      </c>
      <c r="Q28">
        <v>0</v>
      </c>
      <c r="R28">
        <v>0</v>
      </c>
      <c r="S28">
        <v>0</v>
      </c>
      <c r="T28">
        <v>0</v>
      </c>
      <c r="U28">
        <v>0</v>
      </c>
      <c r="V28">
        <v>0</v>
      </c>
      <c r="W28" s="3">
        <f>W27</f>
        <v>8.748899999999999</v>
      </c>
      <c r="X28" s="30"/>
      <c r="Y28">
        <v>4</v>
      </c>
      <c r="Z28" t="s">
        <v>1</v>
      </c>
      <c r="AA28">
        <v>27520</v>
      </c>
      <c r="AB28">
        <v>32</v>
      </c>
      <c r="AC28">
        <v>2</v>
      </c>
      <c r="AD28">
        <v>8</v>
      </c>
      <c r="AE28" s="16">
        <v>1444.9</v>
      </c>
      <c r="AF28" s="24">
        <v>9.6173000000000002</v>
      </c>
      <c r="AG28" s="1">
        <v>45479</v>
      </c>
      <c r="AH28" s="2">
        <v>0.52342592592592596</v>
      </c>
      <c r="AI28">
        <v>0</v>
      </c>
      <c r="AJ28">
        <v>0</v>
      </c>
      <c r="AK28">
        <v>0</v>
      </c>
      <c r="AL28">
        <v>0</v>
      </c>
      <c r="AM28">
        <v>0</v>
      </c>
      <c r="AN28">
        <v>0</v>
      </c>
      <c r="AO28">
        <v>0</v>
      </c>
      <c r="AP28">
        <v>0</v>
      </c>
      <c r="AQ28">
        <v>0</v>
      </c>
      <c r="AR28">
        <v>0</v>
      </c>
      <c r="AS28">
        <v>0</v>
      </c>
      <c r="AT28">
        <v>0</v>
      </c>
      <c r="AU28" s="3">
        <f>AU27</f>
        <v>9.6196200000000012</v>
      </c>
      <c r="BZ28" s="16"/>
      <c r="CA28" s="24"/>
      <c r="CB28" s="1"/>
      <c r="CC28" s="2"/>
    </row>
    <row r="29" spans="1:81" x14ac:dyDescent="0.25">
      <c r="A29">
        <v>0</v>
      </c>
      <c r="B29" t="s">
        <v>1</v>
      </c>
      <c r="C29">
        <v>29056</v>
      </c>
      <c r="D29">
        <v>32</v>
      </c>
      <c r="E29">
        <v>2</v>
      </c>
      <c r="F29">
        <v>8</v>
      </c>
      <c r="G29" s="16">
        <v>1861.95</v>
      </c>
      <c r="H29" s="24">
        <v>8.7837999999999994</v>
      </c>
      <c r="I29" s="1">
        <v>45482</v>
      </c>
      <c r="J29" s="37">
        <v>0.22516203703703705</v>
      </c>
      <c r="K29">
        <v>0</v>
      </c>
      <c r="L29">
        <v>0</v>
      </c>
      <c r="M29">
        <v>0</v>
      </c>
      <c r="N29">
        <v>0</v>
      </c>
      <c r="O29">
        <v>0</v>
      </c>
      <c r="P29">
        <v>0</v>
      </c>
      <c r="Q29">
        <v>0</v>
      </c>
      <c r="R29">
        <v>0</v>
      </c>
      <c r="S29">
        <v>0</v>
      </c>
      <c r="T29">
        <v>0</v>
      </c>
      <c r="U29">
        <v>0</v>
      </c>
      <c r="V29">
        <v>0</v>
      </c>
      <c r="W29" s="3">
        <f>AVERAGE(H29:H33)</f>
        <v>8.7873199999999994</v>
      </c>
      <c r="X29" s="30"/>
      <c r="Y29">
        <v>0</v>
      </c>
      <c r="Z29" t="s">
        <v>1</v>
      </c>
      <c r="AA29">
        <v>29056</v>
      </c>
      <c r="AB29">
        <v>32</v>
      </c>
      <c r="AC29">
        <v>2</v>
      </c>
      <c r="AD29">
        <v>8</v>
      </c>
      <c r="AE29" s="16">
        <v>1692.5</v>
      </c>
      <c r="AF29" s="24">
        <v>9.6631999999999998</v>
      </c>
      <c r="AG29" s="1">
        <v>45477</v>
      </c>
      <c r="AH29" s="2">
        <v>0.80050925925925931</v>
      </c>
      <c r="AI29">
        <v>0</v>
      </c>
      <c r="AJ29">
        <v>0</v>
      </c>
      <c r="AK29">
        <v>0</v>
      </c>
      <c r="AL29">
        <v>0</v>
      </c>
      <c r="AM29">
        <v>0</v>
      </c>
      <c r="AN29">
        <v>0</v>
      </c>
      <c r="AO29">
        <v>0</v>
      </c>
      <c r="AP29">
        <v>0</v>
      </c>
      <c r="AQ29">
        <v>0</v>
      </c>
      <c r="AR29">
        <v>0</v>
      </c>
      <c r="AS29">
        <v>0</v>
      </c>
      <c r="AT29">
        <v>0</v>
      </c>
      <c r="AU29" s="3">
        <f>AVERAGE(AF29:AF33)</f>
        <v>9.6586600000000011</v>
      </c>
      <c r="BZ29" s="16"/>
      <c r="CA29" s="24"/>
      <c r="CB29" s="1"/>
      <c r="CC29" s="2"/>
    </row>
    <row r="30" spans="1:81" x14ac:dyDescent="0.25">
      <c r="A30">
        <v>1</v>
      </c>
      <c r="B30" t="s">
        <v>1</v>
      </c>
      <c r="C30">
        <v>29056</v>
      </c>
      <c r="D30">
        <v>32</v>
      </c>
      <c r="E30">
        <v>2</v>
      </c>
      <c r="F30">
        <v>8</v>
      </c>
      <c r="G30" s="16">
        <v>1861.49</v>
      </c>
      <c r="H30" s="24">
        <v>8.7858999999999998</v>
      </c>
      <c r="I30" s="1">
        <v>45482</v>
      </c>
      <c r="J30" s="37">
        <v>0.76590277777777782</v>
      </c>
      <c r="K30">
        <v>0</v>
      </c>
      <c r="L30">
        <v>0</v>
      </c>
      <c r="M30">
        <v>0</v>
      </c>
      <c r="N30">
        <v>0</v>
      </c>
      <c r="O30">
        <v>0</v>
      </c>
      <c r="P30">
        <v>0</v>
      </c>
      <c r="Q30">
        <v>0</v>
      </c>
      <c r="R30">
        <v>0</v>
      </c>
      <c r="S30">
        <v>0</v>
      </c>
      <c r="T30">
        <v>0</v>
      </c>
      <c r="U30">
        <v>0</v>
      </c>
      <c r="V30">
        <v>0</v>
      </c>
      <c r="W30" s="3">
        <f>W29</f>
        <v>8.7873199999999994</v>
      </c>
      <c r="X30" s="30"/>
      <c r="Y30">
        <v>1</v>
      </c>
      <c r="Z30" t="s">
        <v>1</v>
      </c>
      <c r="AA30">
        <v>29056</v>
      </c>
      <c r="AB30">
        <v>32</v>
      </c>
      <c r="AC30">
        <v>2</v>
      </c>
      <c r="AD30">
        <v>8</v>
      </c>
      <c r="AE30" s="16">
        <v>1693.46</v>
      </c>
      <c r="AF30" s="24">
        <v>9.6577000000000002</v>
      </c>
      <c r="AG30" s="1">
        <v>45478</v>
      </c>
      <c r="AH30" s="2">
        <v>0.31123842592592593</v>
      </c>
      <c r="AI30">
        <v>0</v>
      </c>
      <c r="AJ30">
        <v>0</v>
      </c>
      <c r="AK30">
        <v>0</v>
      </c>
      <c r="AL30">
        <v>0</v>
      </c>
      <c r="AM30">
        <v>0</v>
      </c>
      <c r="AN30">
        <v>0</v>
      </c>
      <c r="AO30">
        <v>0</v>
      </c>
      <c r="AP30">
        <v>0</v>
      </c>
      <c r="AQ30">
        <v>0</v>
      </c>
      <c r="AR30">
        <v>0</v>
      </c>
      <c r="AS30">
        <v>0</v>
      </c>
      <c r="AT30">
        <v>0</v>
      </c>
      <c r="AU30" s="3">
        <f>AU29</f>
        <v>9.6586600000000011</v>
      </c>
      <c r="BZ30" s="16"/>
      <c r="CA30" s="24"/>
      <c r="CB30" s="1"/>
      <c r="CC30" s="2"/>
    </row>
    <row r="31" spans="1:81" x14ac:dyDescent="0.25">
      <c r="A31">
        <v>2</v>
      </c>
      <c r="B31" t="s">
        <v>1</v>
      </c>
      <c r="C31">
        <v>29056</v>
      </c>
      <c r="D31">
        <v>32</v>
      </c>
      <c r="E31">
        <v>2</v>
      </c>
      <c r="F31">
        <v>8</v>
      </c>
      <c r="G31" s="16">
        <v>1863.24</v>
      </c>
      <c r="H31" s="24">
        <v>8.7776999999999994</v>
      </c>
      <c r="I31" s="1">
        <v>45483</v>
      </c>
      <c r="J31" s="37">
        <v>0.29106481481481483</v>
      </c>
      <c r="K31">
        <v>0</v>
      </c>
      <c r="L31">
        <v>0</v>
      </c>
      <c r="M31">
        <v>0</v>
      </c>
      <c r="N31">
        <v>0</v>
      </c>
      <c r="O31">
        <v>0</v>
      </c>
      <c r="P31">
        <v>0</v>
      </c>
      <c r="Q31">
        <v>0</v>
      </c>
      <c r="R31">
        <v>0</v>
      </c>
      <c r="S31">
        <v>0</v>
      </c>
      <c r="T31">
        <v>0</v>
      </c>
      <c r="U31">
        <v>0</v>
      </c>
      <c r="V31">
        <v>0</v>
      </c>
      <c r="W31" s="3">
        <f>W30</f>
        <v>8.7873199999999994</v>
      </c>
      <c r="X31" s="30"/>
      <c r="Y31">
        <v>2</v>
      </c>
      <c r="Z31" t="s">
        <v>1</v>
      </c>
      <c r="AA31">
        <v>29056</v>
      </c>
      <c r="AB31">
        <v>32</v>
      </c>
      <c r="AC31">
        <v>2</v>
      </c>
      <c r="AD31">
        <v>8</v>
      </c>
      <c r="AE31" s="16">
        <v>1692.53</v>
      </c>
      <c r="AF31" s="24">
        <v>9.6630000000000003</v>
      </c>
      <c r="AG31" s="1">
        <v>45478</v>
      </c>
      <c r="AH31" s="2">
        <v>0.82195601851851852</v>
      </c>
      <c r="AI31">
        <v>0</v>
      </c>
      <c r="AJ31">
        <v>0</v>
      </c>
      <c r="AK31">
        <v>0</v>
      </c>
      <c r="AL31">
        <v>0</v>
      </c>
      <c r="AM31">
        <v>0</v>
      </c>
      <c r="AN31">
        <v>0</v>
      </c>
      <c r="AO31">
        <v>0</v>
      </c>
      <c r="AP31">
        <v>0</v>
      </c>
      <c r="AQ31">
        <v>0</v>
      </c>
      <c r="AR31">
        <v>0</v>
      </c>
      <c r="AS31">
        <v>0</v>
      </c>
      <c r="AT31">
        <v>0</v>
      </c>
      <c r="AU31" s="3">
        <f>AU30</f>
        <v>9.6586600000000011</v>
      </c>
      <c r="BZ31" s="16"/>
      <c r="CA31" s="24"/>
      <c r="CB31" s="1"/>
      <c r="CC31" s="2"/>
    </row>
    <row r="32" spans="1:81" x14ac:dyDescent="0.25">
      <c r="A32">
        <v>3</v>
      </c>
      <c r="B32" t="s">
        <v>1</v>
      </c>
      <c r="C32">
        <v>29056</v>
      </c>
      <c r="D32">
        <v>32</v>
      </c>
      <c r="E32">
        <v>2</v>
      </c>
      <c r="F32">
        <v>8</v>
      </c>
      <c r="G32" s="16">
        <v>1860.64</v>
      </c>
      <c r="H32" s="24">
        <v>8.7899999999999991</v>
      </c>
      <c r="I32" s="1">
        <v>45477</v>
      </c>
      <c r="J32" s="37">
        <v>0.70592592592592596</v>
      </c>
      <c r="K32">
        <v>0</v>
      </c>
      <c r="L32">
        <v>0</v>
      </c>
      <c r="M32">
        <v>0</v>
      </c>
      <c r="N32">
        <v>0</v>
      </c>
      <c r="O32">
        <v>0</v>
      </c>
      <c r="P32">
        <v>0</v>
      </c>
      <c r="Q32">
        <v>0</v>
      </c>
      <c r="R32">
        <v>0</v>
      </c>
      <c r="S32">
        <v>0</v>
      </c>
      <c r="T32">
        <v>0</v>
      </c>
      <c r="U32">
        <v>0</v>
      </c>
      <c r="V32">
        <v>0</v>
      </c>
      <c r="W32" s="3">
        <f>W31</f>
        <v>8.7873199999999994</v>
      </c>
      <c r="X32" s="30"/>
      <c r="Y32">
        <v>3</v>
      </c>
      <c r="Z32" t="s">
        <v>1</v>
      </c>
      <c r="AA32">
        <v>29056</v>
      </c>
      <c r="AB32">
        <v>32</v>
      </c>
      <c r="AC32">
        <v>2</v>
      </c>
      <c r="AD32">
        <v>8</v>
      </c>
      <c r="AE32" s="16">
        <v>1694.07</v>
      </c>
      <c r="AF32" s="24">
        <v>9.6541999999999994</v>
      </c>
      <c r="AG32" s="1">
        <v>45479</v>
      </c>
      <c r="AH32" s="2">
        <v>0.33262731481481483</v>
      </c>
      <c r="AI32">
        <v>0</v>
      </c>
      <c r="AJ32">
        <v>0</v>
      </c>
      <c r="AK32">
        <v>0</v>
      </c>
      <c r="AL32">
        <v>0</v>
      </c>
      <c r="AM32">
        <v>0</v>
      </c>
      <c r="AN32">
        <v>0</v>
      </c>
      <c r="AO32">
        <v>0</v>
      </c>
      <c r="AP32">
        <v>0</v>
      </c>
      <c r="AQ32">
        <v>0</v>
      </c>
      <c r="AR32">
        <v>0</v>
      </c>
      <c r="AS32">
        <v>0</v>
      </c>
      <c r="AT32">
        <v>0</v>
      </c>
      <c r="AU32" s="3">
        <f>AU31</f>
        <v>9.6586600000000011</v>
      </c>
      <c r="BZ32" s="16"/>
      <c r="CA32" s="24"/>
      <c r="CB32" s="1"/>
      <c r="CC32" s="2"/>
    </row>
    <row r="33" spans="1:81" x14ac:dyDescent="0.25">
      <c r="A33">
        <v>4</v>
      </c>
      <c r="B33" t="s">
        <v>1</v>
      </c>
      <c r="C33">
        <v>29056</v>
      </c>
      <c r="D33">
        <v>32</v>
      </c>
      <c r="E33">
        <v>2</v>
      </c>
      <c r="F33">
        <v>8</v>
      </c>
      <c r="G33" s="16">
        <v>1858.68</v>
      </c>
      <c r="H33" s="24">
        <v>8.7992000000000008</v>
      </c>
      <c r="I33" s="1">
        <v>45477</v>
      </c>
      <c r="J33" s="37">
        <v>0.59480324074074076</v>
      </c>
      <c r="K33">
        <v>0</v>
      </c>
      <c r="L33">
        <v>0</v>
      </c>
      <c r="M33">
        <v>0</v>
      </c>
      <c r="N33">
        <v>0</v>
      </c>
      <c r="O33">
        <v>0</v>
      </c>
      <c r="P33">
        <v>0</v>
      </c>
      <c r="Q33">
        <v>0</v>
      </c>
      <c r="R33">
        <v>0</v>
      </c>
      <c r="S33">
        <v>0</v>
      </c>
      <c r="T33">
        <v>0</v>
      </c>
      <c r="U33">
        <v>0</v>
      </c>
      <c r="V33">
        <v>0</v>
      </c>
      <c r="W33" s="3">
        <f>W32</f>
        <v>8.7873199999999994</v>
      </c>
      <c r="X33" s="30"/>
      <c r="Y33">
        <v>4</v>
      </c>
      <c r="Z33" t="s">
        <v>1</v>
      </c>
      <c r="AA33">
        <v>29056</v>
      </c>
      <c r="AB33">
        <v>32</v>
      </c>
      <c r="AC33">
        <v>2</v>
      </c>
      <c r="AD33">
        <v>8</v>
      </c>
      <c r="AE33" s="16">
        <v>1693.89</v>
      </c>
      <c r="AF33" s="24">
        <v>9.6552000000000007</v>
      </c>
      <c r="AG33" s="1">
        <v>45479</v>
      </c>
      <c r="AH33" s="2">
        <v>0.84335648148148146</v>
      </c>
      <c r="AI33">
        <v>0</v>
      </c>
      <c r="AJ33">
        <v>0</v>
      </c>
      <c r="AK33">
        <v>0</v>
      </c>
      <c r="AL33">
        <v>0</v>
      </c>
      <c r="AM33">
        <v>0</v>
      </c>
      <c r="AN33">
        <v>0</v>
      </c>
      <c r="AO33">
        <v>0</v>
      </c>
      <c r="AP33">
        <v>0</v>
      </c>
      <c r="AQ33">
        <v>0</v>
      </c>
      <c r="AR33">
        <v>0</v>
      </c>
      <c r="AS33">
        <v>0</v>
      </c>
      <c r="AT33">
        <v>0</v>
      </c>
      <c r="AU33" s="3">
        <f>AU32</f>
        <v>9.6586600000000011</v>
      </c>
      <c r="BZ33" s="16"/>
      <c r="CA33" s="24"/>
      <c r="CB33" s="1"/>
      <c r="CC33" s="2"/>
    </row>
    <row r="34" spans="1:81" x14ac:dyDescent="0.25">
      <c r="A34">
        <v>0</v>
      </c>
      <c r="B34" t="s">
        <v>1</v>
      </c>
      <c r="C34">
        <v>25984</v>
      </c>
      <c r="D34">
        <v>32</v>
      </c>
      <c r="E34">
        <v>4</v>
      </c>
      <c r="F34">
        <v>4</v>
      </c>
      <c r="G34" s="16">
        <v>1355.23</v>
      </c>
      <c r="H34" s="24">
        <v>8.6308000000000007</v>
      </c>
      <c r="I34" s="1">
        <v>45482</v>
      </c>
      <c r="J34" s="37">
        <v>8.1365740740740738E-2</v>
      </c>
      <c r="K34">
        <v>0</v>
      </c>
      <c r="L34">
        <v>0</v>
      </c>
      <c r="M34">
        <v>0</v>
      </c>
      <c r="N34">
        <v>0</v>
      </c>
      <c r="O34">
        <v>0</v>
      </c>
      <c r="P34">
        <v>0</v>
      </c>
      <c r="Q34">
        <v>0</v>
      </c>
      <c r="R34">
        <v>0</v>
      </c>
      <c r="S34">
        <v>0</v>
      </c>
      <c r="T34">
        <v>0</v>
      </c>
      <c r="U34">
        <v>0</v>
      </c>
      <c r="V34">
        <v>0</v>
      </c>
      <c r="W34" s="3">
        <f>AVERAGE(H34:H38)</f>
        <v>8.6366999999999994</v>
      </c>
      <c r="X34" s="30"/>
      <c r="Y34">
        <v>0</v>
      </c>
      <c r="Z34" t="s">
        <v>1</v>
      </c>
      <c r="AA34">
        <v>25984</v>
      </c>
      <c r="AB34">
        <v>32</v>
      </c>
      <c r="AC34">
        <v>4</v>
      </c>
      <c r="AD34">
        <v>4</v>
      </c>
      <c r="AE34" s="16">
        <v>1240.42</v>
      </c>
      <c r="AF34" s="24">
        <v>9.4297000000000004</v>
      </c>
      <c r="AG34" s="1">
        <v>45477</v>
      </c>
      <c r="AH34" s="2">
        <v>0.65975694444444444</v>
      </c>
      <c r="AI34">
        <v>0</v>
      </c>
      <c r="AJ34">
        <v>0</v>
      </c>
      <c r="AK34">
        <v>0</v>
      </c>
      <c r="AL34">
        <v>0</v>
      </c>
      <c r="AM34">
        <v>0</v>
      </c>
      <c r="AN34">
        <v>0</v>
      </c>
      <c r="AO34">
        <v>0</v>
      </c>
      <c r="AP34">
        <v>0</v>
      </c>
      <c r="AQ34">
        <v>0</v>
      </c>
      <c r="AR34">
        <v>0</v>
      </c>
      <c r="AS34">
        <v>0</v>
      </c>
      <c r="AT34">
        <v>0</v>
      </c>
      <c r="AU34" s="3">
        <f>AVERAGE(AF34:AF38)</f>
        <v>9.4310799999999997</v>
      </c>
      <c r="BZ34" s="16"/>
      <c r="CA34" s="24"/>
      <c r="CB34" s="1"/>
      <c r="CC34" s="2"/>
    </row>
    <row r="35" spans="1:81" x14ac:dyDescent="0.25">
      <c r="A35">
        <v>1</v>
      </c>
      <c r="B35" t="s">
        <v>1</v>
      </c>
      <c r="C35">
        <v>25984</v>
      </c>
      <c r="D35">
        <v>32</v>
      </c>
      <c r="E35">
        <v>4</v>
      </c>
      <c r="F35">
        <v>4</v>
      </c>
      <c r="G35" s="16">
        <v>1353.64</v>
      </c>
      <c r="H35" s="24">
        <v>8.641</v>
      </c>
      <c r="I35" s="1">
        <v>45482</v>
      </c>
      <c r="J35" s="37">
        <v>0.59052083333333338</v>
      </c>
      <c r="K35">
        <v>0</v>
      </c>
      <c r="L35">
        <v>0</v>
      </c>
      <c r="M35">
        <v>0</v>
      </c>
      <c r="N35">
        <v>0</v>
      </c>
      <c r="O35">
        <v>0</v>
      </c>
      <c r="P35">
        <v>0</v>
      </c>
      <c r="Q35">
        <v>0</v>
      </c>
      <c r="R35">
        <v>0</v>
      </c>
      <c r="S35">
        <v>0</v>
      </c>
      <c r="T35">
        <v>0</v>
      </c>
      <c r="U35">
        <v>0</v>
      </c>
      <c r="V35">
        <v>0</v>
      </c>
      <c r="W35" s="3">
        <f>W34</f>
        <v>8.6366999999999994</v>
      </c>
      <c r="X35" s="30"/>
      <c r="Y35">
        <v>1</v>
      </c>
      <c r="Z35" t="s">
        <v>1</v>
      </c>
      <c r="AA35">
        <v>25984</v>
      </c>
      <c r="AB35">
        <v>32</v>
      </c>
      <c r="AC35">
        <v>4</v>
      </c>
      <c r="AD35">
        <v>4</v>
      </c>
      <c r="AE35" s="16">
        <v>1239.3</v>
      </c>
      <c r="AF35" s="24">
        <v>9.4382000000000001</v>
      </c>
      <c r="AG35" s="1">
        <v>45478</v>
      </c>
      <c r="AH35" s="2">
        <v>0.17043981481481482</v>
      </c>
      <c r="AI35">
        <v>0</v>
      </c>
      <c r="AJ35">
        <v>0</v>
      </c>
      <c r="AK35">
        <v>0</v>
      </c>
      <c r="AL35">
        <v>0</v>
      </c>
      <c r="AM35">
        <v>0</v>
      </c>
      <c r="AN35">
        <v>0</v>
      </c>
      <c r="AO35">
        <v>0</v>
      </c>
      <c r="AP35">
        <v>0</v>
      </c>
      <c r="AQ35">
        <v>0</v>
      </c>
      <c r="AR35">
        <v>0</v>
      </c>
      <c r="AS35">
        <v>0</v>
      </c>
      <c r="AT35">
        <v>0</v>
      </c>
      <c r="AU35" s="3">
        <f>AU34</f>
        <v>9.4310799999999997</v>
      </c>
      <c r="BZ35" s="16"/>
      <c r="CA35" s="24"/>
      <c r="CB35" s="1"/>
      <c r="CC35" s="2"/>
    </row>
    <row r="36" spans="1:81" x14ac:dyDescent="0.25">
      <c r="A36">
        <v>2</v>
      </c>
      <c r="B36" t="s">
        <v>1</v>
      </c>
      <c r="C36">
        <v>25984</v>
      </c>
      <c r="D36">
        <v>32</v>
      </c>
      <c r="E36">
        <v>4</v>
      </c>
      <c r="F36">
        <v>4</v>
      </c>
      <c r="G36" s="16">
        <v>1355.9</v>
      </c>
      <c r="H36" s="24">
        <v>8.6265000000000001</v>
      </c>
      <c r="I36" s="1">
        <v>45483</v>
      </c>
      <c r="J36" s="37">
        <v>0.14722222222222223</v>
      </c>
      <c r="K36">
        <v>0</v>
      </c>
      <c r="L36">
        <v>0</v>
      </c>
      <c r="M36">
        <v>0</v>
      </c>
      <c r="N36">
        <v>0</v>
      </c>
      <c r="O36">
        <v>0</v>
      </c>
      <c r="P36">
        <v>0</v>
      </c>
      <c r="Q36">
        <v>0</v>
      </c>
      <c r="R36">
        <v>0</v>
      </c>
      <c r="S36">
        <v>0</v>
      </c>
      <c r="T36">
        <v>0</v>
      </c>
      <c r="U36">
        <v>0</v>
      </c>
      <c r="V36">
        <v>0</v>
      </c>
      <c r="W36" s="3">
        <f>W35</f>
        <v>8.6366999999999994</v>
      </c>
      <c r="X36" s="30"/>
      <c r="Y36">
        <v>2</v>
      </c>
      <c r="Z36" t="s">
        <v>1</v>
      </c>
      <c r="AA36">
        <v>25984</v>
      </c>
      <c r="AB36">
        <v>32</v>
      </c>
      <c r="AC36">
        <v>4</v>
      </c>
      <c r="AD36">
        <v>4</v>
      </c>
      <c r="AE36" s="16">
        <v>1239.19</v>
      </c>
      <c r="AF36" s="24">
        <v>9.4390000000000001</v>
      </c>
      <c r="AG36" s="1">
        <v>45478</v>
      </c>
      <c r="AH36" s="2">
        <v>0.68115740740740738</v>
      </c>
      <c r="AI36">
        <v>0</v>
      </c>
      <c r="AJ36">
        <v>0</v>
      </c>
      <c r="AK36">
        <v>0</v>
      </c>
      <c r="AL36">
        <v>0</v>
      </c>
      <c r="AM36">
        <v>0</v>
      </c>
      <c r="AN36">
        <v>0</v>
      </c>
      <c r="AO36">
        <v>0</v>
      </c>
      <c r="AP36">
        <v>0</v>
      </c>
      <c r="AQ36">
        <v>0</v>
      </c>
      <c r="AR36">
        <v>0</v>
      </c>
      <c r="AS36">
        <v>0</v>
      </c>
      <c r="AT36">
        <v>0</v>
      </c>
      <c r="AU36" s="3">
        <f>AU35</f>
        <v>9.4310799999999997</v>
      </c>
      <c r="BZ36" s="16"/>
      <c r="CA36" s="24"/>
      <c r="CB36" s="1"/>
      <c r="CC36" s="2"/>
    </row>
    <row r="37" spans="1:81" x14ac:dyDescent="0.25">
      <c r="A37">
        <v>3</v>
      </c>
      <c r="B37" t="s">
        <v>1</v>
      </c>
      <c r="C37">
        <v>25984</v>
      </c>
      <c r="D37">
        <v>32</v>
      </c>
      <c r="E37">
        <v>4</v>
      </c>
      <c r="F37">
        <v>4</v>
      </c>
      <c r="G37" s="16">
        <v>1354.4</v>
      </c>
      <c r="H37" s="24">
        <v>8.6361000000000008</v>
      </c>
      <c r="I37" s="1">
        <v>45477</v>
      </c>
      <c r="J37" s="37">
        <v>0.56222222222222218</v>
      </c>
      <c r="K37">
        <v>0</v>
      </c>
      <c r="L37">
        <v>0</v>
      </c>
      <c r="M37">
        <v>0</v>
      </c>
      <c r="N37">
        <v>0</v>
      </c>
      <c r="O37">
        <v>0</v>
      </c>
      <c r="P37">
        <v>0</v>
      </c>
      <c r="Q37">
        <v>0</v>
      </c>
      <c r="R37">
        <v>0</v>
      </c>
      <c r="S37">
        <v>0</v>
      </c>
      <c r="T37">
        <v>0</v>
      </c>
      <c r="U37">
        <v>0</v>
      </c>
      <c r="V37">
        <v>0</v>
      </c>
      <c r="W37" s="3">
        <f>W36</f>
        <v>8.6366999999999994</v>
      </c>
      <c r="X37" s="30"/>
      <c r="Y37">
        <v>3</v>
      </c>
      <c r="Z37" t="s">
        <v>1</v>
      </c>
      <c r="AA37">
        <v>25984</v>
      </c>
      <c r="AB37">
        <v>32</v>
      </c>
      <c r="AC37">
        <v>4</v>
      </c>
      <c r="AD37">
        <v>4</v>
      </c>
      <c r="AE37" s="16">
        <v>1241.24</v>
      </c>
      <c r="AF37" s="24">
        <v>9.4234000000000009</v>
      </c>
      <c r="AG37" s="1">
        <v>45479</v>
      </c>
      <c r="AH37" s="2">
        <v>0.19174768518518517</v>
      </c>
      <c r="AI37">
        <v>0</v>
      </c>
      <c r="AJ37">
        <v>0</v>
      </c>
      <c r="AK37">
        <v>0</v>
      </c>
      <c r="AL37">
        <v>0</v>
      </c>
      <c r="AM37">
        <v>0</v>
      </c>
      <c r="AN37">
        <v>0</v>
      </c>
      <c r="AO37">
        <v>0</v>
      </c>
      <c r="AP37">
        <v>0</v>
      </c>
      <c r="AQ37">
        <v>0</v>
      </c>
      <c r="AR37">
        <v>0</v>
      </c>
      <c r="AS37">
        <v>0</v>
      </c>
      <c r="AT37">
        <v>0</v>
      </c>
      <c r="AU37" s="3">
        <f>AU36</f>
        <v>9.4310799999999997</v>
      </c>
      <c r="BZ37" s="16"/>
      <c r="CA37" s="24"/>
      <c r="CB37" s="1"/>
      <c r="CC37" s="2"/>
    </row>
    <row r="38" spans="1:81" x14ac:dyDescent="0.25">
      <c r="A38">
        <v>4</v>
      </c>
      <c r="B38" t="s">
        <v>1</v>
      </c>
      <c r="C38">
        <v>25984</v>
      </c>
      <c r="D38">
        <v>32</v>
      </c>
      <c r="E38">
        <v>4</v>
      </c>
      <c r="F38">
        <v>4</v>
      </c>
      <c r="G38" s="16">
        <v>1352.37</v>
      </c>
      <c r="H38" s="24">
        <v>8.6491000000000007</v>
      </c>
      <c r="I38" s="1">
        <v>45477</v>
      </c>
      <c r="J38" s="37">
        <v>0.45119212962962962</v>
      </c>
      <c r="K38">
        <v>0</v>
      </c>
      <c r="L38">
        <v>0</v>
      </c>
      <c r="M38">
        <v>0</v>
      </c>
      <c r="N38">
        <v>0</v>
      </c>
      <c r="O38">
        <v>0</v>
      </c>
      <c r="P38">
        <v>0</v>
      </c>
      <c r="Q38">
        <v>0</v>
      </c>
      <c r="R38">
        <v>0</v>
      </c>
      <c r="S38">
        <v>0</v>
      </c>
      <c r="T38">
        <v>0</v>
      </c>
      <c r="U38">
        <v>0</v>
      </c>
      <c r="V38">
        <v>0</v>
      </c>
      <c r="W38" s="3">
        <f>W37</f>
        <v>8.6366999999999994</v>
      </c>
      <c r="X38" s="30"/>
      <c r="Y38">
        <v>4</v>
      </c>
      <c r="Z38" t="s">
        <v>1</v>
      </c>
      <c r="AA38">
        <v>25984</v>
      </c>
      <c r="AB38">
        <v>32</v>
      </c>
      <c r="AC38">
        <v>4</v>
      </c>
      <c r="AD38">
        <v>4</v>
      </c>
      <c r="AE38" s="16">
        <v>1241.02</v>
      </c>
      <c r="AF38" s="24">
        <v>9.4251000000000005</v>
      </c>
      <c r="AG38" s="1">
        <v>45479</v>
      </c>
      <c r="AH38" s="2">
        <v>0.70250000000000001</v>
      </c>
      <c r="AI38">
        <v>0</v>
      </c>
      <c r="AJ38">
        <v>0</v>
      </c>
      <c r="AK38">
        <v>0</v>
      </c>
      <c r="AL38">
        <v>0</v>
      </c>
      <c r="AM38">
        <v>0</v>
      </c>
      <c r="AN38">
        <v>0</v>
      </c>
      <c r="AO38">
        <v>0</v>
      </c>
      <c r="AP38">
        <v>0</v>
      </c>
      <c r="AQ38">
        <v>0</v>
      </c>
      <c r="AR38">
        <v>0</v>
      </c>
      <c r="AS38">
        <v>0</v>
      </c>
      <c r="AT38">
        <v>0</v>
      </c>
      <c r="AU38" s="3">
        <f>AU37</f>
        <v>9.4310799999999997</v>
      </c>
      <c r="BZ38" s="16"/>
      <c r="CA38" s="24"/>
      <c r="CB38" s="1"/>
      <c r="CC38" s="2"/>
    </row>
    <row r="39" spans="1:81" x14ac:dyDescent="0.25">
      <c r="A39">
        <v>0</v>
      </c>
      <c r="B39" t="s">
        <v>1</v>
      </c>
      <c r="C39">
        <v>27520</v>
      </c>
      <c r="D39">
        <v>32</v>
      </c>
      <c r="E39">
        <v>4</v>
      </c>
      <c r="F39">
        <v>4</v>
      </c>
      <c r="G39" s="16">
        <v>1600.51</v>
      </c>
      <c r="H39" s="24">
        <v>8.6821999999999999</v>
      </c>
      <c r="I39" s="1">
        <v>45481</v>
      </c>
      <c r="J39" s="37">
        <v>0.91570601851851852</v>
      </c>
      <c r="K39">
        <v>0</v>
      </c>
      <c r="L39">
        <v>0</v>
      </c>
      <c r="M39">
        <v>0</v>
      </c>
      <c r="N39">
        <v>0</v>
      </c>
      <c r="O39">
        <v>0</v>
      </c>
      <c r="P39">
        <v>0</v>
      </c>
      <c r="Q39">
        <v>0</v>
      </c>
      <c r="R39">
        <v>0</v>
      </c>
      <c r="S39">
        <v>0</v>
      </c>
      <c r="T39">
        <v>0</v>
      </c>
      <c r="U39">
        <v>0</v>
      </c>
      <c r="V39">
        <v>0</v>
      </c>
      <c r="W39" s="3">
        <f>AVERAGE(H39:H43)</f>
        <v>8.6856200000000001</v>
      </c>
      <c r="X39" s="30"/>
      <c r="Y39">
        <v>0</v>
      </c>
      <c r="Z39" t="s">
        <v>1</v>
      </c>
      <c r="AA39">
        <v>27520</v>
      </c>
      <c r="AB39">
        <v>32</v>
      </c>
      <c r="AC39">
        <v>4</v>
      </c>
      <c r="AD39">
        <v>4</v>
      </c>
      <c r="AE39" s="16">
        <v>1464.26</v>
      </c>
      <c r="AF39" s="24">
        <v>9.4901</v>
      </c>
      <c r="AG39" s="1">
        <v>45477</v>
      </c>
      <c r="AH39" s="2">
        <v>0.4992361111111111</v>
      </c>
      <c r="AI39">
        <v>0</v>
      </c>
      <c r="AJ39">
        <v>0</v>
      </c>
      <c r="AK39">
        <v>0</v>
      </c>
      <c r="AL39">
        <v>0</v>
      </c>
      <c r="AM39">
        <v>0</v>
      </c>
      <c r="AN39">
        <v>0</v>
      </c>
      <c r="AO39">
        <v>0</v>
      </c>
      <c r="AP39">
        <v>0</v>
      </c>
      <c r="AQ39">
        <v>0</v>
      </c>
      <c r="AR39">
        <v>0</v>
      </c>
      <c r="AS39">
        <v>0</v>
      </c>
      <c r="AT39">
        <v>0</v>
      </c>
      <c r="AU39" s="3">
        <f>AVERAGE(AF39:AF43)</f>
        <v>9.4862599999999979</v>
      </c>
      <c r="BZ39" s="16"/>
      <c r="CA39" s="24"/>
      <c r="CB39" s="1"/>
      <c r="CC39" s="2"/>
    </row>
    <row r="40" spans="1:81" x14ac:dyDescent="0.25">
      <c r="A40">
        <v>1</v>
      </c>
      <c r="B40" t="s">
        <v>1</v>
      </c>
      <c r="C40">
        <v>27520</v>
      </c>
      <c r="D40">
        <v>32</v>
      </c>
      <c r="E40">
        <v>4</v>
      </c>
      <c r="F40">
        <v>4</v>
      </c>
      <c r="G40" s="16">
        <v>1600.02</v>
      </c>
      <c r="H40" s="24">
        <v>8.6849000000000007</v>
      </c>
      <c r="I40" s="1">
        <v>45482</v>
      </c>
      <c r="J40" s="37">
        <v>0.42488425925925927</v>
      </c>
      <c r="K40">
        <v>0</v>
      </c>
      <c r="L40">
        <v>0</v>
      </c>
      <c r="M40">
        <v>0</v>
      </c>
      <c r="N40">
        <v>0</v>
      </c>
      <c r="O40">
        <v>0</v>
      </c>
      <c r="P40">
        <v>0</v>
      </c>
      <c r="Q40">
        <v>0</v>
      </c>
      <c r="R40">
        <v>0</v>
      </c>
      <c r="S40">
        <v>0</v>
      </c>
      <c r="T40">
        <v>0</v>
      </c>
      <c r="U40">
        <v>0</v>
      </c>
      <c r="V40">
        <v>0</v>
      </c>
      <c r="W40" s="3">
        <f>W39</f>
        <v>8.6856200000000001</v>
      </c>
      <c r="X40" s="30"/>
      <c r="Y40">
        <v>1</v>
      </c>
      <c r="Z40" t="s">
        <v>1</v>
      </c>
      <c r="AA40">
        <v>27520</v>
      </c>
      <c r="AB40">
        <v>32</v>
      </c>
      <c r="AC40">
        <v>4</v>
      </c>
      <c r="AD40">
        <v>4</v>
      </c>
      <c r="AE40" s="16">
        <v>1464.5</v>
      </c>
      <c r="AF40" s="24">
        <v>9.4885999999999999</v>
      </c>
      <c r="AG40" s="1">
        <v>45478</v>
      </c>
      <c r="AH40" s="2">
        <v>9.8263888888888897E-3</v>
      </c>
      <c r="AI40">
        <v>0</v>
      </c>
      <c r="AJ40">
        <v>0</v>
      </c>
      <c r="AK40">
        <v>0</v>
      </c>
      <c r="AL40">
        <v>0</v>
      </c>
      <c r="AM40">
        <v>0</v>
      </c>
      <c r="AN40">
        <v>0</v>
      </c>
      <c r="AO40">
        <v>0</v>
      </c>
      <c r="AP40">
        <v>0</v>
      </c>
      <c r="AQ40">
        <v>0</v>
      </c>
      <c r="AR40">
        <v>0</v>
      </c>
      <c r="AS40">
        <v>0</v>
      </c>
      <c r="AT40">
        <v>0</v>
      </c>
      <c r="AU40" s="3">
        <f>AU39</f>
        <v>9.4862599999999979</v>
      </c>
      <c r="BZ40" s="16"/>
      <c r="CA40" s="24"/>
      <c r="CB40" s="1"/>
      <c r="CC40" s="2"/>
    </row>
    <row r="41" spans="1:81" x14ac:dyDescent="0.25">
      <c r="A41">
        <v>2</v>
      </c>
      <c r="B41" t="s">
        <v>1</v>
      </c>
      <c r="C41">
        <v>27520</v>
      </c>
      <c r="D41">
        <v>32</v>
      </c>
      <c r="E41">
        <v>4</v>
      </c>
      <c r="F41">
        <v>4</v>
      </c>
      <c r="G41" s="16">
        <v>1599.02</v>
      </c>
      <c r="H41" s="24">
        <v>8.6903000000000006</v>
      </c>
      <c r="I41" s="1">
        <v>45482</v>
      </c>
      <c r="J41" s="37">
        <v>0.98157407407407404</v>
      </c>
      <c r="K41">
        <v>0</v>
      </c>
      <c r="L41">
        <v>0</v>
      </c>
      <c r="M41">
        <v>0</v>
      </c>
      <c r="N41">
        <v>0</v>
      </c>
      <c r="O41">
        <v>0</v>
      </c>
      <c r="P41">
        <v>0</v>
      </c>
      <c r="Q41">
        <v>0</v>
      </c>
      <c r="R41">
        <v>0</v>
      </c>
      <c r="S41">
        <v>0</v>
      </c>
      <c r="T41">
        <v>0</v>
      </c>
      <c r="U41">
        <v>0</v>
      </c>
      <c r="V41">
        <v>0</v>
      </c>
      <c r="W41" s="3">
        <f>W40</f>
        <v>8.6856200000000001</v>
      </c>
      <c r="X41" s="30"/>
      <c r="Y41">
        <v>2</v>
      </c>
      <c r="Z41" t="s">
        <v>1</v>
      </c>
      <c r="AA41">
        <v>27520</v>
      </c>
      <c r="AB41">
        <v>32</v>
      </c>
      <c r="AC41">
        <v>4</v>
      </c>
      <c r="AD41">
        <v>4</v>
      </c>
      <c r="AE41" s="16">
        <v>1464.94</v>
      </c>
      <c r="AF41" s="24">
        <v>9.4856999999999996</v>
      </c>
      <c r="AG41" s="1">
        <v>45478</v>
      </c>
      <c r="AH41" s="2">
        <v>0.52049768518518513</v>
      </c>
      <c r="AI41">
        <v>0</v>
      </c>
      <c r="AJ41">
        <v>0</v>
      </c>
      <c r="AK41">
        <v>0</v>
      </c>
      <c r="AL41">
        <v>0</v>
      </c>
      <c r="AM41">
        <v>0</v>
      </c>
      <c r="AN41">
        <v>0</v>
      </c>
      <c r="AO41">
        <v>0</v>
      </c>
      <c r="AP41">
        <v>0</v>
      </c>
      <c r="AQ41">
        <v>0</v>
      </c>
      <c r="AR41">
        <v>0</v>
      </c>
      <c r="AS41">
        <v>0</v>
      </c>
      <c r="AT41">
        <v>0</v>
      </c>
      <c r="AU41" s="3">
        <f>AU40</f>
        <v>9.4862599999999979</v>
      </c>
      <c r="BZ41" s="16"/>
      <c r="CA41" s="24"/>
      <c r="CB41" s="1"/>
      <c r="CC41" s="2"/>
    </row>
    <row r="42" spans="1:81" x14ac:dyDescent="0.25">
      <c r="A42">
        <v>3</v>
      </c>
      <c r="B42" t="s">
        <v>1</v>
      </c>
      <c r="C42">
        <v>27520</v>
      </c>
      <c r="D42">
        <v>32</v>
      </c>
      <c r="E42">
        <v>4</v>
      </c>
      <c r="F42">
        <v>4</v>
      </c>
      <c r="G42" s="16">
        <v>1600.33</v>
      </c>
      <c r="H42" s="24">
        <v>8.6831999999999994</v>
      </c>
      <c r="I42" s="1">
        <v>45483</v>
      </c>
      <c r="J42" s="37">
        <v>0.50665509259259256</v>
      </c>
      <c r="K42">
        <v>0</v>
      </c>
      <c r="L42">
        <v>0</v>
      </c>
      <c r="M42">
        <v>0</v>
      </c>
      <c r="N42">
        <v>0</v>
      </c>
      <c r="O42">
        <v>0</v>
      </c>
      <c r="P42">
        <v>0</v>
      </c>
      <c r="Q42">
        <v>0</v>
      </c>
      <c r="R42">
        <v>0</v>
      </c>
      <c r="S42">
        <v>0</v>
      </c>
      <c r="T42">
        <v>0</v>
      </c>
      <c r="U42">
        <v>0</v>
      </c>
      <c r="V42">
        <v>0</v>
      </c>
      <c r="W42" s="3">
        <f>W41</f>
        <v>8.6856200000000001</v>
      </c>
      <c r="X42" s="30"/>
      <c r="Y42">
        <v>3</v>
      </c>
      <c r="Z42" t="s">
        <v>1</v>
      </c>
      <c r="AA42">
        <v>27520</v>
      </c>
      <c r="AB42">
        <v>32</v>
      </c>
      <c r="AC42">
        <v>4</v>
      </c>
      <c r="AD42">
        <v>4</v>
      </c>
      <c r="AE42" s="16">
        <v>1464.6</v>
      </c>
      <c r="AF42" s="24">
        <v>9.4878999999999998</v>
      </c>
      <c r="AG42" s="1">
        <v>45479</v>
      </c>
      <c r="AH42" s="2">
        <v>3.1099537037037037E-2</v>
      </c>
      <c r="AI42">
        <v>0</v>
      </c>
      <c r="AJ42">
        <v>0</v>
      </c>
      <c r="AK42">
        <v>0</v>
      </c>
      <c r="AL42">
        <v>0</v>
      </c>
      <c r="AM42">
        <v>0</v>
      </c>
      <c r="AN42">
        <v>0</v>
      </c>
      <c r="AO42">
        <v>0</v>
      </c>
      <c r="AP42">
        <v>0</v>
      </c>
      <c r="AQ42">
        <v>0</v>
      </c>
      <c r="AR42">
        <v>0</v>
      </c>
      <c r="AS42">
        <v>0</v>
      </c>
      <c r="AT42">
        <v>0</v>
      </c>
      <c r="AU42" s="3">
        <f>AU41</f>
        <v>9.4862599999999979</v>
      </c>
      <c r="BZ42" s="16"/>
      <c r="CA42" s="24"/>
      <c r="CB42" s="1"/>
      <c r="CC42" s="2"/>
    </row>
    <row r="43" spans="1:81" x14ac:dyDescent="0.25">
      <c r="A43">
        <v>4</v>
      </c>
      <c r="B43" t="s">
        <v>1</v>
      </c>
      <c r="C43">
        <v>27520</v>
      </c>
      <c r="D43">
        <v>32</v>
      </c>
      <c r="E43">
        <v>4</v>
      </c>
      <c r="F43">
        <v>4</v>
      </c>
      <c r="G43" s="16">
        <v>1599.53</v>
      </c>
      <c r="H43" s="24">
        <v>8.6875</v>
      </c>
      <c r="I43" s="1">
        <v>45477</v>
      </c>
      <c r="J43" s="37">
        <v>0.92151620370370368</v>
      </c>
      <c r="K43">
        <v>0</v>
      </c>
      <c r="L43">
        <v>0</v>
      </c>
      <c r="M43">
        <v>0</v>
      </c>
      <c r="N43">
        <v>0</v>
      </c>
      <c r="O43">
        <v>0</v>
      </c>
      <c r="P43">
        <v>0</v>
      </c>
      <c r="Q43">
        <v>0</v>
      </c>
      <c r="R43">
        <v>0</v>
      </c>
      <c r="S43">
        <v>0</v>
      </c>
      <c r="T43">
        <v>0</v>
      </c>
      <c r="U43">
        <v>0</v>
      </c>
      <c r="V43">
        <v>0</v>
      </c>
      <c r="W43" s="3">
        <f>W42</f>
        <v>8.6856200000000001</v>
      </c>
      <c r="X43" s="30"/>
      <c r="Y43">
        <v>4</v>
      </c>
      <c r="Z43" t="s">
        <v>1</v>
      </c>
      <c r="AA43">
        <v>27520</v>
      </c>
      <c r="AB43">
        <v>32</v>
      </c>
      <c r="AC43">
        <v>4</v>
      </c>
      <c r="AD43">
        <v>4</v>
      </c>
      <c r="AE43" s="16">
        <v>1465.98</v>
      </c>
      <c r="AF43" s="24">
        <v>9.4789999999999992</v>
      </c>
      <c r="AG43" s="1">
        <v>45479</v>
      </c>
      <c r="AH43" s="2">
        <v>0.54190972222222222</v>
      </c>
      <c r="AI43">
        <v>0</v>
      </c>
      <c r="AJ43">
        <v>0</v>
      </c>
      <c r="AK43">
        <v>0</v>
      </c>
      <c r="AL43">
        <v>0</v>
      </c>
      <c r="AM43">
        <v>0</v>
      </c>
      <c r="AN43">
        <v>0</v>
      </c>
      <c r="AO43">
        <v>0</v>
      </c>
      <c r="AP43">
        <v>0</v>
      </c>
      <c r="AQ43">
        <v>0</v>
      </c>
      <c r="AR43">
        <v>0</v>
      </c>
      <c r="AS43">
        <v>0</v>
      </c>
      <c r="AT43">
        <v>0</v>
      </c>
      <c r="AU43" s="3">
        <f>AU42</f>
        <v>9.4862599999999979</v>
      </c>
      <c r="BZ43" s="16"/>
      <c r="CA43" s="24"/>
      <c r="CB43" s="1"/>
      <c r="CC43" s="2"/>
    </row>
    <row r="44" spans="1:81" x14ac:dyDescent="0.25">
      <c r="A44">
        <v>0</v>
      </c>
      <c r="B44" t="s">
        <v>1</v>
      </c>
      <c r="C44">
        <v>29056</v>
      </c>
      <c r="D44">
        <v>32</v>
      </c>
      <c r="E44">
        <v>4</v>
      </c>
      <c r="F44">
        <v>4</v>
      </c>
      <c r="G44" s="16">
        <v>1875.37</v>
      </c>
      <c r="H44" s="24">
        <v>8.7209000000000003</v>
      </c>
      <c r="I44" s="1">
        <v>45482</v>
      </c>
      <c r="J44" s="37">
        <v>0.24725694444444443</v>
      </c>
      <c r="K44">
        <v>0</v>
      </c>
      <c r="L44">
        <v>0</v>
      </c>
      <c r="M44">
        <v>0</v>
      </c>
      <c r="N44">
        <v>0</v>
      </c>
      <c r="O44">
        <v>0</v>
      </c>
      <c r="P44">
        <v>0</v>
      </c>
      <c r="Q44">
        <v>0</v>
      </c>
      <c r="R44">
        <v>0</v>
      </c>
      <c r="S44">
        <v>0</v>
      </c>
      <c r="T44">
        <v>0</v>
      </c>
      <c r="U44">
        <v>0</v>
      </c>
      <c r="V44">
        <v>0</v>
      </c>
      <c r="W44" s="3">
        <f>AVERAGE(H44:H48)</f>
        <v>8.7251200000000004</v>
      </c>
      <c r="X44" s="30"/>
      <c r="Y44">
        <v>0</v>
      </c>
      <c r="Z44" t="s">
        <v>1</v>
      </c>
      <c r="AA44">
        <v>29056</v>
      </c>
      <c r="AB44">
        <v>32</v>
      </c>
      <c r="AC44">
        <v>4</v>
      </c>
      <c r="AD44">
        <v>4</v>
      </c>
      <c r="AE44" s="16">
        <v>1714.78</v>
      </c>
      <c r="AF44" s="24">
        <v>9.5376999999999992</v>
      </c>
      <c r="AG44" s="1">
        <v>45477</v>
      </c>
      <c r="AH44" s="2">
        <v>0.82203703703703701</v>
      </c>
      <c r="AI44">
        <v>0</v>
      </c>
      <c r="AJ44">
        <v>0</v>
      </c>
      <c r="AK44">
        <v>0</v>
      </c>
      <c r="AL44">
        <v>0</v>
      </c>
      <c r="AM44">
        <v>0</v>
      </c>
      <c r="AN44">
        <v>0</v>
      </c>
      <c r="AO44">
        <v>0</v>
      </c>
      <c r="AP44">
        <v>0</v>
      </c>
      <c r="AQ44">
        <v>0</v>
      </c>
      <c r="AR44">
        <v>0</v>
      </c>
      <c r="AS44">
        <v>0</v>
      </c>
      <c r="AT44">
        <v>0</v>
      </c>
      <c r="AU44" s="3">
        <f>AVERAGE(AF44:AF48)</f>
        <v>9.5351400000000019</v>
      </c>
      <c r="BZ44" s="16"/>
      <c r="CA44" s="24"/>
      <c r="CB44" s="1"/>
      <c r="CC44" s="2"/>
    </row>
    <row r="45" spans="1:81" x14ac:dyDescent="0.25">
      <c r="A45">
        <v>1</v>
      </c>
      <c r="B45" t="s">
        <v>1</v>
      </c>
      <c r="C45">
        <v>29056</v>
      </c>
      <c r="D45">
        <v>32</v>
      </c>
      <c r="E45">
        <v>4</v>
      </c>
      <c r="F45">
        <v>4</v>
      </c>
      <c r="G45" s="16">
        <v>1875.55</v>
      </c>
      <c r="H45" s="24">
        <v>8.7201000000000004</v>
      </c>
      <c r="I45" s="1">
        <v>45482</v>
      </c>
      <c r="J45" s="37">
        <v>0.7879976851851852</v>
      </c>
      <c r="K45">
        <v>0</v>
      </c>
      <c r="L45">
        <v>0</v>
      </c>
      <c r="M45">
        <v>0</v>
      </c>
      <c r="N45">
        <v>0</v>
      </c>
      <c r="O45">
        <v>0</v>
      </c>
      <c r="P45">
        <v>0</v>
      </c>
      <c r="Q45">
        <v>0</v>
      </c>
      <c r="R45">
        <v>0</v>
      </c>
      <c r="S45">
        <v>0</v>
      </c>
      <c r="T45">
        <v>0</v>
      </c>
      <c r="U45">
        <v>0</v>
      </c>
      <c r="V45">
        <v>0</v>
      </c>
      <c r="W45" s="3">
        <f>W44</f>
        <v>8.7251200000000004</v>
      </c>
      <c r="X45" s="30"/>
      <c r="Y45">
        <v>1</v>
      </c>
      <c r="Z45" t="s">
        <v>1</v>
      </c>
      <c r="AA45">
        <v>29056</v>
      </c>
      <c r="AB45">
        <v>32</v>
      </c>
      <c r="AC45">
        <v>4</v>
      </c>
      <c r="AD45">
        <v>4</v>
      </c>
      <c r="AE45" s="16">
        <v>1715.2</v>
      </c>
      <c r="AF45" s="24">
        <v>9.5352999999999994</v>
      </c>
      <c r="AG45" s="1">
        <v>45478</v>
      </c>
      <c r="AH45" s="2">
        <v>0.33276620370370369</v>
      </c>
      <c r="AI45">
        <v>0</v>
      </c>
      <c r="AJ45">
        <v>0</v>
      </c>
      <c r="AK45">
        <v>0</v>
      </c>
      <c r="AL45">
        <v>0</v>
      </c>
      <c r="AM45">
        <v>0</v>
      </c>
      <c r="AN45">
        <v>0</v>
      </c>
      <c r="AO45">
        <v>0</v>
      </c>
      <c r="AP45">
        <v>0</v>
      </c>
      <c r="AQ45">
        <v>0</v>
      </c>
      <c r="AR45">
        <v>0</v>
      </c>
      <c r="AS45">
        <v>0</v>
      </c>
      <c r="AT45">
        <v>0</v>
      </c>
      <c r="AU45" s="3">
        <f>AU44</f>
        <v>9.5351400000000019</v>
      </c>
      <c r="BZ45" s="16"/>
      <c r="CA45" s="24"/>
      <c r="CB45" s="1"/>
      <c r="CC45" s="2"/>
    </row>
    <row r="46" spans="1:81" x14ac:dyDescent="0.25">
      <c r="A46">
        <v>2</v>
      </c>
      <c r="B46" t="s">
        <v>1</v>
      </c>
      <c r="C46">
        <v>29056</v>
      </c>
      <c r="D46">
        <v>32</v>
      </c>
      <c r="E46">
        <v>4</v>
      </c>
      <c r="F46">
        <v>4</v>
      </c>
      <c r="G46" s="16">
        <v>1872.92</v>
      </c>
      <c r="H46" s="24">
        <v>8.7323000000000004</v>
      </c>
      <c r="I46" s="1">
        <v>45483</v>
      </c>
      <c r="J46" s="37">
        <v>0.31312499999999999</v>
      </c>
      <c r="K46">
        <v>0</v>
      </c>
      <c r="L46">
        <v>0</v>
      </c>
      <c r="M46">
        <v>0</v>
      </c>
      <c r="N46">
        <v>0</v>
      </c>
      <c r="O46">
        <v>0</v>
      </c>
      <c r="P46">
        <v>0</v>
      </c>
      <c r="Q46">
        <v>0</v>
      </c>
      <c r="R46">
        <v>0</v>
      </c>
      <c r="S46">
        <v>0</v>
      </c>
      <c r="T46">
        <v>0</v>
      </c>
      <c r="U46">
        <v>0</v>
      </c>
      <c r="V46">
        <v>0</v>
      </c>
      <c r="W46" s="3">
        <f>W45</f>
        <v>8.7251200000000004</v>
      </c>
      <c r="X46" s="30"/>
      <c r="Y46">
        <v>2</v>
      </c>
      <c r="Z46" t="s">
        <v>1</v>
      </c>
      <c r="AA46">
        <v>29056</v>
      </c>
      <c r="AB46">
        <v>32</v>
      </c>
      <c r="AC46">
        <v>4</v>
      </c>
      <c r="AD46">
        <v>4</v>
      </c>
      <c r="AE46" s="16">
        <v>1714.64</v>
      </c>
      <c r="AF46" s="24">
        <v>9.5383999999999993</v>
      </c>
      <c r="AG46" s="1">
        <v>45478</v>
      </c>
      <c r="AH46" s="2">
        <v>0.84348379629629633</v>
      </c>
      <c r="AI46">
        <v>0</v>
      </c>
      <c r="AJ46">
        <v>0</v>
      </c>
      <c r="AK46">
        <v>0</v>
      </c>
      <c r="AL46">
        <v>0</v>
      </c>
      <c r="AM46">
        <v>0</v>
      </c>
      <c r="AN46">
        <v>0</v>
      </c>
      <c r="AO46">
        <v>0</v>
      </c>
      <c r="AP46">
        <v>0</v>
      </c>
      <c r="AQ46">
        <v>0</v>
      </c>
      <c r="AR46">
        <v>0</v>
      </c>
      <c r="AS46">
        <v>0</v>
      </c>
      <c r="AT46">
        <v>0</v>
      </c>
      <c r="AU46" s="3">
        <f>AU45</f>
        <v>9.5351400000000019</v>
      </c>
      <c r="BZ46" s="16"/>
      <c r="CA46" s="24"/>
      <c r="CB46" s="1"/>
      <c r="CC46" s="2"/>
    </row>
    <row r="47" spans="1:81" x14ac:dyDescent="0.25">
      <c r="A47">
        <v>3</v>
      </c>
      <c r="B47" t="s">
        <v>1</v>
      </c>
      <c r="C47">
        <v>29056</v>
      </c>
      <c r="D47">
        <v>32</v>
      </c>
      <c r="E47">
        <v>4</v>
      </c>
      <c r="F47">
        <v>4</v>
      </c>
      <c r="G47" s="16">
        <v>1875.82</v>
      </c>
      <c r="H47" s="24">
        <v>8.7187999999999999</v>
      </c>
      <c r="I47" s="1">
        <v>45477</v>
      </c>
      <c r="J47" s="37">
        <v>0.72802083333333334</v>
      </c>
      <c r="K47">
        <v>0</v>
      </c>
      <c r="L47">
        <v>0</v>
      </c>
      <c r="M47">
        <v>0</v>
      </c>
      <c r="N47">
        <v>0</v>
      </c>
      <c r="O47">
        <v>0</v>
      </c>
      <c r="P47">
        <v>0</v>
      </c>
      <c r="Q47">
        <v>0</v>
      </c>
      <c r="R47">
        <v>0</v>
      </c>
      <c r="S47">
        <v>0</v>
      </c>
      <c r="T47">
        <v>0</v>
      </c>
      <c r="U47">
        <v>0</v>
      </c>
      <c r="V47">
        <v>0</v>
      </c>
      <c r="W47" s="3">
        <f>W46</f>
        <v>8.7251200000000004</v>
      </c>
      <c r="X47" s="30"/>
      <c r="Y47">
        <v>3</v>
      </c>
      <c r="Z47" t="s">
        <v>1</v>
      </c>
      <c r="AA47">
        <v>29056</v>
      </c>
      <c r="AB47">
        <v>32</v>
      </c>
      <c r="AC47">
        <v>4</v>
      </c>
      <c r="AD47">
        <v>4</v>
      </c>
      <c r="AE47" s="16">
        <v>1715.17</v>
      </c>
      <c r="AF47" s="24">
        <v>9.5355000000000008</v>
      </c>
      <c r="AG47" s="1">
        <v>45479</v>
      </c>
      <c r="AH47" s="2">
        <v>0.35415509259259259</v>
      </c>
      <c r="AI47">
        <v>0</v>
      </c>
      <c r="AJ47">
        <v>0</v>
      </c>
      <c r="AK47">
        <v>0</v>
      </c>
      <c r="AL47">
        <v>0</v>
      </c>
      <c r="AM47">
        <v>0</v>
      </c>
      <c r="AN47">
        <v>0</v>
      </c>
      <c r="AO47">
        <v>0</v>
      </c>
      <c r="AP47">
        <v>0</v>
      </c>
      <c r="AQ47">
        <v>0</v>
      </c>
      <c r="AR47">
        <v>0</v>
      </c>
      <c r="AS47">
        <v>0</v>
      </c>
      <c r="AT47">
        <v>0</v>
      </c>
      <c r="AU47" s="3">
        <f>AU46</f>
        <v>9.5351400000000019</v>
      </c>
      <c r="BZ47" s="16"/>
      <c r="CA47" s="24"/>
      <c r="CB47" s="1"/>
      <c r="CC47" s="2"/>
    </row>
    <row r="48" spans="1:81" x14ac:dyDescent="0.25">
      <c r="A48">
        <v>4</v>
      </c>
      <c r="B48" t="s">
        <v>1</v>
      </c>
      <c r="C48">
        <v>29056</v>
      </c>
      <c r="D48">
        <v>32</v>
      </c>
      <c r="E48">
        <v>4</v>
      </c>
      <c r="F48">
        <v>4</v>
      </c>
      <c r="G48" s="16">
        <v>1872.67</v>
      </c>
      <c r="H48" s="24">
        <v>8.7334999999999994</v>
      </c>
      <c r="I48" s="1">
        <v>45477</v>
      </c>
      <c r="J48" s="37">
        <v>0.61686342592592591</v>
      </c>
      <c r="K48">
        <v>0</v>
      </c>
      <c r="L48">
        <v>0</v>
      </c>
      <c r="M48">
        <v>0</v>
      </c>
      <c r="N48">
        <v>0</v>
      </c>
      <c r="O48">
        <v>0</v>
      </c>
      <c r="P48">
        <v>0</v>
      </c>
      <c r="Q48">
        <v>0</v>
      </c>
      <c r="R48">
        <v>0</v>
      </c>
      <c r="S48">
        <v>0</v>
      </c>
      <c r="T48">
        <v>0</v>
      </c>
      <c r="U48">
        <v>0</v>
      </c>
      <c r="V48">
        <v>0</v>
      </c>
      <c r="W48" s="3">
        <f>W47</f>
        <v>8.7251200000000004</v>
      </c>
      <c r="X48" s="30"/>
      <c r="Y48">
        <v>4</v>
      </c>
      <c r="Z48" t="s">
        <v>1</v>
      </c>
      <c r="AA48">
        <v>29056</v>
      </c>
      <c r="AB48">
        <v>32</v>
      </c>
      <c r="AC48">
        <v>4</v>
      </c>
      <c r="AD48">
        <v>4</v>
      </c>
      <c r="AE48" s="16">
        <v>1716.38</v>
      </c>
      <c r="AF48" s="24">
        <v>9.5288000000000004</v>
      </c>
      <c r="AG48" s="1">
        <v>45479</v>
      </c>
      <c r="AH48" s="2">
        <v>0.86490740740740746</v>
      </c>
      <c r="AI48">
        <v>0</v>
      </c>
      <c r="AJ48">
        <v>0</v>
      </c>
      <c r="AK48">
        <v>0</v>
      </c>
      <c r="AL48">
        <v>0</v>
      </c>
      <c r="AM48">
        <v>0</v>
      </c>
      <c r="AN48">
        <v>0</v>
      </c>
      <c r="AO48">
        <v>0</v>
      </c>
      <c r="AP48">
        <v>0</v>
      </c>
      <c r="AQ48">
        <v>0</v>
      </c>
      <c r="AR48">
        <v>0</v>
      </c>
      <c r="AS48">
        <v>0</v>
      </c>
      <c r="AT48">
        <v>0</v>
      </c>
      <c r="AU48" s="3">
        <f>AU47</f>
        <v>9.5351400000000019</v>
      </c>
      <c r="BZ48" s="16"/>
      <c r="CA48" s="24"/>
      <c r="CB48" s="1"/>
      <c r="CC48" s="2"/>
    </row>
    <row r="49" spans="1:47" x14ac:dyDescent="0.25">
      <c r="A49">
        <v>0</v>
      </c>
      <c r="B49" t="s">
        <v>1</v>
      </c>
      <c r="C49">
        <v>25984</v>
      </c>
      <c r="D49">
        <v>64</v>
      </c>
      <c r="E49">
        <v>1</v>
      </c>
      <c r="F49">
        <v>16</v>
      </c>
      <c r="G49" s="16">
        <v>1399.54</v>
      </c>
      <c r="H49" s="24">
        <v>8.3575999999999997</v>
      </c>
      <c r="I49" s="1">
        <v>45482</v>
      </c>
      <c r="J49" s="37">
        <v>9.7893518518518519E-2</v>
      </c>
      <c r="K49">
        <v>0</v>
      </c>
      <c r="L49">
        <v>0</v>
      </c>
      <c r="M49">
        <v>0</v>
      </c>
      <c r="N49">
        <v>0</v>
      </c>
      <c r="O49">
        <v>0</v>
      </c>
      <c r="P49">
        <v>0</v>
      </c>
      <c r="Q49">
        <v>0</v>
      </c>
      <c r="R49">
        <v>0</v>
      </c>
      <c r="S49">
        <v>0</v>
      </c>
      <c r="T49">
        <v>0</v>
      </c>
      <c r="U49">
        <v>0</v>
      </c>
      <c r="V49">
        <v>0</v>
      </c>
      <c r="W49" s="3">
        <f>AVERAGE(H49:H53)</f>
        <v>8.3583599999999993</v>
      </c>
      <c r="X49" s="30"/>
      <c r="Y49">
        <v>0</v>
      </c>
      <c r="Z49" t="s">
        <v>1</v>
      </c>
      <c r="AA49">
        <v>25984</v>
      </c>
      <c r="AB49">
        <v>64</v>
      </c>
      <c r="AC49">
        <v>1</v>
      </c>
      <c r="AD49">
        <v>16</v>
      </c>
      <c r="AE49" s="16">
        <v>1205.1099999999999</v>
      </c>
      <c r="AF49" s="3">
        <v>9.7058999999999997</v>
      </c>
      <c r="AG49" s="1">
        <v>45477</v>
      </c>
      <c r="AH49" s="2">
        <v>0.65186342592592594</v>
      </c>
      <c r="AI49">
        <v>0</v>
      </c>
      <c r="AJ49">
        <v>0</v>
      </c>
      <c r="AK49">
        <v>0</v>
      </c>
      <c r="AL49">
        <v>0</v>
      </c>
      <c r="AM49">
        <v>0</v>
      </c>
      <c r="AN49">
        <v>0</v>
      </c>
      <c r="AO49">
        <v>0</v>
      </c>
      <c r="AP49">
        <v>0</v>
      </c>
      <c r="AQ49">
        <v>0</v>
      </c>
      <c r="AR49">
        <v>0</v>
      </c>
      <c r="AS49">
        <v>0</v>
      </c>
      <c r="AT49">
        <v>0</v>
      </c>
      <c r="AU49" s="3">
        <f>AVERAGE(AF49:AF53)</f>
        <v>9.7086999999999986</v>
      </c>
    </row>
    <row r="50" spans="1:47" x14ac:dyDescent="0.25">
      <c r="A50">
        <v>1</v>
      </c>
      <c r="B50" t="s">
        <v>1</v>
      </c>
      <c r="C50">
        <v>25984</v>
      </c>
      <c r="D50">
        <v>64</v>
      </c>
      <c r="E50">
        <v>1</v>
      </c>
      <c r="F50">
        <v>16</v>
      </c>
      <c r="G50" s="16">
        <v>1399.75</v>
      </c>
      <c r="H50" s="24">
        <v>8.3562999999999992</v>
      </c>
      <c r="I50" s="1">
        <v>45482</v>
      </c>
      <c r="J50" s="37">
        <v>0.60704861111111108</v>
      </c>
      <c r="K50">
        <v>0</v>
      </c>
      <c r="L50">
        <v>0</v>
      </c>
      <c r="M50">
        <v>0</v>
      </c>
      <c r="N50">
        <v>0</v>
      </c>
      <c r="O50">
        <v>0</v>
      </c>
      <c r="P50">
        <v>0</v>
      </c>
      <c r="Q50">
        <v>0</v>
      </c>
      <c r="R50">
        <v>0</v>
      </c>
      <c r="S50">
        <v>0</v>
      </c>
      <c r="T50">
        <v>0</v>
      </c>
      <c r="U50">
        <v>0</v>
      </c>
      <c r="V50">
        <v>0</v>
      </c>
      <c r="W50" s="3">
        <f>W49</f>
        <v>8.3583599999999993</v>
      </c>
      <c r="X50" s="30"/>
      <c r="Y50">
        <v>1</v>
      </c>
      <c r="Z50" t="s">
        <v>1</v>
      </c>
      <c r="AA50">
        <v>25984</v>
      </c>
      <c r="AB50">
        <v>64</v>
      </c>
      <c r="AC50">
        <v>1</v>
      </c>
      <c r="AD50">
        <v>16</v>
      </c>
      <c r="AE50" s="16">
        <v>1203.72</v>
      </c>
      <c r="AF50" s="3">
        <v>9.7172000000000001</v>
      </c>
      <c r="AG50" s="1">
        <v>45477</v>
      </c>
      <c r="AH50" s="2">
        <v>0.81287037037037035</v>
      </c>
      <c r="AI50">
        <v>0</v>
      </c>
      <c r="AJ50">
        <v>0</v>
      </c>
      <c r="AK50">
        <v>0</v>
      </c>
      <c r="AL50">
        <v>0</v>
      </c>
      <c r="AM50">
        <v>0</v>
      </c>
      <c r="AN50">
        <v>0</v>
      </c>
      <c r="AO50">
        <v>0</v>
      </c>
      <c r="AP50">
        <v>0</v>
      </c>
      <c r="AQ50">
        <v>0</v>
      </c>
      <c r="AR50">
        <v>0</v>
      </c>
      <c r="AS50">
        <v>0</v>
      </c>
      <c r="AT50">
        <v>0</v>
      </c>
      <c r="AU50" s="3">
        <f>AU49</f>
        <v>9.7086999999999986</v>
      </c>
    </row>
    <row r="51" spans="1:47" x14ac:dyDescent="0.25">
      <c r="A51">
        <v>2</v>
      </c>
      <c r="B51" t="s">
        <v>1</v>
      </c>
      <c r="C51">
        <v>25984</v>
      </c>
      <c r="D51">
        <v>64</v>
      </c>
      <c r="E51">
        <v>1</v>
      </c>
      <c r="F51">
        <v>16</v>
      </c>
      <c r="G51" s="16">
        <v>1400.21</v>
      </c>
      <c r="H51" s="24">
        <v>8.3536000000000001</v>
      </c>
      <c r="I51" s="1">
        <v>45483</v>
      </c>
      <c r="J51" s="37">
        <v>0.16375000000000001</v>
      </c>
      <c r="K51">
        <v>0</v>
      </c>
      <c r="L51">
        <v>0</v>
      </c>
      <c r="M51">
        <v>0</v>
      </c>
      <c r="N51">
        <v>0</v>
      </c>
      <c r="O51">
        <v>0</v>
      </c>
      <c r="P51">
        <v>0</v>
      </c>
      <c r="Q51">
        <v>0</v>
      </c>
      <c r="R51">
        <v>0</v>
      </c>
      <c r="S51">
        <v>0</v>
      </c>
      <c r="T51">
        <v>0</v>
      </c>
      <c r="U51">
        <v>0</v>
      </c>
      <c r="V51">
        <v>0</v>
      </c>
      <c r="W51" s="3">
        <f>W50</f>
        <v>8.3583599999999993</v>
      </c>
      <c r="X51" s="30"/>
      <c r="Y51">
        <v>2</v>
      </c>
      <c r="Z51" t="s">
        <v>1</v>
      </c>
      <c r="AA51">
        <v>25984</v>
      </c>
      <c r="AB51">
        <v>64</v>
      </c>
      <c r="AC51">
        <v>1</v>
      </c>
      <c r="AD51">
        <v>16</v>
      </c>
      <c r="AE51" s="16">
        <v>1204.81</v>
      </c>
      <c r="AF51" s="3">
        <v>9.7083999999999993</v>
      </c>
      <c r="AG51" s="1">
        <v>45477</v>
      </c>
      <c r="AH51" s="2">
        <v>0.97393518518518518</v>
      </c>
      <c r="AI51">
        <v>0</v>
      </c>
      <c r="AJ51">
        <v>0</v>
      </c>
      <c r="AK51">
        <v>0</v>
      </c>
      <c r="AL51">
        <v>0</v>
      </c>
      <c r="AM51">
        <v>0</v>
      </c>
      <c r="AN51">
        <v>0</v>
      </c>
      <c r="AO51">
        <v>0</v>
      </c>
      <c r="AP51">
        <v>0</v>
      </c>
      <c r="AQ51">
        <v>0</v>
      </c>
      <c r="AR51">
        <v>0</v>
      </c>
      <c r="AS51">
        <v>0</v>
      </c>
      <c r="AT51">
        <v>0</v>
      </c>
      <c r="AU51" s="3">
        <f>AU50</f>
        <v>9.7086999999999986</v>
      </c>
    </row>
    <row r="52" spans="1:47" x14ac:dyDescent="0.25">
      <c r="A52">
        <v>3</v>
      </c>
      <c r="B52" t="s">
        <v>1</v>
      </c>
      <c r="C52">
        <v>25984</v>
      </c>
      <c r="D52">
        <v>64</v>
      </c>
      <c r="E52">
        <v>1</v>
      </c>
      <c r="F52">
        <v>16</v>
      </c>
      <c r="G52" s="16">
        <v>1399.36</v>
      </c>
      <c r="H52" s="24">
        <v>8.3585999999999991</v>
      </c>
      <c r="I52" s="1">
        <v>45477</v>
      </c>
      <c r="J52" s="37">
        <v>0.57873842592592595</v>
      </c>
      <c r="K52">
        <v>0</v>
      </c>
      <c r="L52">
        <v>0</v>
      </c>
      <c r="M52">
        <v>0</v>
      </c>
      <c r="N52">
        <v>0</v>
      </c>
      <c r="O52">
        <v>0</v>
      </c>
      <c r="P52">
        <v>0</v>
      </c>
      <c r="Q52">
        <v>0</v>
      </c>
      <c r="R52">
        <v>0</v>
      </c>
      <c r="S52">
        <v>0</v>
      </c>
      <c r="T52">
        <v>0</v>
      </c>
      <c r="U52">
        <v>0</v>
      </c>
      <c r="V52">
        <v>0</v>
      </c>
      <c r="W52" s="3">
        <f>W51</f>
        <v>8.3583599999999993</v>
      </c>
      <c r="X52" s="30"/>
      <c r="Y52">
        <v>3</v>
      </c>
      <c r="Z52" t="s">
        <v>1</v>
      </c>
      <c r="AA52">
        <v>25984</v>
      </c>
      <c r="AB52">
        <v>64</v>
      </c>
      <c r="AC52">
        <v>1</v>
      </c>
      <c r="AD52">
        <v>16</v>
      </c>
      <c r="AE52" s="16">
        <v>1206.1300000000001</v>
      </c>
      <c r="AF52" s="3">
        <v>9.6978000000000009</v>
      </c>
      <c r="AG52" s="1">
        <v>45478</v>
      </c>
      <c r="AH52" s="2">
        <v>0.13500000000000001</v>
      </c>
      <c r="AI52">
        <v>0</v>
      </c>
      <c r="AJ52">
        <v>0</v>
      </c>
      <c r="AK52">
        <v>0</v>
      </c>
      <c r="AL52">
        <v>0</v>
      </c>
      <c r="AM52">
        <v>0</v>
      </c>
      <c r="AN52">
        <v>0</v>
      </c>
      <c r="AO52">
        <v>0</v>
      </c>
      <c r="AP52">
        <v>0</v>
      </c>
      <c r="AQ52">
        <v>0</v>
      </c>
      <c r="AR52">
        <v>0</v>
      </c>
      <c r="AS52">
        <v>0</v>
      </c>
      <c r="AT52">
        <v>0</v>
      </c>
      <c r="AU52" s="3">
        <f>AU51</f>
        <v>9.7086999999999986</v>
      </c>
    </row>
    <row r="53" spans="1:47" x14ac:dyDescent="0.25">
      <c r="A53">
        <v>4</v>
      </c>
      <c r="B53" t="s">
        <v>1</v>
      </c>
      <c r="C53">
        <v>25984</v>
      </c>
      <c r="D53">
        <v>64</v>
      </c>
      <c r="E53">
        <v>1</v>
      </c>
      <c r="F53">
        <v>16</v>
      </c>
      <c r="G53" s="16">
        <v>1398.17</v>
      </c>
      <c r="H53" s="24">
        <v>8.3657000000000004</v>
      </c>
      <c r="I53" s="1">
        <v>45477</v>
      </c>
      <c r="J53" s="37">
        <v>0.46769675925925924</v>
      </c>
      <c r="K53">
        <v>0</v>
      </c>
      <c r="L53">
        <v>0</v>
      </c>
      <c r="M53">
        <v>0</v>
      </c>
      <c r="N53">
        <v>0</v>
      </c>
      <c r="O53">
        <v>0</v>
      </c>
      <c r="P53">
        <v>0</v>
      </c>
      <c r="Q53">
        <v>0</v>
      </c>
      <c r="R53">
        <v>0</v>
      </c>
      <c r="S53">
        <v>0</v>
      </c>
      <c r="T53">
        <v>0</v>
      </c>
      <c r="U53">
        <v>0</v>
      </c>
      <c r="V53">
        <v>0</v>
      </c>
      <c r="W53" s="3">
        <f>W52</f>
        <v>8.3583599999999993</v>
      </c>
      <c r="X53" s="30"/>
      <c r="Y53">
        <v>4</v>
      </c>
      <c r="Z53" t="s">
        <v>1</v>
      </c>
      <c r="AA53">
        <v>25984</v>
      </c>
      <c r="AB53">
        <v>64</v>
      </c>
      <c r="AC53">
        <v>1</v>
      </c>
      <c r="AD53">
        <v>16</v>
      </c>
      <c r="AE53" s="16">
        <v>1204.0899999999999</v>
      </c>
      <c r="AF53" s="3">
        <v>9.7141999999999999</v>
      </c>
      <c r="AG53" s="1">
        <v>45478</v>
      </c>
      <c r="AH53" s="2">
        <v>0.29606481481481484</v>
      </c>
      <c r="AI53">
        <v>0</v>
      </c>
      <c r="AJ53">
        <v>0</v>
      </c>
      <c r="AK53">
        <v>0</v>
      </c>
      <c r="AL53">
        <v>0</v>
      </c>
      <c r="AM53">
        <v>0</v>
      </c>
      <c r="AN53">
        <v>0</v>
      </c>
      <c r="AO53">
        <v>0</v>
      </c>
      <c r="AP53">
        <v>0</v>
      </c>
      <c r="AQ53">
        <v>0</v>
      </c>
      <c r="AR53">
        <v>0</v>
      </c>
      <c r="AS53">
        <v>0</v>
      </c>
      <c r="AT53">
        <v>0</v>
      </c>
      <c r="AU53" s="3">
        <f>AU52</f>
        <v>9.7086999999999986</v>
      </c>
    </row>
    <row r="54" spans="1:47" x14ac:dyDescent="0.25">
      <c r="A54">
        <v>0</v>
      </c>
      <c r="B54" t="s">
        <v>1</v>
      </c>
      <c r="C54">
        <v>27520</v>
      </c>
      <c r="D54">
        <v>64</v>
      </c>
      <c r="E54">
        <v>1</v>
      </c>
      <c r="F54">
        <v>16</v>
      </c>
      <c r="G54" s="16">
        <v>1659.43</v>
      </c>
      <c r="H54" s="24">
        <v>8.3739000000000008</v>
      </c>
      <c r="I54" s="1">
        <v>45481</v>
      </c>
      <c r="J54" s="37">
        <v>0.93526620370370372</v>
      </c>
      <c r="K54">
        <v>0</v>
      </c>
      <c r="L54">
        <v>0</v>
      </c>
      <c r="M54">
        <v>0</v>
      </c>
      <c r="N54">
        <v>0</v>
      </c>
      <c r="O54">
        <v>0</v>
      </c>
      <c r="P54">
        <v>0</v>
      </c>
      <c r="Q54">
        <v>0</v>
      </c>
      <c r="R54">
        <v>0</v>
      </c>
      <c r="S54">
        <v>0</v>
      </c>
      <c r="T54">
        <v>0</v>
      </c>
      <c r="U54">
        <v>0</v>
      </c>
      <c r="V54">
        <v>0</v>
      </c>
      <c r="W54" s="3">
        <f>AVERAGE(H54:H58)</f>
        <v>8.3760999999999992</v>
      </c>
      <c r="X54" s="30"/>
      <c r="Y54">
        <v>0</v>
      </c>
      <c r="Z54" t="s">
        <v>1</v>
      </c>
      <c r="AA54">
        <v>27520</v>
      </c>
      <c r="AB54">
        <v>64</v>
      </c>
      <c r="AC54">
        <v>1</v>
      </c>
      <c r="AD54">
        <v>16</v>
      </c>
      <c r="AE54" s="16">
        <v>1424.83</v>
      </c>
      <c r="AF54" s="3">
        <v>9.7527000000000008</v>
      </c>
      <c r="AG54" s="1">
        <v>45477</v>
      </c>
      <c r="AH54" s="2">
        <v>0.60116898148148146</v>
      </c>
      <c r="AI54">
        <v>0</v>
      </c>
      <c r="AJ54">
        <v>0</v>
      </c>
      <c r="AK54">
        <v>0</v>
      </c>
      <c r="AL54">
        <v>0</v>
      </c>
      <c r="AM54">
        <v>0</v>
      </c>
      <c r="AN54">
        <v>0</v>
      </c>
      <c r="AO54">
        <v>0</v>
      </c>
      <c r="AP54">
        <v>0</v>
      </c>
      <c r="AQ54">
        <v>0</v>
      </c>
      <c r="AR54">
        <v>0</v>
      </c>
      <c r="AS54">
        <v>0</v>
      </c>
      <c r="AT54">
        <v>0</v>
      </c>
      <c r="AU54" s="3">
        <f>AVERAGE(AF54:AF58)</f>
        <v>9.7481799999999996</v>
      </c>
    </row>
    <row r="55" spans="1:47" x14ac:dyDescent="0.25">
      <c r="A55">
        <v>1</v>
      </c>
      <c r="B55" t="s">
        <v>1</v>
      </c>
      <c r="C55">
        <v>27520</v>
      </c>
      <c r="D55">
        <v>64</v>
      </c>
      <c r="E55">
        <v>1</v>
      </c>
      <c r="F55">
        <v>16</v>
      </c>
      <c r="G55" s="16">
        <v>1659.41</v>
      </c>
      <c r="H55" s="24">
        <v>8.3741000000000003</v>
      </c>
      <c r="I55" s="1">
        <v>45482</v>
      </c>
      <c r="J55" s="37">
        <v>0.44444444444444442</v>
      </c>
      <c r="K55">
        <v>0</v>
      </c>
      <c r="L55">
        <v>0</v>
      </c>
      <c r="M55">
        <v>0</v>
      </c>
      <c r="N55">
        <v>0</v>
      </c>
      <c r="O55">
        <v>0</v>
      </c>
      <c r="P55">
        <v>0</v>
      </c>
      <c r="Q55">
        <v>0</v>
      </c>
      <c r="R55">
        <v>0</v>
      </c>
      <c r="S55">
        <v>0</v>
      </c>
      <c r="T55">
        <v>0</v>
      </c>
      <c r="U55">
        <v>0</v>
      </c>
      <c r="V55">
        <v>0</v>
      </c>
      <c r="W55" s="3">
        <f>W54</f>
        <v>8.3760999999999992</v>
      </c>
      <c r="X55" s="30"/>
      <c r="Y55">
        <v>1</v>
      </c>
      <c r="Z55" t="s">
        <v>1</v>
      </c>
      <c r="AA55">
        <v>27520</v>
      </c>
      <c r="AB55">
        <v>64</v>
      </c>
      <c r="AC55">
        <v>1</v>
      </c>
      <c r="AD55">
        <v>16</v>
      </c>
      <c r="AE55" s="16">
        <v>1423.48</v>
      </c>
      <c r="AF55" s="3">
        <v>9.7620000000000005</v>
      </c>
      <c r="AG55" s="1">
        <v>45477</v>
      </c>
      <c r="AH55" s="2">
        <v>0.76218750000000002</v>
      </c>
      <c r="AI55">
        <v>0</v>
      </c>
      <c r="AJ55">
        <v>0</v>
      </c>
      <c r="AK55">
        <v>0</v>
      </c>
      <c r="AL55">
        <v>0</v>
      </c>
      <c r="AM55">
        <v>0</v>
      </c>
      <c r="AN55">
        <v>0</v>
      </c>
      <c r="AO55">
        <v>0</v>
      </c>
      <c r="AP55">
        <v>0</v>
      </c>
      <c r="AQ55">
        <v>0</v>
      </c>
      <c r="AR55">
        <v>0</v>
      </c>
      <c r="AS55">
        <v>0</v>
      </c>
      <c r="AT55">
        <v>0</v>
      </c>
      <c r="AU55" s="3">
        <f>AU54</f>
        <v>9.7481799999999996</v>
      </c>
    </row>
    <row r="56" spans="1:47" x14ac:dyDescent="0.25">
      <c r="A56">
        <v>2</v>
      </c>
      <c r="B56" t="s">
        <v>1</v>
      </c>
      <c r="C56">
        <v>27520</v>
      </c>
      <c r="D56">
        <v>64</v>
      </c>
      <c r="E56">
        <v>1</v>
      </c>
      <c r="F56">
        <v>16</v>
      </c>
      <c r="G56" s="16">
        <v>1659.91</v>
      </c>
      <c r="H56" s="24">
        <v>8.3714999999999993</v>
      </c>
      <c r="I56" s="1">
        <v>45483</v>
      </c>
      <c r="J56" s="37">
        <v>1.1342592592592593E-3</v>
      </c>
      <c r="K56">
        <v>0</v>
      </c>
      <c r="L56">
        <v>0</v>
      </c>
      <c r="M56">
        <v>0</v>
      </c>
      <c r="N56">
        <v>0</v>
      </c>
      <c r="O56">
        <v>0</v>
      </c>
      <c r="P56">
        <v>0</v>
      </c>
      <c r="Q56">
        <v>0</v>
      </c>
      <c r="R56">
        <v>0</v>
      </c>
      <c r="S56">
        <v>0</v>
      </c>
      <c r="T56">
        <v>0</v>
      </c>
      <c r="U56">
        <v>0</v>
      </c>
      <c r="V56">
        <v>0</v>
      </c>
      <c r="W56" s="3">
        <f>W55</f>
        <v>8.3760999999999992</v>
      </c>
      <c r="X56" s="30"/>
      <c r="Y56">
        <v>2</v>
      </c>
      <c r="Z56" t="s">
        <v>1</v>
      </c>
      <c r="AA56">
        <v>27520</v>
      </c>
      <c r="AB56">
        <v>64</v>
      </c>
      <c r="AC56">
        <v>1</v>
      </c>
      <c r="AD56">
        <v>16</v>
      </c>
      <c r="AE56" s="16">
        <v>1426.62</v>
      </c>
      <c r="AF56" s="3">
        <v>9.7405000000000008</v>
      </c>
      <c r="AG56" s="1">
        <v>45477</v>
      </c>
      <c r="AH56" s="2">
        <v>0.92321759259259262</v>
      </c>
      <c r="AI56">
        <v>0</v>
      </c>
      <c r="AJ56">
        <v>0</v>
      </c>
      <c r="AK56">
        <v>0</v>
      </c>
      <c r="AL56">
        <v>0</v>
      </c>
      <c r="AM56">
        <v>0</v>
      </c>
      <c r="AN56">
        <v>0</v>
      </c>
      <c r="AO56">
        <v>0</v>
      </c>
      <c r="AP56">
        <v>0</v>
      </c>
      <c r="AQ56">
        <v>0</v>
      </c>
      <c r="AR56">
        <v>0</v>
      </c>
      <c r="AS56">
        <v>0</v>
      </c>
      <c r="AT56">
        <v>0</v>
      </c>
      <c r="AU56" s="3">
        <f>AU55</f>
        <v>9.7481799999999996</v>
      </c>
    </row>
    <row r="57" spans="1:47" x14ac:dyDescent="0.25">
      <c r="A57">
        <v>3</v>
      </c>
      <c r="B57" t="s">
        <v>1</v>
      </c>
      <c r="C57">
        <v>27520</v>
      </c>
      <c r="D57">
        <v>64</v>
      </c>
      <c r="E57">
        <v>1</v>
      </c>
      <c r="F57">
        <v>16</v>
      </c>
      <c r="G57" s="16">
        <v>1658.06</v>
      </c>
      <c r="H57" s="24">
        <v>8.3809000000000005</v>
      </c>
      <c r="I57" s="1">
        <v>45483</v>
      </c>
      <c r="J57" s="37">
        <v>0.52620370370370373</v>
      </c>
      <c r="K57">
        <v>0</v>
      </c>
      <c r="L57">
        <v>0</v>
      </c>
      <c r="M57">
        <v>0</v>
      </c>
      <c r="N57">
        <v>0</v>
      </c>
      <c r="O57">
        <v>0</v>
      </c>
      <c r="P57">
        <v>0</v>
      </c>
      <c r="Q57">
        <v>0</v>
      </c>
      <c r="R57">
        <v>0</v>
      </c>
      <c r="S57">
        <v>0</v>
      </c>
      <c r="T57">
        <v>0</v>
      </c>
      <c r="U57">
        <v>0</v>
      </c>
      <c r="V57">
        <v>0</v>
      </c>
      <c r="W57" s="3">
        <f>W56</f>
        <v>8.3760999999999992</v>
      </c>
      <c r="X57" s="30"/>
      <c r="Y57">
        <v>3</v>
      </c>
      <c r="Z57" t="s">
        <v>1</v>
      </c>
      <c r="AA57">
        <v>27520</v>
      </c>
      <c r="AB57">
        <v>64</v>
      </c>
      <c r="AC57">
        <v>1</v>
      </c>
      <c r="AD57">
        <v>16</v>
      </c>
      <c r="AE57" s="16">
        <v>1425.99</v>
      </c>
      <c r="AF57" s="3">
        <v>9.7447999999999997</v>
      </c>
      <c r="AG57" s="1">
        <v>45478</v>
      </c>
      <c r="AH57" s="2">
        <v>8.4293981481481484E-2</v>
      </c>
      <c r="AI57">
        <v>0</v>
      </c>
      <c r="AJ57">
        <v>0</v>
      </c>
      <c r="AK57">
        <v>0</v>
      </c>
      <c r="AL57">
        <v>0</v>
      </c>
      <c r="AM57">
        <v>0</v>
      </c>
      <c r="AN57">
        <v>0</v>
      </c>
      <c r="AO57">
        <v>0</v>
      </c>
      <c r="AP57">
        <v>0</v>
      </c>
      <c r="AQ57">
        <v>0</v>
      </c>
      <c r="AR57">
        <v>0</v>
      </c>
      <c r="AS57">
        <v>0</v>
      </c>
      <c r="AT57">
        <v>0</v>
      </c>
      <c r="AU57" s="3">
        <f>AU56</f>
        <v>9.7481799999999996</v>
      </c>
    </row>
    <row r="58" spans="1:47" x14ac:dyDescent="0.25">
      <c r="A58">
        <v>4</v>
      </c>
      <c r="B58" t="s">
        <v>1</v>
      </c>
      <c r="C58">
        <v>27520</v>
      </c>
      <c r="D58">
        <v>64</v>
      </c>
      <c r="E58">
        <v>1</v>
      </c>
      <c r="F58">
        <v>16</v>
      </c>
      <c r="G58" s="16">
        <v>1658.2</v>
      </c>
      <c r="H58" s="24">
        <v>8.3801000000000005</v>
      </c>
      <c r="I58" s="1">
        <v>45477</v>
      </c>
      <c r="J58" s="37">
        <v>0.94106481481481485</v>
      </c>
      <c r="K58">
        <v>0</v>
      </c>
      <c r="L58">
        <v>0</v>
      </c>
      <c r="M58">
        <v>0</v>
      </c>
      <c r="N58">
        <v>0</v>
      </c>
      <c r="O58">
        <v>0</v>
      </c>
      <c r="P58">
        <v>0</v>
      </c>
      <c r="Q58">
        <v>0</v>
      </c>
      <c r="R58">
        <v>0</v>
      </c>
      <c r="S58">
        <v>0</v>
      </c>
      <c r="T58">
        <v>0</v>
      </c>
      <c r="U58">
        <v>0</v>
      </c>
      <c r="V58">
        <v>0</v>
      </c>
      <c r="W58" s="3">
        <f>W57</f>
        <v>8.3760999999999992</v>
      </c>
      <c r="X58" s="30"/>
      <c r="Y58">
        <v>4</v>
      </c>
      <c r="Z58" t="s">
        <v>1</v>
      </c>
      <c r="AA58">
        <v>27520</v>
      </c>
      <c r="AB58">
        <v>64</v>
      </c>
      <c r="AC58">
        <v>1</v>
      </c>
      <c r="AD58">
        <v>16</v>
      </c>
      <c r="AE58" s="16">
        <v>1426.56</v>
      </c>
      <c r="AF58" s="3">
        <v>9.7408999999999999</v>
      </c>
      <c r="AG58" s="1">
        <v>45478</v>
      </c>
      <c r="AH58" s="2">
        <v>0.24535879629629628</v>
      </c>
      <c r="AI58">
        <v>0</v>
      </c>
      <c r="AJ58">
        <v>0</v>
      </c>
      <c r="AK58">
        <v>0</v>
      </c>
      <c r="AL58">
        <v>0</v>
      </c>
      <c r="AM58">
        <v>0</v>
      </c>
      <c r="AN58">
        <v>0</v>
      </c>
      <c r="AO58">
        <v>0</v>
      </c>
      <c r="AP58">
        <v>0</v>
      </c>
      <c r="AQ58">
        <v>0</v>
      </c>
      <c r="AR58">
        <v>0</v>
      </c>
      <c r="AS58">
        <v>0</v>
      </c>
      <c r="AT58">
        <v>0</v>
      </c>
      <c r="AU58" s="3">
        <f>AU57</f>
        <v>9.7481799999999996</v>
      </c>
    </row>
    <row r="59" spans="1:47" x14ac:dyDescent="0.25">
      <c r="A59">
        <v>0</v>
      </c>
      <c r="B59" t="s">
        <v>1</v>
      </c>
      <c r="C59">
        <v>29056</v>
      </c>
      <c r="D59">
        <v>64</v>
      </c>
      <c r="E59">
        <v>1</v>
      </c>
      <c r="F59">
        <v>16</v>
      </c>
      <c r="G59" s="16">
        <v>1936.96</v>
      </c>
      <c r="H59" s="24">
        <v>8.4436</v>
      </c>
      <c r="I59" s="1">
        <v>45482</v>
      </c>
      <c r="J59" s="37">
        <v>0.27006944444444442</v>
      </c>
      <c r="K59">
        <v>0</v>
      </c>
      <c r="L59">
        <v>0</v>
      </c>
      <c r="M59">
        <v>0</v>
      </c>
      <c r="N59">
        <v>0</v>
      </c>
      <c r="O59">
        <v>0</v>
      </c>
      <c r="P59">
        <v>0</v>
      </c>
      <c r="Q59">
        <v>0</v>
      </c>
      <c r="R59">
        <v>0</v>
      </c>
      <c r="S59">
        <v>0</v>
      </c>
      <c r="T59">
        <v>0</v>
      </c>
      <c r="U59">
        <v>0</v>
      </c>
      <c r="V59">
        <v>0</v>
      </c>
      <c r="W59" s="3">
        <f>AVERAGE(H59:H63)</f>
        <v>8.4505799999999986</v>
      </c>
      <c r="X59" s="30"/>
      <c r="Y59">
        <v>0</v>
      </c>
      <c r="Z59" t="s">
        <v>1</v>
      </c>
      <c r="AA59">
        <v>29056</v>
      </c>
      <c r="AB59">
        <v>64</v>
      </c>
      <c r="AC59">
        <v>1</v>
      </c>
      <c r="AD59">
        <v>16</v>
      </c>
      <c r="AE59" s="16">
        <v>1668.47</v>
      </c>
      <c r="AF59" s="3">
        <v>9.8024000000000004</v>
      </c>
      <c r="AG59" s="1">
        <v>45477</v>
      </c>
      <c r="AH59" s="2">
        <v>0.70297453703703705</v>
      </c>
      <c r="AI59">
        <v>0</v>
      </c>
      <c r="AJ59">
        <v>0</v>
      </c>
      <c r="AK59">
        <v>0</v>
      </c>
      <c r="AL59">
        <v>0</v>
      </c>
      <c r="AM59">
        <v>0</v>
      </c>
      <c r="AN59">
        <v>0</v>
      </c>
      <c r="AO59">
        <v>0</v>
      </c>
      <c r="AP59">
        <v>0</v>
      </c>
      <c r="AQ59">
        <v>0</v>
      </c>
      <c r="AR59">
        <v>0</v>
      </c>
      <c r="AS59">
        <v>0</v>
      </c>
      <c r="AT59">
        <v>0</v>
      </c>
      <c r="AU59" s="3">
        <f>AVERAGE(AF59:AF63)</f>
        <v>9.8132199999999994</v>
      </c>
    </row>
    <row r="60" spans="1:47" x14ac:dyDescent="0.25">
      <c r="A60">
        <v>1</v>
      </c>
      <c r="B60" t="s">
        <v>1</v>
      </c>
      <c r="C60">
        <v>29056</v>
      </c>
      <c r="D60">
        <v>64</v>
      </c>
      <c r="E60">
        <v>1</v>
      </c>
      <c r="F60">
        <v>16</v>
      </c>
      <c r="G60" s="16">
        <v>1936.43</v>
      </c>
      <c r="H60" s="24">
        <v>8.4459</v>
      </c>
      <c r="I60" s="1">
        <v>45482</v>
      </c>
      <c r="J60" s="37">
        <v>0.81079861111111107</v>
      </c>
      <c r="K60">
        <v>0</v>
      </c>
      <c r="L60">
        <v>0</v>
      </c>
      <c r="M60">
        <v>0</v>
      </c>
      <c r="N60">
        <v>0</v>
      </c>
      <c r="O60">
        <v>0</v>
      </c>
      <c r="P60">
        <v>0</v>
      </c>
      <c r="Q60">
        <v>0</v>
      </c>
      <c r="R60">
        <v>0</v>
      </c>
      <c r="S60">
        <v>0</v>
      </c>
      <c r="T60">
        <v>0</v>
      </c>
      <c r="U60">
        <v>0</v>
      </c>
      <c r="V60">
        <v>0</v>
      </c>
      <c r="W60" s="3">
        <f>W59</f>
        <v>8.4505799999999986</v>
      </c>
      <c r="X60" s="30"/>
      <c r="Y60">
        <v>1</v>
      </c>
      <c r="Z60" t="s">
        <v>1</v>
      </c>
      <c r="AA60">
        <v>29056</v>
      </c>
      <c r="AB60">
        <v>64</v>
      </c>
      <c r="AC60">
        <v>1</v>
      </c>
      <c r="AD60">
        <v>16</v>
      </c>
      <c r="AE60" s="16">
        <v>1666.32</v>
      </c>
      <c r="AF60" s="3">
        <v>9.8149999999999995</v>
      </c>
      <c r="AG60" s="1">
        <v>45477</v>
      </c>
      <c r="AH60" s="2">
        <v>0.86394675925925923</v>
      </c>
      <c r="AI60">
        <v>0</v>
      </c>
      <c r="AJ60">
        <v>0</v>
      </c>
      <c r="AK60">
        <v>0</v>
      </c>
      <c r="AL60">
        <v>0</v>
      </c>
      <c r="AM60">
        <v>0</v>
      </c>
      <c r="AN60">
        <v>0</v>
      </c>
      <c r="AO60">
        <v>0</v>
      </c>
      <c r="AP60">
        <v>0</v>
      </c>
      <c r="AQ60">
        <v>0</v>
      </c>
      <c r="AR60">
        <v>0</v>
      </c>
      <c r="AS60">
        <v>0</v>
      </c>
      <c r="AT60">
        <v>0</v>
      </c>
      <c r="AU60" s="3">
        <f>AU59</f>
        <v>9.8132199999999994</v>
      </c>
    </row>
    <row r="61" spans="1:47" x14ac:dyDescent="0.25">
      <c r="A61">
        <v>2</v>
      </c>
      <c r="B61" t="s">
        <v>1</v>
      </c>
      <c r="C61">
        <v>29056</v>
      </c>
      <c r="D61">
        <v>64</v>
      </c>
      <c r="E61">
        <v>1</v>
      </c>
      <c r="F61">
        <v>16</v>
      </c>
      <c r="G61" s="16">
        <v>1934.99</v>
      </c>
      <c r="H61" s="24">
        <v>8.4521999999999995</v>
      </c>
      <c r="I61" s="1">
        <v>45483</v>
      </c>
      <c r="J61" s="37">
        <v>0.33591435185185187</v>
      </c>
      <c r="K61">
        <v>0</v>
      </c>
      <c r="L61">
        <v>0</v>
      </c>
      <c r="M61">
        <v>0</v>
      </c>
      <c r="N61">
        <v>0</v>
      </c>
      <c r="O61">
        <v>0</v>
      </c>
      <c r="P61">
        <v>0</v>
      </c>
      <c r="Q61">
        <v>0</v>
      </c>
      <c r="R61">
        <v>0</v>
      </c>
      <c r="S61">
        <v>0</v>
      </c>
      <c r="T61">
        <v>0</v>
      </c>
      <c r="U61">
        <v>0</v>
      </c>
      <c r="V61">
        <v>0</v>
      </c>
      <c r="W61" s="3">
        <f>W60</f>
        <v>8.4505799999999986</v>
      </c>
      <c r="X61" s="30"/>
      <c r="Y61">
        <v>2</v>
      </c>
      <c r="Z61" t="s">
        <v>1</v>
      </c>
      <c r="AA61">
        <v>29056</v>
      </c>
      <c r="AB61">
        <v>64</v>
      </c>
      <c r="AC61">
        <v>1</v>
      </c>
      <c r="AD61">
        <v>16</v>
      </c>
      <c r="AE61" s="16">
        <v>1666.59</v>
      </c>
      <c r="AF61" s="3">
        <v>9.8133999999999997</v>
      </c>
      <c r="AG61" s="1">
        <v>45478</v>
      </c>
      <c r="AH61" s="2">
        <v>2.5023148148148149E-2</v>
      </c>
      <c r="AI61">
        <v>0</v>
      </c>
      <c r="AJ61">
        <v>0</v>
      </c>
      <c r="AK61">
        <v>0</v>
      </c>
      <c r="AL61">
        <v>0</v>
      </c>
      <c r="AM61">
        <v>0</v>
      </c>
      <c r="AN61">
        <v>0</v>
      </c>
      <c r="AO61">
        <v>0</v>
      </c>
      <c r="AP61">
        <v>0</v>
      </c>
      <c r="AQ61">
        <v>0</v>
      </c>
      <c r="AR61">
        <v>0</v>
      </c>
      <c r="AS61">
        <v>0</v>
      </c>
      <c r="AT61">
        <v>0</v>
      </c>
      <c r="AU61" s="3">
        <f>AU60</f>
        <v>9.8132199999999994</v>
      </c>
    </row>
    <row r="62" spans="1:47" x14ac:dyDescent="0.25">
      <c r="A62">
        <v>3</v>
      </c>
      <c r="B62" t="s">
        <v>1</v>
      </c>
      <c r="C62">
        <v>29056</v>
      </c>
      <c r="D62">
        <v>64</v>
      </c>
      <c r="E62">
        <v>1</v>
      </c>
      <c r="F62">
        <v>16</v>
      </c>
      <c r="G62" s="16">
        <v>1934.89</v>
      </c>
      <c r="H62" s="24">
        <v>8.4527000000000001</v>
      </c>
      <c r="I62" s="1">
        <v>45477</v>
      </c>
      <c r="J62" s="37">
        <v>0.75081018518518516</v>
      </c>
      <c r="K62">
        <v>0</v>
      </c>
      <c r="L62">
        <v>0</v>
      </c>
      <c r="M62">
        <v>0</v>
      </c>
      <c r="N62">
        <v>0</v>
      </c>
      <c r="O62">
        <v>0</v>
      </c>
      <c r="P62">
        <v>0</v>
      </c>
      <c r="Q62">
        <v>0</v>
      </c>
      <c r="R62">
        <v>0</v>
      </c>
      <c r="S62">
        <v>0</v>
      </c>
      <c r="T62">
        <v>0</v>
      </c>
      <c r="U62">
        <v>0</v>
      </c>
      <c r="V62">
        <v>0</v>
      </c>
      <c r="W62" s="3">
        <f>W61</f>
        <v>8.4505799999999986</v>
      </c>
      <c r="X62" s="30"/>
      <c r="Y62">
        <v>3</v>
      </c>
      <c r="Z62" t="s">
        <v>1</v>
      </c>
      <c r="AA62">
        <v>29056</v>
      </c>
      <c r="AB62">
        <v>64</v>
      </c>
      <c r="AC62">
        <v>1</v>
      </c>
      <c r="AD62">
        <v>16</v>
      </c>
      <c r="AE62" s="16">
        <v>1666.37</v>
      </c>
      <c r="AF62" s="3">
        <v>9.8147000000000002</v>
      </c>
      <c r="AG62" s="1">
        <v>45478</v>
      </c>
      <c r="AH62" s="2">
        <v>0.18611111111111112</v>
      </c>
      <c r="AI62">
        <v>0</v>
      </c>
      <c r="AJ62">
        <v>0</v>
      </c>
      <c r="AK62">
        <v>0</v>
      </c>
      <c r="AL62">
        <v>0</v>
      </c>
      <c r="AM62">
        <v>0</v>
      </c>
      <c r="AN62">
        <v>0</v>
      </c>
      <c r="AO62">
        <v>0</v>
      </c>
      <c r="AP62">
        <v>0</v>
      </c>
      <c r="AQ62">
        <v>0</v>
      </c>
      <c r="AR62">
        <v>0</v>
      </c>
      <c r="AS62">
        <v>0</v>
      </c>
      <c r="AT62">
        <v>0</v>
      </c>
      <c r="AU62" s="3">
        <f>AU61</f>
        <v>9.8132199999999994</v>
      </c>
    </row>
    <row r="63" spans="1:47" x14ac:dyDescent="0.25">
      <c r="A63">
        <v>4</v>
      </c>
      <c r="B63" t="s">
        <v>1</v>
      </c>
      <c r="C63">
        <v>29056</v>
      </c>
      <c r="D63">
        <v>64</v>
      </c>
      <c r="E63">
        <v>1</v>
      </c>
      <c r="F63">
        <v>16</v>
      </c>
      <c r="G63" s="16">
        <v>1933.55</v>
      </c>
      <c r="H63" s="24">
        <v>8.4585000000000008</v>
      </c>
      <c r="I63" s="1">
        <v>45477</v>
      </c>
      <c r="J63" s="37">
        <v>0.63962962962962966</v>
      </c>
      <c r="K63">
        <v>0</v>
      </c>
      <c r="L63">
        <v>0</v>
      </c>
      <c r="M63">
        <v>0</v>
      </c>
      <c r="N63">
        <v>0</v>
      </c>
      <c r="O63">
        <v>0</v>
      </c>
      <c r="P63">
        <v>0</v>
      </c>
      <c r="Q63">
        <v>0</v>
      </c>
      <c r="R63">
        <v>0</v>
      </c>
      <c r="S63">
        <v>0</v>
      </c>
      <c r="T63">
        <v>0</v>
      </c>
      <c r="U63">
        <v>0</v>
      </c>
      <c r="V63">
        <v>0</v>
      </c>
      <c r="W63" s="3">
        <f>W62</f>
        <v>8.4505799999999986</v>
      </c>
      <c r="X63" s="30"/>
      <c r="Y63">
        <v>4</v>
      </c>
      <c r="Z63" t="s">
        <v>1</v>
      </c>
      <c r="AA63">
        <v>29056</v>
      </c>
      <c r="AB63">
        <v>64</v>
      </c>
      <c r="AC63">
        <v>1</v>
      </c>
      <c r="AD63">
        <v>16</v>
      </c>
      <c r="AE63" s="16">
        <v>1665.38</v>
      </c>
      <c r="AF63" s="3">
        <v>9.8206000000000007</v>
      </c>
      <c r="AG63" s="1">
        <v>45478</v>
      </c>
      <c r="AH63" s="2">
        <v>0.34714120370370372</v>
      </c>
      <c r="AI63">
        <v>0</v>
      </c>
      <c r="AJ63">
        <v>0</v>
      </c>
      <c r="AK63">
        <v>0</v>
      </c>
      <c r="AL63">
        <v>0</v>
      </c>
      <c r="AM63">
        <v>0</v>
      </c>
      <c r="AN63">
        <v>0</v>
      </c>
      <c r="AO63">
        <v>0</v>
      </c>
      <c r="AP63">
        <v>0</v>
      </c>
      <c r="AQ63">
        <v>0</v>
      </c>
      <c r="AR63">
        <v>0</v>
      </c>
      <c r="AS63">
        <v>0</v>
      </c>
      <c r="AT63">
        <v>0</v>
      </c>
      <c r="AU63" s="3">
        <f>AU62</f>
        <v>9.8132199999999994</v>
      </c>
    </row>
    <row r="64" spans="1:47" x14ac:dyDescent="0.25">
      <c r="A64">
        <v>0</v>
      </c>
      <c r="B64" t="s">
        <v>1</v>
      </c>
      <c r="C64">
        <v>25984</v>
      </c>
      <c r="D64">
        <v>64</v>
      </c>
      <c r="E64">
        <v>2</v>
      </c>
      <c r="F64">
        <v>8</v>
      </c>
      <c r="G64" s="16">
        <v>1357.57</v>
      </c>
      <c r="H64" s="24">
        <v>8.6159999999999997</v>
      </c>
      <c r="I64" s="1">
        <v>45482</v>
      </c>
      <c r="J64" s="37">
        <v>0.11392361111111111</v>
      </c>
      <c r="K64">
        <v>0</v>
      </c>
      <c r="L64">
        <v>0</v>
      </c>
      <c r="M64">
        <v>0</v>
      </c>
      <c r="N64">
        <v>0</v>
      </c>
      <c r="O64">
        <v>0</v>
      </c>
      <c r="P64">
        <v>0</v>
      </c>
      <c r="Q64">
        <v>0</v>
      </c>
      <c r="R64">
        <v>0</v>
      </c>
      <c r="S64">
        <v>0</v>
      </c>
      <c r="T64">
        <v>0</v>
      </c>
      <c r="U64">
        <v>0</v>
      </c>
      <c r="V64">
        <v>0</v>
      </c>
      <c r="W64" s="3">
        <f>AVERAGE(H64:H68)</f>
        <v>8.6165199999999995</v>
      </c>
      <c r="X64" s="30"/>
      <c r="Y64">
        <v>0</v>
      </c>
      <c r="Z64" t="s">
        <v>1</v>
      </c>
      <c r="AA64">
        <v>25984</v>
      </c>
      <c r="AB64">
        <v>64</v>
      </c>
      <c r="AC64">
        <v>2</v>
      </c>
      <c r="AD64">
        <v>8</v>
      </c>
      <c r="AE64" s="16">
        <v>1177.5</v>
      </c>
      <c r="AF64" s="3">
        <v>9.9335000000000004</v>
      </c>
      <c r="AG64" s="1">
        <v>45477</v>
      </c>
      <c r="AH64" s="2">
        <v>0.66684027777777777</v>
      </c>
      <c r="AI64">
        <v>0</v>
      </c>
      <c r="AJ64">
        <v>0</v>
      </c>
      <c r="AK64">
        <v>0</v>
      </c>
      <c r="AL64">
        <v>0</v>
      </c>
      <c r="AM64">
        <v>0</v>
      </c>
      <c r="AN64">
        <v>0</v>
      </c>
      <c r="AO64">
        <v>0</v>
      </c>
      <c r="AP64">
        <v>0</v>
      </c>
      <c r="AQ64">
        <v>0</v>
      </c>
      <c r="AR64">
        <v>0</v>
      </c>
      <c r="AS64">
        <v>0</v>
      </c>
      <c r="AT64">
        <v>0</v>
      </c>
      <c r="AU64" s="3">
        <f>AVERAGE(AF64:AF68)</f>
        <v>9.9344799999999989</v>
      </c>
    </row>
    <row r="65" spans="1:47" x14ac:dyDescent="0.25">
      <c r="A65">
        <v>1</v>
      </c>
      <c r="B65" t="s">
        <v>1</v>
      </c>
      <c r="C65">
        <v>25984</v>
      </c>
      <c r="D65">
        <v>64</v>
      </c>
      <c r="E65">
        <v>2</v>
      </c>
      <c r="F65">
        <v>8</v>
      </c>
      <c r="G65" s="16">
        <v>1358.58</v>
      </c>
      <c r="H65" s="24">
        <v>8.6096000000000004</v>
      </c>
      <c r="I65" s="1">
        <v>45482</v>
      </c>
      <c r="J65" s="37">
        <v>0.62309027777777781</v>
      </c>
      <c r="K65">
        <v>0</v>
      </c>
      <c r="L65">
        <v>0</v>
      </c>
      <c r="M65">
        <v>0</v>
      </c>
      <c r="N65">
        <v>0</v>
      </c>
      <c r="O65">
        <v>0</v>
      </c>
      <c r="P65">
        <v>0</v>
      </c>
      <c r="Q65">
        <v>0</v>
      </c>
      <c r="R65">
        <v>0</v>
      </c>
      <c r="S65">
        <v>0</v>
      </c>
      <c r="T65">
        <v>0</v>
      </c>
      <c r="U65">
        <v>0</v>
      </c>
      <c r="V65">
        <v>0</v>
      </c>
      <c r="W65" s="3">
        <f>W64</f>
        <v>8.6165199999999995</v>
      </c>
      <c r="X65" s="30"/>
      <c r="Y65">
        <v>1</v>
      </c>
      <c r="Z65" t="s">
        <v>1</v>
      </c>
      <c r="AA65">
        <v>25984</v>
      </c>
      <c r="AB65">
        <v>64</v>
      </c>
      <c r="AC65">
        <v>2</v>
      </c>
      <c r="AD65">
        <v>8</v>
      </c>
      <c r="AE65" s="16">
        <v>1176.81</v>
      </c>
      <c r="AF65" s="3">
        <v>9.9393999999999991</v>
      </c>
      <c r="AG65" s="1">
        <v>45477</v>
      </c>
      <c r="AH65" s="2">
        <v>0.82783564814814814</v>
      </c>
      <c r="AI65">
        <v>0</v>
      </c>
      <c r="AJ65">
        <v>0</v>
      </c>
      <c r="AK65">
        <v>0</v>
      </c>
      <c r="AL65">
        <v>0</v>
      </c>
      <c r="AM65">
        <v>0</v>
      </c>
      <c r="AN65">
        <v>0</v>
      </c>
      <c r="AO65">
        <v>0</v>
      </c>
      <c r="AP65">
        <v>0</v>
      </c>
      <c r="AQ65">
        <v>0</v>
      </c>
      <c r="AR65">
        <v>0</v>
      </c>
      <c r="AS65">
        <v>0</v>
      </c>
      <c r="AT65">
        <v>0</v>
      </c>
      <c r="AU65" s="3">
        <f>AU64</f>
        <v>9.9344799999999989</v>
      </c>
    </row>
    <row r="66" spans="1:47" x14ac:dyDescent="0.25">
      <c r="A66">
        <v>2</v>
      </c>
      <c r="B66" t="s">
        <v>1</v>
      </c>
      <c r="C66">
        <v>25984</v>
      </c>
      <c r="D66">
        <v>64</v>
      </c>
      <c r="E66">
        <v>2</v>
      </c>
      <c r="F66">
        <v>8</v>
      </c>
      <c r="G66" s="16">
        <v>1358.31</v>
      </c>
      <c r="H66" s="24">
        <v>8.6112000000000002</v>
      </c>
      <c r="I66" s="1">
        <v>45483</v>
      </c>
      <c r="J66" s="37">
        <v>0.17979166666666666</v>
      </c>
      <c r="K66">
        <v>0</v>
      </c>
      <c r="L66">
        <v>0</v>
      </c>
      <c r="M66">
        <v>0</v>
      </c>
      <c r="N66">
        <v>0</v>
      </c>
      <c r="O66">
        <v>0</v>
      </c>
      <c r="P66">
        <v>0</v>
      </c>
      <c r="Q66">
        <v>0</v>
      </c>
      <c r="R66">
        <v>0</v>
      </c>
      <c r="S66">
        <v>0</v>
      </c>
      <c r="T66">
        <v>0</v>
      </c>
      <c r="U66">
        <v>0</v>
      </c>
      <c r="V66">
        <v>0</v>
      </c>
      <c r="W66" s="3">
        <f>W65</f>
        <v>8.6165199999999995</v>
      </c>
      <c r="X66" s="30"/>
      <c r="Y66">
        <v>2</v>
      </c>
      <c r="Z66" t="s">
        <v>1</v>
      </c>
      <c r="AA66">
        <v>25984</v>
      </c>
      <c r="AB66">
        <v>64</v>
      </c>
      <c r="AC66">
        <v>2</v>
      </c>
      <c r="AD66">
        <v>8</v>
      </c>
      <c r="AE66" s="16">
        <v>1177.1099999999999</v>
      </c>
      <c r="AF66" s="3">
        <v>9.9367999999999999</v>
      </c>
      <c r="AG66" s="1">
        <v>45477</v>
      </c>
      <c r="AH66" s="2">
        <v>0.98890046296296297</v>
      </c>
      <c r="AI66">
        <v>0</v>
      </c>
      <c r="AJ66">
        <v>0</v>
      </c>
      <c r="AK66">
        <v>0</v>
      </c>
      <c r="AL66">
        <v>0</v>
      </c>
      <c r="AM66">
        <v>0</v>
      </c>
      <c r="AN66">
        <v>0</v>
      </c>
      <c r="AO66">
        <v>0</v>
      </c>
      <c r="AP66">
        <v>0</v>
      </c>
      <c r="AQ66">
        <v>0</v>
      </c>
      <c r="AR66">
        <v>0</v>
      </c>
      <c r="AS66">
        <v>0</v>
      </c>
      <c r="AT66">
        <v>0</v>
      </c>
      <c r="AU66" s="3">
        <f>AU65</f>
        <v>9.9344799999999989</v>
      </c>
    </row>
    <row r="67" spans="1:47" x14ac:dyDescent="0.25">
      <c r="A67">
        <v>3</v>
      </c>
      <c r="B67" t="s">
        <v>1</v>
      </c>
      <c r="C67">
        <v>25984</v>
      </c>
      <c r="D67">
        <v>64</v>
      </c>
      <c r="E67">
        <v>2</v>
      </c>
      <c r="F67">
        <v>8</v>
      </c>
      <c r="G67" s="16">
        <v>1356.63</v>
      </c>
      <c r="H67" s="24">
        <v>8.6219000000000001</v>
      </c>
      <c r="I67" s="1">
        <v>45477</v>
      </c>
      <c r="J67" s="37">
        <v>0.59475694444444449</v>
      </c>
      <c r="K67">
        <v>0</v>
      </c>
      <c r="L67">
        <v>0</v>
      </c>
      <c r="M67">
        <v>0</v>
      </c>
      <c r="N67">
        <v>0</v>
      </c>
      <c r="O67">
        <v>0</v>
      </c>
      <c r="P67">
        <v>0</v>
      </c>
      <c r="Q67">
        <v>0</v>
      </c>
      <c r="R67">
        <v>0</v>
      </c>
      <c r="S67">
        <v>0</v>
      </c>
      <c r="T67">
        <v>0</v>
      </c>
      <c r="U67">
        <v>0</v>
      </c>
      <c r="V67">
        <v>0</v>
      </c>
      <c r="W67" s="3">
        <f>W66</f>
        <v>8.6165199999999995</v>
      </c>
      <c r="X67" s="30"/>
      <c r="Y67">
        <v>3</v>
      </c>
      <c r="Z67" t="s">
        <v>1</v>
      </c>
      <c r="AA67">
        <v>25984</v>
      </c>
      <c r="AB67">
        <v>64</v>
      </c>
      <c r="AC67">
        <v>2</v>
      </c>
      <c r="AD67">
        <v>8</v>
      </c>
      <c r="AE67" s="16">
        <v>1178.3499999999999</v>
      </c>
      <c r="AF67" s="3">
        <v>9.9262999999999995</v>
      </c>
      <c r="AG67" s="1">
        <v>45478</v>
      </c>
      <c r="AH67" s="2">
        <v>0.14998842592592593</v>
      </c>
      <c r="AI67">
        <v>0</v>
      </c>
      <c r="AJ67">
        <v>0</v>
      </c>
      <c r="AK67">
        <v>0</v>
      </c>
      <c r="AL67">
        <v>0</v>
      </c>
      <c r="AM67">
        <v>0</v>
      </c>
      <c r="AN67">
        <v>0</v>
      </c>
      <c r="AO67">
        <v>0</v>
      </c>
      <c r="AP67">
        <v>0</v>
      </c>
      <c r="AQ67">
        <v>0</v>
      </c>
      <c r="AR67">
        <v>0</v>
      </c>
      <c r="AS67">
        <v>0</v>
      </c>
      <c r="AT67">
        <v>0</v>
      </c>
      <c r="AU67" s="3">
        <f>AU66</f>
        <v>9.9344799999999989</v>
      </c>
    </row>
    <row r="68" spans="1:47" x14ac:dyDescent="0.25">
      <c r="A68">
        <v>4</v>
      </c>
      <c r="B68" t="s">
        <v>1</v>
      </c>
      <c r="C68">
        <v>25984</v>
      </c>
      <c r="D68">
        <v>64</v>
      </c>
      <c r="E68">
        <v>2</v>
      </c>
      <c r="F68">
        <v>8</v>
      </c>
      <c r="G68" s="16">
        <v>1356.31</v>
      </c>
      <c r="H68" s="24">
        <v>8.6239000000000008</v>
      </c>
      <c r="I68" s="1">
        <v>45477</v>
      </c>
      <c r="J68" s="37">
        <v>0.48371527777777779</v>
      </c>
      <c r="K68">
        <v>0</v>
      </c>
      <c r="L68">
        <v>0</v>
      </c>
      <c r="M68">
        <v>0</v>
      </c>
      <c r="N68">
        <v>0</v>
      </c>
      <c r="O68">
        <v>0</v>
      </c>
      <c r="P68">
        <v>0</v>
      </c>
      <c r="Q68">
        <v>0</v>
      </c>
      <c r="R68">
        <v>0</v>
      </c>
      <c r="S68">
        <v>0</v>
      </c>
      <c r="T68">
        <v>0</v>
      </c>
      <c r="U68">
        <v>0</v>
      </c>
      <c r="V68">
        <v>0</v>
      </c>
      <c r="W68" s="3">
        <f>W67</f>
        <v>8.6165199999999995</v>
      </c>
      <c r="X68" s="30"/>
      <c r="Y68">
        <v>4</v>
      </c>
      <c r="Z68" t="s">
        <v>1</v>
      </c>
      <c r="AA68">
        <v>25984</v>
      </c>
      <c r="AB68">
        <v>64</v>
      </c>
      <c r="AC68">
        <v>2</v>
      </c>
      <c r="AD68">
        <v>8</v>
      </c>
      <c r="AE68" s="16">
        <v>1177.1600000000001</v>
      </c>
      <c r="AF68" s="3">
        <v>9.9364000000000008</v>
      </c>
      <c r="AG68" s="1">
        <v>45478</v>
      </c>
      <c r="AH68" s="2">
        <v>0.31103009259259257</v>
      </c>
      <c r="AI68">
        <v>0</v>
      </c>
      <c r="AJ68">
        <v>0</v>
      </c>
      <c r="AK68">
        <v>0</v>
      </c>
      <c r="AL68">
        <v>0</v>
      </c>
      <c r="AM68">
        <v>0</v>
      </c>
      <c r="AN68">
        <v>0</v>
      </c>
      <c r="AO68">
        <v>0</v>
      </c>
      <c r="AP68">
        <v>0</v>
      </c>
      <c r="AQ68">
        <v>0</v>
      </c>
      <c r="AR68">
        <v>0</v>
      </c>
      <c r="AS68">
        <v>0</v>
      </c>
      <c r="AT68">
        <v>0</v>
      </c>
      <c r="AU68" s="3">
        <f>AU67</f>
        <v>9.9344799999999989</v>
      </c>
    </row>
    <row r="69" spans="1:47" x14ac:dyDescent="0.25">
      <c r="A69">
        <v>0</v>
      </c>
      <c r="B69" t="s">
        <v>1</v>
      </c>
      <c r="C69">
        <v>27520</v>
      </c>
      <c r="D69">
        <v>64</v>
      </c>
      <c r="E69">
        <v>2</v>
      </c>
      <c r="F69">
        <v>8</v>
      </c>
      <c r="G69" s="16">
        <v>1608.14</v>
      </c>
      <c r="H69" s="24">
        <v>8.641</v>
      </c>
      <c r="I69" s="1">
        <v>45481</v>
      </c>
      <c r="J69" s="37">
        <v>0.95422453703703702</v>
      </c>
      <c r="K69">
        <v>0</v>
      </c>
      <c r="L69">
        <v>0</v>
      </c>
      <c r="M69">
        <v>0</v>
      </c>
      <c r="N69">
        <v>0</v>
      </c>
      <c r="O69">
        <v>0</v>
      </c>
      <c r="P69">
        <v>0</v>
      </c>
      <c r="Q69">
        <v>0</v>
      </c>
      <c r="R69">
        <v>0</v>
      </c>
      <c r="S69">
        <v>0</v>
      </c>
      <c r="T69">
        <v>0</v>
      </c>
      <c r="U69">
        <v>0</v>
      </c>
      <c r="V69">
        <v>0</v>
      </c>
      <c r="W69" s="3">
        <f>AVERAGE(H69:H73)</f>
        <v>8.6419999999999995</v>
      </c>
      <c r="X69" s="30"/>
      <c r="Y69">
        <v>0</v>
      </c>
      <c r="Z69" t="s">
        <v>1</v>
      </c>
      <c r="AA69">
        <v>27520</v>
      </c>
      <c r="AB69">
        <v>64</v>
      </c>
      <c r="AC69">
        <v>2</v>
      </c>
      <c r="AD69">
        <v>8</v>
      </c>
      <c r="AE69" s="16">
        <v>1390.2</v>
      </c>
      <c r="AF69" s="3">
        <v>9.9956999999999994</v>
      </c>
      <c r="AG69" s="1">
        <v>45477</v>
      </c>
      <c r="AH69" s="2">
        <v>0.61876157407407406</v>
      </c>
      <c r="AI69">
        <v>0</v>
      </c>
      <c r="AJ69">
        <v>0</v>
      </c>
      <c r="AK69">
        <v>0</v>
      </c>
      <c r="AL69">
        <v>0</v>
      </c>
      <c r="AM69">
        <v>0</v>
      </c>
      <c r="AN69">
        <v>0</v>
      </c>
      <c r="AO69">
        <v>0</v>
      </c>
      <c r="AP69">
        <v>0</v>
      </c>
      <c r="AQ69">
        <v>0</v>
      </c>
      <c r="AR69">
        <v>0</v>
      </c>
      <c r="AS69">
        <v>0</v>
      </c>
      <c r="AT69">
        <v>0</v>
      </c>
      <c r="AU69" s="3">
        <f>AVERAGE(AF69:AF73)</f>
        <v>9.991579999999999</v>
      </c>
    </row>
    <row r="70" spans="1:47" x14ac:dyDescent="0.25">
      <c r="A70">
        <v>1</v>
      </c>
      <c r="B70" t="s">
        <v>1</v>
      </c>
      <c r="C70">
        <v>27520</v>
      </c>
      <c r="D70">
        <v>64</v>
      </c>
      <c r="E70">
        <v>2</v>
      </c>
      <c r="F70">
        <v>8</v>
      </c>
      <c r="G70" s="16">
        <v>1608.29</v>
      </c>
      <c r="H70" s="24">
        <v>8.6402000000000001</v>
      </c>
      <c r="I70" s="1">
        <v>45482</v>
      </c>
      <c r="J70" s="37">
        <v>0.46341435185185187</v>
      </c>
      <c r="K70">
        <v>0</v>
      </c>
      <c r="L70">
        <v>0</v>
      </c>
      <c r="M70">
        <v>0</v>
      </c>
      <c r="N70">
        <v>0</v>
      </c>
      <c r="O70">
        <v>0</v>
      </c>
      <c r="P70">
        <v>0</v>
      </c>
      <c r="Q70">
        <v>0</v>
      </c>
      <c r="R70">
        <v>0</v>
      </c>
      <c r="S70">
        <v>0</v>
      </c>
      <c r="T70">
        <v>0</v>
      </c>
      <c r="U70">
        <v>0</v>
      </c>
      <c r="V70">
        <v>0</v>
      </c>
      <c r="W70" s="3">
        <f>W69</f>
        <v>8.6419999999999995</v>
      </c>
      <c r="X70" s="30"/>
      <c r="Y70">
        <v>1</v>
      </c>
      <c r="Z70" t="s">
        <v>1</v>
      </c>
      <c r="AA70">
        <v>27520</v>
      </c>
      <c r="AB70">
        <v>64</v>
      </c>
      <c r="AC70">
        <v>2</v>
      </c>
      <c r="AD70">
        <v>8</v>
      </c>
      <c r="AE70" s="16">
        <v>1390.01</v>
      </c>
      <c r="AF70" s="3">
        <v>9.9970999999999997</v>
      </c>
      <c r="AG70" s="1">
        <v>45477</v>
      </c>
      <c r="AH70" s="2">
        <v>0.77978009259259262</v>
      </c>
      <c r="AI70">
        <v>0</v>
      </c>
      <c r="AJ70">
        <v>0</v>
      </c>
      <c r="AK70">
        <v>0</v>
      </c>
      <c r="AL70">
        <v>0</v>
      </c>
      <c r="AM70">
        <v>0</v>
      </c>
      <c r="AN70">
        <v>0</v>
      </c>
      <c r="AO70">
        <v>0</v>
      </c>
      <c r="AP70">
        <v>0</v>
      </c>
      <c r="AQ70">
        <v>0</v>
      </c>
      <c r="AR70">
        <v>0</v>
      </c>
      <c r="AS70">
        <v>0</v>
      </c>
      <c r="AT70">
        <v>0</v>
      </c>
      <c r="AU70" s="3">
        <f>AU69</f>
        <v>9.991579999999999</v>
      </c>
    </row>
    <row r="71" spans="1:47" x14ac:dyDescent="0.25">
      <c r="A71">
        <v>2</v>
      </c>
      <c r="B71" t="s">
        <v>1</v>
      </c>
      <c r="C71">
        <v>27520</v>
      </c>
      <c r="D71">
        <v>64</v>
      </c>
      <c r="E71">
        <v>2</v>
      </c>
      <c r="F71">
        <v>8</v>
      </c>
      <c r="G71" s="16">
        <v>1608.56</v>
      </c>
      <c r="H71" s="24">
        <v>8.6387999999999998</v>
      </c>
      <c r="I71" s="1">
        <v>45483</v>
      </c>
      <c r="J71" s="37">
        <v>2.0104166666666666E-2</v>
      </c>
      <c r="K71">
        <v>0</v>
      </c>
      <c r="L71">
        <v>0</v>
      </c>
      <c r="M71">
        <v>0</v>
      </c>
      <c r="N71">
        <v>0</v>
      </c>
      <c r="O71">
        <v>0</v>
      </c>
      <c r="P71">
        <v>0</v>
      </c>
      <c r="Q71">
        <v>0</v>
      </c>
      <c r="R71">
        <v>0</v>
      </c>
      <c r="S71">
        <v>0</v>
      </c>
      <c r="T71">
        <v>0</v>
      </c>
      <c r="U71">
        <v>0</v>
      </c>
      <c r="V71">
        <v>0</v>
      </c>
      <c r="W71" s="3">
        <f>W70</f>
        <v>8.6419999999999995</v>
      </c>
      <c r="X71" s="30"/>
      <c r="Y71">
        <v>2</v>
      </c>
      <c r="Z71" t="s">
        <v>1</v>
      </c>
      <c r="AA71">
        <v>27520</v>
      </c>
      <c r="AB71">
        <v>64</v>
      </c>
      <c r="AC71">
        <v>2</v>
      </c>
      <c r="AD71">
        <v>8</v>
      </c>
      <c r="AE71" s="16">
        <v>1391.5</v>
      </c>
      <c r="AF71" s="3">
        <v>9.9863</v>
      </c>
      <c r="AG71" s="1">
        <v>45477</v>
      </c>
      <c r="AH71" s="2">
        <v>0.94082175925925926</v>
      </c>
      <c r="AI71">
        <v>0</v>
      </c>
      <c r="AJ71">
        <v>0</v>
      </c>
      <c r="AK71">
        <v>0</v>
      </c>
      <c r="AL71">
        <v>0</v>
      </c>
      <c r="AM71">
        <v>0</v>
      </c>
      <c r="AN71">
        <v>0</v>
      </c>
      <c r="AO71">
        <v>0</v>
      </c>
      <c r="AP71">
        <v>0</v>
      </c>
      <c r="AQ71">
        <v>0</v>
      </c>
      <c r="AR71">
        <v>0</v>
      </c>
      <c r="AS71">
        <v>0</v>
      </c>
      <c r="AT71">
        <v>0</v>
      </c>
      <c r="AU71" s="3">
        <f>AU70</f>
        <v>9.991579999999999</v>
      </c>
    </row>
    <row r="72" spans="1:47" x14ac:dyDescent="0.25">
      <c r="A72">
        <v>3</v>
      </c>
      <c r="B72" t="s">
        <v>1</v>
      </c>
      <c r="C72">
        <v>27520</v>
      </c>
      <c r="D72">
        <v>64</v>
      </c>
      <c r="E72">
        <v>2</v>
      </c>
      <c r="F72">
        <v>8</v>
      </c>
      <c r="G72" s="16">
        <v>1606.93</v>
      </c>
      <c r="H72" s="24">
        <v>8.6475000000000009</v>
      </c>
      <c r="I72" s="1">
        <v>45477</v>
      </c>
      <c r="J72" s="37">
        <v>0.43515046296296295</v>
      </c>
      <c r="K72">
        <v>0</v>
      </c>
      <c r="L72">
        <v>0</v>
      </c>
      <c r="M72">
        <v>0</v>
      </c>
      <c r="N72">
        <v>0</v>
      </c>
      <c r="O72">
        <v>0</v>
      </c>
      <c r="P72">
        <v>0</v>
      </c>
      <c r="Q72">
        <v>0</v>
      </c>
      <c r="R72">
        <v>0</v>
      </c>
      <c r="S72">
        <v>0</v>
      </c>
      <c r="T72">
        <v>0</v>
      </c>
      <c r="U72">
        <v>0</v>
      </c>
      <c r="V72">
        <v>0</v>
      </c>
      <c r="W72" s="3">
        <f>W71</f>
        <v>8.6419999999999995</v>
      </c>
      <c r="X72" s="30"/>
      <c r="Y72">
        <v>3</v>
      </c>
      <c r="Z72" t="s">
        <v>1</v>
      </c>
      <c r="AA72">
        <v>27520</v>
      </c>
      <c r="AB72">
        <v>64</v>
      </c>
      <c r="AC72">
        <v>2</v>
      </c>
      <c r="AD72">
        <v>8</v>
      </c>
      <c r="AE72" s="16">
        <v>1391.11</v>
      </c>
      <c r="AF72" s="3">
        <v>9.9891000000000005</v>
      </c>
      <c r="AG72" s="1">
        <v>45478</v>
      </c>
      <c r="AH72" s="2">
        <v>0.10189814814814815</v>
      </c>
      <c r="AI72">
        <v>0</v>
      </c>
      <c r="AJ72">
        <v>0</v>
      </c>
      <c r="AK72">
        <v>0</v>
      </c>
      <c r="AL72">
        <v>0</v>
      </c>
      <c r="AM72">
        <v>0</v>
      </c>
      <c r="AN72">
        <v>0</v>
      </c>
      <c r="AO72">
        <v>0</v>
      </c>
      <c r="AP72">
        <v>0</v>
      </c>
      <c r="AQ72">
        <v>0</v>
      </c>
      <c r="AR72">
        <v>0</v>
      </c>
      <c r="AS72">
        <v>0</v>
      </c>
      <c r="AT72">
        <v>0</v>
      </c>
      <c r="AU72" s="3">
        <f>AU71</f>
        <v>9.991579999999999</v>
      </c>
    </row>
    <row r="73" spans="1:47" x14ac:dyDescent="0.25">
      <c r="A73">
        <v>4</v>
      </c>
      <c r="B73" t="s">
        <v>1</v>
      </c>
      <c r="C73">
        <v>27520</v>
      </c>
      <c r="D73">
        <v>64</v>
      </c>
      <c r="E73">
        <v>2</v>
      </c>
      <c r="F73">
        <v>8</v>
      </c>
      <c r="G73" s="16">
        <v>1607.86</v>
      </c>
      <c r="H73" s="24">
        <v>8.6425000000000001</v>
      </c>
      <c r="I73" s="1">
        <v>45477</v>
      </c>
      <c r="J73" s="37">
        <v>0.96002314814814815</v>
      </c>
      <c r="K73">
        <v>0</v>
      </c>
      <c r="L73">
        <v>0</v>
      </c>
      <c r="M73">
        <v>0</v>
      </c>
      <c r="N73">
        <v>0</v>
      </c>
      <c r="O73">
        <v>0</v>
      </c>
      <c r="P73">
        <v>0</v>
      </c>
      <c r="Q73">
        <v>0</v>
      </c>
      <c r="R73">
        <v>0</v>
      </c>
      <c r="S73">
        <v>0</v>
      </c>
      <c r="T73">
        <v>0</v>
      </c>
      <c r="U73">
        <v>0</v>
      </c>
      <c r="V73">
        <v>0</v>
      </c>
      <c r="W73" s="3">
        <f>W72</f>
        <v>8.6419999999999995</v>
      </c>
      <c r="X73" s="30"/>
      <c r="Y73">
        <v>4</v>
      </c>
      <c r="Z73" t="s">
        <v>1</v>
      </c>
      <c r="AA73">
        <v>27520</v>
      </c>
      <c r="AB73">
        <v>64</v>
      </c>
      <c r="AC73">
        <v>2</v>
      </c>
      <c r="AD73">
        <v>8</v>
      </c>
      <c r="AE73" s="16">
        <v>1391.04</v>
      </c>
      <c r="AF73" s="3">
        <v>9.9896999999999991</v>
      </c>
      <c r="AG73" s="1">
        <v>45478</v>
      </c>
      <c r="AH73" s="2">
        <v>0.26296296296296295</v>
      </c>
      <c r="AI73">
        <v>0</v>
      </c>
      <c r="AJ73">
        <v>0</v>
      </c>
      <c r="AK73">
        <v>0</v>
      </c>
      <c r="AL73">
        <v>0</v>
      </c>
      <c r="AM73">
        <v>0</v>
      </c>
      <c r="AN73">
        <v>0</v>
      </c>
      <c r="AO73">
        <v>0</v>
      </c>
      <c r="AP73">
        <v>0</v>
      </c>
      <c r="AQ73">
        <v>0</v>
      </c>
      <c r="AR73">
        <v>0</v>
      </c>
      <c r="AS73">
        <v>0</v>
      </c>
      <c r="AT73">
        <v>0</v>
      </c>
      <c r="AU73" s="3">
        <f>AU72</f>
        <v>9.991579999999999</v>
      </c>
    </row>
    <row r="74" spans="1:47" x14ac:dyDescent="0.25">
      <c r="A74">
        <v>0</v>
      </c>
      <c r="B74" t="s">
        <v>1</v>
      </c>
      <c r="C74">
        <v>29056</v>
      </c>
      <c r="D74">
        <v>64</v>
      </c>
      <c r="E74">
        <v>2</v>
      </c>
      <c r="F74">
        <v>8</v>
      </c>
      <c r="G74" s="16">
        <v>1883.56</v>
      </c>
      <c r="H74" s="24">
        <v>8.6829999999999998</v>
      </c>
      <c r="I74" s="1">
        <v>45482</v>
      </c>
      <c r="J74" s="37">
        <v>0.29225694444444444</v>
      </c>
      <c r="K74">
        <v>0</v>
      </c>
      <c r="L74">
        <v>0</v>
      </c>
      <c r="M74">
        <v>0</v>
      </c>
      <c r="N74">
        <v>0</v>
      </c>
      <c r="O74">
        <v>0</v>
      </c>
      <c r="P74">
        <v>0</v>
      </c>
      <c r="Q74">
        <v>0</v>
      </c>
      <c r="R74">
        <v>0</v>
      </c>
      <c r="S74">
        <v>0</v>
      </c>
      <c r="T74">
        <v>0</v>
      </c>
      <c r="U74">
        <v>0</v>
      </c>
      <c r="V74">
        <v>0</v>
      </c>
      <c r="W74" s="3">
        <f>AVERAGE(H74:H78)</f>
        <v>8.6886200000000002</v>
      </c>
      <c r="X74" s="30"/>
      <c r="Y74">
        <v>0</v>
      </c>
      <c r="Z74" t="s">
        <v>1</v>
      </c>
      <c r="AA74">
        <v>29056</v>
      </c>
      <c r="AB74">
        <v>64</v>
      </c>
      <c r="AC74">
        <v>2</v>
      </c>
      <c r="AD74">
        <v>8</v>
      </c>
      <c r="AE74" s="16">
        <v>1629.77</v>
      </c>
      <c r="AF74" s="3">
        <v>10.035</v>
      </c>
      <c r="AG74" s="1">
        <v>45477</v>
      </c>
      <c r="AH74" s="2">
        <v>0.72350694444444441</v>
      </c>
      <c r="AI74">
        <v>0</v>
      </c>
      <c r="AJ74">
        <v>0</v>
      </c>
      <c r="AK74">
        <v>0</v>
      </c>
      <c r="AL74">
        <v>0</v>
      </c>
      <c r="AM74">
        <v>0</v>
      </c>
      <c r="AN74">
        <v>0</v>
      </c>
      <c r="AO74">
        <v>0</v>
      </c>
      <c r="AP74">
        <v>0</v>
      </c>
      <c r="AQ74">
        <v>0</v>
      </c>
      <c r="AR74">
        <v>0</v>
      </c>
      <c r="AS74">
        <v>0</v>
      </c>
      <c r="AT74">
        <v>0</v>
      </c>
      <c r="AU74" s="3">
        <f>AVERAGE(AF74:AF78)</f>
        <v>10.036199999999999</v>
      </c>
    </row>
    <row r="75" spans="1:47" x14ac:dyDescent="0.25">
      <c r="A75">
        <v>1</v>
      </c>
      <c r="B75" t="s">
        <v>1</v>
      </c>
      <c r="C75">
        <v>29056</v>
      </c>
      <c r="D75">
        <v>64</v>
      </c>
      <c r="E75">
        <v>2</v>
      </c>
      <c r="F75">
        <v>8</v>
      </c>
      <c r="G75" s="16">
        <v>1883.02</v>
      </c>
      <c r="H75" s="24">
        <v>8.6854999999999993</v>
      </c>
      <c r="I75" s="1">
        <v>45482</v>
      </c>
      <c r="J75" s="37">
        <v>0.83297453703703705</v>
      </c>
      <c r="K75">
        <v>0</v>
      </c>
      <c r="L75">
        <v>0</v>
      </c>
      <c r="M75">
        <v>0</v>
      </c>
      <c r="N75">
        <v>0</v>
      </c>
      <c r="O75">
        <v>0</v>
      </c>
      <c r="P75">
        <v>0</v>
      </c>
      <c r="Q75">
        <v>0</v>
      </c>
      <c r="R75">
        <v>0</v>
      </c>
      <c r="S75">
        <v>0</v>
      </c>
      <c r="T75">
        <v>0</v>
      </c>
      <c r="U75">
        <v>0</v>
      </c>
      <c r="V75">
        <v>0</v>
      </c>
      <c r="W75" s="3">
        <f>W74</f>
        <v>8.6886200000000002</v>
      </c>
      <c r="X75" s="30"/>
      <c r="Y75">
        <v>1</v>
      </c>
      <c r="Z75" t="s">
        <v>1</v>
      </c>
      <c r="AA75">
        <v>29056</v>
      </c>
      <c r="AB75">
        <v>64</v>
      </c>
      <c r="AC75">
        <v>2</v>
      </c>
      <c r="AD75">
        <v>8</v>
      </c>
      <c r="AE75" s="16">
        <v>1629.14</v>
      </c>
      <c r="AF75" s="3">
        <v>10.039</v>
      </c>
      <c r="AG75" s="1">
        <v>45477</v>
      </c>
      <c r="AH75" s="2">
        <v>0.88446759259259256</v>
      </c>
      <c r="AI75">
        <v>0</v>
      </c>
      <c r="AJ75">
        <v>0</v>
      </c>
      <c r="AK75">
        <v>0</v>
      </c>
      <c r="AL75">
        <v>0</v>
      </c>
      <c r="AM75">
        <v>0</v>
      </c>
      <c r="AN75">
        <v>0</v>
      </c>
      <c r="AO75">
        <v>0</v>
      </c>
      <c r="AP75">
        <v>0</v>
      </c>
      <c r="AQ75">
        <v>0</v>
      </c>
      <c r="AR75">
        <v>0</v>
      </c>
      <c r="AS75">
        <v>0</v>
      </c>
      <c r="AT75">
        <v>0</v>
      </c>
      <c r="AU75" s="3">
        <f>AU74</f>
        <v>10.036199999999999</v>
      </c>
    </row>
    <row r="76" spans="1:47" x14ac:dyDescent="0.25">
      <c r="A76">
        <v>2</v>
      </c>
      <c r="B76" t="s">
        <v>1</v>
      </c>
      <c r="C76">
        <v>29056</v>
      </c>
      <c r="D76">
        <v>64</v>
      </c>
      <c r="E76">
        <v>2</v>
      </c>
      <c r="F76">
        <v>8</v>
      </c>
      <c r="G76" s="16">
        <v>1881.63</v>
      </c>
      <c r="H76" s="24">
        <v>8.6919000000000004</v>
      </c>
      <c r="I76" s="1">
        <v>45483</v>
      </c>
      <c r="J76" s="37">
        <v>0.3580787037037037</v>
      </c>
      <c r="K76">
        <v>0</v>
      </c>
      <c r="L76">
        <v>0</v>
      </c>
      <c r="M76">
        <v>0</v>
      </c>
      <c r="N76">
        <v>0</v>
      </c>
      <c r="O76">
        <v>0</v>
      </c>
      <c r="P76">
        <v>0</v>
      </c>
      <c r="Q76">
        <v>0</v>
      </c>
      <c r="R76">
        <v>0</v>
      </c>
      <c r="S76">
        <v>0</v>
      </c>
      <c r="T76">
        <v>0</v>
      </c>
      <c r="U76">
        <v>0</v>
      </c>
      <c r="V76">
        <v>0</v>
      </c>
      <c r="W76" s="3">
        <f>W75</f>
        <v>8.6886200000000002</v>
      </c>
      <c r="X76" s="30"/>
      <c r="Y76">
        <v>2</v>
      </c>
      <c r="Z76" t="s">
        <v>1</v>
      </c>
      <c r="AA76">
        <v>29056</v>
      </c>
      <c r="AB76">
        <v>64</v>
      </c>
      <c r="AC76">
        <v>2</v>
      </c>
      <c r="AD76">
        <v>8</v>
      </c>
      <c r="AE76" s="16">
        <v>1629.77</v>
      </c>
      <c r="AF76" s="3">
        <v>10.035</v>
      </c>
      <c r="AG76" s="1">
        <v>45478</v>
      </c>
      <c r="AH76" s="2">
        <v>4.5567129629629631E-2</v>
      </c>
      <c r="AI76">
        <v>0</v>
      </c>
      <c r="AJ76">
        <v>0</v>
      </c>
      <c r="AK76">
        <v>0</v>
      </c>
      <c r="AL76">
        <v>0</v>
      </c>
      <c r="AM76">
        <v>0</v>
      </c>
      <c r="AN76">
        <v>0</v>
      </c>
      <c r="AO76">
        <v>0</v>
      </c>
      <c r="AP76">
        <v>0</v>
      </c>
      <c r="AQ76">
        <v>0</v>
      </c>
      <c r="AR76">
        <v>0</v>
      </c>
      <c r="AS76">
        <v>0</v>
      </c>
      <c r="AT76">
        <v>0</v>
      </c>
      <c r="AU76" s="3">
        <f>AU75</f>
        <v>10.036199999999999</v>
      </c>
    </row>
    <row r="77" spans="1:47" x14ac:dyDescent="0.25">
      <c r="A77">
        <v>3</v>
      </c>
      <c r="B77" t="s">
        <v>1</v>
      </c>
      <c r="C77">
        <v>29056</v>
      </c>
      <c r="D77">
        <v>64</v>
      </c>
      <c r="E77">
        <v>2</v>
      </c>
      <c r="F77">
        <v>8</v>
      </c>
      <c r="G77" s="16">
        <v>1882.22</v>
      </c>
      <c r="H77" s="24">
        <v>8.6891999999999996</v>
      </c>
      <c r="I77" s="1">
        <v>45477</v>
      </c>
      <c r="J77" s="37">
        <v>0.772974537037037</v>
      </c>
      <c r="K77">
        <v>0</v>
      </c>
      <c r="L77">
        <v>0</v>
      </c>
      <c r="M77">
        <v>0</v>
      </c>
      <c r="N77">
        <v>0</v>
      </c>
      <c r="O77">
        <v>0</v>
      </c>
      <c r="P77">
        <v>0</v>
      </c>
      <c r="Q77">
        <v>0</v>
      </c>
      <c r="R77">
        <v>0</v>
      </c>
      <c r="S77">
        <v>0</v>
      </c>
      <c r="T77">
        <v>0</v>
      </c>
      <c r="U77">
        <v>0</v>
      </c>
      <c r="V77">
        <v>0</v>
      </c>
      <c r="W77" s="3">
        <f>W76</f>
        <v>8.6886200000000002</v>
      </c>
      <c r="X77" s="30"/>
      <c r="Y77">
        <v>3</v>
      </c>
      <c r="Z77" t="s">
        <v>1</v>
      </c>
      <c r="AA77">
        <v>29056</v>
      </c>
      <c r="AB77">
        <v>64</v>
      </c>
      <c r="AC77">
        <v>2</v>
      </c>
      <c r="AD77">
        <v>8</v>
      </c>
      <c r="AE77" s="16">
        <v>1629.22</v>
      </c>
      <c r="AF77" s="3">
        <v>10.039</v>
      </c>
      <c r="AG77" s="1">
        <v>45478</v>
      </c>
      <c r="AH77" s="2">
        <v>0.20664351851851853</v>
      </c>
      <c r="AI77">
        <v>0</v>
      </c>
      <c r="AJ77">
        <v>0</v>
      </c>
      <c r="AK77">
        <v>0</v>
      </c>
      <c r="AL77">
        <v>0</v>
      </c>
      <c r="AM77">
        <v>0</v>
      </c>
      <c r="AN77">
        <v>0</v>
      </c>
      <c r="AO77">
        <v>0</v>
      </c>
      <c r="AP77">
        <v>0</v>
      </c>
      <c r="AQ77">
        <v>0</v>
      </c>
      <c r="AR77">
        <v>0</v>
      </c>
      <c r="AS77">
        <v>0</v>
      </c>
      <c r="AT77">
        <v>0</v>
      </c>
      <c r="AU77" s="3">
        <f>AU76</f>
        <v>10.036199999999999</v>
      </c>
    </row>
    <row r="78" spans="1:47" x14ac:dyDescent="0.25">
      <c r="A78">
        <v>4</v>
      </c>
      <c r="B78" t="s">
        <v>1</v>
      </c>
      <c r="C78">
        <v>29056</v>
      </c>
      <c r="D78">
        <v>64</v>
      </c>
      <c r="E78">
        <v>2</v>
      </c>
      <c r="F78">
        <v>8</v>
      </c>
      <c r="G78" s="16">
        <v>1881.29</v>
      </c>
      <c r="H78" s="24">
        <v>8.6935000000000002</v>
      </c>
      <c r="I78" s="1">
        <v>45477</v>
      </c>
      <c r="J78" s="37">
        <v>0.6617939814814815</v>
      </c>
      <c r="K78">
        <v>0</v>
      </c>
      <c r="L78">
        <v>0</v>
      </c>
      <c r="M78">
        <v>0</v>
      </c>
      <c r="N78">
        <v>0</v>
      </c>
      <c r="O78">
        <v>0</v>
      </c>
      <c r="P78">
        <v>0</v>
      </c>
      <c r="Q78">
        <v>0</v>
      </c>
      <c r="R78">
        <v>0</v>
      </c>
      <c r="S78">
        <v>0</v>
      </c>
      <c r="T78">
        <v>0</v>
      </c>
      <c r="U78">
        <v>0</v>
      </c>
      <c r="V78">
        <v>0</v>
      </c>
      <c r="W78" s="3">
        <f>W77</f>
        <v>8.6886200000000002</v>
      </c>
      <c r="X78" s="30"/>
      <c r="Y78">
        <v>4</v>
      </c>
      <c r="Z78" t="s">
        <v>1</v>
      </c>
      <c r="AA78">
        <v>29056</v>
      </c>
      <c r="AB78">
        <v>64</v>
      </c>
      <c r="AC78">
        <v>2</v>
      </c>
      <c r="AD78">
        <v>8</v>
      </c>
      <c r="AE78" s="16">
        <v>1630.07</v>
      </c>
      <c r="AF78" s="3">
        <v>10.032999999999999</v>
      </c>
      <c r="AG78" s="1">
        <v>45478</v>
      </c>
      <c r="AH78" s="2">
        <v>0.36768518518518517</v>
      </c>
      <c r="AI78">
        <v>0</v>
      </c>
      <c r="AJ78">
        <v>0</v>
      </c>
      <c r="AK78">
        <v>0</v>
      </c>
      <c r="AL78">
        <v>0</v>
      </c>
      <c r="AM78">
        <v>0</v>
      </c>
      <c r="AN78">
        <v>0</v>
      </c>
      <c r="AO78">
        <v>0</v>
      </c>
      <c r="AP78">
        <v>0</v>
      </c>
      <c r="AQ78">
        <v>0</v>
      </c>
      <c r="AR78">
        <v>0</v>
      </c>
      <c r="AS78">
        <v>0</v>
      </c>
      <c r="AT78">
        <v>0</v>
      </c>
      <c r="AU78" s="3">
        <f>AU77</f>
        <v>10.036199999999999</v>
      </c>
    </row>
    <row r="79" spans="1:47" x14ac:dyDescent="0.25">
      <c r="A79">
        <v>0</v>
      </c>
      <c r="B79" t="s">
        <v>1</v>
      </c>
      <c r="C79">
        <v>25984</v>
      </c>
      <c r="D79">
        <v>64</v>
      </c>
      <c r="E79">
        <v>4</v>
      </c>
      <c r="F79">
        <v>4</v>
      </c>
      <c r="G79" s="16">
        <v>1323.99</v>
      </c>
      <c r="H79" s="24">
        <v>8.8345000000000002</v>
      </c>
      <c r="I79" s="1">
        <v>45482</v>
      </c>
      <c r="J79" s="37">
        <v>0.12956018518518519</v>
      </c>
      <c r="K79">
        <v>0</v>
      </c>
      <c r="L79">
        <v>0</v>
      </c>
      <c r="M79">
        <v>0</v>
      </c>
      <c r="N79">
        <v>0</v>
      </c>
      <c r="O79">
        <v>0</v>
      </c>
      <c r="P79">
        <v>0</v>
      </c>
      <c r="Q79">
        <v>0</v>
      </c>
      <c r="R79">
        <v>0</v>
      </c>
      <c r="S79">
        <v>0</v>
      </c>
      <c r="T79">
        <v>0</v>
      </c>
      <c r="U79">
        <v>0</v>
      </c>
      <c r="V79">
        <v>0</v>
      </c>
      <c r="W79" s="3">
        <f>AVERAGE(H79:H83)</f>
        <v>8.8390200000000014</v>
      </c>
      <c r="X79" s="30"/>
      <c r="Y79">
        <v>0</v>
      </c>
      <c r="Z79" t="s">
        <v>1</v>
      </c>
      <c r="AA79">
        <v>25984</v>
      </c>
      <c r="AB79">
        <v>64</v>
      </c>
      <c r="AC79">
        <v>4</v>
      </c>
      <c r="AD79">
        <v>4</v>
      </c>
      <c r="AE79" s="16">
        <v>1190.75</v>
      </c>
      <c r="AF79" s="3">
        <v>9.8230000000000004</v>
      </c>
      <c r="AG79" s="1">
        <v>45477</v>
      </c>
      <c r="AH79" s="2">
        <v>0.68196759259259254</v>
      </c>
      <c r="AI79">
        <v>0</v>
      </c>
      <c r="AJ79">
        <v>0</v>
      </c>
      <c r="AK79">
        <v>0</v>
      </c>
      <c r="AL79">
        <v>0</v>
      </c>
      <c r="AM79">
        <v>0</v>
      </c>
      <c r="AN79">
        <v>0</v>
      </c>
      <c r="AO79">
        <v>0</v>
      </c>
      <c r="AP79">
        <v>0</v>
      </c>
      <c r="AQ79">
        <v>0</v>
      </c>
      <c r="AR79">
        <v>0</v>
      </c>
      <c r="AS79">
        <v>0</v>
      </c>
      <c r="AT79">
        <v>0</v>
      </c>
      <c r="AU79" s="3">
        <f>AVERAGE(AF79:AF83)</f>
        <v>9.8191799999999994</v>
      </c>
    </row>
    <row r="80" spans="1:47" x14ac:dyDescent="0.25">
      <c r="A80">
        <v>1</v>
      </c>
      <c r="B80" t="s">
        <v>1</v>
      </c>
      <c r="C80">
        <v>25984</v>
      </c>
      <c r="D80">
        <v>64</v>
      </c>
      <c r="E80">
        <v>4</v>
      </c>
      <c r="F80">
        <v>4</v>
      </c>
      <c r="G80" s="16">
        <v>1322.63</v>
      </c>
      <c r="H80" s="24">
        <v>8.8435000000000006</v>
      </c>
      <c r="I80" s="1">
        <v>45482</v>
      </c>
      <c r="J80" s="37">
        <v>0.63871527777777781</v>
      </c>
      <c r="K80">
        <v>0</v>
      </c>
      <c r="L80">
        <v>0</v>
      </c>
      <c r="M80">
        <v>0</v>
      </c>
      <c r="N80">
        <v>0</v>
      </c>
      <c r="O80">
        <v>0</v>
      </c>
      <c r="P80">
        <v>0</v>
      </c>
      <c r="Q80">
        <v>0</v>
      </c>
      <c r="R80">
        <v>0</v>
      </c>
      <c r="S80">
        <v>0</v>
      </c>
      <c r="T80">
        <v>0</v>
      </c>
      <c r="U80">
        <v>0</v>
      </c>
      <c r="V80">
        <v>0</v>
      </c>
      <c r="W80" s="3">
        <f>W79</f>
        <v>8.8390200000000014</v>
      </c>
      <c r="X80" s="30"/>
      <c r="Y80">
        <v>1</v>
      </c>
      <c r="Z80" t="s">
        <v>1</v>
      </c>
      <c r="AA80">
        <v>25984</v>
      </c>
      <c r="AB80">
        <v>64</v>
      </c>
      <c r="AC80">
        <v>4</v>
      </c>
      <c r="AD80">
        <v>4</v>
      </c>
      <c r="AE80" s="16">
        <v>1191.22</v>
      </c>
      <c r="AF80" s="3">
        <v>9.8191000000000006</v>
      </c>
      <c r="AG80" s="1">
        <v>45477</v>
      </c>
      <c r="AH80" s="2">
        <v>0.84296296296296291</v>
      </c>
      <c r="AI80">
        <v>0</v>
      </c>
      <c r="AJ80">
        <v>0</v>
      </c>
      <c r="AK80">
        <v>0</v>
      </c>
      <c r="AL80">
        <v>0</v>
      </c>
      <c r="AM80">
        <v>0</v>
      </c>
      <c r="AN80">
        <v>0</v>
      </c>
      <c r="AO80">
        <v>0</v>
      </c>
      <c r="AP80">
        <v>0</v>
      </c>
      <c r="AQ80">
        <v>0</v>
      </c>
      <c r="AR80">
        <v>0</v>
      </c>
      <c r="AS80">
        <v>0</v>
      </c>
      <c r="AT80">
        <v>0</v>
      </c>
      <c r="AU80" s="3">
        <f>AU79</f>
        <v>9.8191799999999994</v>
      </c>
    </row>
    <row r="81" spans="1:47" x14ac:dyDescent="0.25">
      <c r="A81">
        <v>2</v>
      </c>
      <c r="B81" t="s">
        <v>1</v>
      </c>
      <c r="C81">
        <v>25984</v>
      </c>
      <c r="D81">
        <v>64</v>
      </c>
      <c r="E81">
        <v>4</v>
      </c>
      <c r="F81">
        <v>4</v>
      </c>
      <c r="G81" s="16">
        <v>1323.72</v>
      </c>
      <c r="H81" s="24">
        <v>8.8361999999999998</v>
      </c>
      <c r="I81" s="1">
        <v>45483</v>
      </c>
      <c r="J81" s="37">
        <v>0.19542824074074075</v>
      </c>
      <c r="K81">
        <v>0</v>
      </c>
      <c r="L81">
        <v>0</v>
      </c>
      <c r="M81">
        <v>0</v>
      </c>
      <c r="N81">
        <v>0</v>
      </c>
      <c r="O81">
        <v>0</v>
      </c>
      <c r="P81">
        <v>0</v>
      </c>
      <c r="Q81">
        <v>0</v>
      </c>
      <c r="R81">
        <v>0</v>
      </c>
      <c r="S81">
        <v>0</v>
      </c>
      <c r="T81">
        <v>0</v>
      </c>
      <c r="U81">
        <v>0</v>
      </c>
      <c r="V81">
        <v>0</v>
      </c>
      <c r="W81" s="3">
        <f>W80</f>
        <v>8.8390200000000014</v>
      </c>
      <c r="X81" s="30"/>
      <c r="Y81">
        <v>2</v>
      </c>
      <c r="Z81" t="s">
        <v>1</v>
      </c>
      <c r="AA81">
        <v>25984</v>
      </c>
      <c r="AB81">
        <v>64</v>
      </c>
      <c r="AC81">
        <v>4</v>
      </c>
      <c r="AD81">
        <v>4</v>
      </c>
      <c r="AE81" s="16">
        <v>1191.1099999999999</v>
      </c>
      <c r="AF81" s="3">
        <v>9.82</v>
      </c>
      <c r="AG81" s="1">
        <v>45478</v>
      </c>
      <c r="AH81" s="2">
        <v>4.0393518518518521E-3</v>
      </c>
      <c r="AI81">
        <v>0</v>
      </c>
      <c r="AJ81">
        <v>0</v>
      </c>
      <c r="AK81">
        <v>0</v>
      </c>
      <c r="AL81">
        <v>0</v>
      </c>
      <c r="AM81">
        <v>0</v>
      </c>
      <c r="AN81">
        <v>0</v>
      </c>
      <c r="AO81">
        <v>0</v>
      </c>
      <c r="AP81">
        <v>0</v>
      </c>
      <c r="AQ81">
        <v>0</v>
      </c>
      <c r="AR81">
        <v>0</v>
      </c>
      <c r="AS81">
        <v>0</v>
      </c>
      <c r="AT81">
        <v>0</v>
      </c>
      <c r="AU81" s="3">
        <f>AU80</f>
        <v>9.8191799999999994</v>
      </c>
    </row>
    <row r="82" spans="1:47" x14ac:dyDescent="0.25">
      <c r="A82">
        <v>3</v>
      </c>
      <c r="B82" t="s">
        <v>1</v>
      </c>
      <c r="C82">
        <v>25984</v>
      </c>
      <c r="D82">
        <v>64</v>
      </c>
      <c r="E82">
        <v>4</v>
      </c>
      <c r="F82">
        <v>4</v>
      </c>
      <c r="G82" s="16">
        <v>1323.36</v>
      </c>
      <c r="H82" s="24">
        <v>8.8386999999999993</v>
      </c>
      <c r="I82" s="1">
        <v>45477</v>
      </c>
      <c r="J82" s="37">
        <v>0.61039351851851853</v>
      </c>
      <c r="K82">
        <v>0</v>
      </c>
      <c r="L82">
        <v>0</v>
      </c>
      <c r="M82">
        <v>0</v>
      </c>
      <c r="N82">
        <v>0</v>
      </c>
      <c r="O82">
        <v>0</v>
      </c>
      <c r="P82">
        <v>0</v>
      </c>
      <c r="Q82">
        <v>0</v>
      </c>
      <c r="R82">
        <v>0</v>
      </c>
      <c r="S82">
        <v>0</v>
      </c>
      <c r="T82">
        <v>0</v>
      </c>
      <c r="U82">
        <v>0</v>
      </c>
      <c r="V82">
        <v>0</v>
      </c>
      <c r="W82" s="3">
        <f>W81</f>
        <v>8.8390200000000014</v>
      </c>
      <c r="X82" s="30"/>
      <c r="Y82">
        <v>3</v>
      </c>
      <c r="Z82" t="s">
        <v>1</v>
      </c>
      <c r="AA82">
        <v>25984</v>
      </c>
      <c r="AB82">
        <v>64</v>
      </c>
      <c r="AC82">
        <v>4</v>
      </c>
      <c r="AD82">
        <v>4</v>
      </c>
      <c r="AE82" s="16">
        <v>1191.5999999999999</v>
      </c>
      <c r="AF82" s="3">
        <v>9.8158999999999992</v>
      </c>
      <c r="AG82" s="1">
        <v>45478</v>
      </c>
      <c r="AH82" s="2">
        <v>0.16512731481481482</v>
      </c>
      <c r="AI82">
        <v>0</v>
      </c>
      <c r="AJ82">
        <v>0</v>
      </c>
      <c r="AK82">
        <v>0</v>
      </c>
      <c r="AL82">
        <v>0</v>
      </c>
      <c r="AM82">
        <v>0</v>
      </c>
      <c r="AN82">
        <v>0</v>
      </c>
      <c r="AO82">
        <v>0</v>
      </c>
      <c r="AP82">
        <v>0</v>
      </c>
      <c r="AQ82">
        <v>0</v>
      </c>
      <c r="AR82">
        <v>0</v>
      </c>
      <c r="AS82">
        <v>0</v>
      </c>
      <c r="AT82">
        <v>0</v>
      </c>
      <c r="AU82" s="3">
        <f>AU81</f>
        <v>9.8191799999999994</v>
      </c>
    </row>
    <row r="83" spans="1:47" x14ac:dyDescent="0.25">
      <c r="A83">
        <v>4</v>
      </c>
      <c r="B83" t="s">
        <v>1</v>
      </c>
      <c r="C83">
        <v>25984</v>
      </c>
      <c r="D83">
        <v>64</v>
      </c>
      <c r="E83">
        <v>4</v>
      </c>
      <c r="F83">
        <v>4</v>
      </c>
      <c r="G83" s="16">
        <v>1322.84</v>
      </c>
      <c r="H83" s="24">
        <v>8.8422000000000001</v>
      </c>
      <c r="I83" s="1">
        <v>45477</v>
      </c>
      <c r="J83" s="37">
        <v>0.49934027777777779</v>
      </c>
      <c r="K83">
        <v>0</v>
      </c>
      <c r="L83">
        <v>0</v>
      </c>
      <c r="M83">
        <v>0</v>
      </c>
      <c r="N83">
        <v>0</v>
      </c>
      <c r="O83">
        <v>0</v>
      </c>
      <c r="P83">
        <v>0</v>
      </c>
      <c r="Q83">
        <v>0</v>
      </c>
      <c r="R83">
        <v>0</v>
      </c>
      <c r="S83">
        <v>0</v>
      </c>
      <c r="T83">
        <v>0</v>
      </c>
      <c r="U83">
        <v>0</v>
      </c>
      <c r="V83">
        <v>0</v>
      </c>
      <c r="W83" s="3">
        <f>W82</f>
        <v>8.8390200000000014</v>
      </c>
      <c r="X83" s="30"/>
      <c r="Y83">
        <v>4</v>
      </c>
      <c r="Z83" t="s">
        <v>1</v>
      </c>
      <c r="AA83">
        <v>25984</v>
      </c>
      <c r="AB83">
        <v>64</v>
      </c>
      <c r="AC83">
        <v>4</v>
      </c>
      <c r="AD83">
        <v>4</v>
      </c>
      <c r="AE83" s="16">
        <v>1191.3699999999999</v>
      </c>
      <c r="AF83" s="3">
        <v>9.8178999999999998</v>
      </c>
      <c r="AG83" s="1">
        <v>45478</v>
      </c>
      <c r="AH83" s="2">
        <v>0.32616898148148149</v>
      </c>
      <c r="AI83">
        <v>0</v>
      </c>
      <c r="AJ83">
        <v>0</v>
      </c>
      <c r="AK83">
        <v>0</v>
      </c>
      <c r="AL83">
        <v>0</v>
      </c>
      <c r="AM83">
        <v>0</v>
      </c>
      <c r="AN83">
        <v>0</v>
      </c>
      <c r="AO83">
        <v>0</v>
      </c>
      <c r="AP83">
        <v>0</v>
      </c>
      <c r="AQ83">
        <v>0</v>
      </c>
      <c r="AR83">
        <v>0</v>
      </c>
      <c r="AS83">
        <v>0</v>
      </c>
      <c r="AT83">
        <v>0</v>
      </c>
      <c r="AU83" s="3">
        <f>AU82</f>
        <v>9.8191799999999994</v>
      </c>
    </row>
    <row r="84" spans="1:47" x14ac:dyDescent="0.25">
      <c r="A84">
        <v>0</v>
      </c>
      <c r="B84" t="s">
        <v>1</v>
      </c>
      <c r="C84">
        <v>27520</v>
      </c>
      <c r="D84">
        <v>64</v>
      </c>
      <c r="E84">
        <v>4</v>
      </c>
      <c r="F84">
        <v>4</v>
      </c>
      <c r="G84" s="16">
        <v>1579.01</v>
      </c>
      <c r="H84" s="24">
        <v>8.8004999999999995</v>
      </c>
      <c r="I84" s="1">
        <v>45481</v>
      </c>
      <c r="J84" s="37">
        <v>0.9728472222222222</v>
      </c>
      <c r="K84">
        <v>0</v>
      </c>
      <c r="L84">
        <v>0</v>
      </c>
      <c r="M84">
        <v>0</v>
      </c>
      <c r="N84">
        <v>0</v>
      </c>
      <c r="O84">
        <v>0</v>
      </c>
      <c r="P84">
        <v>0</v>
      </c>
      <c r="Q84">
        <v>0</v>
      </c>
      <c r="R84">
        <v>0</v>
      </c>
      <c r="S84">
        <v>0</v>
      </c>
      <c r="T84">
        <v>0</v>
      </c>
      <c r="U84">
        <v>0</v>
      </c>
      <c r="V84">
        <v>0</v>
      </c>
      <c r="W84" s="3">
        <f>AVERAGE(H84:H88)</f>
        <v>8.7994200000000014</v>
      </c>
      <c r="X84" s="30"/>
      <c r="Y84">
        <v>0</v>
      </c>
      <c r="Z84" t="s">
        <v>1</v>
      </c>
      <c r="AA84">
        <v>27520</v>
      </c>
      <c r="AB84">
        <v>64</v>
      </c>
      <c r="AC84">
        <v>4</v>
      </c>
      <c r="AD84">
        <v>4</v>
      </c>
      <c r="AE84" s="16">
        <v>1406.58</v>
      </c>
      <c r="AF84" s="3">
        <v>9.8792000000000009</v>
      </c>
      <c r="AG84" s="1">
        <v>45477</v>
      </c>
      <c r="AH84" s="2">
        <v>0.63653935185185184</v>
      </c>
      <c r="AI84">
        <v>0</v>
      </c>
      <c r="AJ84">
        <v>0</v>
      </c>
      <c r="AK84">
        <v>0</v>
      </c>
      <c r="AL84">
        <v>0</v>
      </c>
      <c r="AM84">
        <v>0</v>
      </c>
      <c r="AN84">
        <v>0</v>
      </c>
      <c r="AO84">
        <v>0</v>
      </c>
      <c r="AP84">
        <v>0</v>
      </c>
      <c r="AQ84">
        <v>0</v>
      </c>
      <c r="AR84">
        <v>0</v>
      </c>
      <c r="AS84">
        <v>0</v>
      </c>
      <c r="AT84">
        <v>0</v>
      </c>
      <c r="AU84" s="3">
        <f>AVERAGE(AF84:AF88)</f>
        <v>9.8792800000000014</v>
      </c>
    </row>
    <row r="85" spans="1:47" x14ac:dyDescent="0.25">
      <c r="A85">
        <v>1</v>
      </c>
      <c r="B85" t="s">
        <v>1</v>
      </c>
      <c r="C85">
        <v>27520</v>
      </c>
      <c r="D85">
        <v>64</v>
      </c>
      <c r="E85">
        <v>4</v>
      </c>
      <c r="F85">
        <v>4</v>
      </c>
      <c r="G85" s="16">
        <v>1579.22</v>
      </c>
      <c r="H85" s="24">
        <v>8.7993000000000006</v>
      </c>
      <c r="I85" s="1">
        <v>45482</v>
      </c>
      <c r="J85" s="37">
        <v>0.48203703703703704</v>
      </c>
      <c r="K85">
        <v>0</v>
      </c>
      <c r="L85">
        <v>0</v>
      </c>
      <c r="M85">
        <v>0</v>
      </c>
      <c r="N85">
        <v>0</v>
      </c>
      <c r="O85">
        <v>0</v>
      </c>
      <c r="P85">
        <v>0</v>
      </c>
      <c r="Q85">
        <v>0</v>
      </c>
      <c r="R85">
        <v>0</v>
      </c>
      <c r="S85">
        <v>0</v>
      </c>
      <c r="T85">
        <v>0</v>
      </c>
      <c r="U85">
        <v>0</v>
      </c>
      <c r="V85">
        <v>0</v>
      </c>
      <c r="W85" s="3">
        <f>W84</f>
        <v>8.7994200000000014</v>
      </c>
      <c r="X85" s="30"/>
      <c r="Y85">
        <v>1</v>
      </c>
      <c r="Z85" t="s">
        <v>1</v>
      </c>
      <c r="AA85">
        <v>27520</v>
      </c>
      <c r="AB85">
        <v>64</v>
      </c>
      <c r="AC85">
        <v>4</v>
      </c>
      <c r="AD85">
        <v>4</v>
      </c>
      <c r="AE85" s="16">
        <v>1406.43</v>
      </c>
      <c r="AF85" s="3">
        <v>9.8803000000000001</v>
      </c>
      <c r="AG85" s="1">
        <v>45477</v>
      </c>
      <c r="AH85" s="2">
        <v>0.7975578703703704</v>
      </c>
      <c r="AI85">
        <v>0</v>
      </c>
      <c r="AJ85">
        <v>0</v>
      </c>
      <c r="AK85">
        <v>0</v>
      </c>
      <c r="AL85">
        <v>0</v>
      </c>
      <c r="AM85">
        <v>0</v>
      </c>
      <c r="AN85">
        <v>0</v>
      </c>
      <c r="AO85">
        <v>0</v>
      </c>
      <c r="AP85">
        <v>0</v>
      </c>
      <c r="AQ85">
        <v>0</v>
      </c>
      <c r="AR85">
        <v>0</v>
      </c>
      <c r="AS85">
        <v>0</v>
      </c>
      <c r="AT85">
        <v>0</v>
      </c>
      <c r="AU85" s="3">
        <f>AU84</f>
        <v>9.8792800000000014</v>
      </c>
    </row>
    <row r="86" spans="1:47" x14ac:dyDescent="0.25">
      <c r="A86">
        <v>2</v>
      </c>
      <c r="B86" t="s">
        <v>1</v>
      </c>
      <c r="C86">
        <v>27520</v>
      </c>
      <c r="D86">
        <v>64</v>
      </c>
      <c r="E86">
        <v>4</v>
      </c>
      <c r="F86">
        <v>4</v>
      </c>
      <c r="G86" s="16">
        <v>1580.11</v>
      </c>
      <c r="H86" s="24">
        <v>8.7942999999999998</v>
      </c>
      <c r="I86" s="1">
        <v>45483</v>
      </c>
      <c r="J86" s="37">
        <v>3.8738425925925926E-2</v>
      </c>
      <c r="K86">
        <v>0</v>
      </c>
      <c r="L86">
        <v>0</v>
      </c>
      <c r="M86">
        <v>0</v>
      </c>
      <c r="N86">
        <v>0</v>
      </c>
      <c r="O86">
        <v>0</v>
      </c>
      <c r="P86">
        <v>0</v>
      </c>
      <c r="Q86">
        <v>0</v>
      </c>
      <c r="R86">
        <v>0</v>
      </c>
      <c r="S86">
        <v>0</v>
      </c>
      <c r="T86">
        <v>0</v>
      </c>
      <c r="U86">
        <v>0</v>
      </c>
      <c r="V86">
        <v>0</v>
      </c>
      <c r="W86" s="3">
        <f>W85</f>
        <v>8.7994200000000014</v>
      </c>
      <c r="X86" s="30"/>
      <c r="Y86">
        <v>2</v>
      </c>
      <c r="Z86" t="s">
        <v>1</v>
      </c>
      <c r="AA86">
        <v>27520</v>
      </c>
      <c r="AB86">
        <v>64</v>
      </c>
      <c r="AC86">
        <v>4</v>
      </c>
      <c r="AD86">
        <v>4</v>
      </c>
      <c r="AE86" s="16">
        <v>1407.51</v>
      </c>
      <c r="AF86" s="3">
        <v>9.8727</v>
      </c>
      <c r="AG86" s="1">
        <v>45477</v>
      </c>
      <c r="AH86" s="2">
        <v>0.95862268518518523</v>
      </c>
      <c r="AI86">
        <v>0</v>
      </c>
      <c r="AJ86">
        <v>0</v>
      </c>
      <c r="AK86">
        <v>0</v>
      </c>
      <c r="AL86">
        <v>0</v>
      </c>
      <c r="AM86">
        <v>0</v>
      </c>
      <c r="AN86">
        <v>0</v>
      </c>
      <c r="AO86">
        <v>0</v>
      </c>
      <c r="AP86">
        <v>0</v>
      </c>
      <c r="AQ86">
        <v>0</v>
      </c>
      <c r="AR86">
        <v>0</v>
      </c>
      <c r="AS86">
        <v>0</v>
      </c>
      <c r="AT86">
        <v>0</v>
      </c>
      <c r="AU86" s="3">
        <f>AU85</f>
        <v>9.8792800000000014</v>
      </c>
    </row>
    <row r="87" spans="1:47" x14ac:dyDescent="0.25">
      <c r="A87">
        <v>3</v>
      </c>
      <c r="B87" t="s">
        <v>1</v>
      </c>
      <c r="C87">
        <v>27520</v>
      </c>
      <c r="D87">
        <v>64</v>
      </c>
      <c r="E87">
        <v>4</v>
      </c>
      <c r="F87">
        <v>4</v>
      </c>
      <c r="G87" s="16">
        <v>1578.84</v>
      </c>
      <c r="H87" s="24">
        <v>8.8013999999999992</v>
      </c>
      <c r="I87" s="1">
        <v>45477</v>
      </c>
      <c r="J87" s="37">
        <v>0.45377314814814818</v>
      </c>
      <c r="K87">
        <v>0</v>
      </c>
      <c r="L87">
        <v>0</v>
      </c>
      <c r="M87">
        <v>0</v>
      </c>
      <c r="N87">
        <v>0</v>
      </c>
      <c r="O87">
        <v>0</v>
      </c>
      <c r="P87">
        <v>0</v>
      </c>
      <c r="Q87">
        <v>0</v>
      </c>
      <c r="R87">
        <v>0</v>
      </c>
      <c r="S87">
        <v>0</v>
      </c>
      <c r="T87">
        <v>0</v>
      </c>
      <c r="U87">
        <v>0</v>
      </c>
      <c r="V87">
        <v>0</v>
      </c>
      <c r="W87" s="3">
        <f>W86</f>
        <v>8.7994200000000014</v>
      </c>
      <c r="X87" s="30"/>
      <c r="Y87">
        <v>3</v>
      </c>
      <c r="Z87" t="s">
        <v>1</v>
      </c>
      <c r="AA87">
        <v>27520</v>
      </c>
      <c r="AB87">
        <v>64</v>
      </c>
      <c r="AC87">
        <v>4</v>
      </c>
      <c r="AD87">
        <v>4</v>
      </c>
      <c r="AE87" s="16">
        <v>1405.49</v>
      </c>
      <c r="AF87" s="3">
        <v>9.8869000000000007</v>
      </c>
      <c r="AG87" s="1">
        <v>45478</v>
      </c>
      <c r="AH87" s="2">
        <v>0.11967592592592592</v>
      </c>
      <c r="AI87">
        <v>0</v>
      </c>
      <c r="AJ87">
        <v>0</v>
      </c>
      <c r="AK87">
        <v>0</v>
      </c>
      <c r="AL87">
        <v>0</v>
      </c>
      <c r="AM87">
        <v>0</v>
      </c>
      <c r="AN87">
        <v>0</v>
      </c>
      <c r="AO87">
        <v>0</v>
      </c>
      <c r="AP87">
        <v>0</v>
      </c>
      <c r="AQ87">
        <v>0</v>
      </c>
      <c r="AR87">
        <v>0</v>
      </c>
      <c r="AS87">
        <v>0</v>
      </c>
      <c r="AT87">
        <v>0</v>
      </c>
      <c r="AU87" s="3">
        <f>AU86</f>
        <v>9.8792800000000014</v>
      </c>
    </row>
    <row r="88" spans="1:47" x14ac:dyDescent="0.25">
      <c r="A88">
        <v>4</v>
      </c>
      <c r="B88" t="s">
        <v>1</v>
      </c>
      <c r="C88">
        <v>27520</v>
      </c>
      <c r="D88">
        <v>64</v>
      </c>
      <c r="E88">
        <v>4</v>
      </c>
      <c r="F88">
        <v>4</v>
      </c>
      <c r="G88" s="16">
        <v>1578.8</v>
      </c>
      <c r="H88" s="24">
        <v>8.8016000000000005</v>
      </c>
      <c r="I88" s="1">
        <v>45477</v>
      </c>
      <c r="J88" s="37">
        <v>0.97864583333333333</v>
      </c>
      <c r="K88">
        <v>0</v>
      </c>
      <c r="L88">
        <v>0</v>
      </c>
      <c r="M88">
        <v>0</v>
      </c>
      <c r="N88">
        <v>0</v>
      </c>
      <c r="O88">
        <v>0</v>
      </c>
      <c r="P88">
        <v>0</v>
      </c>
      <c r="Q88">
        <v>0</v>
      </c>
      <c r="R88">
        <v>0</v>
      </c>
      <c r="S88">
        <v>0</v>
      </c>
      <c r="T88">
        <v>0</v>
      </c>
      <c r="U88">
        <v>0</v>
      </c>
      <c r="V88">
        <v>0</v>
      </c>
      <c r="W88" s="3">
        <f>W87</f>
        <v>8.7994200000000014</v>
      </c>
      <c r="X88" s="30"/>
      <c r="Y88">
        <v>4</v>
      </c>
      <c r="Z88" t="s">
        <v>1</v>
      </c>
      <c r="AA88">
        <v>27520</v>
      </c>
      <c r="AB88">
        <v>64</v>
      </c>
      <c r="AC88">
        <v>4</v>
      </c>
      <c r="AD88">
        <v>4</v>
      </c>
      <c r="AE88" s="16">
        <v>1406.86</v>
      </c>
      <c r="AF88" s="3">
        <v>9.8773</v>
      </c>
      <c r="AG88" s="1">
        <v>45478</v>
      </c>
      <c r="AH88" s="2">
        <v>0.28075231481481483</v>
      </c>
      <c r="AI88">
        <v>0</v>
      </c>
      <c r="AJ88">
        <v>0</v>
      </c>
      <c r="AK88">
        <v>0</v>
      </c>
      <c r="AL88">
        <v>0</v>
      </c>
      <c r="AM88">
        <v>0</v>
      </c>
      <c r="AN88">
        <v>0</v>
      </c>
      <c r="AO88">
        <v>0</v>
      </c>
      <c r="AP88">
        <v>0</v>
      </c>
      <c r="AQ88">
        <v>0</v>
      </c>
      <c r="AR88">
        <v>0</v>
      </c>
      <c r="AS88">
        <v>0</v>
      </c>
      <c r="AT88">
        <v>0</v>
      </c>
      <c r="AU88" s="3">
        <f>AU87</f>
        <v>9.8792800000000014</v>
      </c>
    </row>
    <row r="89" spans="1:47" x14ac:dyDescent="0.25">
      <c r="A89">
        <v>0</v>
      </c>
      <c r="B89" t="s">
        <v>1</v>
      </c>
      <c r="C89">
        <v>29056</v>
      </c>
      <c r="D89">
        <v>64</v>
      </c>
      <c r="E89">
        <v>4</v>
      </c>
      <c r="F89">
        <v>4</v>
      </c>
      <c r="G89" s="16">
        <v>1832.8</v>
      </c>
      <c r="H89" s="24">
        <v>8.9235000000000007</v>
      </c>
      <c r="I89" s="1">
        <v>45482</v>
      </c>
      <c r="J89" s="37">
        <v>0.31385416666666666</v>
      </c>
      <c r="K89">
        <v>0</v>
      </c>
      <c r="L89">
        <v>0</v>
      </c>
      <c r="M89">
        <v>0</v>
      </c>
      <c r="N89">
        <v>0</v>
      </c>
      <c r="O89">
        <v>0</v>
      </c>
      <c r="P89">
        <v>0</v>
      </c>
      <c r="Q89">
        <v>0</v>
      </c>
      <c r="R89">
        <v>0</v>
      </c>
      <c r="S89">
        <v>0</v>
      </c>
      <c r="T89">
        <v>0</v>
      </c>
      <c r="U89">
        <v>0</v>
      </c>
      <c r="V89">
        <v>0</v>
      </c>
      <c r="W89" s="3">
        <f>AVERAGE(H89:H93)</f>
        <v>8.9258199999999999</v>
      </c>
      <c r="X89" s="30"/>
      <c r="Y89">
        <v>0</v>
      </c>
      <c r="Z89" t="s">
        <v>1</v>
      </c>
      <c r="AA89">
        <v>29056</v>
      </c>
      <c r="AB89">
        <v>64</v>
      </c>
      <c r="AC89">
        <v>4</v>
      </c>
      <c r="AD89">
        <v>4</v>
      </c>
      <c r="AE89" s="16">
        <v>1645.13</v>
      </c>
      <c r="AF89" s="3">
        <v>9.9413999999999998</v>
      </c>
      <c r="AG89" s="1">
        <v>45477</v>
      </c>
      <c r="AH89" s="2">
        <v>0.74421296296296291</v>
      </c>
      <c r="AI89">
        <v>0</v>
      </c>
      <c r="AJ89">
        <v>0</v>
      </c>
      <c r="AK89">
        <v>0</v>
      </c>
      <c r="AL89">
        <v>0</v>
      </c>
      <c r="AM89">
        <v>0</v>
      </c>
      <c r="AN89">
        <v>0</v>
      </c>
      <c r="AO89">
        <v>0</v>
      </c>
      <c r="AP89">
        <v>0</v>
      </c>
      <c r="AQ89">
        <v>0</v>
      </c>
      <c r="AR89">
        <v>0</v>
      </c>
      <c r="AS89">
        <v>0</v>
      </c>
      <c r="AT89">
        <v>0</v>
      </c>
      <c r="AU89" s="3">
        <f>AVERAGE(AF89:AF93)</f>
        <v>9.9393200000000004</v>
      </c>
    </row>
    <row r="90" spans="1:47" x14ac:dyDescent="0.25">
      <c r="A90">
        <v>1</v>
      </c>
      <c r="B90" t="s">
        <v>1</v>
      </c>
      <c r="C90">
        <v>29056</v>
      </c>
      <c r="D90">
        <v>64</v>
      </c>
      <c r="E90">
        <v>4</v>
      </c>
      <c r="F90">
        <v>4</v>
      </c>
      <c r="G90" s="16">
        <v>1833.1</v>
      </c>
      <c r="H90" s="24">
        <v>8.9220000000000006</v>
      </c>
      <c r="I90" s="1">
        <v>45482</v>
      </c>
      <c r="J90" s="37">
        <v>0.85457175925925921</v>
      </c>
      <c r="K90">
        <v>0</v>
      </c>
      <c r="L90">
        <v>0</v>
      </c>
      <c r="M90">
        <v>0</v>
      </c>
      <c r="N90">
        <v>0</v>
      </c>
      <c r="O90">
        <v>0</v>
      </c>
      <c r="P90">
        <v>0</v>
      </c>
      <c r="Q90">
        <v>0</v>
      </c>
      <c r="R90">
        <v>0</v>
      </c>
      <c r="S90">
        <v>0</v>
      </c>
      <c r="T90">
        <v>0</v>
      </c>
      <c r="U90">
        <v>0</v>
      </c>
      <c r="V90">
        <v>0</v>
      </c>
      <c r="W90" s="3">
        <f>W89</f>
        <v>8.9258199999999999</v>
      </c>
      <c r="X90" s="30"/>
      <c r="Y90">
        <v>1</v>
      </c>
      <c r="Z90" t="s">
        <v>1</v>
      </c>
      <c r="AA90">
        <v>29056</v>
      </c>
      <c r="AB90">
        <v>64</v>
      </c>
      <c r="AC90">
        <v>4</v>
      </c>
      <c r="AD90">
        <v>4</v>
      </c>
      <c r="AE90" s="16">
        <v>1647.26</v>
      </c>
      <c r="AF90" s="3">
        <v>9.9285999999999994</v>
      </c>
      <c r="AG90" s="1">
        <v>45477</v>
      </c>
      <c r="AH90" s="2">
        <v>0.90520833333333328</v>
      </c>
      <c r="AI90">
        <v>0</v>
      </c>
      <c r="AJ90">
        <v>0</v>
      </c>
      <c r="AK90">
        <v>0</v>
      </c>
      <c r="AL90">
        <v>0</v>
      </c>
      <c r="AM90">
        <v>0</v>
      </c>
      <c r="AN90">
        <v>0</v>
      </c>
      <c r="AO90">
        <v>0</v>
      </c>
      <c r="AP90">
        <v>0</v>
      </c>
      <c r="AQ90">
        <v>0</v>
      </c>
      <c r="AR90">
        <v>0</v>
      </c>
      <c r="AS90">
        <v>0</v>
      </c>
      <c r="AT90">
        <v>0</v>
      </c>
      <c r="AU90" s="3">
        <f>AU89</f>
        <v>9.9393200000000004</v>
      </c>
    </row>
    <row r="91" spans="1:47" x14ac:dyDescent="0.25">
      <c r="A91">
        <v>2</v>
      </c>
      <c r="B91" t="s">
        <v>1</v>
      </c>
      <c r="C91">
        <v>29056</v>
      </c>
      <c r="D91">
        <v>64</v>
      </c>
      <c r="E91">
        <v>4</v>
      </c>
      <c r="F91">
        <v>4</v>
      </c>
      <c r="G91" s="16">
        <v>1833</v>
      </c>
      <c r="H91" s="24">
        <v>8.9224999999999994</v>
      </c>
      <c r="I91" s="1">
        <v>45483</v>
      </c>
      <c r="J91" s="37">
        <v>0.37966435185185188</v>
      </c>
      <c r="K91">
        <v>0</v>
      </c>
      <c r="L91">
        <v>0</v>
      </c>
      <c r="M91">
        <v>0</v>
      </c>
      <c r="N91">
        <v>0</v>
      </c>
      <c r="O91">
        <v>0</v>
      </c>
      <c r="P91">
        <v>0</v>
      </c>
      <c r="Q91">
        <v>0</v>
      </c>
      <c r="R91">
        <v>0</v>
      </c>
      <c r="S91">
        <v>0</v>
      </c>
      <c r="T91">
        <v>0</v>
      </c>
      <c r="U91">
        <v>0</v>
      </c>
      <c r="V91">
        <v>0</v>
      </c>
      <c r="W91" s="3">
        <f>W90</f>
        <v>8.9258199999999999</v>
      </c>
      <c r="X91" s="30"/>
      <c r="Y91">
        <v>2</v>
      </c>
      <c r="Z91" t="s">
        <v>1</v>
      </c>
      <c r="AA91">
        <v>29056</v>
      </c>
      <c r="AB91">
        <v>64</v>
      </c>
      <c r="AC91">
        <v>4</v>
      </c>
      <c r="AD91">
        <v>4</v>
      </c>
      <c r="AE91" s="16">
        <v>1645.89</v>
      </c>
      <c r="AF91" s="3">
        <v>9.9368999999999996</v>
      </c>
      <c r="AG91" s="1">
        <v>45478</v>
      </c>
      <c r="AH91" s="2">
        <v>6.6284722222222217E-2</v>
      </c>
      <c r="AI91">
        <v>0</v>
      </c>
      <c r="AJ91">
        <v>0</v>
      </c>
      <c r="AK91">
        <v>0</v>
      </c>
      <c r="AL91">
        <v>0</v>
      </c>
      <c r="AM91">
        <v>0</v>
      </c>
      <c r="AN91">
        <v>0</v>
      </c>
      <c r="AO91">
        <v>0</v>
      </c>
      <c r="AP91">
        <v>0</v>
      </c>
      <c r="AQ91">
        <v>0</v>
      </c>
      <c r="AR91">
        <v>0</v>
      </c>
      <c r="AS91">
        <v>0</v>
      </c>
      <c r="AT91">
        <v>0</v>
      </c>
      <c r="AU91" s="3">
        <f>AU90</f>
        <v>9.9393200000000004</v>
      </c>
    </row>
    <row r="92" spans="1:47" x14ac:dyDescent="0.25">
      <c r="A92">
        <v>3</v>
      </c>
      <c r="B92" t="s">
        <v>1</v>
      </c>
      <c r="C92">
        <v>29056</v>
      </c>
      <c r="D92">
        <v>64</v>
      </c>
      <c r="E92">
        <v>4</v>
      </c>
      <c r="F92">
        <v>4</v>
      </c>
      <c r="G92" s="16">
        <v>1831.19</v>
      </c>
      <c r="H92" s="24">
        <v>8.9313000000000002</v>
      </c>
      <c r="I92" s="1">
        <v>45477</v>
      </c>
      <c r="J92" s="37">
        <v>0.79454861111111108</v>
      </c>
      <c r="K92">
        <v>0</v>
      </c>
      <c r="L92">
        <v>0</v>
      </c>
      <c r="M92">
        <v>0</v>
      </c>
      <c r="N92">
        <v>0</v>
      </c>
      <c r="O92">
        <v>0</v>
      </c>
      <c r="P92">
        <v>0</v>
      </c>
      <c r="Q92">
        <v>0</v>
      </c>
      <c r="R92">
        <v>0</v>
      </c>
      <c r="S92">
        <v>0</v>
      </c>
      <c r="T92">
        <v>0</v>
      </c>
      <c r="U92">
        <v>0</v>
      </c>
      <c r="V92">
        <v>0</v>
      </c>
      <c r="W92" s="3">
        <f>W91</f>
        <v>8.9258199999999999</v>
      </c>
      <c r="X92" s="30"/>
      <c r="Y92">
        <v>3</v>
      </c>
      <c r="Z92" t="s">
        <v>1</v>
      </c>
      <c r="AA92">
        <v>29056</v>
      </c>
      <c r="AB92">
        <v>64</v>
      </c>
      <c r="AC92">
        <v>4</v>
      </c>
      <c r="AD92">
        <v>4</v>
      </c>
      <c r="AE92" s="16">
        <v>1644.57</v>
      </c>
      <c r="AF92" s="3">
        <v>9.9448000000000008</v>
      </c>
      <c r="AG92" s="1">
        <v>45478</v>
      </c>
      <c r="AH92" s="2">
        <v>0.22734953703703703</v>
      </c>
      <c r="AI92">
        <v>0</v>
      </c>
      <c r="AJ92">
        <v>0</v>
      </c>
      <c r="AK92">
        <v>0</v>
      </c>
      <c r="AL92">
        <v>0</v>
      </c>
      <c r="AM92">
        <v>0</v>
      </c>
      <c r="AN92">
        <v>0</v>
      </c>
      <c r="AO92">
        <v>0</v>
      </c>
      <c r="AP92">
        <v>0</v>
      </c>
      <c r="AQ92">
        <v>0</v>
      </c>
      <c r="AR92">
        <v>0</v>
      </c>
      <c r="AS92">
        <v>0</v>
      </c>
      <c r="AT92">
        <v>0</v>
      </c>
      <c r="AU92" s="3">
        <f>AU91</f>
        <v>9.9393200000000004</v>
      </c>
    </row>
    <row r="93" spans="1:47" x14ac:dyDescent="0.25">
      <c r="A93">
        <v>4</v>
      </c>
      <c r="B93" t="s">
        <v>1</v>
      </c>
      <c r="C93">
        <v>29056</v>
      </c>
      <c r="D93">
        <v>64</v>
      </c>
      <c r="E93">
        <v>4</v>
      </c>
      <c r="F93">
        <v>4</v>
      </c>
      <c r="G93" s="16">
        <v>1831.5</v>
      </c>
      <c r="H93" s="24">
        <v>8.9298000000000002</v>
      </c>
      <c r="I93" s="1">
        <v>45477</v>
      </c>
      <c r="J93" s="37">
        <v>0.68336805555555558</v>
      </c>
      <c r="K93">
        <v>0</v>
      </c>
      <c r="L93">
        <v>0</v>
      </c>
      <c r="M93">
        <v>0</v>
      </c>
      <c r="N93">
        <v>0</v>
      </c>
      <c r="O93">
        <v>0</v>
      </c>
      <c r="P93">
        <v>0</v>
      </c>
      <c r="Q93">
        <v>0</v>
      </c>
      <c r="R93">
        <v>0</v>
      </c>
      <c r="S93">
        <v>0</v>
      </c>
      <c r="T93">
        <v>0</v>
      </c>
      <c r="U93">
        <v>0</v>
      </c>
      <c r="V93">
        <v>0</v>
      </c>
      <c r="W93" s="3">
        <f>W92</f>
        <v>8.9258199999999999</v>
      </c>
      <c r="X93" s="30"/>
      <c r="Y93">
        <v>4</v>
      </c>
      <c r="Z93" t="s">
        <v>1</v>
      </c>
      <c r="AA93">
        <v>29056</v>
      </c>
      <c r="AB93">
        <v>64</v>
      </c>
      <c r="AC93">
        <v>4</v>
      </c>
      <c r="AD93">
        <v>4</v>
      </c>
      <c r="AE93" s="16">
        <v>1644.55</v>
      </c>
      <c r="AF93" s="3">
        <v>9.9449000000000005</v>
      </c>
      <c r="AG93" s="1">
        <v>45478</v>
      </c>
      <c r="AH93" s="2">
        <v>0.38839120370370372</v>
      </c>
      <c r="AI93">
        <v>0</v>
      </c>
      <c r="AJ93">
        <v>0</v>
      </c>
      <c r="AK93">
        <v>0</v>
      </c>
      <c r="AL93">
        <v>0</v>
      </c>
      <c r="AM93">
        <v>0</v>
      </c>
      <c r="AN93">
        <v>0</v>
      </c>
      <c r="AO93">
        <v>0</v>
      </c>
      <c r="AP93">
        <v>0</v>
      </c>
      <c r="AQ93">
        <v>0</v>
      </c>
      <c r="AR93">
        <v>0</v>
      </c>
      <c r="AS93">
        <v>0</v>
      </c>
      <c r="AT93">
        <v>0</v>
      </c>
      <c r="AU93" s="3">
        <f>AU92</f>
        <v>9.9393200000000004</v>
      </c>
    </row>
    <row r="94" spans="1:47" x14ac:dyDescent="0.25">
      <c r="A94">
        <v>0</v>
      </c>
      <c r="B94" t="s">
        <v>1</v>
      </c>
      <c r="C94">
        <v>25920</v>
      </c>
      <c r="D94">
        <v>96</v>
      </c>
      <c r="E94">
        <v>1</v>
      </c>
      <c r="F94">
        <v>16</v>
      </c>
      <c r="G94" s="16">
        <v>1372.88</v>
      </c>
      <c r="H94" s="3">
        <v>8.4571000000000005</v>
      </c>
      <c r="I94" s="1">
        <v>45320</v>
      </c>
      <c r="J94" s="37">
        <v>0.62883101851851853</v>
      </c>
      <c r="K94">
        <v>0</v>
      </c>
      <c r="L94">
        <v>0</v>
      </c>
      <c r="M94">
        <v>0</v>
      </c>
      <c r="N94">
        <v>0</v>
      </c>
      <c r="O94">
        <v>0</v>
      </c>
      <c r="P94">
        <v>0</v>
      </c>
      <c r="Q94">
        <v>0</v>
      </c>
      <c r="R94">
        <v>0</v>
      </c>
      <c r="S94">
        <v>0</v>
      </c>
      <c r="T94">
        <v>0</v>
      </c>
      <c r="U94">
        <v>0</v>
      </c>
      <c r="V94">
        <v>0</v>
      </c>
      <c r="W94" s="3">
        <f>AVERAGE(H364:H368)</f>
        <v>8.9354399999999998</v>
      </c>
      <c r="X94" s="30"/>
      <c r="Y94">
        <v>0</v>
      </c>
      <c r="Z94" t="s">
        <v>1</v>
      </c>
      <c r="AA94">
        <v>25920</v>
      </c>
      <c r="AB94">
        <v>96</v>
      </c>
      <c r="AC94">
        <v>1</v>
      </c>
      <c r="AD94">
        <v>16</v>
      </c>
      <c r="AE94" s="16">
        <v>1219.67</v>
      </c>
      <c r="AF94" s="3">
        <v>9.5193999999999992</v>
      </c>
      <c r="AG94" s="1">
        <v>45320</v>
      </c>
      <c r="AH94" s="2">
        <v>2.2916666666666669E-2</v>
      </c>
      <c r="AI94">
        <v>0</v>
      </c>
      <c r="AJ94">
        <v>0</v>
      </c>
      <c r="AK94">
        <v>0</v>
      </c>
      <c r="AL94">
        <v>0</v>
      </c>
      <c r="AM94">
        <v>0</v>
      </c>
      <c r="AN94">
        <v>0</v>
      </c>
      <c r="AO94">
        <v>0</v>
      </c>
      <c r="AP94">
        <v>0</v>
      </c>
      <c r="AQ94">
        <v>0</v>
      </c>
      <c r="AR94">
        <v>0</v>
      </c>
      <c r="AS94">
        <v>0</v>
      </c>
      <c r="AT94">
        <v>0</v>
      </c>
      <c r="AU94" s="3">
        <f>AVERAGE(AF94:AF98)</f>
        <v>9.5075800000000008</v>
      </c>
    </row>
    <row r="95" spans="1:47" x14ac:dyDescent="0.25">
      <c r="A95">
        <v>1</v>
      </c>
      <c r="B95" t="s">
        <v>1</v>
      </c>
      <c r="C95">
        <v>25920</v>
      </c>
      <c r="D95">
        <v>96</v>
      </c>
      <c r="E95">
        <v>1</v>
      </c>
      <c r="F95">
        <v>16</v>
      </c>
      <c r="G95" s="16">
        <v>1373.73</v>
      </c>
      <c r="H95" s="3">
        <v>8.4518000000000004</v>
      </c>
      <c r="I95" s="1">
        <v>45321</v>
      </c>
      <c r="J95" s="37">
        <v>0.49868055555555557</v>
      </c>
      <c r="K95">
        <v>0</v>
      </c>
      <c r="L95">
        <v>0</v>
      </c>
      <c r="M95">
        <v>0</v>
      </c>
      <c r="N95">
        <v>0</v>
      </c>
      <c r="O95">
        <v>0</v>
      </c>
      <c r="P95">
        <v>0</v>
      </c>
      <c r="Q95">
        <v>0</v>
      </c>
      <c r="R95">
        <v>0</v>
      </c>
      <c r="S95">
        <v>0</v>
      </c>
      <c r="T95">
        <v>0</v>
      </c>
      <c r="U95">
        <v>0</v>
      </c>
      <c r="V95">
        <v>0</v>
      </c>
      <c r="W95" s="3">
        <f>W94</f>
        <v>8.9354399999999998</v>
      </c>
      <c r="X95" s="30"/>
      <c r="Y95">
        <v>1</v>
      </c>
      <c r="Z95" t="s">
        <v>1</v>
      </c>
      <c r="AA95">
        <v>25920</v>
      </c>
      <c r="AB95">
        <v>96</v>
      </c>
      <c r="AC95">
        <v>1</v>
      </c>
      <c r="AD95">
        <v>16</v>
      </c>
      <c r="AE95" s="16">
        <v>1221.78</v>
      </c>
      <c r="AF95" s="3">
        <v>9.5029000000000003</v>
      </c>
      <c r="AG95" s="1">
        <v>45320</v>
      </c>
      <c r="AH95" s="2">
        <v>0.95018518518518524</v>
      </c>
      <c r="AI95">
        <v>0</v>
      </c>
      <c r="AJ95">
        <v>0</v>
      </c>
      <c r="AK95">
        <v>0</v>
      </c>
      <c r="AL95">
        <v>0</v>
      </c>
      <c r="AM95">
        <v>0</v>
      </c>
      <c r="AN95">
        <v>0</v>
      </c>
      <c r="AO95">
        <v>0</v>
      </c>
      <c r="AP95">
        <v>0</v>
      </c>
      <c r="AQ95">
        <v>0</v>
      </c>
      <c r="AR95">
        <v>0</v>
      </c>
      <c r="AS95">
        <v>0</v>
      </c>
      <c r="AT95">
        <v>0</v>
      </c>
      <c r="AU95" s="3">
        <f>AU94</f>
        <v>9.5075800000000008</v>
      </c>
    </row>
    <row r="96" spans="1:47" x14ac:dyDescent="0.25">
      <c r="A96">
        <v>2</v>
      </c>
      <c r="B96" t="s">
        <v>1</v>
      </c>
      <c r="C96">
        <v>25920</v>
      </c>
      <c r="D96">
        <v>96</v>
      </c>
      <c r="E96">
        <v>1</v>
      </c>
      <c r="F96">
        <v>16</v>
      </c>
      <c r="G96" s="16">
        <v>1373.11</v>
      </c>
      <c r="H96" s="3">
        <v>8.4556000000000004</v>
      </c>
      <c r="I96" s="1">
        <v>45322</v>
      </c>
      <c r="J96" s="37">
        <v>0.36855324074074075</v>
      </c>
      <c r="K96">
        <v>0</v>
      </c>
      <c r="L96">
        <v>0</v>
      </c>
      <c r="M96">
        <v>0</v>
      </c>
      <c r="N96">
        <v>0</v>
      </c>
      <c r="O96">
        <v>0</v>
      </c>
      <c r="P96">
        <v>0</v>
      </c>
      <c r="Q96">
        <v>0</v>
      </c>
      <c r="R96">
        <v>0</v>
      </c>
      <c r="S96">
        <v>0</v>
      </c>
      <c r="T96">
        <v>0</v>
      </c>
      <c r="U96">
        <v>0</v>
      </c>
      <c r="V96">
        <v>0</v>
      </c>
      <c r="W96" s="3">
        <f>W95</f>
        <v>8.9354399999999998</v>
      </c>
      <c r="X96" s="30"/>
      <c r="Y96">
        <v>2</v>
      </c>
      <c r="Z96" t="s">
        <v>1</v>
      </c>
      <c r="AA96">
        <v>25920</v>
      </c>
      <c r="AB96">
        <v>96</v>
      </c>
      <c r="AC96">
        <v>1</v>
      </c>
      <c r="AD96">
        <v>16</v>
      </c>
      <c r="AE96" s="16">
        <v>1220.55</v>
      </c>
      <c r="AF96" s="3">
        <v>9.5124999999999993</v>
      </c>
      <c r="AG96" s="1">
        <v>45321</v>
      </c>
      <c r="AH96" s="2">
        <v>0.78374999999999995</v>
      </c>
      <c r="AI96">
        <v>0</v>
      </c>
      <c r="AJ96">
        <v>0</v>
      </c>
      <c r="AK96">
        <v>0</v>
      </c>
      <c r="AL96">
        <v>0</v>
      </c>
      <c r="AM96">
        <v>0</v>
      </c>
      <c r="AN96">
        <v>0</v>
      </c>
      <c r="AO96">
        <v>0</v>
      </c>
      <c r="AP96">
        <v>0</v>
      </c>
      <c r="AQ96">
        <v>0</v>
      </c>
      <c r="AR96">
        <v>0</v>
      </c>
      <c r="AS96">
        <v>0</v>
      </c>
      <c r="AT96">
        <v>0</v>
      </c>
      <c r="AU96" s="3">
        <f>AU95</f>
        <v>9.5075800000000008</v>
      </c>
    </row>
    <row r="97" spans="1:47" x14ac:dyDescent="0.25">
      <c r="A97">
        <v>3</v>
      </c>
      <c r="B97" t="s">
        <v>1</v>
      </c>
      <c r="C97">
        <v>25920</v>
      </c>
      <c r="D97">
        <v>96</v>
      </c>
      <c r="E97">
        <v>1</v>
      </c>
      <c r="F97">
        <v>16</v>
      </c>
      <c r="G97" s="16">
        <v>1373.28</v>
      </c>
      <c r="H97" s="3">
        <v>8.4545999999999992</v>
      </c>
      <c r="I97" s="1">
        <v>45323</v>
      </c>
      <c r="J97" s="37">
        <v>0.22538194444444445</v>
      </c>
      <c r="K97">
        <v>0</v>
      </c>
      <c r="L97">
        <v>0</v>
      </c>
      <c r="M97">
        <v>0</v>
      </c>
      <c r="N97">
        <v>0</v>
      </c>
      <c r="O97">
        <v>0</v>
      </c>
      <c r="P97">
        <v>0</v>
      </c>
      <c r="Q97">
        <v>0</v>
      </c>
      <c r="R97">
        <v>0</v>
      </c>
      <c r="S97">
        <v>0</v>
      </c>
      <c r="T97">
        <v>0</v>
      </c>
      <c r="U97">
        <v>0</v>
      </c>
      <c r="V97">
        <v>0</v>
      </c>
      <c r="W97" s="3">
        <f>W96</f>
        <v>8.9354399999999998</v>
      </c>
      <c r="X97" s="30"/>
      <c r="Y97">
        <v>3</v>
      </c>
      <c r="Z97" t="s">
        <v>1</v>
      </c>
      <c r="AA97">
        <v>25920</v>
      </c>
      <c r="AB97">
        <v>96</v>
      </c>
      <c r="AC97">
        <v>1</v>
      </c>
      <c r="AD97">
        <v>16</v>
      </c>
      <c r="AE97" s="16">
        <v>1220.6199999999999</v>
      </c>
      <c r="AF97" s="3">
        <v>9.5120000000000005</v>
      </c>
      <c r="AG97" s="1">
        <v>45322</v>
      </c>
      <c r="AH97" s="2">
        <v>0.61767361111111108</v>
      </c>
      <c r="AI97">
        <v>0</v>
      </c>
      <c r="AJ97">
        <v>0</v>
      </c>
      <c r="AK97">
        <v>0</v>
      </c>
      <c r="AL97">
        <v>0</v>
      </c>
      <c r="AM97">
        <v>0</v>
      </c>
      <c r="AN97">
        <v>0</v>
      </c>
      <c r="AO97">
        <v>0</v>
      </c>
      <c r="AP97">
        <v>0</v>
      </c>
      <c r="AQ97">
        <v>0</v>
      </c>
      <c r="AR97">
        <v>0</v>
      </c>
      <c r="AS97">
        <v>0</v>
      </c>
      <c r="AT97">
        <v>0</v>
      </c>
      <c r="AU97" s="3">
        <f>AU96</f>
        <v>9.5075800000000008</v>
      </c>
    </row>
    <row r="98" spans="1:47" x14ac:dyDescent="0.25">
      <c r="A98">
        <v>4</v>
      </c>
      <c r="B98" t="s">
        <v>1</v>
      </c>
      <c r="C98">
        <v>25920</v>
      </c>
      <c r="D98">
        <v>96</v>
      </c>
      <c r="E98">
        <v>1</v>
      </c>
      <c r="F98">
        <v>16</v>
      </c>
      <c r="G98" s="16">
        <v>1373.52</v>
      </c>
      <c r="H98" s="3">
        <v>8.4530999999999992</v>
      </c>
      <c r="I98" s="1">
        <v>45318</v>
      </c>
      <c r="J98" s="37">
        <v>0.32869212962962963</v>
      </c>
      <c r="K98">
        <v>0</v>
      </c>
      <c r="L98">
        <v>0</v>
      </c>
      <c r="M98">
        <v>0</v>
      </c>
      <c r="N98">
        <v>0</v>
      </c>
      <c r="O98">
        <v>0</v>
      </c>
      <c r="P98">
        <v>0</v>
      </c>
      <c r="Q98">
        <v>0</v>
      </c>
      <c r="R98">
        <v>0</v>
      </c>
      <c r="S98">
        <v>0</v>
      </c>
      <c r="T98">
        <v>0</v>
      </c>
      <c r="U98">
        <v>0</v>
      </c>
      <c r="V98">
        <v>0</v>
      </c>
      <c r="W98" s="3">
        <f>W97</f>
        <v>8.9354399999999998</v>
      </c>
      <c r="X98" s="30"/>
      <c r="Y98">
        <v>4</v>
      </c>
      <c r="Z98" t="s">
        <v>1</v>
      </c>
      <c r="AA98">
        <v>25920</v>
      </c>
      <c r="AB98">
        <v>96</v>
      </c>
      <c r="AC98">
        <v>1</v>
      </c>
      <c r="AD98">
        <v>16</v>
      </c>
      <c r="AE98" s="16">
        <v>1223.3</v>
      </c>
      <c r="AF98" s="3">
        <v>9.4910999999999994</v>
      </c>
      <c r="AG98" s="1">
        <v>45323</v>
      </c>
      <c r="AH98" s="2">
        <v>0.45180555555555557</v>
      </c>
      <c r="AI98">
        <v>0</v>
      </c>
      <c r="AJ98">
        <v>0</v>
      </c>
      <c r="AK98">
        <v>0</v>
      </c>
      <c r="AL98">
        <v>0</v>
      </c>
      <c r="AM98">
        <v>0</v>
      </c>
      <c r="AN98">
        <v>0</v>
      </c>
      <c r="AO98">
        <v>0</v>
      </c>
      <c r="AP98">
        <v>0</v>
      </c>
      <c r="AQ98">
        <v>0</v>
      </c>
      <c r="AR98">
        <v>0</v>
      </c>
      <c r="AS98">
        <v>0</v>
      </c>
      <c r="AT98">
        <v>0</v>
      </c>
      <c r="AU98" s="3">
        <f>AU97</f>
        <v>9.5075800000000008</v>
      </c>
    </row>
    <row r="99" spans="1:47" x14ac:dyDescent="0.25">
      <c r="A99">
        <v>0</v>
      </c>
      <c r="B99" t="s">
        <v>1</v>
      </c>
      <c r="C99">
        <v>27456</v>
      </c>
      <c r="D99">
        <v>96</v>
      </c>
      <c r="E99">
        <v>1</v>
      </c>
      <c r="F99">
        <v>16</v>
      </c>
      <c r="G99" s="16">
        <v>1620.76</v>
      </c>
      <c r="H99" s="3">
        <v>8.5140999999999991</v>
      </c>
      <c r="I99" s="1">
        <v>45320</v>
      </c>
      <c r="J99" s="37">
        <v>0.37019675925925927</v>
      </c>
      <c r="K99">
        <v>0</v>
      </c>
      <c r="L99">
        <v>0</v>
      </c>
      <c r="M99">
        <v>0</v>
      </c>
      <c r="N99">
        <v>0</v>
      </c>
      <c r="O99">
        <v>0</v>
      </c>
      <c r="P99">
        <v>0</v>
      </c>
      <c r="Q99">
        <v>0</v>
      </c>
      <c r="R99">
        <v>0</v>
      </c>
      <c r="S99">
        <v>0</v>
      </c>
      <c r="T99">
        <v>0</v>
      </c>
      <c r="U99">
        <v>0</v>
      </c>
      <c r="V99">
        <v>0</v>
      </c>
      <c r="W99" s="3">
        <f>AVERAGE(H369:H373)</f>
        <v>8.9263000000000012</v>
      </c>
      <c r="X99" s="30"/>
      <c r="Y99">
        <v>0</v>
      </c>
      <c r="Z99" t="s">
        <v>1</v>
      </c>
      <c r="AA99">
        <v>27456</v>
      </c>
      <c r="AB99">
        <v>96</v>
      </c>
      <c r="AC99">
        <v>1</v>
      </c>
      <c r="AD99">
        <v>16</v>
      </c>
      <c r="AE99" s="16">
        <v>1440.17</v>
      </c>
      <c r="AF99" s="3">
        <v>9.5816999999999997</v>
      </c>
      <c r="AG99" s="1">
        <v>45319</v>
      </c>
      <c r="AH99" s="2">
        <v>0.77451388888888895</v>
      </c>
      <c r="AI99">
        <v>0</v>
      </c>
      <c r="AJ99">
        <v>0</v>
      </c>
      <c r="AK99">
        <v>0</v>
      </c>
      <c r="AL99">
        <v>0</v>
      </c>
      <c r="AM99">
        <v>0</v>
      </c>
      <c r="AN99">
        <v>0</v>
      </c>
      <c r="AO99">
        <v>0</v>
      </c>
      <c r="AP99">
        <v>0</v>
      </c>
      <c r="AQ99">
        <v>0</v>
      </c>
      <c r="AR99">
        <v>0</v>
      </c>
      <c r="AS99">
        <v>0</v>
      </c>
      <c r="AT99">
        <v>0</v>
      </c>
      <c r="AU99" s="3">
        <f>AVERAGE(AF99:AF103)</f>
        <v>9.5727000000000011</v>
      </c>
    </row>
    <row r="100" spans="1:47" x14ac:dyDescent="0.25">
      <c r="A100">
        <v>1</v>
      </c>
      <c r="B100" t="s">
        <v>1</v>
      </c>
      <c r="C100">
        <v>27456</v>
      </c>
      <c r="D100">
        <v>96</v>
      </c>
      <c r="E100">
        <v>1</v>
      </c>
      <c r="F100">
        <v>16</v>
      </c>
      <c r="G100" s="16">
        <v>1620.22</v>
      </c>
      <c r="H100" s="3">
        <v>8.5168999999999997</v>
      </c>
      <c r="I100" s="1">
        <v>45321</v>
      </c>
      <c r="J100" s="37">
        <v>0.24003472222222222</v>
      </c>
      <c r="K100">
        <v>0</v>
      </c>
      <c r="L100">
        <v>0</v>
      </c>
      <c r="M100">
        <v>0</v>
      </c>
      <c r="N100">
        <v>0</v>
      </c>
      <c r="O100">
        <v>0</v>
      </c>
      <c r="P100">
        <v>0</v>
      </c>
      <c r="Q100">
        <v>0</v>
      </c>
      <c r="R100">
        <v>0</v>
      </c>
      <c r="S100">
        <v>0</v>
      </c>
      <c r="T100">
        <v>0</v>
      </c>
      <c r="U100">
        <v>0</v>
      </c>
      <c r="V100">
        <v>0</v>
      </c>
      <c r="W100" s="3">
        <f>W99</f>
        <v>8.9263000000000012</v>
      </c>
      <c r="X100" s="30"/>
      <c r="Y100">
        <v>1</v>
      </c>
      <c r="Z100" t="s">
        <v>1</v>
      </c>
      <c r="AA100">
        <v>27456</v>
      </c>
      <c r="AB100">
        <v>96</v>
      </c>
      <c r="AC100">
        <v>1</v>
      </c>
      <c r="AD100">
        <v>16</v>
      </c>
      <c r="AE100" s="16">
        <v>1441.83</v>
      </c>
      <c r="AF100" s="3">
        <v>9.5707000000000004</v>
      </c>
      <c r="AG100" s="1">
        <v>45320</v>
      </c>
      <c r="AH100" s="2">
        <v>0.70157407407407402</v>
      </c>
      <c r="AI100">
        <v>0</v>
      </c>
      <c r="AJ100">
        <v>0</v>
      </c>
      <c r="AK100">
        <v>0</v>
      </c>
      <c r="AL100">
        <v>0</v>
      </c>
      <c r="AM100">
        <v>0</v>
      </c>
      <c r="AN100">
        <v>0</v>
      </c>
      <c r="AO100">
        <v>0</v>
      </c>
      <c r="AP100">
        <v>0</v>
      </c>
      <c r="AQ100">
        <v>0</v>
      </c>
      <c r="AR100">
        <v>0</v>
      </c>
      <c r="AS100">
        <v>0</v>
      </c>
      <c r="AT100">
        <v>0</v>
      </c>
      <c r="AU100" s="3">
        <f>AU99</f>
        <v>9.5727000000000011</v>
      </c>
    </row>
    <row r="101" spans="1:47" x14ac:dyDescent="0.25">
      <c r="A101">
        <v>2</v>
      </c>
      <c r="B101" t="s">
        <v>1</v>
      </c>
      <c r="C101">
        <v>27456</v>
      </c>
      <c r="D101">
        <v>96</v>
      </c>
      <c r="E101">
        <v>1</v>
      </c>
      <c r="F101">
        <v>16</v>
      </c>
      <c r="G101" s="16">
        <v>1620.35</v>
      </c>
      <c r="H101" s="3">
        <v>8.5161999999999995</v>
      </c>
      <c r="I101" s="1">
        <v>45322</v>
      </c>
      <c r="J101" s="37">
        <v>0.10991898148148148</v>
      </c>
      <c r="K101">
        <v>0</v>
      </c>
      <c r="L101">
        <v>0</v>
      </c>
      <c r="M101">
        <v>0</v>
      </c>
      <c r="N101">
        <v>0</v>
      </c>
      <c r="O101">
        <v>0</v>
      </c>
      <c r="P101">
        <v>0</v>
      </c>
      <c r="Q101">
        <v>0</v>
      </c>
      <c r="R101">
        <v>0</v>
      </c>
      <c r="S101">
        <v>0</v>
      </c>
      <c r="T101">
        <v>0</v>
      </c>
      <c r="U101">
        <v>0</v>
      </c>
      <c r="V101">
        <v>0</v>
      </c>
      <c r="W101" s="3">
        <f>W100</f>
        <v>8.9263000000000012</v>
      </c>
      <c r="X101" s="30"/>
      <c r="Y101">
        <v>2</v>
      </c>
      <c r="Z101" t="s">
        <v>1</v>
      </c>
      <c r="AA101">
        <v>27456</v>
      </c>
      <c r="AB101">
        <v>96</v>
      </c>
      <c r="AC101">
        <v>1</v>
      </c>
      <c r="AD101">
        <v>16</v>
      </c>
      <c r="AE101" s="16">
        <v>1442.83</v>
      </c>
      <c r="AF101" s="3">
        <v>9.5640000000000001</v>
      </c>
      <c r="AG101" s="1">
        <v>45321</v>
      </c>
      <c r="AH101" s="2">
        <v>0.53497685185185184</v>
      </c>
      <c r="AI101">
        <v>0</v>
      </c>
      <c r="AJ101">
        <v>0</v>
      </c>
      <c r="AK101">
        <v>0</v>
      </c>
      <c r="AL101">
        <v>0</v>
      </c>
      <c r="AM101">
        <v>0</v>
      </c>
      <c r="AN101">
        <v>0</v>
      </c>
      <c r="AO101">
        <v>0</v>
      </c>
      <c r="AP101">
        <v>0</v>
      </c>
      <c r="AQ101">
        <v>0</v>
      </c>
      <c r="AR101">
        <v>0</v>
      </c>
      <c r="AS101">
        <v>0</v>
      </c>
      <c r="AT101">
        <v>0</v>
      </c>
      <c r="AU101" s="3">
        <f>AU100</f>
        <v>9.5727000000000011</v>
      </c>
    </row>
    <row r="102" spans="1:47" x14ac:dyDescent="0.25">
      <c r="A102">
        <v>3</v>
      </c>
      <c r="B102" t="s">
        <v>1</v>
      </c>
      <c r="C102">
        <v>27456</v>
      </c>
      <c r="D102">
        <v>96</v>
      </c>
      <c r="E102">
        <v>1</v>
      </c>
      <c r="F102">
        <v>16</v>
      </c>
      <c r="G102" s="16">
        <v>1620.92</v>
      </c>
      <c r="H102" s="3">
        <v>8.5131999999999994</v>
      </c>
      <c r="I102" s="1">
        <v>45322</v>
      </c>
      <c r="J102" s="37">
        <v>0.97973379629629631</v>
      </c>
      <c r="K102">
        <v>0</v>
      </c>
      <c r="L102">
        <v>0</v>
      </c>
      <c r="M102">
        <v>0</v>
      </c>
      <c r="N102">
        <v>0</v>
      </c>
      <c r="O102">
        <v>0</v>
      </c>
      <c r="P102">
        <v>0</v>
      </c>
      <c r="Q102">
        <v>0</v>
      </c>
      <c r="R102">
        <v>0</v>
      </c>
      <c r="S102">
        <v>0</v>
      </c>
      <c r="T102">
        <v>0</v>
      </c>
      <c r="U102">
        <v>0</v>
      </c>
      <c r="V102">
        <v>0</v>
      </c>
      <c r="W102" s="3">
        <f>W101</f>
        <v>8.9263000000000012</v>
      </c>
      <c r="X102" s="30"/>
      <c r="Y102">
        <v>3</v>
      </c>
      <c r="Z102" t="s">
        <v>1</v>
      </c>
      <c r="AA102">
        <v>27456</v>
      </c>
      <c r="AB102">
        <v>96</v>
      </c>
      <c r="AC102">
        <v>1</v>
      </c>
      <c r="AD102">
        <v>16</v>
      </c>
      <c r="AE102" s="16">
        <v>1441.27</v>
      </c>
      <c r="AF102" s="3">
        <v>9.5744000000000007</v>
      </c>
      <c r="AG102" s="1">
        <v>45322</v>
      </c>
      <c r="AH102" s="2">
        <v>0.36877314814814816</v>
      </c>
      <c r="AI102">
        <v>0</v>
      </c>
      <c r="AJ102">
        <v>0</v>
      </c>
      <c r="AK102">
        <v>0</v>
      </c>
      <c r="AL102">
        <v>0</v>
      </c>
      <c r="AM102">
        <v>0</v>
      </c>
      <c r="AN102">
        <v>0</v>
      </c>
      <c r="AO102">
        <v>0</v>
      </c>
      <c r="AP102">
        <v>0</v>
      </c>
      <c r="AQ102">
        <v>0</v>
      </c>
      <c r="AR102">
        <v>0</v>
      </c>
      <c r="AS102">
        <v>0</v>
      </c>
      <c r="AT102">
        <v>0</v>
      </c>
      <c r="AU102" s="3">
        <f>AU101</f>
        <v>9.5727000000000011</v>
      </c>
    </row>
    <row r="103" spans="1:47" x14ac:dyDescent="0.25">
      <c r="A103">
        <v>4</v>
      </c>
      <c r="B103" t="s">
        <v>1</v>
      </c>
      <c r="C103">
        <v>27456</v>
      </c>
      <c r="D103">
        <v>96</v>
      </c>
      <c r="E103">
        <v>1</v>
      </c>
      <c r="F103">
        <v>16</v>
      </c>
      <c r="G103" s="16">
        <v>1619.62</v>
      </c>
      <c r="H103" s="3">
        <v>8.5200999999999993</v>
      </c>
      <c r="I103" s="1">
        <v>45318</v>
      </c>
      <c r="J103" s="37">
        <v>7.0092592592592595E-2</v>
      </c>
      <c r="K103">
        <v>0</v>
      </c>
      <c r="L103">
        <v>0</v>
      </c>
      <c r="M103">
        <v>0</v>
      </c>
      <c r="N103">
        <v>0</v>
      </c>
      <c r="O103">
        <v>0</v>
      </c>
      <c r="P103">
        <v>0</v>
      </c>
      <c r="Q103">
        <v>0</v>
      </c>
      <c r="R103">
        <v>0</v>
      </c>
      <c r="S103">
        <v>0</v>
      </c>
      <c r="T103">
        <v>0</v>
      </c>
      <c r="U103">
        <v>0</v>
      </c>
      <c r="V103">
        <v>0</v>
      </c>
      <c r="W103" s="3">
        <f>W102</f>
        <v>8.9263000000000012</v>
      </c>
      <c r="X103" s="30"/>
      <c r="Y103">
        <v>4</v>
      </c>
      <c r="Z103" t="s">
        <v>1</v>
      </c>
      <c r="AA103">
        <v>27456</v>
      </c>
      <c r="AB103">
        <v>96</v>
      </c>
      <c r="AC103">
        <v>1</v>
      </c>
      <c r="AD103">
        <v>16</v>
      </c>
      <c r="AE103" s="16">
        <v>1441.52</v>
      </c>
      <c r="AF103" s="3">
        <v>9.5726999999999993</v>
      </c>
      <c r="AG103" s="1">
        <v>45323</v>
      </c>
      <c r="AH103" s="2">
        <v>0.20292824074074076</v>
      </c>
      <c r="AI103">
        <v>0</v>
      </c>
      <c r="AJ103">
        <v>0</v>
      </c>
      <c r="AK103">
        <v>0</v>
      </c>
      <c r="AL103">
        <v>0</v>
      </c>
      <c r="AM103">
        <v>0</v>
      </c>
      <c r="AN103">
        <v>0</v>
      </c>
      <c r="AO103">
        <v>0</v>
      </c>
      <c r="AP103">
        <v>0</v>
      </c>
      <c r="AQ103">
        <v>0</v>
      </c>
      <c r="AR103">
        <v>0</v>
      </c>
      <c r="AS103">
        <v>0</v>
      </c>
      <c r="AT103">
        <v>0</v>
      </c>
      <c r="AU103" s="3">
        <f>AU102</f>
        <v>9.5727000000000011</v>
      </c>
    </row>
    <row r="104" spans="1:47" x14ac:dyDescent="0.25">
      <c r="A104">
        <v>0</v>
      </c>
      <c r="B104" t="s">
        <v>1</v>
      </c>
      <c r="C104">
        <v>28992</v>
      </c>
      <c r="D104">
        <v>96</v>
      </c>
      <c r="E104">
        <v>1</v>
      </c>
      <c r="F104">
        <v>16</v>
      </c>
      <c r="G104" s="16">
        <v>1894.6</v>
      </c>
      <c r="H104" s="3">
        <v>8.5754999999999999</v>
      </c>
      <c r="I104" s="1">
        <v>45320</v>
      </c>
      <c r="J104" s="37">
        <v>0.93493055555555549</v>
      </c>
      <c r="K104">
        <v>0</v>
      </c>
      <c r="L104">
        <v>0</v>
      </c>
      <c r="M104">
        <v>0</v>
      </c>
      <c r="N104">
        <v>0</v>
      </c>
      <c r="O104">
        <v>0</v>
      </c>
      <c r="P104">
        <v>0</v>
      </c>
      <c r="Q104">
        <v>0</v>
      </c>
      <c r="R104">
        <v>0</v>
      </c>
      <c r="S104">
        <v>0</v>
      </c>
      <c r="T104">
        <v>0</v>
      </c>
      <c r="U104">
        <v>0</v>
      </c>
      <c r="V104">
        <v>0</v>
      </c>
      <c r="W104" s="3">
        <f>AVERAGE(H374:H378)</f>
        <v>8.4819199999999988</v>
      </c>
      <c r="X104" s="30"/>
      <c r="Y104">
        <v>0</v>
      </c>
      <c r="Z104" t="s">
        <v>1</v>
      </c>
      <c r="AA104">
        <v>28992</v>
      </c>
      <c r="AB104">
        <v>96</v>
      </c>
      <c r="AC104">
        <v>1</v>
      </c>
      <c r="AD104">
        <v>16</v>
      </c>
      <c r="AE104" s="16">
        <v>1691.62</v>
      </c>
      <c r="AF104" s="3">
        <v>9.6044999999999998</v>
      </c>
      <c r="AG104" s="1">
        <v>45320</v>
      </c>
      <c r="AH104" s="2">
        <v>0.3162962962962963</v>
      </c>
      <c r="AI104">
        <v>0</v>
      </c>
      <c r="AJ104">
        <v>0</v>
      </c>
      <c r="AK104">
        <v>0</v>
      </c>
      <c r="AL104">
        <v>0</v>
      </c>
      <c r="AM104">
        <v>0</v>
      </c>
      <c r="AN104">
        <v>0</v>
      </c>
      <c r="AO104">
        <v>0</v>
      </c>
      <c r="AP104">
        <v>0</v>
      </c>
      <c r="AQ104">
        <v>0</v>
      </c>
      <c r="AR104">
        <v>0</v>
      </c>
      <c r="AS104">
        <v>0</v>
      </c>
      <c r="AT104">
        <v>0</v>
      </c>
      <c r="AU104" s="3">
        <f>AVERAGE(AF104:AF108)</f>
        <v>9.6283999999999992</v>
      </c>
    </row>
    <row r="105" spans="1:47" x14ac:dyDescent="0.25">
      <c r="A105">
        <v>1</v>
      </c>
      <c r="B105" t="s">
        <v>1</v>
      </c>
      <c r="C105">
        <v>28992</v>
      </c>
      <c r="D105">
        <v>96</v>
      </c>
      <c r="E105">
        <v>1</v>
      </c>
      <c r="F105">
        <v>16</v>
      </c>
      <c r="G105" s="16">
        <v>1893.32</v>
      </c>
      <c r="H105" s="3">
        <v>8.5813000000000006</v>
      </c>
      <c r="I105" s="1">
        <v>45321</v>
      </c>
      <c r="J105" s="37">
        <v>0.80480324074074072</v>
      </c>
      <c r="K105">
        <v>0</v>
      </c>
      <c r="L105">
        <v>0</v>
      </c>
      <c r="M105">
        <v>0</v>
      </c>
      <c r="N105">
        <v>0</v>
      </c>
      <c r="O105">
        <v>0</v>
      </c>
      <c r="P105">
        <v>0</v>
      </c>
      <c r="Q105">
        <v>0</v>
      </c>
      <c r="R105">
        <v>0</v>
      </c>
      <c r="S105">
        <v>0</v>
      </c>
      <c r="T105">
        <v>0</v>
      </c>
      <c r="U105">
        <v>0</v>
      </c>
      <c r="V105">
        <v>0</v>
      </c>
      <c r="W105" s="3">
        <f>W104</f>
        <v>8.4819199999999988</v>
      </c>
      <c r="X105" s="30"/>
      <c r="Y105">
        <v>1</v>
      </c>
      <c r="Z105" t="s">
        <v>1</v>
      </c>
      <c r="AA105">
        <v>28992</v>
      </c>
      <c r="AB105">
        <v>96</v>
      </c>
      <c r="AC105">
        <v>1</v>
      </c>
      <c r="AD105">
        <v>16</v>
      </c>
      <c r="AE105" s="16">
        <v>1683.94</v>
      </c>
      <c r="AF105" s="3">
        <v>9.6483000000000008</v>
      </c>
      <c r="AG105" s="1">
        <v>45321</v>
      </c>
      <c r="AH105" s="2">
        <v>0.24347222222222223</v>
      </c>
      <c r="AI105">
        <v>0</v>
      </c>
      <c r="AJ105">
        <v>0</v>
      </c>
      <c r="AK105">
        <v>0</v>
      </c>
      <c r="AL105">
        <v>0</v>
      </c>
      <c r="AM105">
        <v>0</v>
      </c>
      <c r="AN105">
        <v>0</v>
      </c>
      <c r="AO105">
        <v>0</v>
      </c>
      <c r="AP105">
        <v>0</v>
      </c>
      <c r="AQ105">
        <v>0</v>
      </c>
      <c r="AR105">
        <v>0</v>
      </c>
      <c r="AS105">
        <v>0</v>
      </c>
      <c r="AT105">
        <v>0</v>
      </c>
      <c r="AU105" s="3">
        <f>AU104</f>
        <v>9.6283999999999992</v>
      </c>
    </row>
    <row r="106" spans="1:47" x14ac:dyDescent="0.25">
      <c r="A106">
        <v>2</v>
      </c>
      <c r="B106" t="s">
        <v>1</v>
      </c>
      <c r="C106">
        <v>28992</v>
      </c>
      <c r="D106">
        <v>96</v>
      </c>
      <c r="E106">
        <v>1</v>
      </c>
      <c r="F106">
        <v>16</v>
      </c>
      <c r="G106" s="16">
        <v>1894.38</v>
      </c>
      <c r="H106" s="3">
        <v>8.5764999999999993</v>
      </c>
      <c r="I106" s="1">
        <v>45322</v>
      </c>
      <c r="J106" s="37">
        <v>0.6746064814814815</v>
      </c>
      <c r="K106">
        <v>0</v>
      </c>
      <c r="L106">
        <v>0</v>
      </c>
      <c r="M106">
        <v>0</v>
      </c>
      <c r="N106">
        <v>0</v>
      </c>
      <c r="O106">
        <v>0</v>
      </c>
      <c r="P106">
        <v>0</v>
      </c>
      <c r="Q106">
        <v>0</v>
      </c>
      <c r="R106">
        <v>0</v>
      </c>
      <c r="S106">
        <v>0</v>
      </c>
      <c r="T106">
        <v>0</v>
      </c>
      <c r="U106">
        <v>0</v>
      </c>
      <c r="V106">
        <v>0</v>
      </c>
      <c r="W106" s="3">
        <f>W105</f>
        <v>8.4819199999999988</v>
      </c>
      <c r="X106" s="30"/>
      <c r="Y106">
        <v>2</v>
      </c>
      <c r="Z106" t="s">
        <v>1</v>
      </c>
      <c r="AA106">
        <v>28992</v>
      </c>
      <c r="AB106">
        <v>96</v>
      </c>
      <c r="AC106">
        <v>1</v>
      </c>
      <c r="AD106">
        <v>16</v>
      </c>
      <c r="AE106" s="16">
        <v>1684.8</v>
      </c>
      <c r="AF106" s="3">
        <v>9.6433</v>
      </c>
      <c r="AG106" s="1">
        <v>45322</v>
      </c>
      <c r="AH106" s="2">
        <v>7.739583333333333E-2</v>
      </c>
      <c r="AI106">
        <v>0</v>
      </c>
      <c r="AJ106">
        <v>0</v>
      </c>
      <c r="AK106">
        <v>0</v>
      </c>
      <c r="AL106">
        <v>0</v>
      </c>
      <c r="AM106">
        <v>0</v>
      </c>
      <c r="AN106">
        <v>0</v>
      </c>
      <c r="AO106">
        <v>0</v>
      </c>
      <c r="AP106">
        <v>0</v>
      </c>
      <c r="AQ106">
        <v>0</v>
      </c>
      <c r="AR106">
        <v>0</v>
      </c>
      <c r="AS106">
        <v>0</v>
      </c>
      <c r="AT106">
        <v>0</v>
      </c>
      <c r="AU106" s="3">
        <f>AU105</f>
        <v>9.6283999999999992</v>
      </c>
    </row>
    <row r="107" spans="1:47" x14ac:dyDescent="0.25">
      <c r="A107">
        <v>3</v>
      </c>
      <c r="B107" t="s">
        <v>1</v>
      </c>
      <c r="C107">
        <v>28992</v>
      </c>
      <c r="D107">
        <v>96</v>
      </c>
      <c r="E107">
        <v>1</v>
      </c>
      <c r="F107">
        <v>16</v>
      </c>
      <c r="G107" s="16">
        <v>1893.25</v>
      </c>
      <c r="H107" s="3">
        <v>8.5815999999999999</v>
      </c>
      <c r="I107" s="1">
        <v>45323</v>
      </c>
      <c r="J107" s="37">
        <v>0.53152777777777771</v>
      </c>
      <c r="K107">
        <v>0</v>
      </c>
      <c r="L107">
        <v>0</v>
      </c>
      <c r="M107">
        <v>0</v>
      </c>
      <c r="N107">
        <v>0</v>
      </c>
      <c r="O107">
        <v>0</v>
      </c>
      <c r="P107">
        <v>0</v>
      </c>
      <c r="Q107">
        <v>0</v>
      </c>
      <c r="R107">
        <v>0</v>
      </c>
      <c r="S107">
        <v>0</v>
      </c>
      <c r="T107">
        <v>0</v>
      </c>
      <c r="U107">
        <v>0</v>
      </c>
      <c r="V107">
        <v>0</v>
      </c>
      <c r="W107" s="3">
        <f>W106</f>
        <v>8.4819199999999988</v>
      </c>
      <c r="X107" s="30"/>
      <c r="Y107">
        <v>3</v>
      </c>
      <c r="Z107" t="s">
        <v>1</v>
      </c>
      <c r="AA107">
        <v>28992</v>
      </c>
      <c r="AB107">
        <v>96</v>
      </c>
      <c r="AC107">
        <v>1</v>
      </c>
      <c r="AD107">
        <v>16</v>
      </c>
      <c r="AE107" s="16">
        <v>1687.94</v>
      </c>
      <c r="AF107" s="3">
        <v>9.6255000000000006</v>
      </c>
      <c r="AG107" s="1">
        <v>45322</v>
      </c>
      <c r="AH107" s="2">
        <v>0.91136574074074073</v>
      </c>
      <c r="AI107">
        <v>0</v>
      </c>
      <c r="AJ107">
        <v>0</v>
      </c>
      <c r="AK107">
        <v>0</v>
      </c>
      <c r="AL107">
        <v>0</v>
      </c>
      <c r="AM107">
        <v>0</v>
      </c>
      <c r="AN107">
        <v>0</v>
      </c>
      <c r="AO107">
        <v>0</v>
      </c>
      <c r="AP107">
        <v>0</v>
      </c>
      <c r="AQ107">
        <v>0</v>
      </c>
      <c r="AR107">
        <v>0</v>
      </c>
      <c r="AS107">
        <v>0</v>
      </c>
      <c r="AT107">
        <v>0</v>
      </c>
      <c r="AU107" s="3">
        <f>AU106</f>
        <v>9.6283999999999992</v>
      </c>
    </row>
    <row r="108" spans="1:47" x14ac:dyDescent="0.25">
      <c r="A108">
        <v>4</v>
      </c>
      <c r="B108" t="s">
        <v>1</v>
      </c>
      <c r="C108">
        <v>28992</v>
      </c>
      <c r="D108">
        <v>96</v>
      </c>
      <c r="E108">
        <v>1</v>
      </c>
      <c r="F108">
        <v>16</v>
      </c>
      <c r="G108" s="16">
        <v>1892.72</v>
      </c>
      <c r="H108" s="3">
        <v>8.5839999999999996</v>
      </c>
      <c r="I108" s="1">
        <v>45318</v>
      </c>
      <c r="J108" s="37">
        <v>0.63471064814814815</v>
      </c>
      <c r="K108">
        <v>0</v>
      </c>
      <c r="L108">
        <v>0</v>
      </c>
      <c r="M108">
        <v>0</v>
      </c>
      <c r="N108">
        <v>0</v>
      </c>
      <c r="O108">
        <v>0</v>
      </c>
      <c r="P108">
        <v>0</v>
      </c>
      <c r="Q108">
        <v>0</v>
      </c>
      <c r="R108">
        <v>0</v>
      </c>
      <c r="S108">
        <v>0</v>
      </c>
      <c r="T108">
        <v>0</v>
      </c>
      <c r="U108">
        <v>0</v>
      </c>
      <c r="V108">
        <v>0</v>
      </c>
      <c r="W108" s="3">
        <f>W107</f>
        <v>8.4819199999999988</v>
      </c>
      <c r="X108" s="30"/>
      <c r="Y108">
        <v>4</v>
      </c>
      <c r="Z108" t="s">
        <v>1</v>
      </c>
      <c r="AA108">
        <v>28992</v>
      </c>
      <c r="AB108">
        <v>96</v>
      </c>
      <c r="AC108">
        <v>1</v>
      </c>
      <c r="AD108">
        <v>16</v>
      </c>
      <c r="AE108" s="16">
        <v>1688.82</v>
      </c>
      <c r="AF108" s="3">
        <v>9.6204000000000001</v>
      </c>
      <c r="AG108" s="1">
        <v>45323</v>
      </c>
      <c r="AH108" s="2">
        <v>0.74592592592592588</v>
      </c>
      <c r="AI108">
        <v>0</v>
      </c>
      <c r="AJ108">
        <v>0</v>
      </c>
      <c r="AK108">
        <v>0</v>
      </c>
      <c r="AL108">
        <v>0</v>
      </c>
      <c r="AM108">
        <v>0</v>
      </c>
      <c r="AN108">
        <v>0</v>
      </c>
      <c r="AO108">
        <v>0</v>
      </c>
      <c r="AP108">
        <v>0</v>
      </c>
      <c r="AQ108">
        <v>0</v>
      </c>
      <c r="AR108">
        <v>0</v>
      </c>
      <c r="AS108">
        <v>0</v>
      </c>
      <c r="AT108">
        <v>0</v>
      </c>
      <c r="AU108" s="3">
        <f>AU107</f>
        <v>9.6283999999999992</v>
      </c>
    </row>
    <row r="109" spans="1:47" x14ac:dyDescent="0.25">
      <c r="A109">
        <v>0</v>
      </c>
      <c r="B109" t="s">
        <v>1</v>
      </c>
      <c r="C109">
        <v>25920</v>
      </c>
      <c r="D109">
        <v>96</v>
      </c>
      <c r="E109">
        <v>2</v>
      </c>
      <c r="F109">
        <v>8</v>
      </c>
      <c r="G109" s="16">
        <v>1319.2</v>
      </c>
      <c r="H109" s="3">
        <v>8.8010999999999999</v>
      </c>
      <c r="I109" s="1">
        <v>45320</v>
      </c>
      <c r="J109" s="37">
        <v>0.64440972222222215</v>
      </c>
      <c r="K109">
        <v>0</v>
      </c>
      <c r="L109">
        <v>0</v>
      </c>
      <c r="M109">
        <v>0</v>
      </c>
      <c r="N109">
        <v>0</v>
      </c>
      <c r="O109">
        <v>0</v>
      </c>
      <c r="P109">
        <v>0</v>
      </c>
      <c r="Q109">
        <v>0</v>
      </c>
      <c r="R109">
        <v>0</v>
      </c>
      <c r="S109">
        <v>0</v>
      </c>
      <c r="T109">
        <v>0</v>
      </c>
      <c r="U109">
        <v>0</v>
      </c>
      <c r="V109">
        <v>0</v>
      </c>
      <c r="W109" s="3">
        <f>AVERAGE(H379:H383)</f>
        <v>8.7859599999999993</v>
      </c>
      <c r="X109" s="30"/>
      <c r="Y109">
        <v>0</v>
      </c>
      <c r="Z109" t="s">
        <v>1</v>
      </c>
      <c r="AA109">
        <v>25920</v>
      </c>
      <c r="AB109">
        <v>96</v>
      </c>
      <c r="AC109">
        <v>2</v>
      </c>
      <c r="AD109">
        <v>8</v>
      </c>
      <c r="AE109" s="16">
        <v>1180.52</v>
      </c>
      <c r="AF109" s="3">
        <v>9.8351000000000006</v>
      </c>
      <c r="AG109" s="1">
        <v>45320</v>
      </c>
      <c r="AH109" s="2">
        <v>3.7916666666666668E-2</v>
      </c>
      <c r="AI109">
        <v>0</v>
      </c>
      <c r="AJ109">
        <v>0</v>
      </c>
      <c r="AK109">
        <v>0</v>
      </c>
      <c r="AL109">
        <v>0</v>
      </c>
      <c r="AM109">
        <v>0</v>
      </c>
      <c r="AN109">
        <v>0</v>
      </c>
      <c r="AO109">
        <v>0</v>
      </c>
      <c r="AP109">
        <v>0</v>
      </c>
      <c r="AQ109">
        <v>0</v>
      </c>
      <c r="AR109">
        <v>0</v>
      </c>
      <c r="AS109">
        <v>0</v>
      </c>
      <c r="AT109">
        <v>0</v>
      </c>
      <c r="AU109" s="3">
        <f>AVERAGE(AF109:AF113)</f>
        <v>9.8135399999999997</v>
      </c>
    </row>
    <row r="110" spans="1:47" x14ac:dyDescent="0.25">
      <c r="A110">
        <v>1</v>
      </c>
      <c r="B110" t="s">
        <v>1</v>
      </c>
      <c r="C110">
        <v>25920</v>
      </c>
      <c r="D110">
        <v>96</v>
      </c>
      <c r="E110">
        <v>2</v>
      </c>
      <c r="F110">
        <v>8</v>
      </c>
      <c r="G110" s="16">
        <v>1319.49</v>
      </c>
      <c r="H110" s="3">
        <v>8.7993000000000006</v>
      </c>
      <c r="I110" s="1">
        <v>45321</v>
      </c>
      <c r="J110" s="37">
        <v>0.5142592592592593</v>
      </c>
      <c r="K110">
        <v>0</v>
      </c>
      <c r="L110">
        <v>0</v>
      </c>
      <c r="M110">
        <v>0</v>
      </c>
      <c r="N110">
        <v>0</v>
      </c>
      <c r="O110">
        <v>0</v>
      </c>
      <c r="P110">
        <v>0</v>
      </c>
      <c r="Q110">
        <v>0</v>
      </c>
      <c r="R110">
        <v>0</v>
      </c>
      <c r="S110">
        <v>0</v>
      </c>
      <c r="T110">
        <v>0</v>
      </c>
      <c r="U110">
        <v>0</v>
      </c>
      <c r="V110">
        <v>0</v>
      </c>
      <c r="W110" s="3">
        <f>W109</f>
        <v>8.7859599999999993</v>
      </c>
      <c r="X110" s="30"/>
      <c r="Y110">
        <v>1</v>
      </c>
      <c r="Z110" t="s">
        <v>1</v>
      </c>
      <c r="AA110">
        <v>25920</v>
      </c>
      <c r="AB110">
        <v>96</v>
      </c>
      <c r="AC110">
        <v>2</v>
      </c>
      <c r="AD110">
        <v>8</v>
      </c>
      <c r="AE110" s="16">
        <v>1182.52</v>
      </c>
      <c r="AF110" s="3">
        <v>9.8184000000000005</v>
      </c>
      <c r="AG110" s="1">
        <v>45320</v>
      </c>
      <c r="AH110" s="2">
        <v>0.96520833333333333</v>
      </c>
      <c r="AI110">
        <v>0</v>
      </c>
      <c r="AJ110">
        <v>0</v>
      </c>
      <c r="AK110">
        <v>0</v>
      </c>
      <c r="AL110">
        <v>0</v>
      </c>
      <c r="AM110">
        <v>0</v>
      </c>
      <c r="AN110">
        <v>0</v>
      </c>
      <c r="AO110">
        <v>0</v>
      </c>
      <c r="AP110">
        <v>0</v>
      </c>
      <c r="AQ110">
        <v>0</v>
      </c>
      <c r="AR110">
        <v>0</v>
      </c>
      <c r="AS110">
        <v>0</v>
      </c>
      <c r="AT110">
        <v>0</v>
      </c>
      <c r="AU110" s="3">
        <f>AU109</f>
        <v>9.8135399999999997</v>
      </c>
    </row>
    <row r="111" spans="1:47" x14ac:dyDescent="0.25">
      <c r="A111">
        <v>2</v>
      </c>
      <c r="B111" t="s">
        <v>1</v>
      </c>
      <c r="C111">
        <v>25920</v>
      </c>
      <c r="D111">
        <v>96</v>
      </c>
      <c r="E111">
        <v>2</v>
      </c>
      <c r="F111">
        <v>8</v>
      </c>
      <c r="G111" s="16">
        <v>1318.79</v>
      </c>
      <c r="H111" s="3">
        <v>8.8039000000000005</v>
      </c>
      <c r="I111" s="1">
        <v>45322</v>
      </c>
      <c r="J111" s="37">
        <v>0.38413194444444443</v>
      </c>
      <c r="K111">
        <v>0</v>
      </c>
      <c r="L111">
        <v>0</v>
      </c>
      <c r="M111">
        <v>0</v>
      </c>
      <c r="N111">
        <v>0</v>
      </c>
      <c r="O111">
        <v>0</v>
      </c>
      <c r="P111">
        <v>0</v>
      </c>
      <c r="Q111">
        <v>0</v>
      </c>
      <c r="R111">
        <v>0</v>
      </c>
      <c r="S111">
        <v>0</v>
      </c>
      <c r="T111">
        <v>0</v>
      </c>
      <c r="U111">
        <v>0</v>
      </c>
      <c r="V111">
        <v>0</v>
      </c>
      <c r="W111" s="3">
        <f>W110</f>
        <v>8.7859599999999993</v>
      </c>
      <c r="X111" s="30"/>
      <c r="Y111">
        <v>2</v>
      </c>
      <c r="Z111" t="s">
        <v>1</v>
      </c>
      <c r="AA111">
        <v>25920</v>
      </c>
      <c r="AB111">
        <v>96</v>
      </c>
      <c r="AC111">
        <v>2</v>
      </c>
      <c r="AD111">
        <v>8</v>
      </c>
      <c r="AE111" s="16">
        <v>1182.1199999999999</v>
      </c>
      <c r="AF111" s="3">
        <v>9.8216999999999999</v>
      </c>
      <c r="AG111" s="1">
        <v>45321</v>
      </c>
      <c r="AH111" s="2">
        <v>0.798761574074074</v>
      </c>
      <c r="AI111">
        <v>0</v>
      </c>
      <c r="AJ111">
        <v>0</v>
      </c>
      <c r="AK111">
        <v>0</v>
      </c>
      <c r="AL111">
        <v>0</v>
      </c>
      <c r="AM111">
        <v>0</v>
      </c>
      <c r="AN111">
        <v>0</v>
      </c>
      <c r="AO111">
        <v>0</v>
      </c>
      <c r="AP111">
        <v>0</v>
      </c>
      <c r="AQ111">
        <v>0</v>
      </c>
      <c r="AR111">
        <v>0</v>
      </c>
      <c r="AS111">
        <v>0</v>
      </c>
      <c r="AT111">
        <v>0</v>
      </c>
      <c r="AU111" s="3">
        <f>AU110</f>
        <v>9.8135399999999997</v>
      </c>
    </row>
    <row r="112" spans="1:47" x14ac:dyDescent="0.25">
      <c r="A112">
        <v>3</v>
      </c>
      <c r="B112" t="s">
        <v>1</v>
      </c>
      <c r="C112">
        <v>25920</v>
      </c>
      <c r="D112">
        <v>96</v>
      </c>
      <c r="E112">
        <v>2</v>
      </c>
      <c r="F112">
        <v>8</v>
      </c>
      <c r="G112" s="16">
        <v>1319.28</v>
      </c>
      <c r="H112" s="3">
        <v>8.8005999999999993</v>
      </c>
      <c r="I112" s="1">
        <v>45323</v>
      </c>
      <c r="J112" s="37">
        <v>0.24096064814814813</v>
      </c>
      <c r="K112">
        <v>0</v>
      </c>
      <c r="L112">
        <v>0</v>
      </c>
      <c r="M112">
        <v>0</v>
      </c>
      <c r="N112">
        <v>0</v>
      </c>
      <c r="O112">
        <v>0</v>
      </c>
      <c r="P112">
        <v>0</v>
      </c>
      <c r="Q112">
        <v>0</v>
      </c>
      <c r="R112">
        <v>0</v>
      </c>
      <c r="S112">
        <v>0</v>
      </c>
      <c r="T112">
        <v>0</v>
      </c>
      <c r="U112">
        <v>0</v>
      </c>
      <c r="V112">
        <v>0</v>
      </c>
      <c r="W112" s="3">
        <f>W111</f>
        <v>8.7859599999999993</v>
      </c>
      <c r="X112" s="30"/>
      <c r="Y112">
        <v>3</v>
      </c>
      <c r="Z112" t="s">
        <v>1</v>
      </c>
      <c r="AA112">
        <v>25920</v>
      </c>
      <c r="AB112">
        <v>96</v>
      </c>
      <c r="AC112">
        <v>2</v>
      </c>
      <c r="AD112">
        <v>8</v>
      </c>
      <c r="AE112" s="16">
        <v>1187.97</v>
      </c>
      <c r="AF112" s="3">
        <v>9.7734000000000005</v>
      </c>
      <c r="AG112" s="1">
        <v>45322</v>
      </c>
      <c r="AH112" s="2">
        <v>0.63276620370370373</v>
      </c>
      <c r="AI112">
        <v>0</v>
      </c>
      <c r="AJ112">
        <v>0</v>
      </c>
      <c r="AK112">
        <v>0</v>
      </c>
      <c r="AL112">
        <v>0</v>
      </c>
      <c r="AM112">
        <v>0</v>
      </c>
      <c r="AN112">
        <v>0</v>
      </c>
      <c r="AO112">
        <v>0</v>
      </c>
      <c r="AP112">
        <v>0</v>
      </c>
      <c r="AQ112">
        <v>0</v>
      </c>
      <c r="AR112">
        <v>0</v>
      </c>
      <c r="AS112">
        <v>0</v>
      </c>
      <c r="AT112">
        <v>0</v>
      </c>
      <c r="AU112" s="3">
        <f>AU111</f>
        <v>9.8135399999999997</v>
      </c>
    </row>
    <row r="113" spans="1:47" x14ac:dyDescent="0.25">
      <c r="A113">
        <v>4</v>
      </c>
      <c r="B113" t="s">
        <v>1</v>
      </c>
      <c r="C113">
        <v>25920</v>
      </c>
      <c r="D113">
        <v>96</v>
      </c>
      <c r="E113">
        <v>2</v>
      </c>
      <c r="F113">
        <v>8</v>
      </c>
      <c r="G113" s="16">
        <v>1319.12</v>
      </c>
      <c r="H113" s="3">
        <v>8.8017000000000003</v>
      </c>
      <c r="I113" s="1">
        <v>45318</v>
      </c>
      <c r="J113" s="37">
        <v>0.3442708333333333</v>
      </c>
      <c r="K113">
        <v>0</v>
      </c>
      <c r="L113">
        <v>0</v>
      </c>
      <c r="M113">
        <v>0</v>
      </c>
      <c r="N113">
        <v>0</v>
      </c>
      <c r="O113">
        <v>0</v>
      </c>
      <c r="P113">
        <v>0</v>
      </c>
      <c r="Q113">
        <v>0</v>
      </c>
      <c r="R113">
        <v>0</v>
      </c>
      <c r="S113">
        <v>0</v>
      </c>
      <c r="T113">
        <v>0</v>
      </c>
      <c r="U113">
        <v>0</v>
      </c>
      <c r="V113">
        <v>0</v>
      </c>
      <c r="W113" s="3">
        <f>W112</f>
        <v>8.7859599999999993</v>
      </c>
      <c r="X113" s="30"/>
      <c r="Y113">
        <v>4</v>
      </c>
      <c r="Z113" t="s">
        <v>1</v>
      </c>
      <c r="AA113">
        <v>25920</v>
      </c>
      <c r="AB113">
        <v>96</v>
      </c>
      <c r="AC113">
        <v>2</v>
      </c>
      <c r="AD113">
        <v>8</v>
      </c>
      <c r="AE113" s="16">
        <v>1182.45</v>
      </c>
      <c r="AF113" s="3">
        <v>9.8191000000000006</v>
      </c>
      <c r="AG113" s="1">
        <v>45323</v>
      </c>
      <c r="AH113" s="2">
        <v>0.46682870370370372</v>
      </c>
      <c r="AI113">
        <v>0</v>
      </c>
      <c r="AJ113">
        <v>0</v>
      </c>
      <c r="AK113">
        <v>0</v>
      </c>
      <c r="AL113">
        <v>0</v>
      </c>
      <c r="AM113">
        <v>0</v>
      </c>
      <c r="AN113">
        <v>0</v>
      </c>
      <c r="AO113">
        <v>0</v>
      </c>
      <c r="AP113">
        <v>0</v>
      </c>
      <c r="AQ113">
        <v>0</v>
      </c>
      <c r="AR113">
        <v>0</v>
      </c>
      <c r="AS113">
        <v>0</v>
      </c>
      <c r="AT113">
        <v>0</v>
      </c>
      <c r="AU113" s="3">
        <f>AU112</f>
        <v>9.8135399999999997</v>
      </c>
    </row>
    <row r="114" spans="1:47" x14ac:dyDescent="0.25">
      <c r="A114">
        <v>0</v>
      </c>
      <c r="B114" t="s">
        <v>1</v>
      </c>
      <c r="C114">
        <v>27456</v>
      </c>
      <c r="D114">
        <v>96</v>
      </c>
      <c r="E114">
        <v>2</v>
      </c>
      <c r="F114">
        <v>8</v>
      </c>
      <c r="G114" s="16">
        <v>1558.64</v>
      </c>
      <c r="H114" s="3">
        <v>8.8534000000000006</v>
      </c>
      <c r="I114" s="1">
        <v>45320</v>
      </c>
      <c r="J114" s="37">
        <v>0.3885763888888889</v>
      </c>
      <c r="K114">
        <v>0</v>
      </c>
      <c r="L114">
        <v>0</v>
      </c>
      <c r="M114">
        <v>0</v>
      </c>
      <c r="N114">
        <v>0</v>
      </c>
      <c r="O114">
        <v>0</v>
      </c>
      <c r="P114">
        <v>0</v>
      </c>
      <c r="Q114">
        <v>0</v>
      </c>
      <c r="R114">
        <v>0</v>
      </c>
      <c r="S114">
        <v>0</v>
      </c>
      <c r="T114">
        <v>0</v>
      </c>
      <c r="U114">
        <v>0</v>
      </c>
      <c r="V114">
        <v>0</v>
      </c>
      <c r="W114" s="3">
        <f>AVERAGE(H384:H388)</f>
        <v>8.99756</v>
      </c>
      <c r="X114" s="30"/>
      <c r="Y114">
        <v>0</v>
      </c>
      <c r="Z114" t="s">
        <v>1</v>
      </c>
      <c r="AA114">
        <v>27456</v>
      </c>
      <c r="AB114">
        <v>96</v>
      </c>
      <c r="AC114">
        <v>2</v>
      </c>
      <c r="AD114">
        <v>8</v>
      </c>
      <c r="AE114" s="16">
        <v>1392.12</v>
      </c>
      <c r="AF114" s="3">
        <v>9.9123999999999999</v>
      </c>
      <c r="AG114" s="1">
        <v>45319</v>
      </c>
      <c r="AH114" s="2">
        <v>0.79211805555555559</v>
      </c>
      <c r="AI114">
        <v>0</v>
      </c>
      <c r="AJ114">
        <v>0</v>
      </c>
      <c r="AK114">
        <v>0</v>
      </c>
      <c r="AL114">
        <v>0</v>
      </c>
      <c r="AM114">
        <v>0</v>
      </c>
      <c r="AN114">
        <v>0</v>
      </c>
      <c r="AO114">
        <v>0</v>
      </c>
      <c r="AP114">
        <v>0</v>
      </c>
      <c r="AQ114">
        <v>0</v>
      </c>
      <c r="AR114">
        <v>0</v>
      </c>
      <c r="AS114">
        <v>0</v>
      </c>
      <c r="AT114">
        <v>0</v>
      </c>
      <c r="AU114" s="3">
        <f>AVERAGE(AF114:AF118)</f>
        <v>9.9007200000000015</v>
      </c>
    </row>
    <row r="115" spans="1:47" x14ac:dyDescent="0.25">
      <c r="A115">
        <v>1</v>
      </c>
      <c r="B115" t="s">
        <v>1</v>
      </c>
      <c r="C115">
        <v>27456</v>
      </c>
      <c r="D115">
        <v>96</v>
      </c>
      <c r="E115">
        <v>2</v>
      </c>
      <c r="F115">
        <v>8</v>
      </c>
      <c r="G115" s="16">
        <v>1558.75</v>
      </c>
      <c r="H115" s="3">
        <v>8.8528000000000002</v>
      </c>
      <c r="I115" s="1">
        <v>45321</v>
      </c>
      <c r="J115" s="37">
        <v>0.25841435185185185</v>
      </c>
      <c r="K115">
        <v>0</v>
      </c>
      <c r="L115">
        <v>0</v>
      </c>
      <c r="M115">
        <v>0</v>
      </c>
      <c r="N115">
        <v>0</v>
      </c>
      <c r="O115">
        <v>0</v>
      </c>
      <c r="P115">
        <v>0</v>
      </c>
      <c r="Q115">
        <v>0</v>
      </c>
      <c r="R115">
        <v>0</v>
      </c>
      <c r="S115">
        <v>0</v>
      </c>
      <c r="T115">
        <v>0</v>
      </c>
      <c r="U115">
        <v>0</v>
      </c>
      <c r="V115">
        <v>0</v>
      </c>
      <c r="W115" s="3">
        <f>W114</f>
        <v>8.99756</v>
      </c>
      <c r="X115" s="30"/>
      <c r="Y115">
        <v>1</v>
      </c>
      <c r="Z115" t="s">
        <v>1</v>
      </c>
      <c r="AA115">
        <v>27456</v>
      </c>
      <c r="AB115">
        <v>96</v>
      </c>
      <c r="AC115">
        <v>2</v>
      </c>
      <c r="AD115">
        <v>8</v>
      </c>
      <c r="AE115" s="16">
        <v>1391.77</v>
      </c>
      <c r="AF115" s="3">
        <v>9.9148999999999994</v>
      </c>
      <c r="AG115" s="1">
        <v>45320</v>
      </c>
      <c r="AH115" s="2">
        <v>0.71917824074074066</v>
      </c>
      <c r="AI115">
        <v>0</v>
      </c>
      <c r="AJ115">
        <v>0</v>
      </c>
      <c r="AK115">
        <v>0</v>
      </c>
      <c r="AL115">
        <v>0</v>
      </c>
      <c r="AM115">
        <v>0</v>
      </c>
      <c r="AN115">
        <v>0</v>
      </c>
      <c r="AO115">
        <v>0</v>
      </c>
      <c r="AP115">
        <v>0</v>
      </c>
      <c r="AQ115">
        <v>0</v>
      </c>
      <c r="AR115">
        <v>0</v>
      </c>
      <c r="AS115">
        <v>0</v>
      </c>
      <c r="AT115">
        <v>0</v>
      </c>
      <c r="AU115" s="3">
        <f>AU114</f>
        <v>9.9007200000000015</v>
      </c>
    </row>
    <row r="116" spans="1:47" x14ac:dyDescent="0.25">
      <c r="A116">
        <v>2</v>
      </c>
      <c r="B116" t="s">
        <v>1</v>
      </c>
      <c r="C116">
        <v>27456</v>
      </c>
      <c r="D116">
        <v>96</v>
      </c>
      <c r="E116">
        <v>2</v>
      </c>
      <c r="F116">
        <v>8</v>
      </c>
      <c r="G116" s="16">
        <v>1559.23</v>
      </c>
      <c r="H116" s="3">
        <v>8.8500999999999994</v>
      </c>
      <c r="I116" s="1">
        <v>45322</v>
      </c>
      <c r="J116" s="37">
        <v>0.12831018518518519</v>
      </c>
      <c r="K116">
        <v>0</v>
      </c>
      <c r="L116">
        <v>0</v>
      </c>
      <c r="M116">
        <v>0</v>
      </c>
      <c r="N116">
        <v>0</v>
      </c>
      <c r="O116">
        <v>0</v>
      </c>
      <c r="P116">
        <v>0</v>
      </c>
      <c r="Q116">
        <v>0</v>
      </c>
      <c r="R116">
        <v>0</v>
      </c>
      <c r="S116">
        <v>0</v>
      </c>
      <c r="T116">
        <v>0</v>
      </c>
      <c r="U116">
        <v>0</v>
      </c>
      <c r="V116">
        <v>0</v>
      </c>
      <c r="W116" s="3">
        <f>W115</f>
        <v>8.99756</v>
      </c>
      <c r="X116" s="30"/>
      <c r="Y116">
        <v>2</v>
      </c>
      <c r="Z116" t="s">
        <v>1</v>
      </c>
      <c r="AA116">
        <v>27456</v>
      </c>
      <c r="AB116">
        <v>96</v>
      </c>
      <c r="AC116">
        <v>2</v>
      </c>
      <c r="AD116">
        <v>8</v>
      </c>
      <c r="AE116" s="16">
        <v>1398.84</v>
      </c>
      <c r="AF116" s="3">
        <v>9.8648000000000007</v>
      </c>
      <c r="AG116" s="1">
        <v>45321</v>
      </c>
      <c r="AH116" s="2">
        <v>0.55266203703703709</v>
      </c>
      <c r="AI116">
        <v>0</v>
      </c>
      <c r="AJ116">
        <v>0</v>
      </c>
      <c r="AK116">
        <v>0</v>
      </c>
      <c r="AL116">
        <v>0</v>
      </c>
      <c r="AM116">
        <v>0</v>
      </c>
      <c r="AN116">
        <v>0</v>
      </c>
      <c r="AO116">
        <v>0</v>
      </c>
      <c r="AP116">
        <v>0</v>
      </c>
      <c r="AQ116">
        <v>0</v>
      </c>
      <c r="AR116">
        <v>0</v>
      </c>
      <c r="AS116">
        <v>0</v>
      </c>
      <c r="AT116">
        <v>0</v>
      </c>
      <c r="AU116" s="3">
        <f>AU115</f>
        <v>9.9007200000000015</v>
      </c>
    </row>
    <row r="117" spans="1:47" x14ac:dyDescent="0.25">
      <c r="A117">
        <v>3</v>
      </c>
      <c r="B117" t="s">
        <v>1</v>
      </c>
      <c r="C117">
        <v>27456</v>
      </c>
      <c r="D117">
        <v>96</v>
      </c>
      <c r="E117">
        <v>2</v>
      </c>
      <c r="F117">
        <v>8</v>
      </c>
      <c r="G117" s="16">
        <v>1558.53</v>
      </c>
      <c r="H117" s="3">
        <v>8.8539999999999992</v>
      </c>
      <c r="I117" s="1">
        <v>45322</v>
      </c>
      <c r="J117" s="37">
        <v>0.998113425925926</v>
      </c>
      <c r="K117">
        <v>0</v>
      </c>
      <c r="L117">
        <v>0</v>
      </c>
      <c r="M117">
        <v>0</v>
      </c>
      <c r="N117">
        <v>0</v>
      </c>
      <c r="O117">
        <v>0</v>
      </c>
      <c r="P117">
        <v>0</v>
      </c>
      <c r="Q117">
        <v>0</v>
      </c>
      <c r="R117">
        <v>0</v>
      </c>
      <c r="S117">
        <v>0</v>
      </c>
      <c r="T117">
        <v>0</v>
      </c>
      <c r="U117">
        <v>0</v>
      </c>
      <c r="V117">
        <v>0</v>
      </c>
      <c r="W117" s="3">
        <f>W116</f>
        <v>8.99756</v>
      </c>
      <c r="X117" s="30"/>
      <c r="Y117">
        <v>3</v>
      </c>
      <c r="Z117" t="s">
        <v>1</v>
      </c>
      <c r="AA117">
        <v>27456</v>
      </c>
      <c r="AB117">
        <v>96</v>
      </c>
      <c r="AC117">
        <v>2</v>
      </c>
      <c r="AD117">
        <v>8</v>
      </c>
      <c r="AE117" s="16">
        <v>1394.35</v>
      </c>
      <c r="AF117" s="3">
        <v>9.8965999999999994</v>
      </c>
      <c r="AG117" s="1">
        <v>45322</v>
      </c>
      <c r="AH117" s="2">
        <v>0.38640046296296293</v>
      </c>
      <c r="AI117">
        <v>0</v>
      </c>
      <c r="AJ117">
        <v>0</v>
      </c>
      <c r="AK117">
        <v>0</v>
      </c>
      <c r="AL117">
        <v>0</v>
      </c>
      <c r="AM117">
        <v>0</v>
      </c>
      <c r="AN117">
        <v>0</v>
      </c>
      <c r="AO117">
        <v>0</v>
      </c>
      <c r="AP117">
        <v>0</v>
      </c>
      <c r="AQ117">
        <v>0</v>
      </c>
      <c r="AR117">
        <v>0</v>
      </c>
      <c r="AS117">
        <v>0</v>
      </c>
      <c r="AT117">
        <v>0</v>
      </c>
      <c r="AU117" s="3">
        <f>AU116</f>
        <v>9.9007200000000015</v>
      </c>
    </row>
    <row r="118" spans="1:47" x14ac:dyDescent="0.25">
      <c r="A118">
        <v>4</v>
      </c>
      <c r="B118" t="s">
        <v>1</v>
      </c>
      <c r="C118">
        <v>27456</v>
      </c>
      <c r="D118">
        <v>96</v>
      </c>
      <c r="E118">
        <v>2</v>
      </c>
      <c r="F118">
        <v>8</v>
      </c>
      <c r="G118" s="16">
        <v>1558.34</v>
      </c>
      <c r="H118" s="3">
        <v>8.8551000000000002</v>
      </c>
      <c r="I118" s="1">
        <v>45318</v>
      </c>
      <c r="J118" s="37">
        <v>8.847222222222223E-2</v>
      </c>
      <c r="K118">
        <v>0</v>
      </c>
      <c r="L118">
        <v>0</v>
      </c>
      <c r="M118">
        <v>0</v>
      </c>
      <c r="N118">
        <v>0</v>
      </c>
      <c r="O118">
        <v>0</v>
      </c>
      <c r="P118">
        <v>0</v>
      </c>
      <c r="Q118">
        <v>0</v>
      </c>
      <c r="R118">
        <v>0</v>
      </c>
      <c r="S118">
        <v>0</v>
      </c>
      <c r="T118">
        <v>0</v>
      </c>
      <c r="U118">
        <v>0</v>
      </c>
      <c r="V118">
        <v>0</v>
      </c>
      <c r="W118" s="3">
        <f>W117</f>
        <v>8.99756</v>
      </c>
      <c r="X118" s="30"/>
      <c r="Y118">
        <v>4</v>
      </c>
      <c r="Z118" t="s">
        <v>1</v>
      </c>
      <c r="AA118">
        <v>27456</v>
      </c>
      <c r="AB118">
        <v>96</v>
      </c>
      <c r="AC118">
        <v>2</v>
      </c>
      <c r="AD118">
        <v>8</v>
      </c>
      <c r="AE118" s="16">
        <v>1391.77</v>
      </c>
      <c r="AF118" s="3">
        <v>9.9148999999999994</v>
      </c>
      <c r="AG118" s="1">
        <v>45323</v>
      </c>
      <c r="AH118" s="2">
        <v>0.22052083333333336</v>
      </c>
      <c r="AI118">
        <v>0</v>
      </c>
      <c r="AJ118">
        <v>0</v>
      </c>
      <c r="AK118">
        <v>0</v>
      </c>
      <c r="AL118">
        <v>0</v>
      </c>
      <c r="AM118">
        <v>0</v>
      </c>
      <c r="AN118">
        <v>0</v>
      </c>
      <c r="AO118">
        <v>0</v>
      </c>
      <c r="AP118">
        <v>0</v>
      </c>
      <c r="AQ118">
        <v>0</v>
      </c>
      <c r="AR118">
        <v>0</v>
      </c>
      <c r="AS118">
        <v>0</v>
      </c>
      <c r="AT118">
        <v>0</v>
      </c>
      <c r="AU118" s="3">
        <f>AU117</f>
        <v>9.9007200000000015</v>
      </c>
    </row>
    <row r="119" spans="1:47" x14ac:dyDescent="0.25">
      <c r="A119">
        <v>0</v>
      </c>
      <c r="B119" t="s">
        <v>1</v>
      </c>
      <c r="C119">
        <v>28992</v>
      </c>
      <c r="D119">
        <v>96</v>
      </c>
      <c r="E119">
        <v>2</v>
      </c>
      <c r="F119">
        <v>8</v>
      </c>
      <c r="G119" s="16">
        <v>1825.57</v>
      </c>
      <c r="H119" s="3">
        <v>8.8998000000000008</v>
      </c>
      <c r="I119" s="1">
        <v>45320</v>
      </c>
      <c r="J119" s="37">
        <v>0.95643518518518522</v>
      </c>
      <c r="K119">
        <v>0</v>
      </c>
      <c r="L119">
        <v>0</v>
      </c>
      <c r="M119">
        <v>0</v>
      </c>
      <c r="N119">
        <v>0</v>
      </c>
      <c r="O119">
        <v>0</v>
      </c>
      <c r="P119">
        <v>0</v>
      </c>
      <c r="Q119">
        <v>0</v>
      </c>
      <c r="R119">
        <v>0</v>
      </c>
      <c r="S119">
        <v>0</v>
      </c>
      <c r="T119">
        <v>0</v>
      </c>
      <c r="U119">
        <v>0</v>
      </c>
      <c r="V119">
        <v>0</v>
      </c>
      <c r="W119" s="3">
        <f>AVERAGE(H389:H393)</f>
        <v>9.0212199999999996</v>
      </c>
      <c r="X119" s="30"/>
      <c r="Y119">
        <v>0</v>
      </c>
      <c r="Z119" t="s">
        <v>1</v>
      </c>
      <c r="AA119">
        <v>28992</v>
      </c>
      <c r="AB119">
        <v>96</v>
      </c>
      <c r="AC119">
        <v>2</v>
      </c>
      <c r="AD119">
        <v>8</v>
      </c>
      <c r="AE119" s="16">
        <v>1628.38</v>
      </c>
      <c r="AF119" s="3">
        <v>9.9774999999999991</v>
      </c>
      <c r="AG119" s="1">
        <v>45320</v>
      </c>
      <c r="AH119" s="2">
        <v>0.33680555555555558</v>
      </c>
      <c r="AI119">
        <v>0</v>
      </c>
      <c r="AJ119">
        <v>0</v>
      </c>
      <c r="AK119">
        <v>0</v>
      </c>
      <c r="AL119">
        <v>0</v>
      </c>
      <c r="AM119">
        <v>0</v>
      </c>
      <c r="AN119">
        <v>0</v>
      </c>
      <c r="AO119">
        <v>0</v>
      </c>
      <c r="AP119">
        <v>0</v>
      </c>
      <c r="AQ119">
        <v>0</v>
      </c>
      <c r="AR119">
        <v>0</v>
      </c>
      <c r="AS119">
        <v>0</v>
      </c>
      <c r="AT119">
        <v>0</v>
      </c>
      <c r="AU119" s="3">
        <f>AVERAGE(AF119:AF123)</f>
        <v>9.9628799999999984</v>
      </c>
    </row>
    <row r="120" spans="1:47" x14ac:dyDescent="0.25">
      <c r="A120">
        <v>1</v>
      </c>
      <c r="B120" t="s">
        <v>1</v>
      </c>
      <c r="C120">
        <v>28992</v>
      </c>
      <c r="D120">
        <v>96</v>
      </c>
      <c r="E120">
        <v>2</v>
      </c>
      <c r="F120">
        <v>8</v>
      </c>
      <c r="G120" s="16">
        <v>1826.41</v>
      </c>
      <c r="H120" s="3">
        <v>8.8956999999999997</v>
      </c>
      <c r="I120" s="1">
        <v>45321</v>
      </c>
      <c r="J120" s="37">
        <v>0.8263194444444445</v>
      </c>
      <c r="K120">
        <v>0</v>
      </c>
      <c r="L120">
        <v>0</v>
      </c>
      <c r="M120">
        <v>0</v>
      </c>
      <c r="N120">
        <v>0</v>
      </c>
      <c r="O120">
        <v>0</v>
      </c>
      <c r="P120">
        <v>0</v>
      </c>
      <c r="Q120">
        <v>0</v>
      </c>
      <c r="R120">
        <v>0</v>
      </c>
      <c r="S120">
        <v>0</v>
      </c>
      <c r="T120">
        <v>0</v>
      </c>
      <c r="U120">
        <v>0</v>
      </c>
      <c r="V120">
        <v>0</v>
      </c>
      <c r="W120" s="3">
        <f>W119</f>
        <v>9.0212199999999996</v>
      </c>
      <c r="X120" s="30"/>
      <c r="Y120">
        <v>1</v>
      </c>
      <c r="Z120" t="s">
        <v>1</v>
      </c>
      <c r="AA120">
        <v>28992</v>
      </c>
      <c r="AB120">
        <v>96</v>
      </c>
      <c r="AC120">
        <v>2</v>
      </c>
      <c r="AD120">
        <v>8</v>
      </c>
      <c r="AE120" s="16">
        <v>1636.19</v>
      </c>
      <c r="AF120" s="3">
        <v>9.9298999999999999</v>
      </c>
      <c r="AG120" s="1">
        <v>45321</v>
      </c>
      <c r="AH120" s="2">
        <v>0.26406250000000003</v>
      </c>
      <c r="AI120">
        <v>0</v>
      </c>
      <c r="AJ120">
        <v>0</v>
      </c>
      <c r="AK120">
        <v>0</v>
      </c>
      <c r="AL120">
        <v>0</v>
      </c>
      <c r="AM120">
        <v>0</v>
      </c>
      <c r="AN120">
        <v>0</v>
      </c>
      <c r="AO120">
        <v>0</v>
      </c>
      <c r="AP120">
        <v>0</v>
      </c>
      <c r="AQ120">
        <v>0</v>
      </c>
      <c r="AR120">
        <v>0</v>
      </c>
      <c r="AS120">
        <v>0</v>
      </c>
      <c r="AT120">
        <v>0</v>
      </c>
      <c r="AU120" s="3">
        <f>AU119</f>
        <v>9.9628799999999984</v>
      </c>
    </row>
    <row r="121" spans="1:47" x14ac:dyDescent="0.25">
      <c r="A121">
        <v>2</v>
      </c>
      <c r="B121" t="s">
        <v>1</v>
      </c>
      <c r="C121">
        <v>28992</v>
      </c>
      <c r="D121">
        <v>96</v>
      </c>
      <c r="E121">
        <v>2</v>
      </c>
      <c r="F121">
        <v>8</v>
      </c>
      <c r="G121" s="16">
        <v>1825.77</v>
      </c>
      <c r="H121" s="3">
        <v>8.8987999999999996</v>
      </c>
      <c r="I121" s="1">
        <v>45322</v>
      </c>
      <c r="J121" s="37">
        <v>0.69611111111111112</v>
      </c>
      <c r="K121">
        <v>0</v>
      </c>
      <c r="L121">
        <v>0</v>
      </c>
      <c r="M121">
        <v>0</v>
      </c>
      <c r="N121">
        <v>0</v>
      </c>
      <c r="O121">
        <v>0</v>
      </c>
      <c r="P121">
        <v>0</v>
      </c>
      <c r="Q121">
        <v>0</v>
      </c>
      <c r="R121">
        <v>0</v>
      </c>
      <c r="S121">
        <v>0</v>
      </c>
      <c r="T121">
        <v>0</v>
      </c>
      <c r="U121">
        <v>0</v>
      </c>
      <c r="V121">
        <v>0</v>
      </c>
      <c r="W121" s="3">
        <f>W120</f>
        <v>9.0212199999999996</v>
      </c>
      <c r="X121" s="30"/>
      <c r="Y121">
        <v>2</v>
      </c>
      <c r="Z121" t="s">
        <v>1</v>
      </c>
      <c r="AA121">
        <v>28992</v>
      </c>
      <c r="AB121">
        <v>96</v>
      </c>
      <c r="AC121">
        <v>2</v>
      </c>
      <c r="AD121">
        <v>8</v>
      </c>
      <c r="AE121" s="16">
        <v>1630.01</v>
      </c>
      <c r="AF121" s="3">
        <v>9.9674999999999994</v>
      </c>
      <c r="AG121" s="1">
        <v>45322</v>
      </c>
      <c r="AH121" s="2">
        <v>9.7916666666666666E-2</v>
      </c>
      <c r="AI121">
        <v>0</v>
      </c>
      <c r="AJ121">
        <v>0</v>
      </c>
      <c r="AK121">
        <v>0</v>
      </c>
      <c r="AL121">
        <v>0</v>
      </c>
      <c r="AM121">
        <v>0</v>
      </c>
      <c r="AN121">
        <v>0</v>
      </c>
      <c r="AO121">
        <v>0</v>
      </c>
      <c r="AP121">
        <v>0</v>
      </c>
      <c r="AQ121">
        <v>0</v>
      </c>
      <c r="AR121">
        <v>0</v>
      </c>
      <c r="AS121">
        <v>0</v>
      </c>
      <c r="AT121">
        <v>0</v>
      </c>
      <c r="AU121" s="3">
        <f>AU120</f>
        <v>9.9628799999999984</v>
      </c>
    </row>
    <row r="122" spans="1:47" x14ac:dyDescent="0.25">
      <c r="A122">
        <v>3</v>
      </c>
      <c r="B122" t="s">
        <v>1</v>
      </c>
      <c r="C122">
        <v>28992</v>
      </c>
      <c r="D122">
        <v>96</v>
      </c>
      <c r="E122">
        <v>2</v>
      </c>
      <c r="F122">
        <v>8</v>
      </c>
      <c r="G122" s="16">
        <v>1825.31</v>
      </c>
      <c r="H122" s="3">
        <v>8.9009999999999998</v>
      </c>
      <c r="I122" s="1">
        <v>45323</v>
      </c>
      <c r="J122" s="37">
        <v>0.55303240740740744</v>
      </c>
      <c r="K122">
        <v>0</v>
      </c>
      <c r="L122">
        <v>0</v>
      </c>
      <c r="M122">
        <v>0</v>
      </c>
      <c r="N122">
        <v>0</v>
      </c>
      <c r="O122">
        <v>0</v>
      </c>
      <c r="P122">
        <v>0</v>
      </c>
      <c r="Q122">
        <v>0</v>
      </c>
      <c r="R122">
        <v>0</v>
      </c>
      <c r="S122">
        <v>0</v>
      </c>
      <c r="T122">
        <v>0</v>
      </c>
      <c r="U122">
        <v>0</v>
      </c>
      <c r="V122">
        <v>0</v>
      </c>
      <c r="W122" s="3">
        <f>W121</f>
        <v>9.0212199999999996</v>
      </c>
      <c r="X122" s="30"/>
      <c r="Y122">
        <v>3</v>
      </c>
      <c r="Z122" t="s">
        <v>1</v>
      </c>
      <c r="AA122">
        <v>28992</v>
      </c>
      <c r="AB122">
        <v>96</v>
      </c>
      <c r="AC122">
        <v>2</v>
      </c>
      <c r="AD122">
        <v>8</v>
      </c>
      <c r="AE122" s="16">
        <v>1629.56</v>
      </c>
      <c r="AF122" s="3">
        <v>9.9702000000000002</v>
      </c>
      <c r="AG122" s="1">
        <v>45322</v>
      </c>
      <c r="AH122" s="2">
        <v>0.93188657407407405</v>
      </c>
      <c r="AI122">
        <v>0</v>
      </c>
      <c r="AJ122">
        <v>0</v>
      </c>
      <c r="AK122">
        <v>0</v>
      </c>
      <c r="AL122">
        <v>0</v>
      </c>
      <c r="AM122">
        <v>0</v>
      </c>
      <c r="AN122">
        <v>0</v>
      </c>
      <c r="AO122">
        <v>0</v>
      </c>
      <c r="AP122">
        <v>0</v>
      </c>
      <c r="AQ122">
        <v>0</v>
      </c>
      <c r="AR122">
        <v>0</v>
      </c>
      <c r="AS122">
        <v>0</v>
      </c>
      <c r="AT122">
        <v>0</v>
      </c>
      <c r="AU122" s="3">
        <f>AU121</f>
        <v>9.9628799999999984</v>
      </c>
    </row>
    <row r="123" spans="1:47" x14ac:dyDescent="0.25">
      <c r="A123">
        <v>4</v>
      </c>
      <c r="B123" t="s">
        <v>1</v>
      </c>
      <c r="C123">
        <v>28992</v>
      </c>
      <c r="D123">
        <v>96</v>
      </c>
      <c r="E123">
        <v>2</v>
      </c>
      <c r="F123">
        <v>8</v>
      </c>
      <c r="G123" s="16">
        <v>1825.12</v>
      </c>
      <c r="H123" s="3">
        <v>8.9019999999999992</v>
      </c>
      <c r="I123" s="1">
        <v>45318</v>
      </c>
      <c r="J123" s="37">
        <v>0.65620370370370373</v>
      </c>
      <c r="K123">
        <v>0</v>
      </c>
      <c r="L123">
        <v>0</v>
      </c>
      <c r="M123">
        <v>0</v>
      </c>
      <c r="N123">
        <v>0</v>
      </c>
      <c r="O123">
        <v>0</v>
      </c>
      <c r="P123">
        <v>0</v>
      </c>
      <c r="Q123">
        <v>0</v>
      </c>
      <c r="R123">
        <v>0</v>
      </c>
      <c r="S123">
        <v>0</v>
      </c>
      <c r="T123">
        <v>0</v>
      </c>
      <c r="U123">
        <v>0</v>
      </c>
      <c r="V123">
        <v>0</v>
      </c>
      <c r="W123" s="3">
        <f>W122</f>
        <v>9.0212199999999996</v>
      </c>
      <c r="X123" s="30"/>
      <c r="Y123">
        <v>4</v>
      </c>
      <c r="Z123" t="s">
        <v>1</v>
      </c>
      <c r="AA123">
        <v>28992</v>
      </c>
      <c r="AB123">
        <v>96</v>
      </c>
      <c r="AC123">
        <v>2</v>
      </c>
      <c r="AD123">
        <v>8</v>
      </c>
      <c r="AE123" s="16">
        <v>1629.72</v>
      </c>
      <c r="AF123" s="3">
        <v>9.9693000000000005</v>
      </c>
      <c r="AG123" s="1">
        <v>45323</v>
      </c>
      <c r="AH123" s="2">
        <v>0.76643518518518527</v>
      </c>
      <c r="AI123">
        <v>0</v>
      </c>
      <c r="AJ123">
        <v>0</v>
      </c>
      <c r="AK123">
        <v>0</v>
      </c>
      <c r="AL123">
        <v>0</v>
      </c>
      <c r="AM123">
        <v>0</v>
      </c>
      <c r="AN123">
        <v>0</v>
      </c>
      <c r="AO123">
        <v>0</v>
      </c>
      <c r="AP123">
        <v>0</v>
      </c>
      <c r="AQ123">
        <v>0</v>
      </c>
      <c r="AR123">
        <v>0</v>
      </c>
      <c r="AS123">
        <v>0</v>
      </c>
      <c r="AT123">
        <v>0</v>
      </c>
      <c r="AU123" s="3">
        <f>AU122</f>
        <v>9.9628799999999984</v>
      </c>
    </row>
    <row r="124" spans="1:47" x14ac:dyDescent="0.25">
      <c r="A124">
        <v>0</v>
      </c>
      <c r="B124" t="s">
        <v>1</v>
      </c>
      <c r="C124">
        <v>25920</v>
      </c>
      <c r="D124">
        <v>96</v>
      </c>
      <c r="E124">
        <v>4</v>
      </c>
      <c r="F124">
        <v>4</v>
      </c>
      <c r="G124" s="16">
        <v>1317.91</v>
      </c>
      <c r="H124" s="3">
        <v>8.8097999999999992</v>
      </c>
      <c r="I124" s="1">
        <v>45320</v>
      </c>
      <c r="J124" s="37">
        <v>0.65997685185185184</v>
      </c>
      <c r="K124">
        <v>0</v>
      </c>
      <c r="L124">
        <v>0</v>
      </c>
      <c r="M124">
        <v>0</v>
      </c>
      <c r="N124">
        <v>0</v>
      </c>
      <c r="O124">
        <v>0</v>
      </c>
      <c r="P124">
        <v>0</v>
      </c>
      <c r="Q124">
        <v>0</v>
      </c>
      <c r="R124">
        <v>0</v>
      </c>
      <c r="S124">
        <v>0</v>
      </c>
      <c r="T124">
        <v>0</v>
      </c>
      <c r="U124">
        <v>0</v>
      </c>
      <c r="V124">
        <v>0</v>
      </c>
      <c r="W124" s="3">
        <f>AVERAGE(H94:H98)</f>
        <v>8.4544400000000017</v>
      </c>
      <c r="X124" s="30"/>
      <c r="Y124">
        <v>0</v>
      </c>
      <c r="Z124" t="s">
        <v>1</v>
      </c>
      <c r="AA124">
        <v>25920</v>
      </c>
      <c r="AB124">
        <v>96</v>
      </c>
      <c r="AC124">
        <v>4</v>
      </c>
      <c r="AD124">
        <v>4</v>
      </c>
      <c r="AE124" s="16">
        <v>1188.83</v>
      </c>
      <c r="AF124" s="3">
        <v>9.7662999999999993</v>
      </c>
      <c r="AG124" s="1">
        <v>45320</v>
      </c>
      <c r="AH124" s="2">
        <v>5.302083333333333E-2</v>
      </c>
      <c r="AI124">
        <v>0</v>
      </c>
      <c r="AJ124">
        <v>0</v>
      </c>
      <c r="AK124">
        <v>0</v>
      </c>
      <c r="AL124">
        <v>0</v>
      </c>
      <c r="AM124">
        <v>0</v>
      </c>
      <c r="AN124">
        <v>0</v>
      </c>
      <c r="AO124">
        <v>0</v>
      </c>
      <c r="AP124">
        <v>0</v>
      </c>
      <c r="AQ124">
        <v>0</v>
      </c>
      <c r="AR124">
        <v>0</v>
      </c>
      <c r="AS124">
        <v>0</v>
      </c>
      <c r="AT124">
        <v>0</v>
      </c>
      <c r="AU124" s="3">
        <f>AVERAGE(AF124:AF128)</f>
        <v>9.7272600000000011</v>
      </c>
    </row>
    <row r="125" spans="1:47" x14ac:dyDescent="0.25">
      <c r="A125">
        <v>1</v>
      </c>
      <c r="B125" t="s">
        <v>1</v>
      </c>
      <c r="C125">
        <v>25920</v>
      </c>
      <c r="D125">
        <v>96</v>
      </c>
      <c r="E125">
        <v>4</v>
      </c>
      <c r="F125">
        <v>4</v>
      </c>
      <c r="G125" s="16">
        <v>1317.76</v>
      </c>
      <c r="H125" s="3">
        <v>8.8108000000000004</v>
      </c>
      <c r="I125" s="1">
        <v>45321</v>
      </c>
      <c r="J125" s="37">
        <v>0.52982638888888889</v>
      </c>
      <c r="K125">
        <v>0</v>
      </c>
      <c r="L125">
        <v>0</v>
      </c>
      <c r="M125">
        <v>0</v>
      </c>
      <c r="N125">
        <v>0</v>
      </c>
      <c r="O125">
        <v>0</v>
      </c>
      <c r="P125">
        <v>0</v>
      </c>
      <c r="Q125">
        <v>0</v>
      </c>
      <c r="R125">
        <v>0</v>
      </c>
      <c r="S125">
        <v>0</v>
      </c>
      <c r="T125">
        <v>0</v>
      </c>
      <c r="U125">
        <v>0</v>
      </c>
      <c r="V125">
        <v>0</v>
      </c>
      <c r="W125" s="3">
        <f>W124</f>
        <v>8.4544400000000017</v>
      </c>
      <c r="X125" s="30"/>
      <c r="Y125">
        <v>1</v>
      </c>
      <c r="Z125" t="s">
        <v>1</v>
      </c>
      <c r="AA125">
        <v>25920</v>
      </c>
      <c r="AB125">
        <v>96</v>
      </c>
      <c r="AC125">
        <v>4</v>
      </c>
      <c r="AD125">
        <v>4</v>
      </c>
      <c r="AE125" s="16">
        <v>1191.55</v>
      </c>
      <c r="AF125" s="3">
        <v>9.7439999999999998</v>
      </c>
      <c r="AG125" s="1">
        <v>45320</v>
      </c>
      <c r="AH125" s="2">
        <v>0.98034722222222215</v>
      </c>
      <c r="AI125">
        <v>0</v>
      </c>
      <c r="AJ125">
        <v>0</v>
      </c>
      <c r="AK125">
        <v>0</v>
      </c>
      <c r="AL125">
        <v>0</v>
      </c>
      <c r="AM125">
        <v>0</v>
      </c>
      <c r="AN125">
        <v>0</v>
      </c>
      <c r="AO125">
        <v>0</v>
      </c>
      <c r="AP125">
        <v>0</v>
      </c>
      <c r="AQ125">
        <v>0</v>
      </c>
      <c r="AR125">
        <v>0</v>
      </c>
      <c r="AS125">
        <v>0</v>
      </c>
      <c r="AT125">
        <v>0</v>
      </c>
      <c r="AU125" s="3">
        <f>AU124</f>
        <v>9.7272600000000011</v>
      </c>
    </row>
    <row r="126" spans="1:47" x14ac:dyDescent="0.25">
      <c r="A126">
        <v>2</v>
      </c>
      <c r="B126" t="s">
        <v>1</v>
      </c>
      <c r="C126">
        <v>25920</v>
      </c>
      <c r="D126">
        <v>96</v>
      </c>
      <c r="E126">
        <v>4</v>
      </c>
      <c r="F126">
        <v>4</v>
      </c>
      <c r="G126" s="16">
        <v>1317.04</v>
      </c>
      <c r="H126" s="3">
        <v>8.8155999999999999</v>
      </c>
      <c r="I126" s="1">
        <v>45322</v>
      </c>
      <c r="J126" s="37">
        <v>0.39968749999999997</v>
      </c>
      <c r="K126">
        <v>0</v>
      </c>
      <c r="L126">
        <v>0</v>
      </c>
      <c r="M126">
        <v>0</v>
      </c>
      <c r="N126">
        <v>0</v>
      </c>
      <c r="O126">
        <v>0</v>
      </c>
      <c r="P126">
        <v>0</v>
      </c>
      <c r="Q126">
        <v>0</v>
      </c>
      <c r="R126">
        <v>0</v>
      </c>
      <c r="S126">
        <v>0</v>
      </c>
      <c r="T126">
        <v>0</v>
      </c>
      <c r="U126">
        <v>0</v>
      </c>
      <c r="V126">
        <v>0</v>
      </c>
      <c r="W126" s="3">
        <f>W125</f>
        <v>8.4544400000000017</v>
      </c>
      <c r="X126" s="30"/>
      <c r="Y126">
        <v>2</v>
      </c>
      <c r="Z126" t="s">
        <v>1</v>
      </c>
      <c r="AA126">
        <v>25920</v>
      </c>
      <c r="AB126">
        <v>96</v>
      </c>
      <c r="AC126">
        <v>4</v>
      </c>
      <c r="AD126">
        <v>4</v>
      </c>
      <c r="AE126" s="16">
        <v>1190</v>
      </c>
      <c r="AF126" s="3">
        <v>9.7567000000000004</v>
      </c>
      <c r="AG126" s="1">
        <v>45321</v>
      </c>
      <c r="AH126" s="2">
        <v>0.81387731481481485</v>
      </c>
      <c r="AI126">
        <v>0</v>
      </c>
      <c r="AJ126">
        <v>0</v>
      </c>
      <c r="AK126">
        <v>0</v>
      </c>
      <c r="AL126">
        <v>0</v>
      </c>
      <c r="AM126">
        <v>0</v>
      </c>
      <c r="AN126">
        <v>0</v>
      </c>
      <c r="AO126">
        <v>0</v>
      </c>
      <c r="AP126">
        <v>0</v>
      </c>
      <c r="AQ126">
        <v>0</v>
      </c>
      <c r="AR126">
        <v>0</v>
      </c>
      <c r="AS126">
        <v>0</v>
      </c>
      <c r="AT126">
        <v>0</v>
      </c>
      <c r="AU126" s="3">
        <f>AU125</f>
        <v>9.7272600000000011</v>
      </c>
    </row>
    <row r="127" spans="1:47" x14ac:dyDescent="0.25">
      <c r="A127">
        <v>3</v>
      </c>
      <c r="B127" t="s">
        <v>1</v>
      </c>
      <c r="C127">
        <v>25920</v>
      </c>
      <c r="D127">
        <v>96</v>
      </c>
      <c r="E127">
        <v>4</v>
      </c>
      <c r="F127">
        <v>4</v>
      </c>
      <c r="G127" s="16">
        <v>1318.49</v>
      </c>
      <c r="H127" s="3">
        <v>8.8058999999999994</v>
      </c>
      <c r="I127" s="1">
        <v>45323</v>
      </c>
      <c r="J127" s="37">
        <v>0.25652777777777774</v>
      </c>
      <c r="K127">
        <v>0</v>
      </c>
      <c r="L127">
        <v>0</v>
      </c>
      <c r="M127">
        <v>0</v>
      </c>
      <c r="N127">
        <v>0</v>
      </c>
      <c r="O127">
        <v>0</v>
      </c>
      <c r="P127">
        <v>0</v>
      </c>
      <c r="Q127">
        <v>0</v>
      </c>
      <c r="R127">
        <v>0</v>
      </c>
      <c r="S127">
        <v>0</v>
      </c>
      <c r="T127">
        <v>0</v>
      </c>
      <c r="U127">
        <v>0</v>
      </c>
      <c r="V127">
        <v>0</v>
      </c>
      <c r="W127" s="3">
        <f>W126</f>
        <v>8.4544400000000017</v>
      </c>
      <c r="X127" s="30"/>
      <c r="Y127">
        <v>3</v>
      </c>
      <c r="Z127" t="s">
        <v>1</v>
      </c>
      <c r="AA127">
        <v>25920</v>
      </c>
      <c r="AB127">
        <v>96</v>
      </c>
      <c r="AC127">
        <v>4</v>
      </c>
      <c r="AD127">
        <v>4</v>
      </c>
      <c r="AE127" s="16">
        <v>1197.83</v>
      </c>
      <c r="AF127" s="3">
        <v>9.6928999999999998</v>
      </c>
      <c r="AG127" s="1">
        <v>45322</v>
      </c>
      <c r="AH127" s="2">
        <v>0.64796296296296296</v>
      </c>
      <c r="AI127">
        <v>0</v>
      </c>
      <c r="AJ127">
        <v>0</v>
      </c>
      <c r="AK127">
        <v>0</v>
      </c>
      <c r="AL127">
        <v>0</v>
      </c>
      <c r="AM127">
        <v>0</v>
      </c>
      <c r="AN127">
        <v>0</v>
      </c>
      <c r="AO127">
        <v>0</v>
      </c>
      <c r="AP127">
        <v>0</v>
      </c>
      <c r="AQ127">
        <v>0</v>
      </c>
      <c r="AR127">
        <v>0</v>
      </c>
      <c r="AS127">
        <v>0</v>
      </c>
      <c r="AT127">
        <v>0</v>
      </c>
      <c r="AU127" s="3">
        <f>AU126</f>
        <v>9.7272600000000011</v>
      </c>
    </row>
    <row r="128" spans="1:47" x14ac:dyDescent="0.25">
      <c r="A128">
        <v>4</v>
      </c>
      <c r="B128" t="s">
        <v>1</v>
      </c>
      <c r="C128">
        <v>25920</v>
      </c>
      <c r="D128">
        <v>96</v>
      </c>
      <c r="E128">
        <v>4</v>
      </c>
      <c r="F128">
        <v>4</v>
      </c>
      <c r="G128" s="16">
        <v>1318.54</v>
      </c>
      <c r="H128" s="3">
        <v>8.8056000000000001</v>
      </c>
      <c r="I128" s="1">
        <v>45318</v>
      </c>
      <c r="J128" s="37">
        <v>0.35984953703703698</v>
      </c>
      <c r="K128">
        <v>0</v>
      </c>
      <c r="L128">
        <v>0</v>
      </c>
      <c r="M128">
        <v>0</v>
      </c>
      <c r="N128">
        <v>0</v>
      </c>
      <c r="O128">
        <v>0</v>
      </c>
      <c r="P128">
        <v>0</v>
      </c>
      <c r="Q128">
        <v>0</v>
      </c>
      <c r="R128">
        <v>0</v>
      </c>
      <c r="S128">
        <v>0</v>
      </c>
      <c r="T128">
        <v>0</v>
      </c>
      <c r="U128">
        <v>0</v>
      </c>
      <c r="V128">
        <v>0</v>
      </c>
      <c r="W128" s="3">
        <f>W127</f>
        <v>8.4544400000000017</v>
      </c>
      <c r="X128" s="30"/>
      <c r="Y128">
        <v>4</v>
      </c>
      <c r="Z128" t="s">
        <v>1</v>
      </c>
      <c r="AA128">
        <v>25920</v>
      </c>
      <c r="AB128">
        <v>96</v>
      </c>
      <c r="AC128">
        <v>4</v>
      </c>
      <c r="AD128">
        <v>4</v>
      </c>
      <c r="AE128" s="16">
        <v>1199.8800000000001</v>
      </c>
      <c r="AF128" s="3">
        <v>9.6763999999999992</v>
      </c>
      <c r="AG128" s="1">
        <v>45323</v>
      </c>
      <c r="AH128" s="2">
        <v>0.48206018518518517</v>
      </c>
      <c r="AI128">
        <v>0</v>
      </c>
      <c r="AJ128">
        <v>0</v>
      </c>
      <c r="AK128">
        <v>0</v>
      </c>
      <c r="AL128">
        <v>0</v>
      </c>
      <c r="AM128">
        <v>0</v>
      </c>
      <c r="AN128">
        <v>0</v>
      </c>
      <c r="AO128">
        <v>0</v>
      </c>
      <c r="AP128">
        <v>0</v>
      </c>
      <c r="AQ128">
        <v>0</v>
      </c>
      <c r="AR128">
        <v>0</v>
      </c>
      <c r="AS128">
        <v>0</v>
      </c>
      <c r="AT128">
        <v>0</v>
      </c>
      <c r="AU128" s="3">
        <f>AU127</f>
        <v>9.7272600000000011</v>
      </c>
    </row>
    <row r="129" spans="1:47" x14ac:dyDescent="0.25">
      <c r="A129">
        <v>0</v>
      </c>
      <c r="B129" t="s">
        <v>1</v>
      </c>
      <c r="C129">
        <v>27456</v>
      </c>
      <c r="D129">
        <v>96</v>
      </c>
      <c r="E129">
        <v>4</v>
      </c>
      <c r="F129">
        <v>4</v>
      </c>
      <c r="G129" s="16">
        <v>1568.82</v>
      </c>
      <c r="H129" s="3">
        <v>8.7959999999999994</v>
      </c>
      <c r="I129" s="1">
        <v>45320</v>
      </c>
      <c r="J129" s="37">
        <v>0.4070833333333333</v>
      </c>
      <c r="K129">
        <v>0</v>
      </c>
      <c r="L129">
        <v>0</v>
      </c>
      <c r="M129">
        <v>0</v>
      </c>
      <c r="N129">
        <v>0</v>
      </c>
      <c r="O129">
        <v>0</v>
      </c>
      <c r="P129">
        <v>0</v>
      </c>
      <c r="Q129">
        <v>0</v>
      </c>
      <c r="R129">
        <v>0</v>
      </c>
      <c r="S129">
        <v>0</v>
      </c>
      <c r="T129">
        <v>0</v>
      </c>
      <c r="U129">
        <v>0</v>
      </c>
      <c r="V129">
        <v>0</v>
      </c>
      <c r="W129" s="3">
        <f>AVERAGE(H99:H103)</f>
        <v>8.516099999999998</v>
      </c>
      <c r="X129" s="30"/>
      <c r="Y129">
        <v>0</v>
      </c>
      <c r="Z129" t="s">
        <v>1</v>
      </c>
      <c r="AA129">
        <v>27456</v>
      </c>
      <c r="AB129">
        <v>96</v>
      </c>
      <c r="AC129">
        <v>4</v>
      </c>
      <c r="AD129">
        <v>4</v>
      </c>
      <c r="AE129" s="16">
        <v>1400.55</v>
      </c>
      <c r="AF129" s="3">
        <v>9.8528000000000002</v>
      </c>
      <c r="AG129" s="1">
        <v>45319</v>
      </c>
      <c r="AH129" s="2">
        <v>0.80982638888888892</v>
      </c>
      <c r="AI129">
        <v>0</v>
      </c>
      <c r="AJ129">
        <v>0</v>
      </c>
      <c r="AK129">
        <v>0</v>
      </c>
      <c r="AL129">
        <v>0</v>
      </c>
      <c r="AM129">
        <v>0</v>
      </c>
      <c r="AN129">
        <v>0</v>
      </c>
      <c r="AO129">
        <v>0</v>
      </c>
      <c r="AP129">
        <v>0</v>
      </c>
      <c r="AQ129">
        <v>0</v>
      </c>
      <c r="AR129">
        <v>0</v>
      </c>
      <c r="AS129">
        <v>0</v>
      </c>
      <c r="AT129">
        <v>0</v>
      </c>
      <c r="AU129" s="3">
        <f>AVERAGE(AF129:AF133)</f>
        <v>9.83108</v>
      </c>
    </row>
    <row r="130" spans="1:47" x14ac:dyDescent="0.25">
      <c r="A130">
        <v>1</v>
      </c>
      <c r="B130" t="s">
        <v>1</v>
      </c>
      <c r="C130">
        <v>27456</v>
      </c>
      <c r="D130">
        <v>96</v>
      </c>
      <c r="E130">
        <v>4</v>
      </c>
      <c r="F130">
        <v>4</v>
      </c>
      <c r="G130" s="16">
        <v>1569.65</v>
      </c>
      <c r="H130" s="3">
        <v>8.7912999999999997</v>
      </c>
      <c r="I130" s="1">
        <v>45321</v>
      </c>
      <c r="J130" s="37">
        <v>0.27693287037037034</v>
      </c>
      <c r="K130">
        <v>0</v>
      </c>
      <c r="L130">
        <v>0</v>
      </c>
      <c r="M130">
        <v>0</v>
      </c>
      <c r="N130">
        <v>0</v>
      </c>
      <c r="O130">
        <v>0</v>
      </c>
      <c r="P130">
        <v>0</v>
      </c>
      <c r="Q130">
        <v>0</v>
      </c>
      <c r="R130">
        <v>0</v>
      </c>
      <c r="S130">
        <v>0</v>
      </c>
      <c r="T130">
        <v>0</v>
      </c>
      <c r="U130">
        <v>0</v>
      </c>
      <c r="V130">
        <v>0</v>
      </c>
      <c r="W130" s="3">
        <f>W129</f>
        <v>8.516099999999998</v>
      </c>
      <c r="X130" s="30"/>
      <c r="Y130">
        <v>1</v>
      </c>
      <c r="Z130" t="s">
        <v>1</v>
      </c>
      <c r="AA130">
        <v>27456</v>
      </c>
      <c r="AB130">
        <v>96</v>
      </c>
      <c r="AC130">
        <v>4</v>
      </c>
      <c r="AD130">
        <v>4</v>
      </c>
      <c r="AE130" s="16">
        <v>1402.21</v>
      </c>
      <c r="AF130" s="3">
        <v>9.8411000000000008</v>
      </c>
      <c r="AG130" s="1">
        <v>45320</v>
      </c>
      <c r="AH130" s="2">
        <v>0.73690972222222229</v>
      </c>
      <c r="AI130">
        <v>0</v>
      </c>
      <c r="AJ130">
        <v>0</v>
      </c>
      <c r="AK130">
        <v>0</v>
      </c>
      <c r="AL130">
        <v>0</v>
      </c>
      <c r="AM130">
        <v>0</v>
      </c>
      <c r="AN130">
        <v>0</v>
      </c>
      <c r="AO130">
        <v>0</v>
      </c>
      <c r="AP130">
        <v>0</v>
      </c>
      <c r="AQ130">
        <v>0</v>
      </c>
      <c r="AR130">
        <v>0</v>
      </c>
      <c r="AS130">
        <v>0</v>
      </c>
      <c r="AT130">
        <v>0</v>
      </c>
      <c r="AU130" s="3">
        <f>AU129</f>
        <v>9.83108</v>
      </c>
    </row>
    <row r="131" spans="1:47" x14ac:dyDescent="0.25">
      <c r="A131">
        <v>2</v>
      </c>
      <c r="B131" t="s">
        <v>1</v>
      </c>
      <c r="C131">
        <v>27456</v>
      </c>
      <c r="D131">
        <v>96</v>
      </c>
      <c r="E131">
        <v>4</v>
      </c>
      <c r="F131">
        <v>4</v>
      </c>
      <c r="G131" s="16">
        <v>1569.34</v>
      </c>
      <c r="H131" s="3">
        <v>8.7929999999999993</v>
      </c>
      <c r="I131" s="1">
        <v>45322</v>
      </c>
      <c r="J131" s="37">
        <v>0.14681712962962964</v>
      </c>
      <c r="K131">
        <v>0</v>
      </c>
      <c r="L131">
        <v>0</v>
      </c>
      <c r="M131">
        <v>0</v>
      </c>
      <c r="N131">
        <v>0</v>
      </c>
      <c r="O131">
        <v>0</v>
      </c>
      <c r="P131">
        <v>0</v>
      </c>
      <c r="Q131">
        <v>0</v>
      </c>
      <c r="R131">
        <v>0</v>
      </c>
      <c r="S131">
        <v>0</v>
      </c>
      <c r="T131">
        <v>0</v>
      </c>
      <c r="U131">
        <v>0</v>
      </c>
      <c r="V131">
        <v>0</v>
      </c>
      <c r="W131" s="3">
        <f>W130</f>
        <v>8.516099999999998</v>
      </c>
      <c r="X131" s="30"/>
      <c r="Y131">
        <v>2</v>
      </c>
      <c r="Z131" t="s">
        <v>1</v>
      </c>
      <c r="AA131">
        <v>27456</v>
      </c>
      <c r="AB131">
        <v>96</v>
      </c>
      <c r="AC131">
        <v>4</v>
      </c>
      <c r="AD131">
        <v>4</v>
      </c>
      <c r="AE131" s="16">
        <v>1404.08</v>
      </c>
      <c r="AF131" s="3">
        <v>9.8279999999999994</v>
      </c>
      <c r="AG131" s="1">
        <v>45321</v>
      </c>
      <c r="AH131" s="2">
        <v>0.57040509259259264</v>
      </c>
      <c r="AI131">
        <v>0</v>
      </c>
      <c r="AJ131">
        <v>0</v>
      </c>
      <c r="AK131">
        <v>0</v>
      </c>
      <c r="AL131">
        <v>0</v>
      </c>
      <c r="AM131">
        <v>0</v>
      </c>
      <c r="AN131">
        <v>0</v>
      </c>
      <c r="AO131">
        <v>0</v>
      </c>
      <c r="AP131">
        <v>0</v>
      </c>
      <c r="AQ131">
        <v>0</v>
      </c>
      <c r="AR131">
        <v>0</v>
      </c>
      <c r="AS131">
        <v>0</v>
      </c>
      <c r="AT131">
        <v>0</v>
      </c>
      <c r="AU131" s="3">
        <f>AU130</f>
        <v>9.83108</v>
      </c>
    </row>
    <row r="132" spans="1:47" x14ac:dyDescent="0.25">
      <c r="A132">
        <v>3</v>
      </c>
      <c r="B132" t="s">
        <v>1</v>
      </c>
      <c r="C132">
        <v>27456</v>
      </c>
      <c r="D132">
        <v>96</v>
      </c>
      <c r="E132">
        <v>4</v>
      </c>
      <c r="F132">
        <v>4</v>
      </c>
      <c r="G132" s="16">
        <v>1568.66</v>
      </c>
      <c r="H132" s="3">
        <v>8.7969000000000008</v>
      </c>
      <c r="I132" s="1">
        <v>45323</v>
      </c>
      <c r="J132" s="37">
        <v>1.6608796296296299E-2</v>
      </c>
      <c r="K132">
        <v>0</v>
      </c>
      <c r="L132">
        <v>0</v>
      </c>
      <c r="M132">
        <v>0</v>
      </c>
      <c r="N132">
        <v>0</v>
      </c>
      <c r="O132">
        <v>0</v>
      </c>
      <c r="P132">
        <v>0</v>
      </c>
      <c r="Q132">
        <v>0</v>
      </c>
      <c r="R132">
        <v>0</v>
      </c>
      <c r="S132">
        <v>0</v>
      </c>
      <c r="T132">
        <v>0</v>
      </c>
      <c r="U132">
        <v>0</v>
      </c>
      <c r="V132">
        <v>0</v>
      </c>
      <c r="W132" s="3">
        <f>W131</f>
        <v>8.516099999999998</v>
      </c>
      <c r="X132" s="30"/>
      <c r="Y132">
        <v>3</v>
      </c>
      <c r="Z132" t="s">
        <v>1</v>
      </c>
      <c r="AA132">
        <v>27456</v>
      </c>
      <c r="AB132">
        <v>96</v>
      </c>
      <c r="AC132">
        <v>4</v>
      </c>
      <c r="AD132">
        <v>4</v>
      </c>
      <c r="AE132" s="16">
        <v>1404.2</v>
      </c>
      <c r="AF132" s="3">
        <v>9.8271999999999995</v>
      </c>
      <c r="AG132" s="1">
        <v>45322</v>
      </c>
      <c r="AH132" s="2">
        <v>0.40415509259259258</v>
      </c>
      <c r="AI132">
        <v>0</v>
      </c>
      <c r="AJ132">
        <v>0</v>
      </c>
      <c r="AK132">
        <v>0</v>
      </c>
      <c r="AL132">
        <v>0</v>
      </c>
      <c r="AM132">
        <v>0</v>
      </c>
      <c r="AN132">
        <v>0</v>
      </c>
      <c r="AO132">
        <v>0</v>
      </c>
      <c r="AP132">
        <v>0</v>
      </c>
      <c r="AQ132">
        <v>0</v>
      </c>
      <c r="AR132">
        <v>0</v>
      </c>
      <c r="AS132">
        <v>0</v>
      </c>
      <c r="AT132">
        <v>0</v>
      </c>
      <c r="AU132" s="3">
        <f>AU131</f>
        <v>9.83108</v>
      </c>
    </row>
    <row r="133" spans="1:47" x14ac:dyDescent="0.25">
      <c r="A133">
        <v>4</v>
      </c>
      <c r="B133" t="s">
        <v>1</v>
      </c>
      <c r="C133">
        <v>27456</v>
      </c>
      <c r="D133">
        <v>96</v>
      </c>
      <c r="E133">
        <v>4</v>
      </c>
      <c r="F133">
        <v>4</v>
      </c>
      <c r="G133" s="16">
        <v>1568.83</v>
      </c>
      <c r="H133" s="3">
        <v>8.7958999999999996</v>
      </c>
      <c r="I133" s="1">
        <v>45318</v>
      </c>
      <c r="J133" s="37">
        <v>0.10696759259259259</v>
      </c>
      <c r="K133">
        <v>0</v>
      </c>
      <c r="L133">
        <v>0</v>
      </c>
      <c r="M133">
        <v>0</v>
      </c>
      <c r="N133">
        <v>0</v>
      </c>
      <c r="O133">
        <v>0</v>
      </c>
      <c r="P133">
        <v>0</v>
      </c>
      <c r="Q133">
        <v>0</v>
      </c>
      <c r="R133">
        <v>0</v>
      </c>
      <c r="S133">
        <v>0</v>
      </c>
      <c r="T133">
        <v>0</v>
      </c>
      <c r="U133">
        <v>0</v>
      </c>
      <c r="V133">
        <v>0</v>
      </c>
      <c r="W133" s="3">
        <f>W132</f>
        <v>8.516099999999998</v>
      </c>
      <c r="X133" s="30"/>
      <c r="Y133">
        <v>4</v>
      </c>
      <c r="Z133" t="s">
        <v>1</v>
      </c>
      <c r="AA133">
        <v>27456</v>
      </c>
      <c r="AB133">
        <v>96</v>
      </c>
      <c r="AC133">
        <v>4</v>
      </c>
      <c r="AD133">
        <v>4</v>
      </c>
      <c r="AE133" s="16">
        <v>1407.18</v>
      </c>
      <c r="AF133" s="3">
        <v>9.8063000000000002</v>
      </c>
      <c r="AG133" s="1">
        <v>45323</v>
      </c>
      <c r="AH133" s="2">
        <v>0.23831018518518518</v>
      </c>
      <c r="AI133">
        <v>0</v>
      </c>
      <c r="AJ133">
        <v>0</v>
      </c>
      <c r="AK133">
        <v>0</v>
      </c>
      <c r="AL133">
        <v>0</v>
      </c>
      <c r="AM133">
        <v>0</v>
      </c>
      <c r="AN133">
        <v>0</v>
      </c>
      <c r="AO133">
        <v>0</v>
      </c>
      <c r="AP133">
        <v>0</v>
      </c>
      <c r="AQ133">
        <v>0</v>
      </c>
      <c r="AR133">
        <v>0</v>
      </c>
      <c r="AS133">
        <v>0</v>
      </c>
      <c r="AT133">
        <v>0</v>
      </c>
      <c r="AU133" s="3">
        <f>AU132</f>
        <v>9.83108</v>
      </c>
    </row>
    <row r="134" spans="1:47" x14ac:dyDescent="0.25">
      <c r="A134">
        <v>0</v>
      </c>
      <c r="B134" t="s">
        <v>1</v>
      </c>
      <c r="C134">
        <v>28992</v>
      </c>
      <c r="D134">
        <v>96</v>
      </c>
      <c r="E134">
        <v>4</v>
      </c>
      <c r="F134">
        <v>4</v>
      </c>
      <c r="G134" s="16">
        <v>1819.6</v>
      </c>
      <c r="H134" s="3">
        <v>8.9290000000000003</v>
      </c>
      <c r="I134" s="1">
        <v>45320</v>
      </c>
      <c r="J134" s="37">
        <v>0.97787037037037028</v>
      </c>
      <c r="K134">
        <v>0</v>
      </c>
      <c r="L134">
        <v>0</v>
      </c>
      <c r="M134">
        <v>0</v>
      </c>
      <c r="N134">
        <v>0</v>
      </c>
      <c r="O134">
        <v>0</v>
      </c>
      <c r="P134">
        <v>0</v>
      </c>
      <c r="Q134">
        <v>0</v>
      </c>
      <c r="R134">
        <v>0</v>
      </c>
      <c r="S134">
        <v>0</v>
      </c>
      <c r="T134">
        <v>0</v>
      </c>
      <c r="U134">
        <v>0</v>
      </c>
      <c r="V134">
        <v>0</v>
      </c>
      <c r="W134" s="3">
        <f>AVERAGE(H104:H108)</f>
        <v>8.5797799999999995</v>
      </c>
      <c r="X134" s="30"/>
      <c r="Y134">
        <v>0</v>
      </c>
      <c r="Z134" t="s">
        <v>1</v>
      </c>
      <c r="AA134">
        <v>28992</v>
      </c>
      <c r="AB134">
        <v>96</v>
      </c>
      <c r="AC134">
        <v>4</v>
      </c>
      <c r="AD134">
        <v>4</v>
      </c>
      <c r="AE134" s="16">
        <v>1645.68</v>
      </c>
      <c r="AF134" s="3">
        <v>9.8726000000000003</v>
      </c>
      <c r="AG134" s="1">
        <v>45320</v>
      </c>
      <c r="AH134" s="2">
        <v>0.35751157407407402</v>
      </c>
      <c r="AI134">
        <v>0</v>
      </c>
      <c r="AJ134">
        <v>0</v>
      </c>
      <c r="AK134">
        <v>0</v>
      </c>
      <c r="AL134">
        <v>0</v>
      </c>
      <c r="AM134">
        <v>0</v>
      </c>
      <c r="AN134">
        <v>0</v>
      </c>
      <c r="AO134">
        <v>0</v>
      </c>
      <c r="AP134">
        <v>0</v>
      </c>
      <c r="AQ134">
        <v>0</v>
      </c>
      <c r="AR134">
        <v>0</v>
      </c>
      <c r="AS134">
        <v>0</v>
      </c>
      <c r="AT134">
        <v>0</v>
      </c>
      <c r="AU134" s="3">
        <f>AVERAGE(AF134:AF138)</f>
        <v>9.8963400000000004</v>
      </c>
    </row>
    <row r="135" spans="1:47" x14ac:dyDescent="0.25">
      <c r="A135">
        <v>1</v>
      </c>
      <c r="B135" t="s">
        <v>1</v>
      </c>
      <c r="C135">
        <v>28992</v>
      </c>
      <c r="D135">
        <v>96</v>
      </c>
      <c r="E135">
        <v>4</v>
      </c>
      <c r="F135">
        <v>4</v>
      </c>
      <c r="G135" s="16">
        <v>1821.15</v>
      </c>
      <c r="H135" s="3">
        <v>8.9214000000000002</v>
      </c>
      <c r="I135" s="1">
        <v>45321</v>
      </c>
      <c r="J135" s="37">
        <v>0.8477662037037037</v>
      </c>
      <c r="K135">
        <v>0</v>
      </c>
      <c r="L135">
        <v>0</v>
      </c>
      <c r="M135">
        <v>0</v>
      </c>
      <c r="N135">
        <v>0</v>
      </c>
      <c r="O135">
        <v>0</v>
      </c>
      <c r="P135">
        <v>0</v>
      </c>
      <c r="Q135">
        <v>0</v>
      </c>
      <c r="R135">
        <v>0</v>
      </c>
      <c r="S135">
        <v>0</v>
      </c>
      <c r="T135">
        <v>0</v>
      </c>
      <c r="U135">
        <v>0</v>
      </c>
      <c r="V135">
        <v>0</v>
      </c>
      <c r="W135" s="3">
        <f>W134</f>
        <v>8.5797799999999995</v>
      </c>
      <c r="X135" s="30"/>
      <c r="Y135">
        <v>1</v>
      </c>
      <c r="Z135" t="s">
        <v>1</v>
      </c>
      <c r="AA135">
        <v>28992</v>
      </c>
      <c r="AB135">
        <v>96</v>
      </c>
      <c r="AC135">
        <v>4</v>
      </c>
      <c r="AD135">
        <v>4</v>
      </c>
      <c r="AE135" s="16">
        <v>1638.85</v>
      </c>
      <c r="AF135" s="3">
        <v>9.9138000000000002</v>
      </c>
      <c r="AG135" s="1">
        <v>45321</v>
      </c>
      <c r="AH135" s="2">
        <v>0.28468749999999998</v>
      </c>
      <c r="AI135">
        <v>0</v>
      </c>
      <c r="AJ135">
        <v>0</v>
      </c>
      <c r="AK135">
        <v>0</v>
      </c>
      <c r="AL135">
        <v>0</v>
      </c>
      <c r="AM135">
        <v>0</v>
      </c>
      <c r="AN135">
        <v>0</v>
      </c>
      <c r="AO135">
        <v>0</v>
      </c>
      <c r="AP135">
        <v>0</v>
      </c>
      <c r="AQ135">
        <v>0</v>
      </c>
      <c r="AR135">
        <v>0</v>
      </c>
      <c r="AS135">
        <v>0</v>
      </c>
      <c r="AT135">
        <v>0</v>
      </c>
      <c r="AU135" s="3">
        <f>AU134</f>
        <v>9.8963400000000004</v>
      </c>
    </row>
    <row r="136" spans="1:47" x14ac:dyDescent="0.25">
      <c r="A136">
        <v>2</v>
      </c>
      <c r="B136" t="s">
        <v>1</v>
      </c>
      <c r="C136">
        <v>28992</v>
      </c>
      <c r="D136">
        <v>96</v>
      </c>
      <c r="E136">
        <v>4</v>
      </c>
      <c r="F136">
        <v>4</v>
      </c>
      <c r="G136" s="16">
        <v>1820.41</v>
      </c>
      <c r="H136" s="3">
        <v>8.9250000000000007</v>
      </c>
      <c r="I136" s="1">
        <v>45322</v>
      </c>
      <c r="J136" s="37">
        <v>0.71756944444444448</v>
      </c>
      <c r="K136">
        <v>0</v>
      </c>
      <c r="L136">
        <v>0</v>
      </c>
      <c r="M136">
        <v>0</v>
      </c>
      <c r="N136">
        <v>0</v>
      </c>
      <c r="O136">
        <v>0</v>
      </c>
      <c r="P136">
        <v>0</v>
      </c>
      <c r="Q136">
        <v>0</v>
      </c>
      <c r="R136">
        <v>0</v>
      </c>
      <c r="S136">
        <v>0</v>
      </c>
      <c r="T136">
        <v>0</v>
      </c>
      <c r="U136">
        <v>0</v>
      </c>
      <c r="V136">
        <v>0</v>
      </c>
      <c r="W136" s="3">
        <f>W135</f>
        <v>8.5797799999999995</v>
      </c>
      <c r="X136" s="30"/>
      <c r="Y136">
        <v>2</v>
      </c>
      <c r="Z136" t="s">
        <v>1</v>
      </c>
      <c r="AA136">
        <v>28992</v>
      </c>
      <c r="AB136">
        <v>96</v>
      </c>
      <c r="AC136">
        <v>4</v>
      </c>
      <c r="AD136">
        <v>4</v>
      </c>
      <c r="AE136" s="16">
        <v>1642.27</v>
      </c>
      <c r="AF136" s="3">
        <v>9.8931000000000004</v>
      </c>
      <c r="AG136" s="1">
        <v>45322</v>
      </c>
      <c r="AH136" s="2">
        <v>0.11857638888888888</v>
      </c>
      <c r="AI136">
        <v>0</v>
      </c>
      <c r="AJ136">
        <v>0</v>
      </c>
      <c r="AK136">
        <v>0</v>
      </c>
      <c r="AL136">
        <v>0</v>
      </c>
      <c r="AM136">
        <v>0</v>
      </c>
      <c r="AN136">
        <v>0</v>
      </c>
      <c r="AO136">
        <v>0</v>
      </c>
      <c r="AP136">
        <v>0</v>
      </c>
      <c r="AQ136">
        <v>0</v>
      </c>
      <c r="AR136">
        <v>0</v>
      </c>
      <c r="AS136">
        <v>0</v>
      </c>
      <c r="AT136">
        <v>0</v>
      </c>
      <c r="AU136" s="3">
        <f>AU135</f>
        <v>9.8963400000000004</v>
      </c>
    </row>
    <row r="137" spans="1:47" x14ac:dyDescent="0.25">
      <c r="A137">
        <v>3</v>
      </c>
      <c r="B137" t="s">
        <v>1</v>
      </c>
      <c r="C137">
        <v>28992</v>
      </c>
      <c r="D137">
        <v>96</v>
      </c>
      <c r="E137">
        <v>4</v>
      </c>
      <c r="F137">
        <v>4</v>
      </c>
      <c r="G137" s="16">
        <v>1820.17</v>
      </c>
      <c r="H137" s="3">
        <v>8.9261999999999997</v>
      </c>
      <c r="I137" s="1">
        <v>45323</v>
      </c>
      <c r="J137" s="37">
        <v>0.57446759259259261</v>
      </c>
      <c r="K137">
        <v>0</v>
      </c>
      <c r="L137">
        <v>0</v>
      </c>
      <c r="M137">
        <v>0</v>
      </c>
      <c r="N137">
        <v>0</v>
      </c>
      <c r="O137">
        <v>0</v>
      </c>
      <c r="P137">
        <v>0</v>
      </c>
      <c r="Q137">
        <v>0</v>
      </c>
      <c r="R137">
        <v>0</v>
      </c>
      <c r="S137">
        <v>0</v>
      </c>
      <c r="T137">
        <v>0</v>
      </c>
      <c r="U137">
        <v>0</v>
      </c>
      <c r="V137">
        <v>0</v>
      </c>
      <c r="W137" s="3">
        <f>W136</f>
        <v>8.5797799999999995</v>
      </c>
      <c r="X137" s="30"/>
      <c r="Y137">
        <v>3</v>
      </c>
      <c r="Z137" t="s">
        <v>1</v>
      </c>
      <c r="AA137">
        <v>28992</v>
      </c>
      <c r="AB137">
        <v>96</v>
      </c>
      <c r="AC137">
        <v>4</v>
      </c>
      <c r="AD137">
        <v>4</v>
      </c>
      <c r="AE137" s="16">
        <v>1640.34</v>
      </c>
      <c r="AF137" s="3">
        <v>9.9047000000000001</v>
      </c>
      <c r="AG137" s="1">
        <v>45322</v>
      </c>
      <c r="AH137" s="2">
        <v>0.9525231481481482</v>
      </c>
      <c r="AI137">
        <v>0</v>
      </c>
      <c r="AJ137">
        <v>0</v>
      </c>
      <c r="AK137">
        <v>0</v>
      </c>
      <c r="AL137">
        <v>0</v>
      </c>
      <c r="AM137">
        <v>0</v>
      </c>
      <c r="AN137">
        <v>0</v>
      </c>
      <c r="AO137">
        <v>0</v>
      </c>
      <c r="AP137">
        <v>0</v>
      </c>
      <c r="AQ137">
        <v>0</v>
      </c>
      <c r="AR137">
        <v>0</v>
      </c>
      <c r="AS137">
        <v>0</v>
      </c>
      <c r="AT137">
        <v>0</v>
      </c>
      <c r="AU137" s="3">
        <f>AU136</f>
        <v>9.8963400000000004</v>
      </c>
    </row>
    <row r="138" spans="1:47" x14ac:dyDescent="0.25">
      <c r="A138">
        <v>4</v>
      </c>
      <c r="B138" t="s">
        <v>1</v>
      </c>
      <c r="C138">
        <v>28992</v>
      </c>
      <c r="D138">
        <v>96</v>
      </c>
      <c r="E138">
        <v>4</v>
      </c>
      <c r="F138">
        <v>4</v>
      </c>
      <c r="G138" s="16">
        <v>1819.52</v>
      </c>
      <c r="H138" s="3">
        <v>8.9293999999999993</v>
      </c>
      <c r="I138" s="1">
        <v>45318</v>
      </c>
      <c r="J138" s="37">
        <v>0.67763888888888879</v>
      </c>
      <c r="K138">
        <v>0</v>
      </c>
      <c r="L138">
        <v>0</v>
      </c>
      <c r="M138">
        <v>0</v>
      </c>
      <c r="N138">
        <v>0</v>
      </c>
      <c r="O138">
        <v>0</v>
      </c>
      <c r="P138">
        <v>0</v>
      </c>
      <c r="Q138">
        <v>0</v>
      </c>
      <c r="R138">
        <v>0</v>
      </c>
      <c r="S138">
        <v>0</v>
      </c>
      <c r="T138">
        <v>0</v>
      </c>
      <c r="U138">
        <v>0</v>
      </c>
      <c r="V138">
        <v>0</v>
      </c>
      <c r="W138" s="3">
        <f>W137</f>
        <v>8.5797799999999995</v>
      </c>
      <c r="X138" s="30"/>
      <c r="Y138">
        <v>4</v>
      </c>
      <c r="Z138" t="s">
        <v>1</v>
      </c>
      <c r="AA138">
        <v>28992</v>
      </c>
      <c r="AB138">
        <v>96</v>
      </c>
      <c r="AC138">
        <v>4</v>
      </c>
      <c r="AD138">
        <v>4</v>
      </c>
      <c r="AE138" s="16">
        <v>1641.55</v>
      </c>
      <c r="AF138" s="3">
        <v>9.8975000000000009</v>
      </c>
      <c r="AG138" s="1">
        <v>45323</v>
      </c>
      <c r="AH138" s="2">
        <v>0.78709490740740751</v>
      </c>
      <c r="AI138">
        <v>0</v>
      </c>
      <c r="AJ138">
        <v>0</v>
      </c>
      <c r="AK138">
        <v>0</v>
      </c>
      <c r="AL138">
        <v>0</v>
      </c>
      <c r="AM138">
        <v>0</v>
      </c>
      <c r="AN138">
        <v>0</v>
      </c>
      <c r="AO138">
        <v>0</v>
      </c>
      <c r="AP138">
        <v>0</v>
      </c>
      <c r="AQ138">
        <v>0</v>
      </c>
      <c r="AR138">
        <v>0</v>
      </c>
      <c r="AS138">
        <v>0</v>
      </c>
      <c r="AT138">
        <v>0</v>
      </c>
      <c r="AU138" s="3">
        <f>AU137</f>
        <v>9.8963400000000004</v>
      </c>
    </row>
    <row r="139" spans="1:47" x14ac:dyDescent="0.25">
      <c r="A139">
        <v>0</v>
      </c>
      <c r="B139" t="s">
        <v>1</v>
      </c>
      <c r="C139">
        <v>25984</v>
      </c>
      <c r="D139">
        <v>128</v>
      </c>
      <c r="E139">
        <v>1</v>
      </c>
      <c r="F139">
        <v>16</v>
      </c>
      <c r="G139" s="16">
        <v>1432.51</v>
      </c>
      <c r="H139" s="3">
        <v>8.1652000000000005</v>
      </c>
      <c r="I139" s="1">
        <v>45320</v>
      </c>
      <c r="J139" s="37">
        <v>0.58064814814814814</v>
      </c>
      <c r="K139">
        <v>0</v>
      </c>
      <c r="L139">
        <v>0</v>
      </c>
      <c r="M139">
        <v>0</v>
      </c>
      <c r="N139">
        <v>0</v>
      </c>
      <c r="O139">
        <v>0</v>
      </c>
      <c r="P139">
        <v>0</v>
      </c>
      <c r="Q139">
        <v>0</v>
      </c>
      <c r="R139">
        <v>0</v>
      </c>
      <c r="S139">
        <v>0</v>
      </c>
      <c r="T139">
        <v>0</v>
      </c>
      <c r="U139">
        <v>0</v>
      </c>
      <c r="V139">
        <v>0</v>
      </c>
      <c r="W139" s="3">
        <f>AVERAGE(H109:H113)</f>
        <v>8.8013199999999987</v>
      </c>
      <c r="X139" s="30"/>
      <c r="Y139">
        <v>0</v>
      </c>
      <c r="Z139" t="s">
        <v>1</v>
      </c>
      <c r="AA139">
        <v>25984</v>
      </c>
      <c r="AB139">
        <v>128</v>
      </c>
      <c r="AC139">
        <v>1</v>
      </c>
      <c r="AD139">
        <v>16</v>
      </c>
      <c r="AE139" s="16">
        <v>1266.8</v>
      </c>
      <c r="AF139" s="3">
        <v>9.2332999999999998</v>
      </c>
      <c r="AG139" s="1">
        <v>45319</v>
      </c>
      <c r="AH139" s="2">
        <v>0.97666666666666668</v>
      </c>
      <c r="AI139">
        <v>0</v>
      </c>
      <c r="AJ139">
        <v>0</v>
      </c>
      <c r="AK139">
        <v>0</v>
      </c>
      <c r="AL139">
        <v>0</v>
      </c>
      <c r="AM139">
        <v>0</v>
      </c>
      <c r="AN139">
        <v>0</v>
      </c>
      <c r="AO139">
        <v>0</v>
      </c>
      <c r="AP139">
        <v>0</v>
      </c>
      <c r="AQ139">
        <v>0</v>
      </c>
      <c r="AR139">
        <v>0</v>
      </c>
      <c r="AS139">
        <v>0</v>
      </c>
      <c r="AT139">
        <v>0</v>
      </c>
      <c r="AU139" s="3">
        <f>AVERAGE(AF139:AF143)</f>
        <v>9.2280800000000003</v>
      </c>
    </row>
    <row r="140" spans="1:47" x14ac:dyDescent="0.25">
      <c r="A140">
        <v>1</v>
      </c>
      <c r="B140" t="s">
        <v>1</v>
      </c>
      <c r="C140">
        <v>25984</v>
      </c>
      <c r="D140">
        <v>128</v>
      </c>
      <c r="E140">
        <v>1</v>
      </c>
      <c r="F140">
        <v>16</v>
      </c>
      <c r="G140" s="16">
        <v>1432.31</v>
      </c>
      <c r="H140" s="3">
        <v>8.1662999999999997</v>
      </c>
      <c r="I140" s="1">
        <v>45321</v>
      </c>
      <c r="J140" s="37">
        <v>0.45049768518518518</v>
      </c>
      <c r="K140">
        <v>0</v>
      </c>
      <c r="L140">
        <v>0</v>
      </c>
      <c r="M140">
        <v>0</v>
      </c>
      <c r="N140">
        <v>0</v>
      </c>
      <c r="O140">
        <v>0</v>
      </c>
      <c r="P140">
        <v>0</v>
      </c>
      <c r="Q140">
        <v>0</v>
      </c>
      <c r="R140">
        <v>0</v>
      </c>
      <c r="S140">
        <v>0</v>
      </c>
      <c r="T140">
        <v>0</v>
      </c>
      <c r="U140">
        <v>0</v>
      </c>
      <c r="V140">
        <v>0</v>
      </c>
      <c r="W140" s="3">
        <f>W139</f>
        <v>8.8013199999999987</v>
      </c>
      <c r="X140" s="30"/>
      <c r="Y140">
        <v>1</v>
      </c>
      <c r="Z140" t="s">
        <v>1</v>
      </c>
      <c r="AA140">
        <v>25984</v>
      </c>
      <c r="AB140">
        <v>128</v>
      </c>
      <c r="AC140">
        <v>1</v>
      </c>
      <c r="AD140">
        <v>16</v>
      </c>
      <c r="AE140" s="16">
        <v>1267.48</v>
      </c>
      <c r="AF140" s="3">
        <v>9.2283000000000008</v>
      </c>
      <c r="AG140" s="1">
        <v>45320</v>
      </c>
      <c r="AH140" s="2">
        <v>0.90388888888888896</v>
      </c>
      <c r="AI140">
        <v>0</v>
      </c>
      <c r="AJ140">
        <v>0</v>
      </c>
      <c r="AK140">
        <v>0</v>
      </c>
      <c r="AL140">
        <v>0</v>
      </c>
      <c r="AM140">
        <v>0</v>
      </c>
      <c r="AN140">
        <v>0</v>
      </c>
      <c r="AO140">
        <v>0</v>
      </c>
      <c r="AP140">
        <v>0</v>
      </c>
      <c r="AQ140">
        <v>0</v>
      </c>
      <c r="AR140">
        <v>0</v>
      </c>
      <c r="AS140">
        <v>0</v>
      </c>
      <c r="AT140">
        <v>0</v>
      </c>
      <c r="AU140" s="3">
        <f>AU139</f>
        <v>9.2280800000000003</v>
      </c>
    </row>
    <row r="141" spans="1:47" x14ac:dyDescent="0.25">
      <c r="A141">
        <v>2</v>
      </c>
      <c r="B141" t="s">
        <v>1</v>
      </c>
      <c r="C141">
        <v>25984</v>
      </c>
      <c r="D141">
        <v>128</v>
      </c>
      <c r="E141">
        <v>1</v>
      </c>
      <c r="F141">
        <v>16</v>
      </c>
      <c r="G141" s="16">
        <v>1432.82</v>
      </c>
      <c r="H141" s="3">
        <v>8.1633999999999993</v>
      </c>
      <c r="I141" s="1">
        <v>45322</v>
      </c>
      <c r="J141" s="37">
        <v>0.32037037037037036</v>
      </c>
      <c r="K141">
        <v>0</v>
      </c>
      <c r="L141">
        <v>0</v>
      </c>
      <c r="M141">
        <v>0</v>
      </c>
      <c r="N141">
        <v>0</v>
      </c>
      <c r="O141">
        <v>0</v>
      </c>
      <c r="P141">
        <v>0</v>
      </c>
      <c r="Q141">
        <v>0</v>
      </c>
      <c r="R141">
        <v>0</v>
      </c>
      <c r="S141">
        <v>0</v>
      </c>
      <c r="T141">
        <v>0</v>
      </c>
      <c r="U141">
        <v>0</v>
      </c>
      <c r="V141">
        <v>0</v>
      </c>
      <c r="W141" s="3">
        <f>W140</f>
        <v>8.8013199999999987</v>
      </c>
      <c r="X141" s="30"/>
      <c r="Y141">
        <v>2</v>
      </c>
      <c r="Z141" t="s">
        <v>1</v>
      </c>
      <c r="AA141">
        <v>25984</v>
      </c>
      <c r="AB141">
        <v>128</v>
      </c>
      <c r="AC141">
        <v>1</v>
      </c>
      <c r="AD141">
        <v>16</v>
      </c>
      <c r="AE141" s="16">
        <v>1266.67</v>
      </c>
      <c r="AF141" s="3">
        <v>9.2341999999999995</v>
      </c>
      <c r="AG141" s="1">
        <v>45321</v>
      </c>
      <c r="AH141" s="2">
        <v>0.73746527777777782</v>
      </c>
      <c r="AI141">
        <v>0</v>
      </c>
      <c r="AJ141">
        <v>0</v>
      </c>
      <c r="AK141">
        <v>0</v>
      </c>
      <c r="AL141">
        <v>0</v>
      </c>
      <c r="AM141">
        <v>0</v>
      </c>
      <c r="AN141">
        <v>0</v>
      </c>
      <c r="AO141">
        <v>0</v>
      </c>
      <c r="AP141">
        <v>0</v>
      </c>
      <c r="AQ141">
        <v>0</v>
      </c>
      <c r="AR141">
        <v>0</v>
      </c>
      <c r="AS141">
        <v>0</v>
      </c>
      <c r="AT141">
        <v>0</v>
      </c>
      <c r="AU141" s="3">
        <f>AU140</f>
        <v>9.2280800000000003</v>
      </c>
    </row>
    <row r="142" spans="1:47" x14ac:dyDescent="0.25">
      <c r="A142">
        <v>3</v>
      </c>
      <c r="B142" t="s">
        <v>1</v>
      </c>
      <c r="C142">
        <v>25984</v>
      </c>
      <c r="D142">
        <v>128</v>
      </c>
      <c r="E142">
        <v>1</v>
      </c>
      <c r="F142">
        <v>16</v>
      </c>
      <c r="G142" s="16">
        <v>1432.99</v>
      </c>
      <c r="H142" s="3">
        <v>8.1624999999999996</v>
      </c>
      <c r="I142" s="1">
        <v>45323</v>
      </c>
      <c r="J142" s="37">
        <v>0.17719907407407409</v>
      </c>
      <c r="K142">
        <v>0</v>
      </c>
      <c r="L142">
        <v>0</v>
      </c>
      <c r="M142">
        <v>0</v>
      </c>
      <c r="N142">
        <v>0</v>
      </c>
      <c r="O142">
        <v>0</v>
      </c>
      <c r="P142">
        <v>0</v>
      </c>
      <c r="Q142">
        <v>0</v>
      </c>
      <c r="R142">
        <v>0</v>
      </c>
      <c r="S142">
        <v>0</v>
      </c>
      <c r="T142">
        <v>0</v>
      </c>
      <c r="U142">
        <v>0</v>
      </c>
      <c r="V142">
        <v>0</v>
      </c>
      <c r="W142" s="3">
        <f>W141</f>
        <v>8.8013199999999987</v>
      </c>
      <c r="X142" s="30"/>
      <c r="Y142">
        <v>3</v>
      </c>
      <c r="Z142" t="s">
        <v>1</v>
      </c>
      <c r="AA142">
        <v>25984</v>
      </c>
      <c r="AB142">
        <v>128</v>
      </c>
      <c r="AC142">
        <v>1</v>
      </c>
      <c r="AD142">
        <v>16</v>
      </c>
      <c r="AE142" s="16">
        <v>1269.44</v>
      </c>
      <c r="AF142" s="3">
        <v>9.2141000000000002</v>
      </c>
      <c r="AG142" s="1">
        <v>45322</v>
      </c>
      <c r="AH142" s="2">
        <v>0.57133101851851853</v>
      </c>
      <c r="AI142">
        <v>0</v>
      </c>
      <c r="AJ142">
        <v>0</v>
      </c>
      <c r="AK142">
        <v>0</v>
      </c>
      <c r="AL142">
        <v>0</v>
      </c>
      <c r="AM142">
        <v>0</v>
      </c>
      <c r="AN142">
        <v>0</v>
      </c>
      <c r="AO142">
        <v>0</v>
      </c>
      <c r="AP142">
        <v>0</v>
      </c>
      <c r="AQ142">
        <v>0</v>
      </c>
      <c r="AR142">
        <v>0</v>
      </c>
      <c r="AS142">
        <v>0</v>
      </c>
      <c r="AT142">
        <v>0</v>
      </c>
      <c r="AU142" s="3">
        <f>AU141</f>
        <v>9.2280800000000003</v>
      </c>
    </row>
    <row r="143" spans="1:47" x14ac:dyDescent="0.25">
      <c r="A143">
        <v>4</v>
      </c>
      <c r="B143" t="s">
        <v>1</v>
      </c>
      <c r="C143">
        <v>25984</v>
      </c>
      <c r="D143">
        <v>128</v>
      </c>
      <c r="E143">
        <v>1</v>
      </c>
      <c r="F143">
        <v>16</v>
      </c>
      <c r="G143" s="16">
        <v>1432.44</v>
      </c>
      <c r="H143" s="3">
        <v>8.1655999999999995</v>
      </c>
      <c r="I143" s="1">
        <v>45318</v>
      </c>
      <c r="J143" s="37">
        <v>0.28052083333333333</v>
      </c>
      <c r="K143">
        <v>0</v>
      </c>
      <c r="L143">
        <v>0</v>
      </c>
      <c r="M143">
        <v>0</v>
      </c>
      <c r="N143">
        <v>0</v>
      </c>
      <c r="O143">
        <v>0</v>
      </c>
      <c r="P143">
        <v>0</v>
      </c>
      <c r="Q143">
        <v>0</v>
      </c>
      <c r="R143">
        <v>0</v>
      </c>
      <c r="S143">
        <v>0</v>
      </c>
      <c r="T143">
        <v>0</v>
      </c>
      <c r="U143">
        <v>0</v>
      </c>
      <c r="V143">
        <v>0</v>
      </c>
      <c r="W143" s="3">
        <f>W142</f>
        <v>8.8013199999999987</v>
      </c>
      <c r="X143" s="30"/>
      <c r="Y143">
        <v>4</v>
      </c>
      <c r="Z143" t="s">
        <v>1</v>
      </c>
      <c r="AA143">
        <v>25984</v>
      </c>
      <c r="AB143">
        <v>128</v>
      </c>
      <c r="AC143">
        <v>1</v>
      </c>
      <c r="AD143">
        <v>16</v>
      </c>
      <c r="AE143" s="16">
        <v>1267.18</v>
      </c>
      <c r="AF143" s="3">
        <v>9.2304999999999993</v>
      </c>
      <c r="AG143" s="1">
        <v>45323</v>
      </c>
      <c r="AH143" s="2">
        <v>0.40545138888888888</v>
      </c>
      <c r="AI143">
        <v>0</v>
      </c>
      <c r="AJ143">
        <v>0</v>
      </c>
      <c r="AK143">
        <v>0</v>
      </c>
      <c r="AL143">
        <v>0</v>
      </c>
      <c r="AM143">
        <v>0</v>
      </c>
      <c r="AN143">
        <v>0</v>
      </c>
      <c r="AO143">
        <v>0</v>
      </c>
      <c r="AP143">
        <v>0</v>
      </c>
      <c r="AQ143">
        <v>0</v>
      </c>
      <c r="AR143">
        <v>0</v>
      </c>
      <c r="AS143">
        <v>0</v>
      </c>
      <c r="AT143">
        <v>0</v>
      </c>
      <c r="AU143" s="3">
        <f>AU142</f>
        <v>9.2280800000000003</v>
      </c>
    </row>
    <row r="144" spans="1:47" x14ac:dyDescent="0.25">
      <c r="A144">
        <v>0</v>
      </c>
      <c r="B144" t="s">
        <v>1</v>
      </c>
      <c r="C144">
        <v>27520</v>
      </c>
      <c r="D144">
        <v>128</v>
      </c>
      <c r="E144">
        <v>1</v>
      </c>
      <c r="F144">
        <v>16</v>
      </c>
      <c r="G144" s="16">
        <v>1694.78</v>
      </c>
      <c r="H144" s="3">
        <v>8.1992999999999991</v>
      </c>
      <c r="I144" s="1">
        <v>45320</v>
      </c>
      <c r="J144" s="37">
        <v>0.31305555555555559</v>
      </c>
      <c r="K144">
        <v>0</v>
      </c>
      <c r="L144">
        <v>0</v>
      </c>
      <c r="M144">
        <v>0</v>
      </c>
      <c r="N144">
        <v>0</v>
      </c>
      <c r="O144">
        <v>0</v>
      </c>
      <c r="P144">
        <v>0</v>
      </c>
      <c r="Q144">
        <v>0</v>
      </c>
      <c r="R144">
        <v>0</v>
      </c>
      <c r="S144">
        <v>0</v>
      </c>
      <c r="T144">
        <v>0</v>
      </c>
      <c r="U144">
        <v>0</v>
      </c>
      <c r="V144">
        <v>0</v>
      </c>
      <c r="W144" s="3">
        <f>AVERAGE(H114:H118)</f>
        <v>8.8530800000000003</v>
      </c>
      <c r="X144" s="30"/>
      <c r="Y144">
        <v>0</v>
      </c>
      <c r="Z144" t="s">
        <v>1</v>
      </c>
      <c r="AA144">
        <v>27520</v>
      </c>
      <c r="AB144">
        <v>128</v>
      </c>
      <c r="AC144">
        <v>1</v>
      </c>
      <c r="AD144">
        <v>16</v>
      </c>
      <c r="AE144" s="16">
        <v>1495.21</v>
      </c>
      <c r="AF144" s="3">
        <v>9.2936999999999994</v>
      </c>
      <c r="AG144" s="1">
        <v>45319</v>
      </c>
      <c r="AH144" s="2">
        <v>0.7201157407407407</v>
      </c>
      <c r="AI144">
        <v>0</v>
      </c>
      <c r="AJ144">
        <v>0</v>
      </c>
      <c r="AK144">
        <v>0</v>
      </c>
      <c r="AL144">
        <v>0</v>
      </c>
      <c r="AM144">
        <v>0</v>
      </c>
      <c r="AN144">
        <v>0</v>
      </c>
      <c r="AO144">
        <v>0</v>
      </c>
      <c r="AP144">
        <v>0</v>
      </c>
      <c r="AQ144">
        <v>0</v>
      </c>
      <c r="AR144">
        <v>0</v>
      </c>
      <c r="AS144">
        <v>0</v>
      </c>
      <c r="AT144">
        <v>0</v>
      </c>
      <c r="AU144" s="3">
        <f>AVERAGE(AF144:AF148)</f>
        <v>9.2963199999999997</v>
      </c>
    </row>
    <row r="145" spans="1:47" x14ac:dyDescent="0.25">
      <c r="A145">
        <v>1</v>
      </c>
      <c r="B145" t="s">
        <v>1</v>
      </c>
      <c r="C145">
        <v>27520</v>
      </c>
      <c r="D145">
        <v>128</v>
      </c>
      <c r="E145">
        <v>1</v>
      </c>
      <c r="F145">
        <v>16</v>
      </c>
      <c r="G145" s="16">
        <v>1693.5</v>
      </c>
      <c r="H145" s="3">
        <v>8.2055000000000007</v>
      </c>
      <c r="I145" s="1">
        <v>45321</v>
      </c>
      <c r="J145" s="37">
        <v>0.18290509259259258</v>
      </c>
      <c r="K145">
        <v>0</v>
      </c>
      <c r="L145">
        <v>0</v>
      </c>
      <c r="M145">
        <v>0</v>
      </c>
      <c r="N145">
        <v>0</v>
      </c>
      <c r="O145">
        <v>0</v>
      </c>
      <c r="P145">
        <v>0</v>
      </c>
      <c r="Q145">
        <v>0</v>
      </c>
      <c r="R145">
        <v>0</v>
      </c>
      <c r="S145">
        <v>0</v>
      </c>
      <c r="T145">
        <v>0</v>
      </c>
      <c r="U145">
        <v>0</v>
      </c>
      <c r="V145">
        <v>0</v>
      </c>
      <c r="W145" s="3">
        <f>W144</f>
        <v>8.8530800000000003</v>
      </c>
      <c r="X145" s="30"/>
      <c r="Y145">
        <v>1</v>
      </c>
      <c r="Z145" t="s">
        <v>1</v>
      </c>
      <c r="AA145">
        <v>27520</v>
      </c>
      <c r="AB145">
        <v>128</v>
      </c>
      <c r="AC145">
        <v>1</v>
      </c>
      <c r="AD145">
        <v>16</v>
      </c>
      <c r="AE145" s="16">
        <v>1494.33</v>
      </c>
      <c r="AF145" s="3">
        <v>9.2990999999999993</v>
      </c>
      <c r="AG145" s="1">
        <v>45320</v>
      </c>
      <c r="AH145" s="2">
        <v>0.64716435185185184</v>
      </c>
      <c r="AI145">
        <v>0</v>
      </c>
      <c r="AJ145">
        <v>0</v>
      </c>
      <c r="AK145">
        <v>0</v>
      </c>
      <c r="AL145">
        <v>0</v>
      </c>
      <c r="AM145">
        <v>0</v>
      </c>
      <c r="AN145">
        <v>0</v>
      </c>
      <c r="AO145">
        <v>0</v>
      </c>
      <c r="AP145">
        <v>0</v>
      </c>
      <c r="AQ145">
        <v>0</v>
      </c>
      <c r="AR145">
        <v>0</v>
      </c>
      <c r="AS145">
        <v>0</v>
      </c>
      <c r="AT145">
        <v>0</v>
      </c>
      <c r="AU145" s="3">
        <f>AU144</f>
        <v>9.2963199999999997</v>
      </c>
    </row>
    <row r="146" spans="1:47" x14ac:dyDescent="0.25">
      <c r="A146">
        <v>2</v>
      </c>
      <c r="B146" t="s">
        <v>1</v>
      </c>
      <c r="C146">
        <v>27520</v>
      </c>
      <c r="D146">
        <v>128</v>
      </c>
      <c r="E146">
        <v>1</v>
      </c>
      <c r="F146">
        <v>16</v>
      </c>
      <c r="G146" s="16">
        <v>1693.38</v>
      </c>
      <c r="H146" s="3">
        <v>8.2060999999999993</v>
      </c>
      <c r="I146" s="1">
        <v>45322</v>
      </c>
      <c r="J146" s="37">
        <v>5.2789351851851851E-2</v>
      </c>
      <c r="K146">
        <v>0</v>
      </c>
      <c r="L146">
        <v>0</v>
      </c>
      <c r="M146">
        <v>0</v>
      </c>
      <c r="N146">
        <v>0</v>
      </c>
      <c r="O146">
        <v>0</v>
      </c>
      <c r="P146">
        <v>0</v>
      </c>
      <c r="Q146">
        <v>0</v>
      </c>
      <c r="R146">
        <v>0</v>
      </c>
      <c r="S146">
        <v>0</v>
      </c>
      <c r="T146">
        <v>0</v>
      </c>
      <c r="U146">
        <v>0</v>
      </c>
      <c r="V146">
        <v>0</v>
      </c>
      <c r="W146" s="3">
        <f>W145</f>
        <v>8.8530800000000003</v>
      </c>
      <c r="X146" s="30"/>
      <c r="Y146">
        <v>2</v>
      </c>
      <c r="Z146" t="s">
        <v>1</v>
      </c>
      <c r="AA146">
        <v>27520</v>
      </c>
      <c r="AB146">
        <v>128</v>
      </c>
      <c r="AC146">
        <v>1</v>
      </c>
      <c r="AD146">
        <v>16</v>
      </c>
      <c r="AE146" s="16">
        <v>1494.42</v>
      </c>
      <c r="AF146" s="3">
        <v>9.2986000000000004</v>
      </c>
      <c r="AG146" s="1">
        <v>45321</v>
      </c>
      <c r="AH146" s="2">
        <v>0.48055555555555557</v>
      </c>
      <c r="AI146">
        <v>0</v>
      </c>
      <c r="AJ146">
        <v>0</v>
      </c>
      <c r="AK146">
        <v>0</v>
      </c>
      <c r="AL146">
        <v>0</v>
      </c>
      <c r="AM146">
        <v>0</v>
      </c>
      <c r="AN146">
        <v>0</v>
      </c>
      <c r="AO146">
        <v>0</v>
      </c>
      <c r="AP146">
        <v>0</v>
      </c>
      <c r="AQ146">
        <v>0</v>
      </c>
      <c r="AR146">
        <v>0</v>
      </c>
      <c r="AS146">
        <v>0</v>
      </c>
      <c r="AT146">
        <v>0</v>
      </c>
      <c r="AU146" s="3">
        <f>AU145</f>
        <v>9.2963199999999997</v>
      </c>
    </row>
    <row r="147" spans="1:47" x14ac:dyDescent="0.25">
      <c r="A147">
        <v>3</v>
      </c>
      <c r="B147" t="s">
        <v>1</v>
      </c>
      <c r="C147">
        <v>27520</v>
      </c>
      <c r="D147">
        <v>128</v>
      </c>
      <c r="E147">
        <v>1</v>
      </c>
      <c r="F147">
        <v>16</v>
      </c>
      <c r="G147" s="16">
        <v>1693.05</v>
      </c>
      <c r="H147" s="3">
        <v>8.2077000000000009</v>
      </c>
      <c r="I147" s="1">
        <v>45322</v>
      </c>
      <c r="J147" s="37">
        <v>0.92259259259259263</v>
      </c>
      <c r="K147">
        <v>0</v>
      </c>
      <c r="L147">
        <v>0</v>
      </c>
      <c r="M147">
        <v>0</v>
      </c>
      <c r="N147">
        <v>0</v>
      </c>
      <c r="O147">
        <v>0</v>
      </c>
      <c r="P147">
        <v>0</v>
      </c>
      <c r="Q147">
        <v>0</v>
      </c>
      <c r="R147">
        <v>0</v>
      </c>
      <c r="S147">
        <v>0</v>
      </c>
      <c r="T147">
        <v>0</v>
      </c>
      <c r="U147">
        <v>0</v>
      </c>
      <c r="V147">
        <v>0</v>
      </c>
      <c r="W147" s="3">
        <f>W146</f>
        <v>8.8530800000000003</v>
      </c>
      <c r="X147" s="30"/>
      <c r="Y147">
        <v>3</v>
      </c>
      <c r="Z147" t="s">
        <v>1</v>
      </c>
      <c r="AA147">
        <v>27520</v>
      </c>
      <c r="AB147">
        <v>128</v>
      </c>
      <c r="AC147">
        <v>1</v>
      </c>
      <c r="AD147">
        <v>16</v>
      </c>
      <c r="AE147" s="16">
        <v>1495.34</v>
      </c>
      <c r="AF147" s="3">
        <v>9.2927999999999997</v>
      </c>
      <c r="AG147" s="1">
        <v>45322</v>
      </c>
      <c r="AH147" s="2">
        <v>0.31437500000000002</v>
      </c>
      <c r="AI147">
        <v>0</v>
      </c>
      <c r="AJ147">
        <v>0</v>
      </c>
      <c r="AK147">
        <v>0</v>
      </c>
      <c r="AL147">
        <v>0</v>
      </c>
      <c r="AM147">
        <v>0</v>
      </c>
      <c r="AN147">
        <v>0</v>
      </c>
      <c r="AO147">
        <v>0</v>
      </c>
      <c r="AP147">
        <v>0</v>
      </c>
      <c r="AQ147">
        <v>0</v>
      </c>
      <c r="AR147">
        <v>0</v>
      </c>
      <c r="AS147">
        <v>0</v>
      </c>
      <c r="AT147">
        <v>0</v>
      </c>
      <c r="AU147" s="3">
        <f>AU146</f>
        <v>9.2963199999999997</v>
      </c>
    </row>
    <row r="148" spans="1:47" x14ac:dyDescent="0.25">
      <c r="A148">
        <v>4</v>
      </c>
      <c r="B148" t="s">
        <v>1</v>
      </c>
      <c r="C148">
        <v>27520</v>
      </c>
      <c r="D148">
        <v>128</v>
      </c>
      <c r="E148">
        <v>1</v>
      </c>
      <c r="F148">
        <v>16</v>
      </c>
      <c r="G148" s="16">
        <v>1693.05</v>
      </c>
      <c r="H148" s="3">
        <v>8.2077000000000009</v>
      </c>
      <c r="I148" s="1">
        <v>45323</v>
      </c>
      <c r="J148" s="37">
        <v>0.77945601851851853</v>
      </c>
      <c r="K148">
        <v>0</v>
      </c>
      <c r="L148">
        <v>0</v>
      </c>
      <c r="M148">
        <v>0</v>
      </c>
      <c r="N148">
        <v>0</v>
      </c>
      <c r="O148">
        <v>0</v>
      </c>
      <c r="P148">
        <v>0</v>
      </c>
      <c r="Q148">
        <v>0</v>
      </c>
      <c r="R148">
        <v>0</v>
      </c>
      <c r="S148">
        <v>0</v>
      </c>
      <c r="T148">
        <v>0</v>
      </c>
      <c r="U148">
        <v>0</v>
      </c>
      <c r="V148">
        <v>0</v>
      </c>
      <c r="W148" s="3">
        <f>W147</f>
        <v>8.8530800000000003</v>
      </c>
      <c r="X148" s="30"/>
      <c r="Y148">
        <v>4</v>
      </c>
      <c r="Z148" t="s">
        <v>1</v>
      </c>
      <c r="AA148">
        <v>27520</v>
      </c>
      <c r="AB148">
        <v>128</v>
      </c>
      <c r="AC148">
        <v>1</v>
      </c>
      <c r="AD148">
        <v>16</v>
      </c>
      <c r="AE148" s="16">
        <v>1494.62</v>
      </c>
      <c r="AF148" s="3">
        <v>9.2973999999999997</v>
      </c>
      <c r="AG148" s="1">
        <v>45323</v>
      </c>
      <c r="AH148" s="2">
        <v>0.14850694444444446</v>
      </c>
      <c r="AI148">
        <v>0</v>
      </c>
      <c r="AJ148">
        <v>0</v>
      </c>
      <c r="AK148">
        <v>0</v>
      </c>
      <c r="AL148">
        <v>0</v>
      </c>
      <c r="AM148">
        <v>0</v>
      </c>
      <c r="AN148">
        <v>0</v>
      </c>
      <c r="AO148">
        <v>0</v>
      </c>
      <c r="AP148">
        <v>0</v>
      </c>
      <c r="AQ148">
        <v>0</v>
      </c>
      <c r="AR148">
        <v>0</v>
      </c>
      <c r="AS148">
        <v>0</v>
      </c>
      <c r="AT148">
        <v>0</v>
      </c>
      <c r="AU148" s="3">
        <f>AU147</f>
        <v>9.2963199999999997</v>
      </c>
    </row>
    <row r="149" spans="1:47" x14ac:dyDescent="0.25">
      <c r="A149">
        <v>0</v>
      </c>
      <c r="B149" t="s">
        <v>1</v>
      </c>
      <c r="C149">
        <v>29056</v>
      </c>
      <c r="D149">
        <v>128</v>
      </c>
      <c r="E149">
        <v>1</v>
      </c>
      <c r="F149">
        <v>16</v>
      </c>
      <c r="G149" s="16">
        <v>1968.95</v>
      </c>
      <c r="H149" s="3">
        <v>8.3064999999999998</v>
      </c>
      <c r="I149" s="1">
        <v>45320</v>
      </c>
      <c r="J149" s="37">
        <v>0.86858796296296292</v>
      </c>
      <c r="K149">
        <v>0</v>
      </c>
      <c r="L149">
        <v>0</v>
      </c>
      <c r="M149">
        <v>0</v>
      </c>
      <c r="N149">
        <v>0</v>
      </c>
      <c r="O149">
        <v>0</v>
      </c>
      <c r="P149">
        <v>0</v>
      </c>
      <c r="Q149">
        <v>0</v>
      </c>
      <c r="R149">
        <v>0</v>
      </c>
      <c r="S149">
        <v>0</v>
      </c>
      <c r="T149">
        <v>0</v>
      </c>
      <c r="U149">
        <v>0</v>
      </c>
      <c r="V149">
        <v>0</v>
      </c>
      <c r="W149" s="3">
        <f>AVERAGE(H119:H123)</f>
        <v>8.8994599999999995</v>
      </c>
      <c r="X149" s="30"/>
      <c r="Y149">
        <v>0</v>
      </c>
      <c r="Z149" t="s">
        <v>1</v>
      </c>
      <c r="AA149">
        <v>29056</v>
      </c>
      <c r="AB149">
        <v>128</v>
      </c>
      <c r="AC149">
        <v>1</v>
      </c>
      <c r="AD149">
        <v>16</v>
      </c>
      <c r="AE149" s="16">
        <v>1740.38</v>
      </c>
      <c r="AF149" s="3">
        <v>9.3973999999999993</v>
      </c>
      <c r="AG149" s="1">
        <v>45320</v>
      </c>
      <c r="AH149" s="2">
        <v>0.25293981481481481</v>
      </c>
      <c r="AI149">
        <v>0</v>
      </c>
      <c r="AJ149">
        <v>0</v>
      </c>
      <c r="AK149">
        <v>0</v>
      </c>
      <c r="AL149">
        <v>0</v>
      </c>
      <c r="AM149">
        <v>0</v>
      </c>
      <c r="AN149">
        <v>0</v>
      </c>
      <c r="AO149">
        <v>0</v>
      </c>
      <c r="AP149">
        <v>0</v>
      </c>
      <c r="AQ149">
        <v>0</v>
      </c>
      <c r="AR149">
        <v>0</v>
      </c>
      <c r="AS149">
        <v>0</v>
      </c>
      <c r="AT149">
        <v>0</v>
      </c>
      <c r="AU149" s="3">
        <f>AVERAGE(AF149:AF153)</f>
        <v>9.3912200000000006</v>
      </c>
    </row>
    <row r="150" spans="1:47" x14ac:dyDescent="0.25">
      <c r="A150">
        <v>1</v>
      </c>
      <c r="B150" t="s">
        <v>1</v>
      </c>
      <c r="C150">
        <v>29056</v>
      </c>
      <c r="D150">
        <v>128</v>
      </c>
      <c r="E150">
        <v>1</v>
      </c>
      <c r="F150">
        <v>16</v>
      </c>
      <c r="G150" s="16">
        <v>1969.18</v>
      </c>
      <c r="H150" s="3">
        <v>8.3055000000000003</v>
      </c>
      <c r="I150" s="1">
        <v>45321</v>
      </c>
      <c r="J150" s="37">
        <v>0.73844907407407412</v>
      </c>
      <c r="K150">
        <v>0</v>
      </c>
      <c r="L150">
        <v>0</v>
      </c>
      <c r="M150">
        <v>0</v>
      </c>
      <c r="N150">
        <v>0</v>
      </c>
      <c r="O150">
        <v>0</v>
      </c>
      <c r="P150">
        <v>0</v>
      </c>
      <c r="Q150">
        <v>0</v>
      </c>
      <c r="R150">
        <v>0</v>
      </c>
      <c r="S150">
        <v>0</v>
      </c>
      <c r="T150">
        <v>0</v>
      </c>
      <c r="U150">
        <v>0</v>
      </c>
      <c r="V150">
        <v>0</v>
      </c>
      <c r="W150" s="3">
        <f>W149</f>
        <v>8.8994599999999995</v>
      </c>
      <c r="X150" s="30"/>
      <c r="Y150">
        <v>1</v>
      </c>
      <c r="Z150" t="s">
        <v>1</v>
      </c>
      <c r="AA150">
        <v>29056</v>
      </c>
      <c r="AB150">
        <v>128</v>
      </c>
      <c r="AC150">
        <v>1</v>
      </c>
      <c r="AD150">
        <v>16</v>
      </c>
      <c r="AE150" s="16">
        <v>1741.22</v>
      </c>
      <c r="AF150" s="3">
        <v>9.3927999999999994</v>
      </c>
      <c r="AG150" s="1">
        <v>45321</v>
      </c>
      <c r="AH150" s="2">
        <v>0.18023148148148149</v>
      </c>
      <c r="AI150">
        <v>0</v>
      </c>
      <c r="AJ150">
        <v>0</v>
      </c>
      <c r="AK150">
        <v>0</v>
      </c>
      <c r="AL150">
        <v>0</v>
      </c>
      <c r="AM150">
        <v>0</v>
      </c>
      <c r="AN150">
        <v>0</v>
      </c>
      <c r="AO150">
        <v>0</v>
      </c>
      <c r="AP150">
        <v>0</v>
      </c>
      <c r="AQ150">
        <v>0</v>
      </c>
      <c r="AR150">
        <v>0</v>
      </c>
      <c r="AS150">
        <v>0</v>
      </c>
      <c r="AT150">
        <v>0</v>
      </c>
      <c r="AU150" s="3">
        <f>AU149</f>
        <v>9.3912200000000006</v>
      </c>
    </row>
    <row r="151" spans="1:47" x14ac:dyDescent="0.25">
      <c r="A151">
        <v>2</v>
      </c>
      <c r="B151" t="s">
        <v>1</v>
      </c>
      <c r="C151">
        <v>29056</v>
      </c>
      <c r="D151">
        <v>128</v>
      </c>
      <c r="E151">
        <v>1</v>
      </c>
      <c r="F151">
        <v>16</v>
      </c>
      <c r="G151" s="16">
        <v>1969.52</v>
      </c>
      <c r="H151" s="3">
        <v>8.3041</v>
      </c>
      <c r="I151" s="1">
        <v>45322</v>
      </c>
      <c r="J151" s="37">
        <v>0.60827546296296298</v>
      </c>
      <c r="K151">
        <v>0</v>
      </c>
      <c r="L151">
        <v>0</v>
      </c>
      <c r="M151">
        <v>0</v>
      </c>
      <c r="N151">
        <v>0</v>
      </c>
      <c r="O151">
        <v>0</v>
      </c>
      <c r="P151">
        <v>0</v>
      </c>
      <c r="Q151">
        <v>0</v>
      </c>
      <c r="R151">
        <v>0</v>
      </c>
      <c r="S151">
        <v>0</v>
      </c>
      <c r="T151">
        <v>0</v>
      </c>
      <c r="U151">
        <v>0</v>
      </c>
      <c r="V151">
        <v>0</v>
      </c>
      <c r="W151" s="3">
        <f>W150</f>
        <v>8.8994599999999995</v>
      </c>
      <c r="X151" s="30"/>
      <c r="Y151">
        <v>2</v>
      </c>
      <c r="Z151" t="s">
        <v>1</v>
      </c>
      <c r="AA151">
        <v>29056</v>
      </c>
      <c r="AB151">
        <v>128</v>
      </c>
      <c r="AC151">
        <v>1</v>
      </c>
      <c r="AD151">
        <v>16</v>
      </c>
      <c r="AE151" s="16">
        <v>1741.11</v>
      </c>
      <c r="AF151" s="3">
        <v>9.3933999999999997</v>
      </c>
      <c r="AG151" s="1">
        <v>45322</v>
      </c>
      <c r="AH151" s="2">
        <v>1.4131944444444445E-2</v>
      </c>
      <c r="AI151">
        <v>0</v>
      </c>
      <c r="AJ151">
        <v>0</v>
      </c>
      <c r="AK151">
        <v>0</v>
      </c>
      <c r="AL151">
        <v>0</v>
      </c>
      <c r="AM151">
        <v>0</v>
      </c>
      <c r="AN151">
        <v>0</v>
      </c>
      <c r="AO151">
        <v>0</v>
      </c>
      <c r="AP151">
        <v>0</v>
      </c>
      <c r="AQ151">
        <v>0</v>
      </c>
      <c r="AR151">
        <v>0</v>
      </c>
      <c r="AS151">
        <v>0</v>
      </c>
      <c r="AT151">
        <v>0</v>
      </c>
      <c r="AU151" s="3">
        <f>AU150</f>
        <v>9.3912200000000006</v>
      </c>
    </row>
    <row r="152" spans="1:47" x14ac:dyDescent="0.25">
      <c r="A152">
        <v>3</v>
      </c>
      <c r="B152" t="s">
        <v>1</v>
      </c>
      <c r="C152">
        <v>29056</v>
      </c>
      <c r="D152">
        <v>128</v>
      </c>
      <c r="E152">
        <v>1</v>
      </c>
      <c r="F152">
        <v>16</v>
      </c>
      <c r="G152" s="16">
        <v>1970.29</v>
      </c>
      <c r="H152" s="3">
        <v>8.3008000000000006</v>
      </c>
      <c r="I152" s="1">
        <v>45323</v>
      </c>
      <c r="J152" s="37">
        <v>0.46519675925925924</v>
      </c>
      <c r="K152">
        <v>0</v>
      </c>
      <c r="L152">
        <v>0</v>
      </c>
      <c r="M152">
        <v>0</v>
      </c>
      <c r="N152">
        <v>0</v>
      </c>
      <c r="O152">
        <v>0</v>
      </c>
      <c r="P152">
        <v>0</v>
      </c>
      <c r="Q152">
        <v>0</v>
      </c>
      <c r="R152">
        <v>0</v>
      </c>
      <c r="S152">
        <v>0</v>
      </c>
      <c r="T152">
        <v>0</v>
      </c>
      <c r="U152">
        <v>0</v>
      </c>
      <c r="V152">
        <v>0</v>
      </c>
      <c r="W152" s="3">
        <f>W151</f>
        <v>8.8994599999999995</v>
      </c>
      <c r="X152" s="30"/>
      <c r="Y152">
        <v>3</v>
      </c>
      <c r="Z152" t="s">
        <v>1</v>
      </c>
      <c r="AA152">
        <v>29056</v>
      </c>
      <c r="AB152">
        <v>128</v>
      </c>
      <c r="AC152">
        <v>1</v>
      </c>
      <c r="AD152">
        <v>16</v>
      </c>
      <c r="AE152" s="16">
        <v>1742.25</v>
      </c>
      <c r="AF152" s="3">
        <v>9.3872</v>
      </c>
      <c r="AG152" s="1">
        <v>45322</v>
      </c>
      <c r="AH152" s="2">
        <v>0.84805555555555545</v>
      </c>
      <c r="AI152">
        <v>0</v>
      </c>
      <c r="AJ152">
        <v>0</v>
      </c>
      <c r="AK152">
        <v>0</v>
      </c>
      <c r="AL152">
        <v>0</v>
      </c>
      <c r="AM152">
        <v>0</v>
      </c>
      <c r="AN152">
        <v>0</v>
      </c>
      <c r="AO152">
        <v>0</v>
      </c>
      <c r="AP152">
        <v>0</v>
      </c>
      <c r="AQ152">
        <v>0</v>
      </c>
      <c r="AR152">
        <v>0</v>
      </c>
      <c r="AS152">
        <v>0</v>
      </c>
      <c r="AT152">
        <v>0</v>
      </c>
      <c r="AU152" s="3">
        <f>AU151</f>
        <v>9.3912200000000006</v>
      </c>
    </row>
    <row r="153" spans="1:47" x14ac:dyDescent="0.25">
      <c r="A153">
        <v>4</v>
      </c>
      <c r="B153" t="s">
        <v>1</v>
      </c>
      <c r="C153">
        <v>29056</v>
      </c>
      <c r="D153">
        <v>128</v>
      </c>
      <c r="E153">
        <v>1</v>
      </c>
      <c r="F153">
        <v>16</v>
      </c>
      <c r="G153" s="16">
        <v>1968.04</v>
      </c>
      <c r="H153" s="3">
        <v>8.3102999999999998</v>
      </c>
      <c r="I153" s="1">
        <v>45318</v>
      </c>
      <c r="J153" s="37">
        <v>0.56840277777777781</v>
      </c>
      <c r="K153">
        <v>0</v>
      </c>
      <c r="L153">
        <v>0</v>
      </c>
      <c r="M153">
        <v>0</v>
      </c>
      <c r="N153">
        <v>0</v>
      </c>
      <c r="O153">
        <v>0</v>
      </c>
      <c r="P153">
        <v>0</v>
      </c>
      <c r="Q153">
        <v>0</v>
      </c>
      <c r="R153">
        <v>0</v>
      </c>
      <c r="S153">
        <v>0</v>
      </c>
      <c r="T153">
        <v>0</v>
      </c>
      <c r="U153">
        <v>0</v>
      </c>
      <c r="V153">
        <v>0</v>
      </c>
      <c r="W153" s="3">
        <f>W152</f>
        <v>8.8994599999999995</v>
      </c>
      <c r="X153" s="30"/>
      <c r="Y153">
        <v>4</v>
      </c>
      <c r="Z153" t="s">
        <v>1</v>
      </c>
      <c r="AA153">
        <v>29056</v>
      </c>
      <c r="AB153">
        <v>128</v>
      </c>
      <c r="AC153">
        <v>1</v>
      </c>
      <c r="AD153">
        <v>16</v>
      </c>
      <c r="AE153" s="16">
        <v>1742.62</v>
      </c>
      <c r="AF153" s="3">
        <v>9.3853000000000009</v>
      </c>
      <c r="AG153" s="1">
        <v>45323</v>
      </c>
      <c r="AH153" s="2">
        <v>0.68255787037037041</v>
      </c>
      <c r="AI153">
        <v>0</v>
      </c>
      <c r="AJ153">
        <v>0</v>
      </c>
      <c r="AK153">
        <v>0</v>
      </c>
      <c r="AL153">
        <v>0</v>
      </c>
      <c r="AM153">
        <v>0</v>
      </c>
      <c r="AN153">
        <v>0</v>
      </c>
      <c r="AO153">
        <v>0</v>
      </c>
      <c r="AP153">
        <v>0</v>
      </c>
      <c r="AQ153">
        <v>0</v>
      </c>
      <c r="AR153">
        <v>0</v>
      </c>
      <c r="AS153">
        <v>0</v>
      </c>
      <c r="AT153">
        <v>0</v>
      </c>
      <c r="AU153" s="3">
        <f>AU152</f>
        <v>9.3912200000000006</v>
      </c>
    </row>
    <row r="154" spans="1:47" x14ac:dyDescent="0.25">
      <c r="A154">
        <v>0</v>
      </c>
      <c r="B154" t="s">
        <v>1</v>
      </c>
      <c r="C154">
        <v>25984</v>
      </c>
      <c r="D154">
        <v>128</v>
      </c>
      <c r="E154">
        <v>2</v>
      </c>
      <c r="F154">
        <v>8</v>
      </c>
      <c r="G154" s="16">
        <v>1371.44</v>
      </c>
      <c r="H154" s="3">
        <v>8.5288000000000004</v>
      </c>
      <c r="I154" s="1">
        <v>45320</v>
      </c>
      <c r="J154" s="37">
        <v>0.59684027777777782</v>
      </c>
      <c r="K154">
        <v>0</v>
      </c>
      <c r="L154">
        <v>0</v>
      </c>
      <c r="M154">
        <v>0</v>
      </c>
      <c r="N154">
        <v>0</v>
      </c>
      <c r="O154">
        <v>0</v>
      </c>
      <c r="P154">
        <v>0</v>
      </c>
      <c r="Q154">
        <v>0</v>
      </c>
      <c r="R154">
        <v>0</v>
      </c>
      <c r="S154">
        <v>0</v>
      </c>
      <c r="T154">
        <v>0</v>
      </c>
      <c r="U154">
        <v>0</v>
      </c>
      <c r="V154">
        <v>0</v>
      </c>
      <c r="W154" s="3">
        <f>AVERAGE(H124:H128)</f>
        <v>8.8095400000000001</v>
      </c>
      <c r="X154" s="30"/>
      <c r="Y154">
        <v>0</v>
      </c>
      <c r="Z154" t="s">
        <v>1</v>
      </c>
      <c r="AA154">
        <v>25984</v>
      </c>
      <c r="AB154">
        <v>128</v>
      </c>
      <c r="AC154">
        <v>2</v>
      </c>
      <c r="AD154">
        <v>8</v>
      </c>
      <c r="AE154" s="16">
        <v>1211.3399999999999</v>
      </c>
      <c r="AF154" s="3">
        <v>9.6560000000000006</v>
      </c>
      <c r="AG154" s="1">
        <v>45319</v>
      </c>
      <c r="AH154" s="2">
        <v>0.99204861111111109</v>
      </c>
      <c r="AI154">
        <v>0</v>
      </c>
      <c r="AJ154">
        <v>0</v>
      </c>
      <c r="AK154">
        <v>0</v>
      </c>
      <c r="AL154">
        <v>0</v>
      </c>
      <c r="AM154">
        <v>0</v>
      </c>
      <c r="AN154">
        <v>0</v>
      </c>
      <c r="AO154">
        <v>0</v>
      </c>
      <c r="AP154">
        <v>0</v>
      </c>
      <c r="AQ154">
        <v>0</v>
      </c>
      <c r="AR154">
        <v>0</v>
      </c>
      <c r="AS154">
        <v>0</v>
      </c>
      <c r="AT154">
        <v>0</v>
      </c>
      <c r="AU154" s="3">
        <f>AVERAGE(AF154:AF158)</f>
        <v>9.6521400000000011</v>
      </c>
    </row>
    <row r="155" spans="1:47" x14ac:dyDescent="0.25">
      <c r="A155">
        <v>1</v>
      </c>
      <c r="B155" t="s">
        <v>1</v>
      </c>
      <c r="C155">
        <v>25984</v>
      </c>
      <c r="D155">
        <v>128</v>
      </c>
      <c r="E155">
        <v>2</v>
      </c>
      <c r="F155">
        <v>8</v>
      </c>
      <c r="G155" s="16">
        <v>1371.06</v>
      </c>
      <c r="H155" s="3">
        <v>8.5312000000000001</v>
      </c>
      <c r="I155" s="1">
        <v>45321</v>
      </c>
      <c r="J155" s="37">
        <v>0.46667824074074077</v>
      </c>
      <c r="K155">
        <v>0</v>
      </c>
      <c r="L155">
        <v>0</v>
      </c>
      <c r="M155">
        <v>0</v>
      </c>
      <c r="N155">
        <v>0</v>
      </c>
      <c r="O155">
        <v>0</v>
      </c>
      <c r="P155">
        <v>0</v>
      </c>
      <c r="Q155">
        <v>0</v>
      </c>
      <c r="R155">
        <v>0</v>
      </c>
      <c r="S155">
        <v>0</v>
      </c>
      <c r="T155">
        <v>0</v>
      </c>
      <c r="U155">
        <v>0</v>
      </c>
      <c r="V155">
        <v>0</v>
      </c>
      <c r="W155" s="3">
        <f>W154</f>
        <v>8.8095400000000001</v>
      </c>
      <c r="X155" s="30"/>
      <c r="Y155">
        <v>1</v>
      </c>
      <c r="Z155" t="s">
        <v>1</v>
      </c>
      <c r="AA155">
        <v>25984</v>
      </c>
      <c r="AB155">
        <v>128</v>
      </c>
      <c r="AC155">
        <v>2</v>
      </c>
      <c r="AD155">
        <v>8</v>
      </c>
      <c r="AE155" s="16">
        <v>1211.43</v>
      </c>
      <c r="AF155" s="3">
        <v>9.6553000000000004</v>
      </c>
      <c r="AG155" s="1">
        <v>45320</v>
      </c>
      <c r="AH155" s="2">
        <v>0.91927083333333337</v>
      </c>
      <c r="AI155">
        <v>0</v>
      </c>
      <c r="AJ155">
        <v>0</v>
      </c>
      <c r="AK155">
        <v>0</v>
      </c>
      <c r="AL155">
        <v>0</v>
      </c>
      <c r="AM155">
        <v>0</v>
      </c>
      <c r="AN155">
        <v>0</v>
      </c>
      <c r="AO155">
        <v>0</v>
      </c>
      <c r="AP155">
        <v>0</v>
      </c>
      <c r="AQ155">
        <v>0</v>
      </c>
      <c r="AR155">
        <v>0</v>
      </c>
      <c r="AS155">
        <v>0</v>
      </c>
      <c r="AT155">
        <v>0</v>
      </c>
      <c r="AU155" s="3">
        <f>AU154</f>
        <v>9.6521400000000011</v>
      </c>
    </row>
    <row r="156" spans="1:47" x14ac:dyDescent="0.25">
      <c r="A156">
        <v>2</v>
      </c>
      <c r="B156" t="s">
        <v>1</v>
      </c>
      <c r="C156">
        <v>25984</v>
      </c>
      <c r="D156">
        <v>128</v>
      </c>
      <c r="E156">
        <v>2</v>
      </c>
      <c r="F156">
        <v>8</v>
      </c>
      <c r="G156" s="16">
        <v>1371.06</v>
      </c>
      <c r="H156" s="3">
        <v>8.5312000000000001</v>
      </c>
      <c r="I156" s="1">
        <v>45322</v>
      </c>
      <c r="J156" s="37">
        <v>0.33656250000000004</v>
      </c>
      <c r="K156">
        <v>0</v>
      </c>
      <c r="L156">
        <v>0</v>
      </c>
      <c r="M156">
        <v>0</v>
      </c>
      <c r="N156">
        <v>0</v>
      </c>
      <c r="O156">
        <v>0</v>
      </c>
      <c r="P156">
        <v>0</v>
      </c>
      <c r="Q156">
        <v>0</v>
      </c>
      <c r="R156">
        <v>0</v>
      </c>
      <c r="S156">
        <v>0</v>
      </c>
      <c r="T156">
        <v>0</v>
      </c>
      <c r="U156">
        <v>0</v>
      </c>
      <c r="V156">
        <v>0</v>
      </c>
      <c r="W156" s="3">
        <f>W155</f>
        <v>8.8095400000000001</v>
      </c>
      <c r="X156" s="30"/>
      <c r="Y156">
        <v>2</v>
      </c>
      <c r="Z156" t="s">
        <v>1</v>
      </c>
      <c r="AA156">
        <v>25984</v>
      </c>
      <c r="AB156">
        <v>128</v>
      </c>
      <c r="AC156">
        <v>2</v>
      </c>
      <c r="AD156">
        <v>8</v>
      </c>
      <c r="AE156" s="16">
        <v>1211.71</v>
      </c>
      <c r="AF156" s="3">
        <v>9.6531000000000002</v>
      </c>
      <c r="AG156" s="1">
        <v>45321</v>
      </c>
      <c r="AH156" s="2">
        <v>0.75285879629629626</v>
      </c>
      <c r="AI156">
        <v>0</v>
      </c>
      <c r="AJ156">
        <v>0</v>
      </c>
      <c r="AK156">
        <v>0</v>
      </c>
      <c r="AL156">
        <v>0</v>
      </c>
      <c r="AM156">
        <v>0</v>
      </c>
      <c r="AN156">
        <v>0</v>
      </c>
      <c r="AO156">
        <v>0</v>
      </c>
      <c r="AP156">
        <v>0</v>
      </c>
      <c r="AQ156">
        <v>0</v>
      </c>
      <c r="AR156">
        <v>0</v>
      </c>
      <c r="AS156">
        <v>0</v>
      </c>
      <c r="AT156">
        <v>0</v>
      </c>
      <c r="AU156" s="3">
        <f>AU155</f>
        <v>9.6521400000000011</v>
      </c>
    </row>
    <row r="157" spans="1:47" x14ac:dyDescent="0.25">
      <c r="A157">
        <v>3</v>
      </c>
      <c r="B157" t="s">
        <v>1</v>
      </c>
      <c r="C157">
        <v>25984</v>
      </c>
      <c r="D157">
        <v>128</v>
      </c>
      <c r="E157">
        <v>2</v>
      </c>
      <c r="F157">
        <v>8</v>
      </c>
      <c r="G157" s="16">
        <v>1371.11</v>
      </c>
      <c r="H157" s="3">
        <v>8.5307999999999993</v>
      </c>
      <c r="I157" s="1">
        <v>45323</v>
      </c>
      <c r="J157" s="37">
        <v>0.19337962962962962</v>
      </c>
      <c r="K157">
        <v>0</v>
      </c>
      <c r="L157">
        <v>0</v>
      </c>
      <c r="M157">
        <v>0</v>
      </c>
      <c r="N157">
        <v>0</v>
      </c>
      <c r="O157">
        <v>0</v>
      </c>
      <c r="P157">
        <v>0</v>
      </c>
      <c r="Q157">
        <v>0</v>
      </c>
      <c r="R157">
        <v>0</v>
      </c>
      <c r="S157">
        <v>0</v>
      </c>
      <c r="T157">
        <v>0</v>
      </c>
      <c r="U157">
        <v>0</v>
      </c>
      <c r="V157">
        <v>0</v>
      </c>
      <c r="W157" s="3">
        <f>W156</f>
        <v>8.8095400000000001</v>
      </c>
      <c r="X157" s="30"/>
      <c r="Y157">
        <v>3</v>
      </c>
      <c r="Z157" t="s">
        <v>1</v>
      </c>
      <c r="AA157">
        <v>25984</v>
      </c>
      <c r="AB157">
        <v>128</v>
      </c>
      <c r="AC157">
        <v>2</v>
      </c>
      <c r="AD157">
        <v>8</v>
      </c>
      <c r="AE157" s="16">
        <v>1212.93</v>
      </c>
      <c r="AF157" s="3">
        <v>9.6433999999999997</v>
      </c>
      <c r="AG157" s="1">
        <v>45322</v>
      </c>
      <c r="AH157" s="2">
        <v>0.58673611111111112</v>
      </c>
      <c r="AI157">
        <v>0</v>
      </c>
      <c r="AJ157">
        <v>0</v>
      </c>
      <c r="AK157">
        <v>0</v>
      </c>
      <c r="AL157">
        <v>0</v>
      </c>
      <c r="AM157">
        <v>0</v>
      </c>
      <c r="AN157">
        <v>0</v>
      </c>
      <c r="AO157">
        <v>0</v>
      </c>
      <c r="AP157">
        <v>0</v>
      </c>
      <c r="AQ157">
        <v>0</v>
      </c>
      <c r="AR157">
        <v>0</v>
      </c>
      <c r="AS157">
        <v>0</v>
      </c>
      <c r="AT157">
        <v>0</v>
      </c>
      <c r="AU157" s="3">
        <f>AU156</f>
        <v>9.6521400000000011</v>
      </c>
    </row>
    <row r="158" spans="1:47" x14ac:dyDescent="0.25">
      <c r="A158">
        <v>4</v>
      </c>
      <c r="B158" t="s">
        <v>1</v>
      </c>
      <c r="C158">
        <v>25984</v>
      </c>
      <c r="D158">
        <v>128</v>
      </c>
      <c r="E158">
        <v>2</v>
      </c>
      <c r="F158">
        <v>8</v>
      </c>
      <c r="G158" s="16">
        <v>1370.27</v>
      </c>
      <c r="H158" s="3">
        <v>8.5360999999999994</v>
      </c>
      <c r="I158" s="1">
        <v>45318</v>
      </c>
      <c r="J158" s="37">
        <v>0.29668981481481482</v>
      </c>
      <c r="K158">
        <v>0</v>
      </c>
      <c r="L158">
        <v>0</v>
      </c>
      <c r="M158">
        <v>0</v>
      </c>
      <c r="N158">
        <v>0</v>
      </c>
      <c r="O158">
        <v>0</v>
      </c>
      <c r="P158">
        <v>0</v>
      </c>
      <c r="Q158">
        <v>0</v>
      </c>
      <c r="R158">
        <v>0</v>
      </c>
      <c r="S158">
        <v>0</v>
      </c>
      <c r="T158">
        <v>0</v>
      </c>
      <c r="U158">
        <v>0</v>
      </c>
      <c r="V158">
        <v>0</v>
      </c>
      <c r="W158" s="3">
        <f>W157</f>
        <v>8.8095400000000001</v>
      </c>
      <c r="X158" s="30"/>
      <c r="Y158">
        <v>4</v>
      </c>
      <c r="Z158" t="s">
        <v>1</v>
      </c>
      <c r="AA158">
        <v>25984</v>
      </c>
      <c r="AB158">
        <v>128</v>
      </c>
      <c r="AC158">
        <v>2</v>
      </c>
      <c r="AD158">
        <v>8</v>
      </c>
      <c r="AE158" s="16">
        <v>1211.74</v>
      </c>
      <c r="AF158" s="3">
        <v>9.6529000000000007</v>
      </c>
      <c r="AG158" s="1">
        <v>45323</v>
      </c>
      <c r="AH158" s="2">
        <v>0.42084490740740743</v>
      </c>
      <c r="AI158">
        <v>0</v>
      </c>
      <c r="AJ158">
        <v>0</v>
      </c>
      <c r="AK158">
        <v>0</v>
      </c>
      <c r="AL158">
        <v>0</v>
      </c>
      <c r="AM158">
        <v>0</v>
      </c>
      <c r="AN158">
        <v>0</v>
      </c>
      <c r="AO158">
        <v>0</v>
      </c>
      <c r="AP158">
        <v>0</v>
      </c>
      <c r="AQ158">
        <v>0</v>
      </c>
      <c r="AR158">
        <v>0</v>
      </c>
      <c r="AS158">
        <v>0</v>
      </c>
      <c r="AT158">
        <v>0</v>
      </c>
      <c r="AU158" s="3">
        <f>AU157</f>
        <v>9.6521400000000011</v>
      </c>
    </row>
    <row r="159" spans="1:47" x14ac:dyDescent="0.25">
      <c r="A159">
        <v>0</v>
      </c>
      <c r="B159" t="s">
        <v>1</v>
      </c>
      <c r="C159">
        <v>27520</v>
      </c>
      <c r="D159">
        <v>128</v>
      </c>
      <c r="E159">
        <v>2</v>
      </c>
      <c r="F159">
        <v>8</v>
      </c>
      <c r="G159" s="16">
        <v>1636.77</v>
      </c>
      <c r="H159" s="3">
        <v>8.4899000000000004</v>
      </c>
      <c r="I159" s="1">
        <v>45320</v>
      </c>
      <c r="J159" s="37">
        <v>0.33233796296296297</v>
      </c>
      <c r="K159">
        <v>0</v>
      </c>
      <c r="L159">
        <v>0</v>
      </c>
      <c r="M159">
        <v>0</v>
      </c>
      <c r="N159">
        <v>0</v>
      </c>
      <c r="O159">
        <v>0</v>
      </c>
      <c r="P159">
        <v>0</v>
      </c>
      <c r="Q159">
        <v>0</v>
      </c>
      <c r="R159">
        <v>0</v>
      </c>
      <c r="S159">
        <v>0</v>
      </c>
      <c r="T159">
        <v>0</v>
      </c>
      <c r="U159">
        <v>0</v>
      </c>
      <c r="V159">
        <v>0</v>
      </c>
      <c r="W159" s="3">
        <f>AVERAGE(H129:H133)</f>
        <v>8.7946200000000001</v>
      </c>
      <c r="X159" s="30"/>
      <c r="Y159">
        <v>0</v>
      </c>
      <c r="Z159" t="s">
        <v>1</v>
      </c>
      <c r="AA159">
        <v>27520</v>
      </c>
      <c r="AB159">
        <v>128</v>
      </c>
      <c r="AC159">
        <v>2</v>
      </c>
      <c r="AD159">
        <v>8</v>
      </c>
      <c r="AE159" s="16">
        <v>1435.85</v>
      </c>
      <c r="AF159" s="3">
        <v>9.6778999999999993</v>
      </c>
      <c r="AG159" s="1">
        <v>45319</v>
      </c>
      <c r="AH159" s="2">
        <v>0.73824074074074064</v>
      </c>
      <c r="AI159">
        <v>0</v>
      </c>
      <c r="AJ159">
        <v>0</v>
      </c>
      <c r="AK159">
        <v>0</v>
      </c>
      <c r="AL159">
        <v>0</v>
      </c>
      <c r="AM159">
        <v>0</v>
      </c>
      <c r="AN159">
        <v>0</v>
      </c>
      <c r="AO159">
        <v>0</v>
      </c>
      <c r="AP159">
        <v>0</v>
      </c>
      <c r="AQ159">
        <v>0</v>
      </c>
      <c r="AR159">
        <v>0</v>
      </c>
      <c r="AS159">
        <v>0</v>
      </c>
      <c r="AT159">
        <v>0</v>
      </c>
      <c r="AU159" s="3">
        <f>AVERAGE(AF159:AF163)</f>
        <v>9.6756799999999998</v>
      </c>
    </row>
    <row r="160" spans="1:47" x14ac:dyDescent="0.25">
      <c r="A160">
        <v>1</v>
      </c>
      <c r="B160" t="s">
        <v>1</v>
      </c>
      <c r="C160">
        <v>27520</v>
      </c>
      <c r="D160">
        <v>128</v>
      </c>
      <c r="E160">
        <v>2</v>
      </c>
      <c r="F160">
        <v>8</v>
      </c>
      <c r="G160" s="16">
        <v>1634.98</v>
      </c>
      <c r="H160" s="3">
        <v>8.4992000000000001</v>
      </c>
      <c r="I160" s="1">
        <v>45321</v>
      </c>
      <c r="J160" s="37">
        <v>0.20217592592592593</v>
      </c>
      <c r="K160">
        <v>0</v>
      </c>
      <c r="L160">
        <v>0</v>
      </c>
      <c r="M160">
        <v>0</v>
      </c>
      <c r="N160">
        <v>0</v>
      </c>
      <c r="O160">
        <v>0</v>
      </c>
      <c r="P160">
        <v>0</v>
      </c>
      <c r="Q160">
        <v>0</v>
      </c>
      <c r="R160">
        <v>0</v>
      </c>
      <c r="S160">
        <v>0</v>
      </c>
      <c r="T160">
        <v>0</v>
      </c>
      <c r="U160">
        <v>0</v>
      </c>
      <c r="V160">
        <v>0</v>
      </c>
      <c r="W160" s="3">
        <f>W159</f>
        <v>8.7946200000000001</v>
      </c>
      <c r="X160" s="30"/>
      <c r="Y160">
        <v>1</v>
      </c>
      <c r="Z160" t="s">
        <v>1</v>
      </c>
      <c r="AA160">
        <v>27520</v>
      </c>
      <c r="AB160">
        <v>128</v>
      </c>
      <c r="AC160">
        <v>2</v>
      </c>
      <c r="AD160">
        <v>8</v>
      </c>
      <c r="AE160" s="16">
        <v>1436.03</v>
      </c>
      <c r="AF160" s="3">
        <v>9.6767000000000003</v>
      </c>
      <c r="AG160" s="1">
        <v>45320</v>
      </c>
      <c r="AH160" s="2">
        <v>0.66528935185185178</v>
      </c>
      <c r="AI160">
        <v>0</v>
      </c>
      <c r="AJ160">
        <v>0</v>
      </c>
      <c r="AK160">
        <v>0</v>
      </c>
      <c r="AL160">
        <v>0</v>
      </c>
      <c r="AM160">
        <v>0</v>
      </c>
      <c r="AN160">
        <v>0</v>
      </c>
      <c r="AO160">
        <v>0</v>
      </c>
      <c r="AP160">
        <v>0</v>
      </c>
      <c r="AQ160">
        <v>0</v>
      </c>
      <c r="AR160">
        <v>0</v>
      </c>
      <c r="AS160">
        <v>0</v>
      </c>
      <c r="AT160">
        <v>0</v>
      </c>
      <c r="AU160" s="3">
        <f>AU159</f>
        <v>9.6756799999999998</v>
      </c>
    </row>
    <row r="161" spans="1:47" x14ac:dyDescent="0.25">
      <c r="A161">
        <v>2</v>
      </c>
      <c r="B161" t="s">
        <v>1</v>
      </c>
      <c r="C161">
        <v>27520</v>
      </c>
      <c r="D161">
        <v>128</v>
      </c>
      <c r="E161">
        <v>2</v>
      </c>
      <c r="F161">
        <v>8</v>
      </c>
      <c r="G161" s="16">
        <v>1635.65</v>
      </c>
      <c r="H161" s="3">
        <v>8.4956999999999994</v>
      </c>
      <c r="I161" s="1">
        <v>45322</v>
      </c>
      <c r="J161" s="37">
        <v>7.2060185185185185E-2</v>
      </c>
      <c r="K161">
        <v>0</v>
      </c>
      <c r="L161">
        <v>0</v>
      </c>
      <c r="M161">
        <v>0</v>
      </c>
      <c r="N161">
        <v>0</v>
      </c>
      <c r="O161">
        <v>0</v>
      </c>
      <c r="P161">
        <v>0</v>
      </c>
      <c r="Q161">
        <v>0</v>
      </c>
      <c r="R161">
        <v>0</v>
      </c>
      <c r="S161">
        <v>0</v>
      </c>
      <c r="T161">
        <v>0</v>
      </c>
      <c r="U161">
        <v>0</v>
      </c>
      <c r="V161">
        <v>0</v>
      </c>
      <c r="W161" s="3">
        <f>W160</f>
        <v>8.7946200000000001</v>
      </c>
      <c r="X161" s="30"/>
      <c r="Y161">
        <v>2</v>
      </c>
      <c r="Z161" t="s">
        <v>1</v>
      </c>
      <c r="AA161">
        <v>27520</v>
      </c>
      <c r="AB161">
        <v>128</v>
      </c>
      <c r="AC161">
        <v>2</v>
      </c>
      <c r="AD161">
        <v>8</v>
      </c>
      <c r="AE161" s="16">
        <v>1436.15</v>
      </c>
      <c r="AF161" s="3">
        <v>9.6758000000000006</v>
      </c>
      <c r="AG161" s="1">
        <v>45321</v>
      </c>
      <c r="AH161" s="2">
        <v>0.49866898148148148</v>
      </c>
      <c r="AI161">
        <v>0</v>
      </c>
      <c r="AJ161">
        <v>0</v>
      </c>
      <c r="AK161">
        <v>0</v>
      </c>
      <c r="AL161">
        <v>0</v>
      </c>
      <c r="AM161">
        <v>0</v>
      </c>
      <c r="AN161">
        <v>0</v>
      </c>
      <c r="AO161">
        <v>0</v>
      </c>
      <c r="AP161">
        <v>0</v>
      </c>
      <c r="AQ161">
        <v>0</v>
      </c>
      <c r="AR161">
        <v>0</v>
      </c>
      <c r="AS161">
        <v>0</v>
      </c>
      <c r="AT161">
        <v>0</v>
      </c>
      <c r="AU161" s="3">
        <f>AU160</f>
        <v>9.6756799999999998</v>
      </c>
    </row>
    <row r="162" spans="1:47" x14ac:dyDescent="0.25">
      <c r="A162">
        <v>3</v>
      </c>
      <c r="B162" t="s">
        <v>1</v>
      </c>
      <c r="C162">
        <v>27520</v>
      </c>
      <c r="D162">
        <v>128</v>
      </c>
      <c r="E162">
        <v>2</v>
      </c>
      <c r="F162">
        <v>8</v>
      </c>
      <c r="G162" s="16">
        <v>1636.03</v>
      </c>
      <c r="H162" s="3">
        <v>8.4937000000000005</v>
      </c>
      <c r="I162" s="1">
        <v>45322</v>
      </c>
      <c r="J162" s="37">
        <v>0.94187500000000002</v>
      </c>
      <c r="K162">
        <v>0</v>
      </c>
      <c r="L162">
        <v>0</v>
      </c>
      <c r="M162">
        <v>0</v>
      </c>
      <c r="N162">
        <v>0</v>
      </c>
      <c r="O162">
        <v>0</v>
      </c>
      <c r="P162">
        <v>0</v>
      </c>
      <c r="Q162">
        <v>0</v>
      </c>
      <c r="R162">
        <v>0</v>
      </c>
      <c r="S162">
        <v>0</v>
      </c>
      <c r="T162">
        <v>0</v>
      </c>
      <c r="U162">
        <v>0</v>
      </c>
      <c r="V162">
        <v>0</v>
      </c>
      <c r="W162" s="3">
        <f>W161</f>
        <v>8.7946200000000001</v>
      </c>
      <c r="X162" s="30"/>
      <c r="Y162">
        <v>3</v>
      </c>
      <c r="Z162" t="s">
        <v>1</v>
      </c>
      <c r="AA162">
        <v>27520</v>
      </c>
      <c r="AB162">
        <v>128</v>
      </c>
      <c r="AC162">
        <v>2</v>
      </c>
      <c r="AD162">
        <v>8</v>
      </c>
      <c r="AE162" s="16">
        <v>1436.48</v>
      </c>
      <c r="AF162" s="3">
        <v>9.6737000000000002</v>
      </c>
      <c r="AG162" s="1">
        <v>45322</v>
      </c>
      <c r="AH162" s="2">
        <v>0.33248842592592592</v>
      </c>
      <c r="AI162">
        <v>0</v>
      </c>
      <c r="AJ162">
        <v>0</v>
      </c>
      <c r="AK162">
        <v>0</v>
      </c>
      <c r="AL162">
        <v>0</v>
      </c>
      <c r="AM162">
        <v>0</v>
      </c>
      <c r="AN162">
        <v>0</v>
      </c>
      <c r="AO162">
        <v>0</v>
      </c>
      <c r="AP162">
        <v>0</v>
      </c>
      <c r="AQ162">
        <v>0</v>
      </c>
      <c r="AR162">
        <v>0</v>
      </c>
      <c r="AS162">
        <v>0</v>
      </c>
      <c r="AT162">
        <v>0</v>
      </c>
      <c r="AU162" s="3">
        <f>AU161</f>
        <v>9.6756799999999998</v>
      </c>
    </row>
    <row r="163" spans="1:47" x14ac:dyDescent="0.25">
      <c r="A163">
        <v>4</v>
      </c>
      <c r="B163" t="s">
        <v>1</v>
      </c>
      <c r="C163">
        <v>27520</v>
      </c>
      <c r="D163">
        <v>128</v>
      </c>
      <c r="E163">
        <v>2</v>
      </c>
      <c r="F163">
        <v>8</v>
      </c>
      <c r="G163" s="16">
        <v>1635.5</v>
      </c>
      <c r="H163" s="3">
        <v>8.4964999999999993</v>
      </c>
      <c r="I163" s="1">
        <v>45318</v>
      </c>
      <c r="J163" s="37">
        <v>3.2245370370370369E-2</v>
      </c>
      <c r="K163">
        <v>0</v>
      </c>
      <c r="L163">
        <v>0</v>
      </c>
      <c r="M163">
        <v>0</v>
      </c>
      <c r="N163">
        <v>0</v>
      </c>
      <c r="O163">
        <v>0</v>
      </c>
      <c r="P163">
        <v>0</v>
      </c>
      <c r="Q163">
        <v>0</v>
      </c>
      <c r="R163">
        <v>0</v>
      </c>
      <c r="S163">
        <v>0</v>
      </c>
      <c r="T163">
        <v>0</v>
      </c>
      <c r="U163">
        <v>0</v>
      </c>
      <c r="V163">
        <v>0</v>
      </c>
      <c r="W163" s="3">
        <f>W162</f>
        <v>8.7946200000000001</v>
      </c>
      <c r="X163" s="30"/>
      <c r="Y163">
        <v>4</v>
      </c>
      <c r="Z163" t="s">
        <v>1</v>
      </c>
      <c r="AA163">
        <v>27520</v>
      </c>
      <c r="AB163">
        <v>128</v>
      </c>
      <c r="AC163">
        <v>2</v>
      </c>
      <c r="AD163">
        <v>8</v>
      </c>
      <c r="AE163" s="16">
        <v>1436.38</v>
      </c>
      <c r="AF163" s="3">
        <v>9.6743000000000006</v>
      </c>
      <c r="AG163" s="1">
        <v>45323</v>
      </c>
      <c r="AH163" s="2">
        <v>0.16663194444444443</v>
      </c>
      <c r="AI163">
        <v>0</v>
      </c>
      <c r="AJ163">
        <v>0</v>
      </c>
      <c r="AK163">
        <v>0</v>
      </c>
      <c r="AL163">
        <v>0</v>
      </c>
      <c r="AM163">
        <v>0</v>
      </c>
      <c r="AN163">
        <v>0</v>
      </c>
      <c r="AO163">
        <v>0</v>
      </c>
      <c r="AP163">
        <v>0</v>
      </c>
      <c r="AQ163">
        <v>0</v>
      </c>
      <c r="AR163">
        <v>0</v>
      </c>
      <c r="AS163">
        <v>0</v>
      </c>
      <c r="AT163">
        <v>0</v>
      </c>
      <c r="AU163" s="3">
        <f>AU162</f>
        <v>9.6756799999999998</v>
      </c>
    </row>
    <row r="164" spans="1:47" x14ac:dyDescent="0.25">
      <c r="A164">
        <v>0</v>
      </c>
      <c r="B164" t="s">
        <v>1</v>
      </c>
      <c r="C164">
        <v>29056</v>
      </c>
      <c r="D164">
        <v>128</v>
      </c>
      <c r="E164">
        <v>2</v>
      </c>
      <c r="F164">
        <v>8</v>
      </c>
      <c r="G164" s="16">
        <v>1889.39</v>
      </c>
      <c r="H164" s="3">
        <v>8.6562000000000001</v>
      </c>
      <c r="I164" s="1">
        <v>45320</v>
      </c>
      <c r="J164" s="37">
        <v>0.8908449074074074</v>
      </c>
      <c r="K164">
        <v>0</v>
      </c>
      <c r="L164">
        <v>0</v>
      </c>
      <c r="M164">
        <v>0</v>
      </c>
      <c r="N164">
        <v>0</v>
      </c>
      <c r="O164">
        <v>0</v>
      </c>
      <c r="P164">
        <v>0</v>
      </c>
      <c r="Q164">
        <v>0</v>
      </c>
      <c r="R164">
        <v>0</v>
      </c>
      <c r="S164">
        <v>0</v>
      </c>
      <c r="T164">
        <v>0</v>
      </c>
      <c r="U164">
        <v>0</v>
      </c>
      <c r="V164">
        <v>0</v>
      </c>
      <c r="W164" s="3">
        <f>AVERAGE(H134:H138)</f>
        <v>8.9261999999999997</v>
      </c>
      <c r="X164" s="30"/>
      <c r="Y164">
        <v>0</v>
      </c>
      <c r="Z164" t="s">
        <v>1</v>
      </c>
      <c r="AA164">
        <v>29056</v>
      </c>
      <c r="AB164">
        <v>128</v>
      </c>
      <c r="AC164">
        <v>2</v>
      </c>
      <c r="AD164">
        <v>8</v>
      </c>
      <c r="AE164" s="16">
        <v>1671.36</v>
      </c>
      <c r="AF164" s="3">
        <v>9.7853999999999992</v>
      </c>
      <c r="AG164" s="1">
        <v>45320</v>
      </c>
      <c r="AH164" s="2">
        <v>0.2739699074074074</v>
      </c>
      <c r="AI164">
        <v>0</v>
      </c>
      <c r="AJ164">
        <v>0</v>
      </c>
      <c r="AK164">
        <v>0</v>
      </c>
      <c r="AL164">
        <v>0</v>
      </c>
      <c r="AM164">
        <v>0</v>
      </c>
      <c r="AN164">
        <v>0</v>
      </c>
      <c r="AO164">
        <v>0</v>
      </c>
      <c r="AP164">
        <v>0</v>
      </c>
      <c r="AQ164">
        <v>0</v>
      </c>
      <c r="AR164">
        <v>0</v>
      </c>
      <c r="AS164">
        <v>0</v>
      </c>
      <c r="AT164">
        <v>0</v>
      </c>
      <c r="AU164" s="3">
        <f>AVERAGE(AF164:AF168)</f>
        <v>9.790519999999999</v>
      </c>
    </row>
    <row r="165" spans="1:47" x14ac:dyDescent="0.25">
      <c r="A165">
        <v>1</v>
      </c>
      <c r="B165" t="s">
        <v>1</v>
      </c>
      <c r="C165">
        <v>29056</v>
      </c>
      <c r="D165">
        <v>128</v>
      </c>
      <c r="E165">
        <v>2</v>
      </c>
      <c r="F165">
        <v>8</v>
      </c>
      <c r="G165" s="16">
        <v>1890.5</v>
      </c>
      <c r="H165" s="3">
        <v>8.6510999999999996</v>
      </c>
      <c r="I165" s="1">
        <v>45321</v>
      </c>
      <c r="J165" s="37">
        <v>0.76072916666666668</v>
      </c>
      <c r="K165">
        <v>0</v>
      </c>
      <c r="L165">
        <v>0</v>
      </c>
      <c r="M165">
        <v>0</v>
      </c>
      <c r="N165">
        <v>0</v>
      </c>
      <c r="O165">
        <v>0</v>
      </c>
      <c r="P165">
        <v>0</v>
      </c>
      <c r="Q165">
        <v>0</v>
      </c>
      <c r="R165">
        <v>0</v>
      </c>
      <c r="S165">
        <v>0</v>
      </c>
      <c r="T165">
        <v>0</v>
      </c>
      <c r="U165">
        <v>0</v>
      </c>
      <c r="V165">
        <v>0</v>
      </c>
      <c r="W165" s="3">
        <f>W164</f>
        <v>8.9261999999999997</v>
      </c>
      <c r="X165" s="30"/>
      <c r="Y165">
        <v>1</v>
      </c>
      <c r="Z165" t="s">
        <v>1</v>
      </c>
      <c r="AA165">
        <v>29056</v>
      </c>
      <c r="AB165">
        <v>128</v>
      </c>
      <c r="AC165">
        <v>2</v>
      </c>
      <c r="AD165">
        <v>8</v>
      </c>
      <c r="AE165" s="16">
        <v>1669.61</v>
      </c>
      <c r="AF165" s="3">
        <v>9.7957000000000001</v>
      </c>
      <c r="AG165" s="1">
        <v>45321</v>
      </c>
      <c r="AH165" s="2">
        <v>0.20125000000000001</v>
      </c>
      <c r="AI165">
        <v>0</v>
      </c>
      <c r="AJ165">
        <v>0</v>
      </c>
      <c r="AK165">
        <v>0</v>
      </c>
      <c r="AL165">
        <v>0</v>
      </c>
      <c r="AM165">
        <v>0</v>
      </c>
      <c r="AN165">
        <v>0</v>
      </c>
      <c r="AO165">
        <v>0</v>
      </c>
      <c r="AP165">
        <v>0</v>
      </c>
      <c r="AQ165">
        <v>0</v>
      </c>
      <c r="AR165">
        <v>0</v>
      </c>
      <c r="AS165">
        <v>0</v>
      </c>
      <c r="AT165">
        <v>0</v>
      </c>
      <c r="AU165" s="3">
        <f>AU164</f>
        <v>9.790519999999999</v>
      </c>
    </row>
    <row r="166" spans="1:47" x14ac:dyDescent="0.25">
      <c r="A166">
        <v>2</v>
      </c>
      <c r="B166" t="s">
        <v>1</v>
      </c>
      <c r="C166">
        <v>29056</v>
      </c>
      <c r="D166">
        <v>128</v>
      </c>
      <c r="E166">
        <v>2</v>
      </c>
      <c r="F166">
        <v>8</v>
      </c>
      <c r="G166" s="16">
        <v>1888.56</v>
      </c>
      <c r="H166" s="3">
        <v>8.66</v>
      </c>
      <c r="I166" s="1">
        <v>45322</v>
      </c>
      <c r="J166" s="37">
        <v>0.63052083333333331</v>
      </c>
      <c r="K166">
        <v>0</v>
      </c>
      <c r="L166">
        <v>0</v>
      </c>
      <c r="M166">
        <v>0</v>
      </c>
      <c r="N166">
        <v>0</v>
      </c>
      <c r="O166">
        <v>0</v>
      </c>
      <c r="P166">
        <v>0</v>
      </c>
      <c r="Q166">
        <v>0</v>
      </c>
      <c r="R166">
        <v>0</v>
      </c>
      <c r="S166">
        <v>0</v>
      </c>
      <c r="T166">
        <v>0</v>
      </c>
      <c r="U166">
        <v>0</v>
      </c>
      <c r="V166">
        <v>0</v>
      </c>
      <c r="W166" s="3">
        <f>W165</f>
        <v>8.9261999999999997</v>
      </c>
      <c r="X166" s="30"/>
      <c r="Y166">
        <v>2</v>
      </c>
      <c r="Z166" t="s">
        <v>1</v>
      </c>
      <c r="AA166">
        <v>29056</v>
      </c>
      <c r="AB166">
        <v>128</v>
      </c>
      <c r="AC166">
        <v>2</v>
      </c>
      <c r="AD166">
        <v>8</v>
      </c>
      <c r="AE166" s="16">
        <v>1670.54</v>
      </c>
      <c r="AF166" s="3">
        <v>9.7902000000000005</v>
      </c>
      <c r="AG166" s="1">
        <v>45322</v>
      </c>
      <c r="AH166" s="2">
        <v>3.516203703703704E-2</v>
      </c>
      <c r="AI166">
        <v>0</v>
      </c>
      <c r="AJ166">
        <v>0</v>
      </c>
      <c r="AK166">
        <v>0</v>
      </c>
      <c r="AL166">
        <v>0</v>
      </c>
      <c r="AM166">
        <v>0</v>
      </c>
      <c r="AN166">
        <v>0</v>
      </c>
      <c r="AO166">
        <v>0</v>
      </c>
      <c r="AP166">
        <v>0</v>
      </c>
      <c r="AQ166">
        <v>0</v>
      </c>
      <c r="AR166">
        <v>0</v>
      </c>
      <c r="AS166">
        <v>0</v>
      </c>
      <c r="AT166">
        <v>0</v>
      </c>
      <c r="AU166" s="3">
        <f>AU165</f>
        <v>9.790519999999999</v>
      </c>
    </row>
    <row r="167" spans="1:47" x14ac:dyDescent="0.25">
      <c r="A167">
        <v>3</v>
      </c>
      <c r="B167" t="s">
        <v>1</v>
      </c>
      <c r="C167">
        <v>29056</v>
      </c>
      <c r="D167">
        <v>128</v>
      </c>
      <c r="E167">
        <v>2</v>
      </c>
      <c r="F167">
        <v>8</v>
      </c>
      <c r="G167" s="16">
        <v>1890.46</v>
      </c>
      <c r="H167" s="3">
        <v>8.6513000000000009</v>
      </c>
      <c r="I167" s="1">
        <v>45323</v>
      </c>
      <c r="J167" s="37">
        <v>0.48745370370370367</v>
      </c>
      <c r="K167">
        <v>0</v>
      </c>
      <c r="L167">
        <v>0</v>
      </c>
      <c r="M167">
        <v>0</v>
      </c>
      <c r="N167">
        <v>0</v>
      </c>
      <c r="O167">
        <v>0</v>
      </c>
      <c r="P167">
        <v>0</v>
      </c>
      <c r="Q167">
        <v>0</v>
      </c>
      <c r="R167">
        <v>0</v>
      </c>
      <c r="S167">
        <v>0</v>
      </c>
      <c r="T167">
        <v>0</v>
      </c>
      <c r="U167">
        <v>0</v>
      </c>
      <c r="V167">
        <v>0</v>
      </c>
      <c r="W167" s="3">
        <f>W166</f>
        <v>8.9261999999999997</v>
      </c>
      <c r="X167" s="30"/>
      <c r="Y167">
        <v>3</v>
      </c>
      <c r="Z167" t="s">
        <v>1</v>
      </c>
      <c r="AA167">
        <v>29056</v>
      </c>
      <c r="AB167">
        <v>128</v>
      </c>
      <c r="AC167">
        <v>2</v>
      </c>
      <c r="AD167">
        <v>8</v>
      </c>
      <c r="AE167" s="16">
        <v>1670.87</v>
      </c>
      <c r="AF167" s="3">
        <v>9.7882999999999996</v>
      </c>
      <c r="AG167" s="1">
        <v>45322</v>
      </c>
      <c r="AH167" s="2">
        <v>0.86908564814814815</v>
      </c>
      <c r="AI167">
        <v>0</v>
      </c>
      <c r="AJ167">
        <v>0</v>
      </c>
      <c r="AK167">
        <v>0</v>
      </c>
      <c r="AL167">
        <v>0</v>
      </c>
      <c r="AM167">
        <v>0</v>
      </c>
      <c r="AN167">
        <v>0</v>
      </c>
      <c r="AO167">
        <v>0</v>
      </c>
      <c r="AP167">
        <v>0</v>
      </c>
      <c r="AQ167">
        <v>0</v>
      </c>
      <c r="AR167">
        <v>0</v>
      </c>
      <c r="AS167">
        <v>0</v>
      </c>
      <c r="AT167">
        <v>0</v>
      </c>
      <c r="AU167" s="3">
        <f>AU166</f>
        <v>9.790519999999999</v>
      </c>
    </row>
    <row r="168" spans="1:47" x14ac:dyDescent="0.25">
      <c r="A168">
        <v>4</v>
      </c>
      <c r="B168" t="s">
        <v>1</v>
      </c>
      <c r="C168">
        <v>29056</v>
      </c>
      <c r="D168">
        <v>128</v>
      </c>
      <c r="E168">
        <v>2</v>
      </c>
      <c r="F168">
        <v>8</v>
      </c>
      <c r="G168" s="16">
        <v>1888.99</v>
      </c>
      <c r="H168" s="3">
        <v>8.6580999999999992</v>
      </c>
      <c r="I168" s="1">
        <v>45318</v>
      </c>
      <c r="J168" s="37">
        <v>0.59064814814814814</v>
      </c>
      <c r="K168">
        <v>0</v>
      </c>
      <c r="L168">
        <v>0</v>
      </c>
      <c r="M168">
        <v>0</v>
      </c>
      <c r="N168">
        <v>0</v>
      </c>
      <c r="O168">
        <v>0</v>
      </c>
      <c r="P168">
        <v>0</v>
      </c>
      <c r="Q168">
        <v>0</v>
      </c>
      <c r="R168">
        <v>0</v>
      </c>
      <c r="S168">
        <v>0</v>
      </c>
      <c r="T168">
        <v>0</v>
      </c>
      <c r="U168">
        <v>0</v>
      </c>
      <c r="V168">
        <v>0</v>
      </c>
      <c r="W168" s="3">
        <f>W167</f>
        <v>8.9261999999999997</v>
      </c>
      <c r="X168" s="30"/>
      <c r="Y168">
        <v>4</v>
      </c>
      <c r="Z168" t="s">
        <v>1</v>
      </c>
      <c r="AA168">
        <v>29056</v>
      </c>
      <c r="AB168">
        <v>128</v>
      </c>
      <c r="AC168">
        <v>2</v>
      </c>
      <c r="AD168">
        <v>8</v>
      </c>
      <c r="AE168" s="16">
        <v>1670.08</v>
      </c>
      <c r="AF168" s="3">
        <v>9.7929999999999993</v>
      </c>
      <c r="AG168" s="1">
        <v>45323</v>
      </c>
      <c r="AH168" s="2">
        <v>0.70357638888888896</v>
      </c>
      <c r="AI168">
        <v>0</v>
      </c>
      <c r="AJ168">
        <v>0</v>
      </c>
      <c r="AK168">
        <v>0</v>
      </c>
      <c r="AL168">
        <v>0</v>
      </c>
      <c r="AM168">
        <v>0</v>
      </c>
      <c r="AN168">
        <v>0</v>
      </c>
      <c r="AO168">
        <v>0</v>
      </c>
      <c r="AP168">
        <v>0</v>
      </c>
      <c r="AQ168">
        <v>0</v>
      </c>
      <c r="AR168">
        <v>0</v>
      </c>
      <c r="AS168">
        <v>0</v>
      </c>
      <c r="AT168">
        <v>0</v>
      </c>
      <c r="AU168" s="3">
        <f>AU167</f>
        <v>9.790519999999999</v>
      </c>
    </row>
    <row r="169" spans="1:47" x14ac:dyDescent="0.25">
      <c r="A169">
        <v>0</v>
      </c>
      <c r="B169" t="s">
        <v>1</v>
      </c>
      <c r="C169">
        <v>25984</v>
      </c>
      <c r="D169">
        <v>128</v>
      </c>
      <c r="E169">
        <v>4</v>
      </c>
      <c r="F169">
        <v>4</v>
      </c>
      <c r="G169" s="16">
        <v>1337.17</v>
      </c>
      <c r="H169" s="3">
        <v>8.7474000000000007</v>
      </c>
      <c r="I169" s="1">
        <v>45320</v>
      </c>
      <c r="J169" s="37">
        <v>0.61262731481481481</v>
      </c>
      <c r="K169">
        <v>0</v>
      </c>
      <c r="L169">
        <v>0</v>
      </c>
      <c r="M169">
        <v>0</v>
      </c>
      <c r="N169">
        <v>0</v>
      </c>
      <c r="O169">
        <v>0</v>
      </c>
      <c r="P169">
        <v>0</v>
      </c>
      <c r="Q169">
        <v>0</v>
      </c>
      <c r="R169">
        <v>0</v>
      </c>
      <c r="S169">
        <v>0</v>
      </c>
      <c r="T169">
        <v>0</v>
      </c>
      <c r="U169">
        <v>0</v>
      </c>
      <c r="V169">
        <v>0</v>
      </c>
      <c r="W169" s="3">
        <f>AVERAGE(H394:H398)</f>
        <v>8.4120399999999993</v>
      </c>
      <c r="X169" s="30"/>
      <c r="Y169">
        <v>0</v>
      </c>
      <c r="Z169" t="s">
        <v>1</v>
      </c>
      <c r="AA169">
        <v>25984</v>
      </c>
      <c r="AB169">
        <v>128</v>
      </c>
      <c r="AC169">
        <v>4</v>
      </c>
      <c r="AD169">
        <v>4</v>
      </c>
      <c r="AE169" s="16">
        <v>1216.3599999999999</v>
      </c>
      <c r="AF169" s="3">
        <v>9.6160999999999994</v>
      </c>
      <c r="AG169" s="1">
        <v>45320</v>
      </c>
      <c r="AH169" s="2">
        <v>7.4652777777777781E-3</v>
      </c>
      <c r="AI169">
        <v>0</v>
      </c>
      <c r="AJ169">
        <v>0</v>
      </c>
      <c r="AK169">
        <v>0</v>
      </c>
      <c r="AL169">
        <v>0</v>
      </c>
      <c r="AM169">
        <v>0</v>
      </c>
      <c r="AN169">
        <v>0</v>
      </c>
      <c r="AO169">
        <v>0</v>
      </c>
      <c r="AP169">
        <v>0</v>
      </c>
      <c r="AQ169">
        <v>0</v>
      </c>
      <c r="AR169">
        <v>0</v>
      </c>
      <c r="AS169">
        <v>0</v>
      </c>
      <c r="AT169">
        <v>0</v>
      </c>
      <c r="AU169" s="3">
        <f>AVERAGE(AF169:AF173)</f>
        <v>9.59572</v>
      </c>
    </row>
    <row r="170" spans="1:47" x14ac:dyDescent="0.25">
      <c r="A170">
        <v>1</v>
      </c>
      <c r="B170" t="s">
        <v>1</v>
      </c>
      <c r="C170">
        <v>25984</v>
      </c>
      <c r="D170">
        <v>128</v>
      </c>
      <c r="E170">
        <v>4</v>
      </c>
      <c r="F170">
        <v>4</v>
      </c>
      <c r="G170" s="16">
        <v>1336.65</v>
      </c>
      <c r="H170" s="3">
        <v>8.7507999999999999</v>
      </c>
      <c r="I170" s="1">
        <v>45321</v>
      </c>
      <c r="J170" s="37">
        <v>0.48246527777777781</v>
      </c>
      <c r="K170">
        <v>0</v>
      </c>
      <c r="L170">
        <v>0</v>
      </c>
      <c r="M170">
        <v>0</v>
      </c>
      <c r="N170">
        <v>0</v>
      </c>
      <c r="O170">
        <v>0</v>
      </c>
      <c r="P170">
        <v>0</v>
      </c>
      <c r="Q170">
        <v>0</v>
      </c>
      <c r="R170">
        <v>0</v>
      </c>
      <c r="S170">
        <v>0</v>
      </c>
      <c r="T170">
        <v>0</v>
      </c>
      <c r="U170">
        <v>0</v>
      </c>
      <c r="V170">
        <v>0</v>
      </c>
      <c r="W170" s="3">
        <f>W169</f>
        <v>8.4120399999999993</v>
      </c>
      <c r="X170" s="30"/>
      <c r="Y170">
        <v>1</v>
      </c>
      <c r="Z170" t="s">
        <v>1</v>
      </c>
      <c r="AA170">
        <v>25984</v>
      </c>
      <c r="AB170">
        <v>128</v>
      </c>
      <c r="AC170">
        <v>4</v>
      </c>
      <c r="AD170">
        <v>4</v>
      </c>
      <c r="AE170" s="16">
        <v>1218.5999999999999</v>
      </c>
      <c r="AF170" s="3">
        <v>9.5984999999999996</v>
      </c>
      <c r="AG170" s="1">
        <v>45320</v>
      </c>
      <c r="AH170" s="2">
        <v>0.93471064814814808</v>
      </c>
      <c r="AI170">
        <v>0</v>
      </c>
      <c r="AJ170">
        <v>0</v>
      </c>
      <c r="AK170">
        <v>0</v>
      </c>
      <c r="AL170">
        <v>0</v>
      </c>
      <c r="AM170">
        <v>0</v>
      </c>
      <c r="AN170">
        <v>0</v>
      </c>
      <c r="AO170">
        <v>0</v>
      </c>
      <c r="AP170">
        <v>0</v>
      </c>
      <c r="AQ170">
        <v>0</v>
      </c>
      <c r="AR170">
        <v>0</v>
      </c>
      <c r="AS170">
        <v>0</v>
      </c>
      <c r="AT170">
        <v>0</v>
      </c>
      <c r="AU170" s="3">
        <f>AU169</f>
        <v>9.59572</v>
      </c>
    </row>
    <row r="171" spans="1:47" x14ac:dyDescent="0.25">
      <c r="A171">
        <v>2</v>
      </c>
      <c r="B171" t="s">
        <v>1</v>
      </c>
      <c r="C171">
        <v>25984</v>
      </c>
      <c r="D171">
        <v>128</v>
      </c>
      <c r="E171">
        <v>4</v>
      </c>
      <c r="F171">
        <v>4</v>
      </c>
      <c r="G171" s="16">
        <v>1337.63</v>
      </c>
      <c r="H171" s="3">
        <v>8.7444000000000006</v>
      </c>
      <c r="I171" s="1">
        <v>45322</v>
      </c>
      <c r="J171" s="37">
        <v>0.35234953703703703</v>
      </c>
      <c r="K171">
        <v>0</v>
      </c>
      <c r="L171">
        <v>0</v>
      </c>
      <c r="M171">
        <v>0</v>
      </c>
      <c r="N171">
        <v>0</v>
      </c>
      <c r="O171">
        <v>0</v>
      </c>
      <c r="P171">
        <v>0</v>
      </c>
      <c r="Q171">
        <v>0</v>
      </c>
      <c r="R171">
        <v>0</v>
      </c>
      <c r="S171">
        <v>0</v>
      </c>
      <c r="T171">
        <v>0</v>
      </c>
      <c r="U171">
        <v>0</v>
      </c>
      <c r="V171">
        <v>0</v>
      </c>
      <c r="W171" s="3">
        <f>W170</f>
        <v>8.4120399999999993</v>
      </c>
      <c r="X171" s="30"/>
      <c r="Y171">
        <v>2</v>
      </c>
      <c r="Z171" t="s">
        <v>1</v>
      </c>
      <c r="AA171">
        <v>25984</v>
      </c>
      <c r="AB171">
        <v>128</v>
      </c>
      <c r="AC171">
        <v>4</v>
      </c>
      <c r="AD171">
        <v>4</v>
      </c>
      <c r="AE171" s="16">
        <v>1217.05</v>
      </c>
      <c r="AF171" s="3">
        <v>9.6106999999999996</v>
      </c>
      <c r="AG171" s="1">
        <v>45321</v>
      </c>
      <c r="AH171" s="2">
        <v>0.76827546296296301</v>
      </c>
      <c r="AI171">
        <v>0</v>
      </c>
      <c r="AJ171">
        <v>0</v>
      </c>
      <c r="AK171">
        <v>0</v>
      </c>
      <c r="AL171">
        <v>0</v>
      </c>
      <c r="AM171">
        <v>0</v>
      </c>
      <c r="AN171">
        <v>0</v>
      </c>
      <c r="AO171">
        <v>0</v>
      </c>
      <c r="AP171">
        <v>0</v>
      </c>
      <c r="AQ171">
        <v>0</v>
      </c>
      <c r="AR171">
        <v>0</v>
      </c>
      <c r="AS171">
        <v>0</v>
      </c>
      <c r="AT171">
        <v>0</v>
      </c>
      <c r="AU171" s="3">
        <f>AU170</f>
        <v>9.59572</v>
      </c>
    </row>
    <row r="172" spans="1:47" x14ac:dyDescent="0.25">
      <c r="A172">
        <v>3</v>
      </c>
      <c r="B172" t="s">
        <v>1</v>
      </c>
      <c r="C172">
        <v>25984</v>
      </c>
      <c r="D172">
        <v>128</v>
      </c>
      <c r="E172">
        <v>4</v>
      </c>
      <c r="F172">
        <v>4</v>
      </c>
      <c r="G172" s="16">
        <v>1337.21</v>
      </c>
      <c r="H172" s="3">
        <v>8.7470999999999997</v>
      </c>
      <c r="I172" s="1">
        <v>45323</v>
      </c>
      <c r="J172" s="37">
        <v>0.20916666666666664</v>
      </c>
      <c r="K172">
        <v>0</v>
      </c>
      <c r="L172">
        <v>0</v>
      </c>
      <c r="M172">
        <v>0</v>
      </c>
      <c r="N172">
        <v>0</v>
      </c>
      <c r="O172">
        <v>0</v>
      </c>
      <c r="P172">
        <v>0</v>
      </c>
      <c r="Q172">
        <v>0</v>
      </c>
      <c r="R172">
        <v>0</v>
      </c>
      <c r="S172">
        <v>0</v>
      </c>
      <c r="T172">
        <v>0</v>
      </c>
      <c r="U172">
        <v>0</v>
      </c>
      <c r="V172">
        <v>0</v>
      </c>
      <c r="W172" s="3">
        <f>W171</f>
        <v>8.4120399999999993</v>
      </c>
      <c r="X172" s="30"/>
      <c r="Y172">
        <v>3</v>
      </c>
      <c r="Z172" t="s">
        <v>1</v>
      </c>
      <c r="AA172">
        <v>25984</v>
      </c>
      <c r="AB172">
        <v>128</v>
      </c>
      <c r="AC172">
        <v>4</v>
      </c>
      <c r="AD172">
        <v>4</v>
      </c>
      <c r="AE172" s="16">
        <v>1221.3900000000001</v>
      </c>
      <c r="AF172" s="3">
        <v>9.5765999999999991</v>
      </c>
      <c r="AG172" s="1">
        <v>45322</v>
      </c>
      <c r="AH172" s="2">
        <v>0.60221064814814818</v>
      </c>
      <c r="AI172">
        <v>0</v>
      </c>
      <c r="AJ172">
        <v>0</v>
      </c>
      <c r="AK172">
        <v>0</v>
      </c>
      <c r="AL172">
        <v>0</v>
      </c>
      <c r="AM172">
        <v>0</v>
      </c>
      <c r="AN172">
        <v>0</v>
      </c>
      <c r="AO172">
        <v>0</v>
      </c>
      <c r="AP172">
        <v>0</v>
      </c>
      <c r="AQ172">
        <v>0</v>
      </c>
      <c r="AR172">
        <v>0</v>
      </c>
      <c r="AS172">
        <v>0</v>
      </c>
      <c r="AT172">
        <v>0</v>
      </c>
      <c r="AU172" s="3">
        <f>AU171</f>
        <v>9.59572</v>
      </c>
    </row>
    <row r="173" spans="1:47" x14ac:dyDescent="0.25">
      <c r="A173">
        <v>4</v>
      </c>
      <c r="B173" t="s">
        <v>1</v>
      </c>
      <c r="C173">
        <v>25984</v>
      </c>
      <c r="D173">
        <v>128</v>
      </c>
      <c r="E173">
        <v>4</v>
      </c>
      <c r="F173">
        <v>4</v>
      </c>
      <c r="G173" s="16">
        <v>1337.21</v>
      </c>
      <c r="H173" s="3">
        <v>8.7470999999999997</v>
      </c>
      <c r="I173" s="1">
        <v>45318</v>
      </c>
      <c r="J173" s="37">
        <v>0.31247685185185187</v>
      </c>
      <c r="K173">
        <v>0</v>
      </c>
      <c r="L173">
        <v>0</v>
      </c>
      <c r="M173">
        <v>0</v>
      </c>
      <c r="N173">
        <v>0</v>
      </c>
      <c r="O173">
        <v>0</v>
      </c>
      <c r="P173">
        <v>0</v>
      </c>
      <c r="Q173">
        <v>0</v>
      </c>
      <c r="R173">
        <v>0</v>
      </c>
      <c r="S173">
        <v>0</v>
      </c>
      <c r="T173">
        <v>0</v>
      </c>
      <c r="U173">
        <v>0</v>
      </c>
      <c r="V173">
        <v>0</v>
      </c>
      <c r="W173" s="3">
        <f>W172</f>
        <v>8.4120399999999993</v>
      </c>
      <c r="X173" s="30"/>
      <c r="Y173">
        <v>4</v>
      </c>
      <c r="Z173" t="s">
        <v>1</v>
      </c>
      <c r="AA173">
        <v>25984</v>
      </c>
      <c r="AB173">
        <v>128</v>
      </c>
      <c r="AC173">
        <v>4</v>
      </c>
      <c r="AD173">
        <v>4</v>
      </c>
      <c r="AE173" s="16">
        <v>1221.3800000000001</v>
      </c>
      <c r="AF173" s="3">
        <v>9.5767000000000007</v>
      </c>
      <c r="AG173" s="1">
        <v>45323</v>
      </c>
      <c r="AH173" s="2">
        <v>0.43631944444444448</v>
      </c>
      <c r="AI173">
        <v>0</v>
      </c>
      <c r="AJ173">
        <v>0</v>
      </c>
      <c r="AK173">
        <v>0</v>
      </c>
      <c r="AL173">
        <v>0</v>
      </c>
      <c r="AM173">
        <v>0</v>
      </c>
      <c r="AN173">
        <v>0</v>
      </c>
      <c r="AO173">
        <v>0</v>
      </c>
      <c r="AP173">
        <v>0</v>
      </c>
      <c r="AQ173">
        <v>0</v>
      </c>
      <c r="AR173">
        <v>0</v>
      </c>
      <c r="AS173">
        <v>0</v>
      </c>
      <c r="AT173">
        <v>0</v>
      </c>
      <c r="AU173" s="3">
        <f>AU172</f>
        <v>9.59572</v>
      </c>
    </row>
    <row r="174" spans="1:47" x14ac:dyDescent="0.25">
      <c r="A174">
        <v>0</v>
      </c>
      <c r="B174" t="s">
        <v>1</v>
      </c>
      <c r="C174">
        <v>27520</v>
      </c>
      <c r="D174">
        <v>128</v>
      </c>
      <c r="E174">
        <v>4</v>
      </c>
      <c r="F174">
        <v>4</v>
      </c>
      <c r="G174" s="16">
        <v>1590.52</v>
      </c>
      <c r="H174" s="3">
        <v>8.7368000000000006</v>
      </c>
      <c r="I174" s="1">
        <v>45320</v>
      </c>
      <c r="J174" s="37">
        <v>0.35108796296296302</v>
      </c>
      <c r="K174">
        <v>0</v>
      </c>
      <c r="L174">
        <v>0</v>
      </c>
      <c r="M174">
        <v>0</v>
      </c>
      <c r="N174">
        <v>0</v>
      </c>
      <c r="O174">
        <v>0</v>
      </c>
      <c r="P174">
        <v>0</v>
      </c>
      <c r="Q174">
        <v>0</v>
      </c>
      <c r="R174">
        <v>0</v>
      </c>
      <c r="S174">
        <v>0</v>
      </c>
      <c r="T174">
        <v>0</v>
      </c>
      <c r="U174">
        <v>0</v>
      </c>
      <c r="V174">
        <v>0</v>
      </c>
      <c r="W174" s="3">
        <f>AVERAGE(H399:H403)</f>
        <v>8.7610200000000003</v>
      </c>
      <c r="X174" s="30"/>
      <c r="Y174">
        <v>0</v>
      </c>
      <c r="Z174" t="s">
        <v>1</v>
      </c>
      <c r="AA174">
        <v>27520</v>
      </c>
      <c r="AB174">
        <v>128</v>
      </c>
      <c r="AC174">
        <v>4</v>
      </c>
      <c r="AD174">
        <v>4</v>
      </c>
      <c r="AE174" s="16">
        <v>1435.7</v>
      </c>
      <c r="AF174" s="3">
        <v>9.6789000000000005</v>
      </c>
      <c r="AG174" s="1">
        <v>45319</v>
      </c>
      <c r="AH174" s="2">
        <v>0.75635416666666666</v>
      </c>
      <c r="AI174">
        <v>0</v>
      </c>
      <c r="AJ174">
        <v>0</v>
      </c>
      <c r="AK174">
        <v>0</v>
      </c>
      <c r="AL174">
        <v>0</v>
      </c>
      <c r="AM174">
        <v>0</v>
      </c>
      <c r="AN174">
        <v>0</v>
      </c>
      <c r="AO174">
        <v>0</v>
      </c>
      <c r="AP174">
        <v>0</v>
      </c>
      <c r="AQ174">
        <v>0</v>
      </c>
      <c r="AR174">
        <v>0</v>
      </c>
      <c r="AS174">
        <v>0</v>
      </c>
      <c r="AT174">
        <v>0</v>
      </c>
      <c r="AU174" s="3">
        <f>AVERAGE(AF174:AF178)</f>
        <v>9.677859999999999</v>
      </c>
    </row>
    <row r="175" spans="1:47" x14ac:dyDescent="0.25">
      <c r="A175">
        <v>1</v>
      </c>
      <c r="B175" t="s">
        <v>1</v>
      </c>
      <c r="C175">
        <v>27520</v>
      </c>
      <c r="D175">
        <v>128</v>
      </c>
      <c r="E175">
        <v>4</v>
      </c>
      <c r="F175">
        <v>4</v>
      </c>
      <c r="G175" s="16">
        <v>1590.91</v>
      </c>
      <c r="H175" s="3">
        <v>8.7346000000000004</v>
      </c>
      <c r="I175" s="1">
        <v>45321</v>
      </c>
      <c r="J175" s="37">
        <v>0.22093750000000001</v>
      </c>
      <c r="K175">
        <v>0</v>
      </c>
      <c r="L175">
        <v>0</v>
      </c>
      <c r="M175">
        <v>0</v>
      </c>
      <c r="N175">
        <v>0</v>
      </c>
      <c r="O175">
        <v>0</v>
      </c>
      <c r="P175">
        <v>0</v>
      </c>
      <c r="Q175">
        <v>0</v>
      </c>
      <c r="R175">
        <v>0</v>
      </c>
      <c r="S175">
        <v>0</v>
      </c>
      <c r="T175">
        <v>0</v>
      </c>
      <c r="U175">
        <v>0</v>
      </c>
      <c r="V175">
        <v>0</v>
      </c>
      <c r="W175" s="3">
        <f>W174</f>
        <v>8.7610200000000003</v>
      </c>
      <c r="X175" s="30"/>
      <c r="Y175">
        <v>1</v>
      </c>
      <c r="Z175" t="s">
        <v>1</v>
      </c>
      <c r="AA175">
        <v>27520</v>
      </c>
      <c r="AB175">
        <v>128</v>
      </c>
      <c r="AC175">
        <v>4</v>
      </c>
      <c r="AD175">
        <v>4</v>
      </c>
      <c r="AE175" s="16">
        <v>1436.15</v>
      </c>
      <c r="AF175" s="3">
        <v>9.6759000000000004</v>
      </c>
      <c r="AG175" s="1">
        <v>45320</v>
      </c>
      <c r="AH175" s="2">
        <v>0.6834027777777778</v>
      </c>
      <c r="AI175">
        <v>0</v>
      </c>
      <c r="AJ175">
        <v>0</v>
      </c>
      <c r="AK175">
        <v>0</v>
      </c>
      <c r="AL175">
        <v>0</v>
      </c>
      <c r="AM175">
        <v>0</v>
      </c>
      <c r="AN175">
        <v>0</v>
      </c>
      <c r="AO175">
        <v>0</v>
      </c>
      <c r="AP175">
        <v>0</v>
      </c>
      <c r="AQ175">
        <v>0</v>
      </c>
      <c r="AR175">
        <v>0</v>
      </c>
      <c r="AS175">
        <v>0</v>
      </c>
      <c r="AT175">
        <v>0</v>
      </c>
      <c r="AU175" s="3">
        <f>AU174</f>
        <v>9.677859999999999</v>
      </c>
    </row>
    <row r="176" spans="1:47" x14ac:dyDescent="0.25">
      <c r="A176">
        <v>2</v>
      </c>
      <c r="B176" t="s">
        <v>1</v>
      </c>
      <c r="C176">
        <v>27520</v>
      </c>
      <c r="D176">
        <v>128</v>
      </c>
      <c r="E176">
        <v>4</v>
      </c>
      <c r="F176">
        <v>4</v>
      </c>
      <c r="G176" s="16">
        <v>1590.52</v>
      </c>
      <c r="H176" s="3">
        <v>8.7368000000000006</v>
      </c>
      <c r="I176" s="1">
        <v>45322</v>
      </c>
      <c r="J176" s="37">
        <v>9.0810185185185188E-2</v>
      </c>
      <c r="K176">
        <v>0</v>
      </c>
      <c r="L176">
        <v>0</v>
      </c>
      <c r="M176">
        <v>0</v>
      </c>
      <c r="N176">
        <v>0</v>
      </c>
      <c r="O176">
        <v>0</v>
      </c>
      <c r="P176">
        <v>0</v>
      </c>
      <c r="Q176">
        <v>0</v>
      </c>
      <c r="R176">
        <v>0</v>
      </c>
      <c r="S176">
        <v>0</v>
      </c>
      <c r="T176">
        <v>0</v>
      </c>
      <c r="U176">
        <v>0</v>
      </c>
      <c r="V176">
        <v>0</v>
      </c>
      <c r="W176" s="3">
        <f>W175</f>
        <v>8.7610200000000003</v>
      </c>
      <c r="X176" s="30"/>
      <c r="Y176">
        <v>2</v>
      </c>
      <c r="Z176" t="s">
        <v>1</v>
      </c>
      <c r="AA176">
        <v>27520</v>
      </c>
      <c r="AB176">
        <v>128</v>
      </c>
      <c r="AC176">
        <v>4</v>
      </c>
      <c r="AD176">
        <v>4</v>
      </c>
      <c r="AE176" s="16">
        <v>1436.09</v>
      </c>
      <c r="AF176" s="3">
        <v>9.6761999999999997</v>
      </c>
      <c r="AG176" s="1">
        <v>45321</v>
      </c>
      <c r="AH176" s="2">
        <v>0.51679398148148148</v>
      </c>
      <c r="AI176">
        <v>0</v>
      </c>
      <c r="AJ176">
        <v>0</v>
      </c>
      <c r="AK176">
        <v>0</v>
      </c>
      <c r="AL176">
        <v>0</v>
      </c>
      <c r="AM176">
        <v>0</v>
      </c>
      <c r="AN176">
        <v>0</v>
      </c>
      <c r="AO176">
        <v>0</v>
      </c>
      <c r="AP176">
        <v>0</v>
      </c>
      <c r="AQ176">
        <v>0</v>
      </c>
      <c r="AR176">
        <v>0</v>
      </c>
      <c r="AS176">
        <v>0</v>
      </c>
      <c r="AT176">
        <v>0</v>
      </c>
      <c r="AU176" s="3">
        <f>AU175</f>
        <v>9.677859999999999</v>
      </c>
    </row>
    <row r="177" spans="1:47" x14ac:dyDescent="0.25">
      <c r="A177">
        <v>3</v>
      </c>
      <c r="B177" t="s">
        <v>1</v>
      </c>
      <c r="C177">
        <v>27520</v>
      </c>
      <c r="D177">
        <v>128</v>
      </c>
      <c r="E177">
        <v>4</v>
      </c>
      <c r="F177">
        <v>4</v>
      </c>
      <c r="G177" s="16">
        <v>1590.97</v>
      </c>
      <c r="H177" s="3">
        <v>8.7342999999999993</v>
      </c>
      <c r="I177" s="1">
        <v>45322</v>
      </c>
      <c r="J177" s="37">
        <v>0.96062499999999995</v>
      </c>
      <c r="K177">
        <v>0</v>
      </c>
      <c r="L177">
        <v>0</v>
      </c>
      <c r="M177">
        <v>0</v>
      </c>
      <c r="N177">
        <v>0</v>
      </c>
      <c r="O177">
        <v>0</v>
      </c>
      <c r="P177">
        <v>0</v>
      </c>
      <c r="Q177">
        <v>0</v>
      </c>
      <c r="R177">
        <v>0</v>
      </c>
      <c r="S177">
        <v>0</v>
      </c>
      <c r="T177">
        <v>0</v>
      </c>
      <c r="U177">
        <v>0</v>
      </c>
      <c r="V177">
        <v>0</v>
      </c>
      <c r="W177" s="3">
        <f>W176</f>
        <v>8.7610200000000003</v>
      </c>
      <c r="X177" s="30"/>
      <c r="Y177">
        <v>3</v>
      </c>
      <c r="Z177" t="s">
        <v>1</v>
      </c>
      <c r="AA177">
        <v>27520</v>
      </c>
      <c r="AB177">
        <v>128</v>
      </c>
      <c r="AC177">
        <v>4</v>
      </c>
      <c r="AD177">
        <v>4</v>
      </c>
      <c r="AE177" s="16">
        <v>1435.1</v>
      </c>
      <c r="AF177" s="3">
        <v>9.6829000000000001</v>
      </c>
      <c r="AG177" s="1">
        <v>45322</v>
      </c>
      <c r="AH177" s="2">
        <v>0.35060185185185189</v>
      </c>
      <c r="AI177">
        <v>0</v>
      </c>
      <c r="AJ177">
        <v>0</v>
      </c>
      <c r="AK177">
        <v>0</v>
      </c>
      <c r="AL177">
        <v>0</v>
      </c>
      <c r="AM177">
        <v>0</v>
      </c>
      <c r="AN177">
        <v>0</v>
      </c>
      <c r="AO177">
        <v>0</v>
      </c>
      <c r="AP177">
        <v>0</v>
      </c>
      <c r="AQ177">
        <v>0</v>
      </c>
      <c r="AR177">
        <v>0</v>
      </c>
      <c r="AS177">
        <v>0</v>
      </c>
      <c r="AT177">
        <v>0</v>
      </c>
      <c r="AU177" s="3">
        <f>AU176</f>
        <v>9.677859999999999</v>
      </c>
    </row>
    <row r="178" spans="1:47" x14ac:dyDescent="0.25">
      <c r="A178">
        <v>4</v>
      </c>
      <c r="B178" t="s">
        <v>1</v>
      </c>
      <c r="C178">
        <v>27520</v>
      </c>
      <c r="D178">
        <v>128</v>
      </c>
      <c r="E178">
        <v>4</v>
      </c>
      <c r="F178">
        <v>4</v>
      </c>
      <c r="G178" s="16">
        <v>1590.57</v>
      </c>
      <c r="H178" s="3">
        <v>8.7364999999999995</v>
      </c>
      <c r="I178" s="1">
        <v>45318</v>
      </c>
      <c r="J178" s="37">
        <v>5.0995370370370365E-2</v>
      </c>
      <c r="K178">
        <v>0</v>
      </c>
      <c r="L178">
        <v>0</v>
      </c>
      <c r="M178">
        <v>0</v>
      </c>
      <c r="N178">
        <v>0</v>
      </c>
      <c r="O178">
        <v>0</v>
      </c>
      <c r="P178">
        <v>0</v>
      </c>
      <c r="Q178">
        <v>0</v>
      </c>
      <c r="R178">
        <v>0</v>
      </c>
      <c r="S178">
        <v>0</v>
      </c>
      <c r="T178">
        <v>0</v>
      </c>
      <c r="U178">
        <v>0</v>
      </c>
      <c r="V178">
        <v>0</v>
      </c>
      <c r="W178" s="3">
        <f>W177</f>
        <v>8.7610200000000003</v>
      </c>
      <c r="X178" s="30"/>
      <c r="Y178">
        <v>4</v>
      </c>
      <c r="Z178" t="s">
        <v>1</v>
      </c>
      <c r="AA178">
        <v>27520</v>
      </c>
      <c r="AB178">
        <v>128</v>
      </c>
      <c r="AC178">
        <v>4</v>
      </c>
      <c r="AD178">
        <v>4</v>
      </c>
      <c r="AE178" s="16">
        <v>1436.22</v>
      </c>
      <c r="AF178" s="3">
        <v>9.6753999999999998</v>
      </c>
      <c r="AG178" s="1">
        <v>45323</v>
      </c>
      <c r="AH178" s="2">
        <v>0.18474537037037039</v>
      </c>
      <c r="AI178">
        <v>0</v>
      </c>
      <c r="AJ178">
        <v>0</v>
      </c>
      <c r="AK178">
        <v>0</v>
      </c>
      <c r="AL178">
        <v>0</v>
      </c>
      <c r="AM178">
        <v>0</v>
      </c>
      <c r="AN178">
        <v>0</v>
      </c>
      <c r="AO178">
        <v>0</v>
      </c>
      <c r="AP178">
        <v>0</v>
      </c>
      <c r="AQ178">
        <v>0</v>
      </c>
      <c r="AR178">
        <v>0</v>
      </c>
      <c r="AS178">
        <v>0</v>
      </c>
      <c r="AT178">
        <v>0</v>
      </c>
      <c r="AU178" s="3">
        <f>AU177</f>
        <v>9.677859999999999</v>
      </c>
    </row>
    <row r="179" spans="1:47" x14ac:dyDescent="0.25">
      <c r="A179">
        <v>0</v>
      </c>
      <c r="B179" t="s">
        <v>1</v>
      </c>
      <c r="C179">
        <v>29056</v>
      </c>
      <c r="D179">
        <v>128</v>
      </c>
      <c r="E179">
        <v>4</v>
      </c>
      <c r="F179">
        <v>4</v>
      </c>
      <c r="G179" s="16">
        <v>1848.94</v>
      </c>
      <c r="H179" s="3">
        <v>8.8455999999999992</v>
      </c>
      <c r="I179" s="1">
        <v>45320</v>
      </c>
      <c r="J179" s="37">
        <v>0.91261574074074081</v>
      </c>
      <c r="K179">
        <v>0</v>
      </c>
      <c r="L179">
        <v>0</v>
      </c>
      <c r="M179">
        <v>0</v>
      </c>
      <c r="N179">
        <v>0</v>
      </c>
      <c r="O179">
        <v>0</v>
      </c>
      <c r="P179">
        <v>0</v>
      </c>
      <c r="Q179">
        <v>0</v>
      </c>
      <c r="R179">
        <v>0</v>
      </c>
      <c r="S179">
        <v>0</v>
      </c>
      <c r="T179">
        <v>0</v>
      </c>
      <c r="U179">
        <v>0</v>
      </c>
      <c r="V179">
        <v>0</v>
      </c>
      <c r="W179" s="3">
        <f>AVERAGE(H404:H408)</f>
        <v>8.9673600000000011</v>
      </c>
      <c r="X179" s="30"/>
      <c r="Y179">
        <v>0</v>
      </c>
      <c r="Z179" t="s">
        <v>1</v>
      </c>
      <c r="AA179">
        <v>29056</v>
      </c>
      <c r="AB179">
        <v>128</v>
      </c>
      <c r="AC179">
        <v>4</v>
      </c>
      <c r="AD179">
        <v>4</v>
      </c>
      <c r="AE179" s="16">
        <v>1678.75</v>
      </c>
      <c r="AF179" s="3">
        <v>9.7423000000000002</v>
      </c>
      <c r="AG179" s="1">
        <v>45320</v>
      </c>
      <c r="AH179" s="2">
        <v>0.2950578703703704</v>
      </c>
      <c r="AI179">
        <v>0</v>
      </c>
      <c r="AJ179">
        <v>0</v>
      </c>
      <c r="AK179">
        <v>0</v>
      </c>
      <c r="AL179">
        <v>0</v>
      </c>
      <c r="AM179">
        <v>0</v>
      </c>
      <c r="AN179">
        <v>0</v>
      </c>
      <c r="AO179">
        <v>0</v>
      </c>
      <c r="AP179">
        <v>0</v>
      </c>
      <c r="AQ179">
        <v>0</v>
      </c>
      <c r="AR179">
        <v>0</v>
      </c>
      <c r="AS179">
        <v>0</v>
      </c>
      <c r="AT179">
        <v>0</v>
      </c>
      <c r="AU179" s="3">
        <f>AVERAGE(AF179:AF183)</f>
        <v>9.7433000000000014</v>
      </c>
    </row>
    <row r="180" spans="1:47" x14ac:dyDescent="0.25">
      <c r="A180">
        <v>1</v>
      </c>
      <c r="B180" t="s">
        <v>1</v>
      </c>
      <c r="C180">
        <v>29056</v>
      </c>
      <c r="D180">
        <v>128</v>
      </c>
      <c r="E180">
        <v>4</v>
      </c>
      <c r="F180">
        <v>4</v>
      </c>
      <c r="G180" s="16">
        <v>1848.42</v>
      </c>
      <c r="H180" s="3">
        <v>8.8481000000000005</v>
      </c>
      <c r="I180" s="1">
        <v>45321</v>
      </c>
      <c r="J180" s="37">
        <v>0.78250000000000008</v>
      </c>
      <c r="K180">
        <v>0</v>
      </c>
      <c r="L180">
        <v>0</v>
      </c>
      <c r="M180">
        <v>0</v>
      </c>
      <c r="N180">
        <v>0</v>
      </c>
      <c r="O180">
        <v>0</v>
      </c>
      <c r="P180">
        <v>0</v>
      </c>
      <c r="Q180">
        <v>0</v>
      </c>
      <c r="R180">
        <v>0</v>
      </c>
      <c r="S180">
        <v>0</v>
      </c>
      <c r="T180">
        <v>0</v>
      </c>
      <c r="U180">
        <v>0</v>
      </c>
      <c r="V180">
        <v>0</v>
      </c>
      <c r="W180" s="3">
        <f>W179</f>
        <v>8.9673600000000011</v>
      </c>
      <c r="X180" s="30"/>
      <c r="Y180">
        <v>1</v>
      </c>
      <c r="Z180" t="s">
        <v>1</v>
      </c>
      <c r="AA180">
        <v>29056</v>
      </c>
      <c r="AB180">
        <v>128</v>
      </c>
      <c r="AC180">
        <v>4</v>
      </c>
      <c r="AD180">
        <v>4</v>
      </c>
      <c r="AE180" s="16">
        <v>1677.34</v>
      </c>
      <c r="AF180" s="3">
        <v>9.7505000000000006</v>
      </c>
      <c r="AG180" s="1">
        <v>45321</v>
      </c>
      <c r="AH180" s="2">
        <v>0.22231481481481483</v>
      </c>
      <c r="AI180">
        <v>0</v>
      </c>
      <c r="AJ180">
        <v>0</v>
      </c>
      <c r="AK180">
        <v>0</v>
      </c>
      <c r="AL180">
        <v>0</v>
      </c>
      <c r="AM180">
        <v>0</v>
      </c>
      <c r="AN180">
        <v>0</v>
      </c>
      <c r="AO180">
        <v>0</v>
      </c>
      <c r="AP180">
        <v>0</v>
      </c>
      <c r="AQ180">
        <v>0</v>
      </c>
      <c r="AR180">
        <v>0</v>
      </c>
      <c r="AS180">
        <v>0</v>
      </c>
      <c r="AT180">
        <v>0</v>
      </c>
      <c r="AU180" s="3">
        <f>AU179</f>
        <v>9.7433000000000014</v>
      </c>
    </row>
    <row r="181" spans="1:47" x14ac:dyDescent="0.25">
      <c r="A181">
        <v>2</v>
      </c>
      <c r="B181" t="s">
        <v>1</v>
      </c>
      <c r="C181">
        <v>29056</v>
      </c>
      <c r="D181">
        <v>128</v>
      </c>
      <c r="E181">
        <v>4</v>
      </c>
      <c r="F181">
        <v>4</v>
      </c>
      <c r="G181" s="16">
        <v>1849.03</v>
      </c>
      <c r="H181" s="3">
        <v>8.8451000000000004</v>
      </c>
      <c r="I181" s="1">
        <v>45322</v>
      </c>
      <c r="J181" s="37">
        <v>0.6522916666666666</v>
      </c>
      <c r="K181">
        <v>0</v>
      </c>
      <c r="L181">
        <v>0</v>
      </c>
      <c r="M181">
        <v>0</v>
      </c>
      <c r="N181">
        <v>0</v>
      </c>
      <c r="O181">
        <v>0</v>
      </c>
      <c r="P181">
        <v>0</v>
      </c>
      <c r="Q181">
        <v>0</v>
      </c>
      <c r="R181">
        <v>0</v>
      </c>
      <c r="S181">
        <v>0</v>
      </c>
      <c r="T181">
        <v>0</v>
      </c>
      <c r="U181">
        <v>0</v>
      </c>
      <c r="V181">
        <v>0</v>
      </c>
      <c r="W181" s="3">
        <f>W180</f>
        <v>8.9673600000000011</v>
      </c>
      <c r="X181" s="30"/>
      <c r="Y181">
        <v>2</v>
      </c>
      <c r="Z181" t="s">
        <v>1</v>
      </c>
      <c r="AA181">
        <v>29056</v>
      </c>
      <c r="AB181">
        <v>128</v>
      </c>
      <c r="AC181">
        <v>4</v>
      </c>
      <c r="AD181">
        <v>4</v>
      </c>
      <c r="AE181" s="16">
        <v>1677.65</v>
      </c>
      <c r="AF181" s="3">
        <v>9.7487999999999992</v>
      </c>
      <c r="AG181" s="1">
        <v>45322</v>
      </c>
      <c r="AH181" s="2">
        <v>5.6238425925925928E-2</v>
      </c>
      <c r="AI181">
        <v>0</v>
      </c>
      <c r="AJ181">
        <v>0</v>
      </c>
      <c r="AK181">
        <v>0</v>
      </c>
      <c r="AL181">
        <v>0</v>
      </c>
      <c r="AM181">
        <v>0</v>
      </c>
      <c r="AN181">
        <v>0</v>
      </c>
      <c r="AO181">
        <v>0</v>
      </c>
      <c r="AP181">
        <v>0</v>
      </c>
      <c r="AQ181">
        <v>0</v>
      </c>
      <c r="AR181">
        <v>0</v>
      </c>
      <c r="AS181">
        <v>0</v>
      </c>
      <c r="AT181">
        <v>0</v>
      </c>
      <c r="AU181" s="3">
        <f>AU180</f>
        <v>9.7433000000000014</v>
      </c>
    </row>
    <row r="182" spans="1:47" x14ac:dyDescent="0.25">
      <c r="A182">
        <v>3</v>
      </c>
      <c r="B182" t="s">
        <v>1</v>
      </c>
      <c r="C182">
        <v>29056</v>
      </c>
      <c r="D182">
        <v>128</v>
      </c>
      <c r="E182">
        <v>4</v>
      </c>
      <c r="F182">
        <v>4</v>
      </c>
      <c r="G182" s="16">
        <v>1848.5</v>
      </c>
      <c r="H182" s="3">
        <v>8.8476999999999997</v>
      </c>
      <c r="I182" s="1">
        <v>45323</v>
      </c>
      <c r="J182" s="37">
        <v>0.50922453703703707</v>
      </c>
      <c r="K182">
        <v>0</v>
      </c>
      <c r="L182">
        <v>0</v>
      </c>
      <c r="M182">
        <v>0</v>
      </c>
      <c r="N182">
        <v>0</v>
      </c>
      <c r="O182">
        <v>0</v>
      </c>
      <c r="P182">
        <v>0</v>
      </c>
      <c r="Q182">
        <v>0</v>
      </c>
      <c r="R182">
        <v>0</v>
      </c>
      <c r="S182">
        <v>0</v>
      </c>
      <c r="T182">
        <v>0</v>
      </c>
      <c r="U182">
        <v>0</v>
      </c>
      <c r="V182">
        <v>0</v>
      </c>
      <c r="W182" s="3">
        <f>W181</f>
        <v>8.9673600000000011</v>
      </c>
      <c r="X182" s="30"/>
      <c r="Y182">
        <v>3</v>
      </c>
      <c r="Z182" t="s">
        <v>1</v>
      </c>
      <c r="AA182">
        <v>29056</v>
      </c>
      <c r="AB182">
        <v>128</v>
      </c>
      <c r="AC182">
        <v>4</v>
      </c>
      <c r="AD182">
        <v>4</v>
      </c>
      <c r="AE182" s="16">
        <v>1678.19</v>
      </c>
      <c r="AF182" s="3">
        <v>9.7455999999999996</v>
      </c>
      <c r="AG182" s="1">
        <v>45322</v>
      </c>
      <c r="AH182" s="2">
        <v>0.89017361111111104</v>
      </c>
      <c r="AI182">
        <v>0</v>
      </c>
      <c r="AJ182">
        <v>0</v>
      </c>
      <c r="AK182">
        <v>0</v>
      </c>
      <c r="AL182">
        <v>0</v>
      </c>
      <c r="AM182">
        <v>0</v>
      </c>
      <c r="AN182">
        <v>0</v>
      </c>
      <c r="AO182">
        <v>0</v>
      </c>
      <c r="AP182">
        <v>0</v>
      </c>
      <c r="AQ182">
        <v>0</v>
      </c>
      <c r="AR182">
        <v>0</v>
      </c>
      <c r="AS182">
        <v>0</v>
      </c>
      <c r="AT182">
        <v>0</v>
      </c>
      <c r="AU182" s="3">
        <f>AU181</f>
        <v>9.7433000000000014</v>
      </c>
    </row>
    <row r="183" spans="1:47" x14ac:dyDescent="0.25">
      <c r="A183">
        <v>4</v>
      </c>
      <c r="B183" t="s">
        <v>1</v>
      </c>
      <c r="C183">
        <v>29056</v>
      </c>
      <c r="D183">
        <v>128</v>
      </c>
      <c r="E183">
        <v>4</v>
      </c>
      <c r="F183">
        <v>4</v>
      </c>
      <c r="G183" s="16">
        <v>1848.55</v>
      </c>
      <c r="H183" s="3">
        <v>8.8475000000000001</v>
      </c>
      <c r="I183" s="1">
        <v>45318</v>
      </c>
      <c r="J183" s="37">
        <v>0.61241898148148144</v>
      </c>
      <c r="K183">
        <v>0</v>
      </c>
      <c r="L183">
        <v>0</v>
      </c>
      <c r="M183">
        <v>0</v>
      </c>
      <c r="N183">
        <v>0</v>
      </c>
      <c r="O183">
        <v>0</v>
      </c>
      <c r="P183">
        <v>0</v>
      </c>
      <c r="Q183">
        <v>0</v>
      </c>
      <c r="R183">
        <v>0</v>
      </c>
      <c r="S183">
        <v>0</v>
      </c>
      <c r="T183">
        <v>0</v>
      </c>
      <c r="U183">
        <v>0</v>
      </c>
      <c r="V183">
        <v>0</v>
      </c>
      <c r="W183" s="3">
        <f>W182</f>
        <v>8.9673600000000011</v>
      </c>
      <c r="X183" s="30"/>
      <c r="Y183">
        <v>4</v>
      </c>
      <c r="Z183" t="s">
        <v>1</v>
      </c>
      <c r="AA183">
        <v>29056</v>
      </c>
      <c r="AB183">
        <v>128</v>
      </c>
      <c r="AC183">
        <v>4</v>
      </c>
      <c r="AD183">
        <v>4</v>
      </c>
      <c r="AE183" s="16">
        <v>1681</v>
      </c>
      <c r="AF183" s="3">
        <v>9.7293000000000003</v>
      </c>
      <c r="AG183" s="1">
        <v>45323</v>
      </c>
      <c r="AH183" s="2">
        <v>0.72471064814814812</v>
      </c>
      <c r="AI183">
        <v>0</v>
      </c>
      <c r="AJ183">
        <v>0</v>
      </c>
      <c r="AK183">
        <v>0</v>
      </c>
      <c r="AL183">
        <v>0</v>
      </c>
      <c r="AM183">
        <v>0</v>
      </c>
      <c r="AN183">
        <v>0</v>
      </c>
      <c r="AO183">
        <v>0</v>
      </c>
      <c r="AP183">
        <v>0</v>
      </c>
      <c r="AQ183">
        <v>0</v>
      </c>
      <c r="AR183">
        <v>0</v>
      </c>
      <c r="AS183">
        <v>0</v>
      </c>
      <c r="AT183">
        <v>0</v>
      </c>
      <c r="AU183" s="3">
        <f>AU182</f>
        <v>9.7433000000000014</v>
      </c>
    </row>
    <row r="184" spans="1:47" x14ac:dyDescent="0.25">
      <c r="A184">
        <v>0</v>
      </c>
      <c r="B184" t="s">
        <v>1</v>
      </c>
      <c r="C184">
        <v>25920</v>
      </c>
      <c r="D184">
        <v>160</v>
      </c>
      <c r="E184">
        <v>1</v>
      </c>
      <c r="F184">
        <v>16</v>
      </c>
      <c r="G184" s="16">
        <v>1442.21</v>
      </c>
      <c r="H184" s="3">
        <v>8.0504999999999995</v>
      </c>
      <c r="I184" s="1">
        <v>45320</v>
      </c>
      <c r="J184" s="37">
        <v>0.48254629629629631</v>
      </c>
      <c r="K184">
        <v>0</v>
      </c>
      <c r="L184">
        <v>0</v>
      </c>
      <c r="M184">
        <v>0</v>
      </c>
      <c r="N184">
        <v>0</v>
      </c>
      <c r="O184">
        <v>0</v>
      </c>
      <c r="P184">
        <v>0</v>
      </c>
      <c r="Q184">
        <v>0</v>
      </c>
      <c r="R184">
        <v>0</v>
      </c>
      <c r="S184">
        <v>0</v>
      </c>
      <c r="T184">
        <v>0</v>
      </c>
      <c r="U184">
        <v>0</v>
      </c>
      <c r="V184">
        <v>0</v>
      </c>
      <c r="W184" s="3">
        <f>AVERAGE(H139:H143)</f>
        <v>8.1645999999999983</v>
      </c>
      <c r="X184" s="30"/>
      <c r="Y184">
        <v>0</v>
      </c>
      <c r="Z184" t="s">
        <v>1</v>
      </c>
      <c r="AA184">
        <v>25920</v>
      </c>
      <c r="AB184">
        <v>160</v>
      </c>
      <c r="AC184">
        <v>1</v>
      </c>
      <c r="AD184">
        <v>16</v>
      </c>
      <c r="AE184" s="16">
        <v>1280.77</v>
      </c>
      <c r="AF184" s="3">
        <v>9.0653000000000006</v>
      </c>
      <c r="AG184" s="1">
        <v>45319</v>
      </c>
      <c r="AH184" s="2">
        <v>0.88219907407407405</v>
      </c>
      <c r="AI184">
        <v>0</v>
      </c>
      <c r="AJ184">
        <v>0</v>
      </c>
      <c r="AK184">
        <v>0</v>
      </c>
      <c r="AL184">
        <v>0</v>
      </c>
      <c r="AM184">
        <v>0</v>
      </c>
      <c r="AN184">
        <v>0</v>
      </c>
      <c r="AO184">
        <v>0</v>
      </c>
      <c r="AP184">
        <v>0</v>
      </c>
      <c r="AQ184">
        <v>0</v>
      </c>
      <c r="AR184">
        <v>0</v>
      </c>
      <c r="AS184">
        <v>0</v>
      </c>
      <c r="AT184">
        <v>0</v>
      </c>
      <c r="AU184" s="3">
        <f>AVERAGE(AF184:AF188)</f>
        <v>9.0670000000000019</v>
      </c>
    </row>
    <row r="185" spans="1:47" x14ac:dyDescent="0.25">
      <c r="A185">
        <v>1</v>
      </c>
      <c r="B185" t="s">
        <v>1</v>
      </c>
      <c r="C185">
        <v>25920</v>
      </c>
      <c r="D185">
        <v>160</v>
      </c>
      <c r="E185">
        <v>1</v>
      </c>
      <c r="F185">
        <v>16</v>
      </c>
      <c r="G185" s="16">
        <v>1441.71</v>
      </c>
      <c r="H185" s="3">
        <v>8.0533000000000001</v>
      </c>
      <c r="I185" s="1">
        <v>45321</v>
      </c>
      <c r="J185" s="37">
        <v>0.35238425925925926</v>
      </c>
      <c r="K185">
        <v>0</v>
      </c>
      <c r="L185">
        <v>0</v>
      </c>
      <c r="M185">
        <v>0</v>
      </c>
      <c r="N185">
        <v>0</v>
      </c>
      <c r="O185">
        <v>0</v>
      </c>
      <c r="P185">
        <v>0</v>
      </c>
      <c r="Q185">
        <v>0</v>
      </c>
      <c r="R185">
        <v>0</v>
      </c>
      <c r="S185">
        <v>0</v>
      </c>
      <c r="T185">
        <v>0</v>
      </c>
      <c r="U185">
        <v>0</v>
      </c>
      <c r="V185">
        <v>0</v>
      </c>
      <c r="W185" s="3">
        <f>W184</f>
        <v>8.1645999999999983</v>
      </c>
      <c r="X185" s="30"/>
      <c r="Y185">
        <v>1</v>
      </c>
      <c r="Z185" t="s">
        <v>1</v>
      </c>
      <c r="AA185">
        <v>25920</v>
      </c>
      <c r="AB185">
        <v>160</v>
      </c>
      <c r="AC185">
        <v>1</v>
      </c>
      <c r="AD185">
        <v>16</v>
      </c>
      <c r="AE185" s="16">
        <v>1280.4100000000001</v>
      </c>
      <c r="AF185" s="3">
        <v>9.0678000000000001</v>
      </c>
      <c r="AG185" s="1">
        <v>45320</v>
      </c>
      <c r="AH185" s="2">
        <v>0.80929398148148157</v>
      </c>
      <c r="AI185">
        <v>0</v>
      </c>
      <c r="AJ185">
        <v>0</v>
      </c>
      <c r="AK185">
        <v>0</v>
      </c>
      <c r="AL185">
        <v>0</v>
      </c>
      <c r="AM185">
        <v>0</v>
      </c>
      <c r="AN185">
        <v>0</v>
      </c>
      <c r="AO185">
        <v>0</v>
      </c>
      <c r="AP185">
        <v>0</v>
      </c>
      <c r="AQ185">
        <v>0</v>
      </c>
      <c r="AR185">
        <v>0</v>
      </c>
      <c r="AS185">
        <v>0</v>
      </c>
      <c r="AT185">
        <v>0</v>
      </c>
      <c r="AU185" s="3">
        <f>AU184</f>
        <v>9.0670000000000019</v>
      </c>
    </row>
    <row r="186" spans="1:47" x14ac:dyDescent="0.25">
      <c r="A186">
        <v>2</v>
      </c>
      <c r="B186" t="s">
        <v>1</v>
      </c>
      <c r="C186">
        <v>25920</v>
      </c>
      <c r="D186">
        <v>160</v>
      </c>
      <c r="E186">
        <v>1</v>
      </c>
      <c r="F186">
        <v>16</v>
      </c>
      <c r="G186" s="16">
        <v>1440.57</v>
      </c>
      <c r="H186" s="3">
        <v>8.0595999999999997</v>
      </c>
      <c r="I186" s="1">
        <v>45322</v>
      </c>
      <c r="J186" s="37">
        <v>0.22223379629629628</v>
      </c>
      <c r="K186">
        <v>0</v>
      </c>
      <c r="L186">
        <v>0</v>
      </c>
      <c r="M186">
        <v>0</v>
      </c>
      <c r="N186">
        <v>0</v>
      </c>
      <c r="O186">
        <v>0</v>
      </c>
      <c r="P186">
        <v>0</v>
      </c>
      <c r="Q186">
        <v>0</v>
      </c>
      <c r="R186">
        <v>0</v>
      </c>
      <c r="S186">
        <v>0</v>
      </c>
      <c r="T186">
        <v>0</v>
      </c>
      <c r="U186">
        <v>0</v>
      </c>
      <c r="V186">
        <v>0</v>
      </c>
      <c r="W186" s="3">
        <f>W185</f>
        <v>8.1645999999999983</v>
      </c>
      <c r="X186" s="30"/>
      <c r="Y186">
        <v>2</v>
      </c>
      <c r="Z186" t="s">
        <v>1</v>
      </c>
      <c r="AA186">
        <v>25920</v>
      </c>
      <c r="AB186">
        <v>160</v>
      </c>
      <c r="AC186">
        <v>1</v>
      </c>
      <c r="AD186">
        <v>16</v>
      </c>
      <c r="AE186" s="16">
        <v>1280.25</v>
      </c>
      <c r="AF186" s="3">
        <v>9.0690000000000008</v>
      </c>
      <c r="AG186" s="1">
        <v>45321</v>
      </c>
      <c r="AH186" s="2">
        <v>0.6428356481481482</v>
      </c>
      <c r="AI186">
        <v>0</v>
      </c>
      <c r="AJ186">
        <v>0</v>
      </c>
      <c r="AK186">
        <v>0</v>
      </c>
      <c r="AL186">
        <v>0</v>
      </c>
      <c r="AM186">
        <v>0</v>
      </c>
      <c r="AN186">
        <v>0</v>
      </c>
      <c r="AO186">
        <v>0</v>
      </c>
      <c r="AP186">
        <v>0</v>
      </c>
      <c r="AQ186">
        <v>0</v>
      </c>
      <c r="AR186">
        <v>0</v>
      </c>
      <c r="AS186">
        <v>0</v>
      </c>
      <c r="AT186">
        <v>0</v>
      </c>
      <c r="AU186" s="3">
        <f>AU185</f>
        <v>9.0670000000000019</v>
      </c>
    </row>
    <row r="187" spans="1:47" x14ac:dyDescent="0.25">
      <c r="A187">
        <v>3</v>
      </c>
      <c r="B187" t="s">
        <v>1</v>
      </c>
      <c r="C187">
        <v>25920</v>
      </c>
      <c r="D187">
        <v>160</v>
      </c>
      <c r="E187">
        <v>1</v>
      </c>
      <c r="F187">
        <v>16</v>
      </c>
      <c r="G187" s="16">
        <v>1441.82</v>
      </c>
      <c r="H187" s="3">
        <v>8.0526999999999997</v>
      </c>
      <c r="I187" s="1">
        <v>45323</v>
      </c>
      <c r="J187" s="37">
        <v>9.2060185185185175E-2</v>
      </c>
      <c r="K187">
        <v>0</v>
      </c>
      <c r="L187">
        <v>0</v>
      </c>
      <c r="M187">
        <v>0</v>
      </c>
      <c r="N187">
        <v>0</v>
      </c>
      <c r="O187">
        <v>0</v>
      </c>
      <c r="P187">
        <v>0</v>
      </c>
      <c r="Q187">
        <v>0</v>
      </c>
      <c r="R187">
        <v>0</v>
      </c>
      <c r="S187">
        <v>0</v>
      </c>
      <c r="T187">
        <v>0</v>
      </c>
      <c r="U187">
        <v>0</v>
      </c>
      <c r="V187">
        <v>0</v>
      </c>
      <c r="W187" s="3">
        <f>W186</f>
        <v>8.1645999999999983</v>
      </c>
      <c r="X187" s="30"/>
      <c r="Y187">
        <v>3</v>
      </c>
      <c r="Z187" t="s">
        <v>1</v>
      </c>
      <c r="AA187">
        <v>25920</v>
      </c>
      <c r="AB187">
        <v>160</v>
      </c>
      <c r="AC187">
        <v>1</v>
      </c>
      <c r="AD187">
        <v>16</v>
      </c>
      <c r="AE187" s="16">
        <v>1280.6400000000001</v>
      </c>
      <c r="AF187" s="3">
        <v>9.0662000000000003</v>
      </c>
      <c r="AG187" s="1">
        <v>45322</v>
      </c>
      <c r="AH187" s="2">
        <v>0.47662037037037036</v>
      </c>
      <c r="AI187">
        <v>0</v>
      </c>
      <c r="AJ187">
        <v>0</v>
      </c>
      <c r="AK187">
        <v>0</v>
      </c>
      <c r="AL187">
        <v>0</v>
      </c>
      <c r="AM187">
        <v>0</v>
      </c>
      <c r="AN187">
        <v>0</v>
      </c>
      <c r="AO187">
        <v>0</v>
      </c>
      <c r="AP187">
        <v>0</v>
      </c>
      <c r="AQ187">
        <v>0</v>
      </c>
      <c r="AR187">
        <v>0</v>
      </c>
      <c r="AS187">
        <v>0</v>
      </c>
      <c r="AT187">
        <v>0</v>
      </c>
      <c r="AU187" s="3">
        <f>AU186</f>
        <v>9.0670000000000019</v>
      </c>
    </row>
    <row r="188" spans="1:47" x14ac:dyDescent="0.25">
      <c r="A188">
        <v>4</v>
      </c>
      <c r="B188" t="s">
        <v>1</v>
      </c>
      <c r="C188">
        <v>25920</v>
      </c>
      <c r="D188">
        <v>160</v>
      </c>
      <c r="E188">
        <v>1</v>
      </c>
      <c r="F188">
        <v>16</v>
      </c>
      <c r="G188" s="16">
        <v>1440.55</v>
      </c>
      <c r="H188" s="3">
        <v>8.0597999999999992</v>
      </c>
      <c r="I188" s="1">
        <v>45318</v>
      </c>
      <c r="J188" s="37">
        <v>0.18238425925925927</v>
      </c>
      <c r="K188">
        <v>0</v>
      </c>
      <c r="L188">
        <v>0</v>
      </c>
      <c r="M188">
        <v>0</v>
      </c>
      <c r="N188">
        <v>0</v>
      </c>
      <c r="O188">
        <v>0</v>
      </c>
      <c r="P188">
        <v>0</v>
      </c>
      <c r="Q188">
        <v>0</v>
      </c>
      <c r="R188">
        <v>0</v>
      </c>
      <c r="S188">
        <v>0</v>
      </c>
      <c r="T188">
        <v>0</v>
      </c>
      <c r="U188">
        <v>0</v>
      </c>
      <c r="V188">
        <v>0</v>
      </c>
      <c r="W188" s="3">
        <f>W187</f>
        <v>8.1645999999999983</v>
      </c>
      <c r="X188" s="30"/>
      <c r="Y188">
        <v>4</v>
      </c>
      <c r="Z188" t="s">
        <v>1</v>
      </c>
      <c r="AA188">
        <v>25920</v>
      </c>
      <c r="AB188">
        <v>160</v>
      </c>
      <c r="AC188">
        <v>1</v>
      </c>
      <c r="AD188">
        <v>16</v>
      </c>
      <c r="AE188" s="16">
        <v>1280.57</v>
      </c>
      <c r="AF188" s="3">
        <v>9.0667000000000009</v>
      </c>
      <c r="AG188" s="1">
        <v>45323</v>
      </c>
      <c r="AH188" s="2">
        <v>0.31082175925925926</v>
      </c>
      <c r="AI188">
        <v>0</v>
      </c>
      <c r="AJ188">
        <v>0</v>
      </c>
      <c r="AK188">
        <v>0</v>
      </c>
      <c r="AL188">
        <v>0</v>
      </c>
      <c r="AM188">
        <v>0</v>
      </c>
      <c r="AN188">
        <v>0</v>
      </c>
      <c r="AO188">
        <v>0</v>
      </c>
      <c r="AP188">
        <v>0</v>
      </c>
      <c r="AQ188">
        <v>0</v>
      </c>
      <c r="AR188">
        <v>0</v>
      </c>
      <c r="AS188">
        <v>0</v>
      </c>
      <c r="AT188">
        <v>0</v>
      </c>
      <c r="AU188" s="3">
        <f>AU187</f>
        <v>9.0670000000000019</v>
      </c>
    </row>
    <row r="189" spans="1:47" x14ac:dyDescent="0.25">
      <c r="A189">
        <v>0</v>
      </c>
      <c r="B189" t="s">
        <v>1</v>
      </c>
      <c r="C189">
        <v>27520</v>
      </c>
      <c r="D189">
        <v>160</v>
      </c>
      <c r="E189">
        <v>1</v>
      </c>
      <c r="F189">
        <v>16</v>
      </c>
      <c r="G189" s="16">
        <v>1723.48</v>
      </c>
      <c r="H189" s="3">
        <v>8.0626999999999995</v>
      </c>
      <c r="I189" s="1">
        <v>45320</v>
      </c>
      <c r="J189" s="37">
        <v>0.19697916666666668</v>
      </c>
      <c r="K189">
        <v>0</v>
      </c>
      <c r="L189">
        <v>0</v>
      </c>
      <c r="M189">
        <v>0</v>
      </c>
      <c r="N189">
        <v>0</v>
      </c>
      <c r="O189">
        <v>0</v>
      </c>
      <c r="P189">
        <v>0</v>
      </c>
      <c r="Q189">
        <v>0</v>
      </c>
      <c r="R189">
        <v>0</v>
      </c>
      <c r="S189">
        <v>0</v>
      </c>
      <c r="T189">
        <v>0</v>
      </c>
      <c r="U189">
        <v>0</v>
      </c>
      <c r="V189">
        <v>0</v>
      </c>
      <c r="W189" s="3">
        <f>AVERAGE(H144:H148)</f>
        <v>8.2052600000000009</v>
      </c>
      <c r="X189" s="30"/>
      <c r="Y189">
        <v>0</v>
      </c>
      <c r="Z189" t="s">
        <v>1</v>
      </c>
      <c r="AA189">
        <v>27520</v>
      </c>
      <c r="AB189">
        <v>160</v>
      </c>
      <c r="AC189">
        <v>1</v>
      </c>
      <c r="AD189">
        <v>16</v>
      </c>
      <c r="AE189" s="16">
        <v>1524.02</v>
      </c>
      <c r="AF189" s="3">
        <v>9.1180000000000003</v>
      </c>
      <c r="AG189" s="1">
        <v>45319</v>
      </c>
      <c r="AH189" s="2">
        <v>0.60903935185185187</v>
      </c>
      <c r="AI189">
        <v>0</v>
      </c>
      <c r="AJ189">
        <v>0</v>
      </c>
      <c r="AK189">
        <v>0</v>
      </c>
      <c r="AL189">
        <v>0</v>
      </c>
      <c r="AM189">
        <v>0</v>
      </c>
      <c r="AN189">
        <v>0</v>
      </c>
      <c r="AO189">
        <v>0</v>
      </c>
      <c r="AP189">
        <v>0</v>
      </c>
      <c r="AQ189">
        <v>0</v>
      </c>
      <c r="AR189">
        <v>0</v>
      </c>
      <c r="AS189">
        <v>0</v>
      </c>
      <c r="AT189">
        <v>0</v>
      </c>
      <c r="AU189" s="3">
        <f>AVERAGE(AF189:AF193)</f>
        <v>9.1327600000000011</v>
      </c>
    </row>
    <row r="190" spans="1:47" x14ac:dyDescent="0.25">
      <c r="A190">
        <v>1</v>
      </c>
      <c r="B190" t="s">
        <v>1</v>
      </c>
      <c r="C190">
        <v>27520</v>
      </c>
      <c r="D190">
        <v>160</v>
      </c>
      <c r="E190">
        <v>1</v>
      </c>
      <c r="F190">
        <v>16</v>
      </c>
      <c r="G190" s="16">
        <v>1718.75</v>
      </c>
      <c r="H190" s="3">
        <v>8.0848999999999993</v>
      </c>
      <c r="I190" s="1">
        <v>45321</v>
      </c>
      <c r="J190" s="37">
        <v>6.6863425925925923E-2</v>
      </c>
      <c r="K190">
        <v>0</v>
      </c>
      <c r="L190">
        <v>0</v>
      </c>
      <c r="M190">
        <v>0</v>
      </c>
      <c r="N190">
        <v>0</v>
      </c>
      <c r="O190">
        <v>0</v>
      </c>
      <c r="P190">
        <v>0</v>
      </c>
      <c r="Q190">
        <v>0</v>
      </c>
      <c r="R190">
        <v>0</v>
      </c>
      <c r="S190">
        <v>0</v>
      </c>
      <c r="T190">
        <v>0</v>
      </c>
      <c r="U190">
        <v>0</v>
      </c>
      <c r="V190">
        <v>0</v>
      </c>
      <c r="W190" s="3">
        <f>W189</f>
        <v>8.2052600000000009</v>
      </c>
      <c r="X190" s="30"/>
      <c r="Y190">
        <v>1</v>
      </c>
      <c r="Z190" t="s">
        <v>1</v>
      </c>
      <c r="AA190">
        <v>27520</v>
      </c>
      <c r="AB190">
        <v>160</v>
      </c>
      <c r="AC190">
        <v>1</v>
      </c>
      <c r="AD190">
        <v>16</v>
      </c>
      <c r="AE190" s="16">
        <v>1520.41</v>
      </c>
      <c r="AF190" s="3">
        <v>9.1395999999999997</v>
      </c>
      <c r="AG190" s="1">
        <v>45320</v>
      </c>
      <c r="AH190" s="2">
        <v>0.4422106481481482</v>
      </c>
      <c r="AI190">
        <v>0</v>
      </c>
      <c r="AJ190">
        <v>0</v>
      </c>
      <c r="AK190">
        <v>0</v>
      </c>
      <c r="AL190">
        <v>0</v>
      </c>
      <c r="AM190">
        <v>0</v>
      </c>
      <c r="AN190">
        <v>0</v>
      </c>
      <c r="AO190">
        <v>0</v>
      </c>
      <c r="AP190">
        <v>0</v>
      </c>
      <c r="AQ190">
        <v>0</v>
      </c>
      <c r="AR190">
        <v>0</v>
      </c>
      <c r="AS190">
        <v>0</v>
      </c>
      <c r="AT190">
        <v>0</v>
      </c>
      <c r="AU190" s="3">
        <f>AU189</f>
        <v>9.1327600000000011</v>
      </c>
    </row>
    <row r="191" spans="1:47" x14ac:dyDescent="0.25">
      <c r="A191">
        <v>2</v>
      </c>
      <c r="B191" t="s">
        <v>1</v>
      </c>
      <c r="C191">
        <v>27520</v>
      </c>
      <c r="D191">
        <v>160</v>
      </c>
      <c r="E191">
        <v>1</v>
      </c>
      <c r="F191">
        <v>16</v>
      </c>
      <c r="G191" s="16">
        <v>1719.43</v>
      </c>
      <c r="H191" s="3">
        <v>8.0817999999999994</v>
      </c>
      <c r="I191" s="1">
        <v>45321</v>
      </c>
      <c r="J191" s="37">
        <v>0.93678240740740737</v>
      </c>
      <c r="K191">
        <v>0</v>
      </c>
      <c r="L191">
        <v>0</v>
      </c>
      <c r="M191">
        <v>0</v>
      </c>
      <c r="N191">
        <v>0</v>
      </c>
      <c r="O191">
        <v>0</v>
      </c>
      <c r="P191">
        <v>0</v>
      </c>
      <c r="Q191">
        <v>0</v>
      </c>
      <c r="R191">
        <v>0</v>
      </c>
      <c r="S191">
        <v>0</v>
      </c>
      <c r="T191">
        <v>0</v>
      </c>
      <c r="U191">
        <v>0</v>
      </c>
      <c r="V191">
        <v>0</v>
      </c>
      <c r="W191" s="3">
        <f>W190</f>
        <v>8.2052600000000009</v>
      </c>
      <c r="X191" s="30"/>
      <c r="Y191">
        <v>2</v>
      </c>
      <c r="Z191" t="s">
        <v>1</v>
      </c>
      <c r="AA191">
        <v>27520</v>
      </c>
      <c r="AB191">
        <v>160</v>
      </c>
      <c r="AC191">
        <v>1</v>
      </c>
      <c r="AD191">
        <v>16</v>
      </c>
      <c r="AE191" s="16">
        <v>1521.59</v>
      </c>
      <c r="AF191" s="3">
        <v>9.1326000000000001</v>
      </c>
      <c r="AG191" s="1">
        <v>45321</v>
      </c>
      <c r="AH191" s="2">
        <v>0.3694675925925926</v>
      </c>
      <c r="AI191">
        <v>0</v>
      </c>
      <c r="AJ191">
        <v>0</v>
      </c>
      <c r="AK191">
        <v>0</v>
      </c>
      <c r="AL191">
        <v>0</v>
      </c>
      <c r="AM191">
        <v>0</v>
      </c>
      <c r="AN191">
        <v>0</v>
      </c>
      <c r="AO191">
        <v>0</v>
      </c>
      <c r="AP191">
        <v>0</v>
      </c>
      <c r="AQ191">
        <v>0</v>
      </c>
      <c r="AR191">
        <v>0</v>
      </c>
      <c r="AS191">
        <v>0</v>
      </c>
      <c r="AT191">
        <v>0</v>
      </c>
      <c r="AU191" s="3">
        <f>AU190</f>
        <v>9.1327600000000011</v>
      </c>
    </row>
    <row r="192" spans="1:47" x14ac:dyDescent="0.25">
      <c r="A192">
        <v>3</v>
      </c>
      <c r="B192" t="s">
        <v>1</v>
      </c>
      <c r="C192">
        <v>27520</v>
      </c>
      <c r="D192">
        <v>160</v>
      </c>
      <c r="E192">
        <v>1</v>
      </c>
      <c r="F192">
        <v>16</v>
      </c>
      <c r="G192" s="16">
        <v>1719.24</v>
      </c>
      <c r="H192" s="3">
        <v>8.0825999999999993</v>
      </c>
      <c r="I192" s="1">
        <v>45322</v>
      </c>
      <c r="J192" s="37">
        <v>0.80658564814814815</v>
      </c>
      <c r="K192">
        <v>0</v>
      </c>
      <c r="L192">
        <v>0</v>
      </c>
      <c r="M192">
        <v>0</v>
      </c>
      <c r="N192">
        <v>0</v>
      </c>
      <c r="O192">
        <v>0</v>
      </c>
      <c r="P192">
        <v>0</v>
      </c>
      <c r="Q192">
        <v>0</v>
      </c>
      <c r="R192">
        <v>0</v>
      </c>
      <c r="S192">
        <v>0</v>
      </c>
      <c r="T192">
        <v>0</v>
      </c>
      <c r="U192">
        <v>0</v>
      </c>
      <c r="V192">
        <v>0</v>
      </c>
      <c r="W192" s="3">
        <f>W191</f>
        <v>8.2052600000000009</v>
      </c>
      <c r="X192" s="30"/>
      <c r="Y192">
        <v>3</v>
      </c>
      <c r="Z192" t="s">
        <v>1</v>
      </c>
      <c r="AA192">
        <v>27520</v>
      </c>
      <c r="AB192">
        <v>160</v>
      </c>
      <c r="AC192">
        <v>1</v>
      </c>
      <c r="AD192">
        <v>16</v>
      </c>
      <c r="AE192" s="16">
        <v>1520.92</v>
      </c>
      <c r="AF192" s="3">
        <v>9.1365999999999996</v>
      </c>
      <c r="AG192" s="1">
        <v>45322</v>
      </c>
      <c r="AH192" s="2">
        <v>0.20337962962962963</v>
      </c>
      <c r="AI192">
        <v>0</v>
      </c>
      <c r="AJ192">
        <v>0</v>
      </c>
      <c r="AK192">
        <v>0</v>
      </c>
      <c r="AL192">
        <v>0</v>
      </c>
      <c r="AM192">
        <v>0</v>
      </c>
      <c r="AN192">
        <v>0</v>
      </c>
      <c r="AO192">
        <v>0</v>
      </c>
      <c r="AP192">
        <v>0</v>
      </c>
      <c r="AQ192">
        <v>0</v>
      </c>
      <c r="AR192">
        <v>0</v>
      </c>
      <c r="AS192">
        <v>0</v>
      </c>
      <c r="AT192">
        <v>0</v>
      </c>
      <c r="AU192" s="3">
        <f>AU191</f>
        <v>9.1327600000000011</v>
      </c>
    </row>
    <row r="193" spans="1:47" x14ac:dyDescent="0.25">
      <c r="A193">
        <v>4</v>
      </c>
      <c r="B193" t="s">
        <v>1</v>
      </c>
      <c r="C193">
        <v>27520</v>
      </c>
      <c r="D193">
        <v>160</v>
      </c>
      <c r="E193">
        <v>1</v>
      </c>
      <c r="F193">
        <v>16</v>
      </c>
      <c r="G193" s="16">
        <v>1718.91</v>
      </c>
      <c r="H193" s="3">
        <v>8.0841999999999992</v>
      </c>
      <c r="I193" s="1">
        <v>45323</v>
      </c>
      <c r="J193" s="37">
        <v>0.66346064814814809</v>
      </c>
      <c r="K193">
        <v>0</v>
      </c>
      <c r="L193">
        <v>0</v>
      </c>
      <c r="M193">
        <v>0</v>
      </c>
      <c r="N193">
        <v>0</v>
      </c>
      <c r="O193">
        <v>0</v>
      </c>
      <c r="P193">
        <v>0</v>
      </c>
      <c r="Q193">
        <v>0</v>
      </c>
      <c r="R193">
        <v>0</v>
      </c>
      <c r="S193">
        <v>0</v>
      </c>
      <c r="T193">
        <v>0</v>
      </c>
      <c r="U193">
        <v>0</v>
      </c>
      <c r="V193">
        <v>0</v>
      </c>
      <c r="W193" s="3">
        <f>W192</f>
        <v>8.2052600000000009</v>
      </c>
      <c r="X193" s="30"/>
      <c r="Y193">
        <v>4</v>
      </c>
      <c r="Z193" t="s">
        <v>1</v>
      </c>
      <c r="AA193">
        <v>27520</v>
      </c>
      <c r="AB193">
        <v>160</v>
      </c>
      <c r="AC193">
        <v>1</v>
      </c>
      <c r="AD193">
        <v>16</v>
      </c>
      <c r="AE193" s="16">
        <v>1520.85</v>
      </c>
      <c r="AF193" s="3">
        <v>9.1370000000000005</v>
      </c>
      <c r="AG193" s="1">
        <v>45323</v>
      </c>
      <c r="AH193" s="2">
        <v>3.7337962962962962E-2</v>
      </c>
      <c r="AI193">
        <v>0</v>
      </c>
      <c r="AJ193">
        <v>0</v>
      </c>
      <c r="AK193">
        <v>0</v>
      </c>
      <c r="AL193">
        <v>0</v>
      </c>
      <c r="AM193">
        <v>0</v>
      </c>
      <c r="AN193">
        <v>0</v>
      </c>
      <c r="AO193">
        <v>0</v>
      </c>
      <c r="AP193">
        <v>0</v>
      </c>
      <c r="AQ193">
        <v>0</v>
      </c>
      <c r="AR193">
        <v>0</v>
      </c>
      <c r="AS193">
        <v>0</v>
      </c>
      <c r="AT193">
        <v>0</v>
      </c>
      <c r="AU193" s="3">
        <f>AU192</f>
        <v>9.1327600000000011</v>
      </c>
    </row>
    <row r="194" spans="1:47" x14ac:dyDescent="0.25">
      <c r="A194">
        <v>0</v>
      </c>
      <c r="B194" t="s">
        <v>1</v>
      </c>
      <c r="C194">
        <v>28960</v>
      </c>
      <c r="D194">
        <v>160</v>
      </c>
      <c r="E194">
        <v>1</v>
      </c>
      <c r="F194">
        <v>16</v>
      </c>
      <c r="G194" s="16">
        <v>1975.63</v>
      </c>
      <c r="H194" s="3">
        <v>8.1966000000000001</v>
      </c>
      <c r="I194" s="1">
        <v>45320</v>
      </c>
      <c r="J194" s="37">
        <v>0.73396990740740742</v>
      </c>
      <c r="K194">
        <v>0</v>
      </c>
      <c r="L194">
        <v>0</v>
      </c>
      <c r="M194">
        <v>0</v>
      </c>
      <c r="N194">
        <v>0</v>
      </c>
      <c r="O194">
        <v>0</v>
      </c>
      <c r="P194">
        <v>0</v>
      </c>
      <c r="Q194">
        <v>0</v>
      </c>
      <c r="R194">
        <v>0</v>
      </c>
      <c r="S194">
        <v>0</v>
      </c>
      <c r="T194">
        <v>0</v>
      </c>
      <c r="U194">
        <v>0</v>
      </c>
      <c r="V194">
        <v>0</v>
      </c>
      <c r="W194" s="3">
        <f>AVERAGE(H149:H153)</f>
        <v>8.3054400000000008</v>
      </c>
      <c r="X194" s="30"/>
      <c r="Y194">
        <v>0</v>
      </c>
      <c r="Z194" t="s">
        <v>1</v>
      </c>
      <c r="AA194">
        <v>28960</v>
      </c>
      <c r="AB194">
        <v>160</v>
      </c>
      <c r="AC194">
        <v>1</v>
      </c>
      <c r="AD194">
        <v>16</v>
      </c>
      <c r="AE194" s="16">
        <v>1761.27</v>
      </c>
      <c r="AF194" s="3">
        <v>9.1942000000000004</v>
      </c>
      <c r="AG194" s="1">
        <v>45320</v>
      </c>
      <c r="AH194" s="2">
        <v>0.12400462962962962</v>
      </c>
      <c r="AI194">
        <v>0</v>
      </c>
      <c r="AJ194">
        <v>0</v>
      </c>
      <c r="AK194">
        <v>0</v>
      </c>
      <c r="AL194">
        <v>0</v>
      </c>
      <c r="AM194">
        <v>0</v>
      </c>
      <c r="AN194">
        <v>0</v>
      </c>
      <c r="AO194">
        <v>0</v>
      </c>
      <c r="AP194">
        <v>0</v>
      </c>
      <c r="AQ194">
        <v>0</v>
      </c>
      <c r="AR194">
        <v>0</v>
      </c>
      <c r="AS194">
        <v>0</v>
      </c>
      <c r="AT194">
        <v>0</v>
      </c>
      <c r="AU194" s="3">
        <f>AVERAGE(AF194:AF198)</f>
        <v>9.2028800000000004</v>
      </c>
    </row>
    <row r="195" spans="1:47" x14ac:dyDescent="0.25">
      <c r="A195">
        <v>1</v>
      </c>
      <c r="B195" t="s">
        <v>1</v>
      </c>
      <c r="C195">
        <v>28960</v>
      </c>
      <c r="D195">
        <v>160</v>
      </c>
      <c r="E195">
        <v>1</v>
      </c>
      <c r="F195">
        <v>16</v>
      </c>
      <c r="G195" s="16">
        <v>1974.49</v>
      </c>
      <c r="H195" s="3">
        <v>8.2012999999999998</v>
      </c>
      <c r="I195" s="1">
        <v>45321</v>
      </c>
      <c r="J195" s="37">
        <v>0.60381944444444446</v>
      </c>
      <c r="K195">
        <v>0</v>
      </c>
      <c r="L195">
        <v>0</v>
      </c>
      <c r="M195">
        <v>0</v>
      </c>
      <c r="N195">
        <v>0</v>
      </c>
      <c r="O195">
        <v>0</v>
      </c>
      <c r="P195">
        <v>0</v>
      </c>
      <c r="Q195">
        <v>0</v>
      </c>
      <c r="R195">
        <v>0</v>
      </c>
      <c r="S195">
        <v>0</v>
      </c>
      <c r="T195">
        <v>0</v>
      </c>
      <c r="U195">
        <v>0</v>
      </c>
      <c r="V195">
        <v>0</v>
      </c>
      <c r="W195" s="3">
        <f>W194</f>
        <v>8.3054400000000008</v>
      </c>
      <c r="X195" s="30"/>
      <c r="Y195">
        <v>1</v>
      </c>
      <c r="Z195" t="s">
        <v>1</v>
      </c>
      <c r="AA195">
        <v>28960</v>
      </c>
      <c r="AB195">
        <v>160</v>
      </c>
      <c r="AC195">
        <v>1</v>
      </c>
      <c r="AD195">
        <v>16</v>
      </c>
      <c r="AE195" s="16">
        <v>1757.89</v>
      </c>
      <c r="AF195" s="3">
        <v>9.2119</v>
      </c>
      <c r="AG195" s="1">
        <v>45321</v>
      </c>
      <c r="AH195" s="2">
        <v>5.1284722222222225E-2</v>
      </c>
      <c r="AI195">
        <v>0</v>
      </c>
      <c r="AJ195">
        <v>0</v>
      </c>
      <c r="AK195">
        <v>0</v>
      </c>
      <c r="AL195">
        <v>0</v>
      </c>
      <c r="AM195">
        <v>0</v>
      </c>
      <c r="AN195">
        <v>0</v>
      </c>
      <c r="AO195">
        <v>0</v>
      </c>
      <c r="AP195">
        <v>0</v>
      </c>
      <c r="AQ195">
        <v>0</v>
      </c>
      <c r="AR195">
        <v>0</v>
      </c>
      <c r="AS195">
        <v>0</v>
      </c>
      <c r="AT195">
        <v>0</v>
      </c>
      <c r="AU195" s="3">
        <f>AU194</f>
        <v>9.2028800000000004</v>
      </c>
    </row>
    <row r="196" spans="1:47" x14ac:dyDescent="0.25">
      <c r="A196">
        <v>2</v>
      </c>
      <c r="B196" t="s">
        <v>1</v>
      </c>
      <c r="C196">
        <v>28960</v>
      </c>
      <c r="D196">
        <v>160</v>
      </c>
      <c r="E196">
        <v>1</v>
      </c>
      <c r="F196">
        <v>16</v>
      </c>
      <c r="G196" s="16">
        <v>1975.14</v>
      </c>
      <c r="H196" s="3">
        <v>8.1986000000000008</v>
      </c>
      <c r="I196" s="1">
        <v>45322</v>
      </c>
      <c r="J196" s="37">
        <v>0.4736805555555556</v>
      </c>
      <c r="K196">
        <v>0</v>
      </c>
      <c r="L196">
        <v>0</v>
      </c>
      <c r="M196">
        <v>0</v>
      </c>
      <c r="N196">
        <v>0</v>
      </c>
      <c r="O196">
        <v>0</v>
      </c>
      <c r="P196">
        <v>0</v>
      </c>
      <c r="Q196">
        <v>0</v>
      </c>
      <c r="R196">
        <v>0</v>
      </c>
      <c r="S196">
        <v>0</v>
      </c>
      <c r="T196">
        <v>0</v>
      </c>
      <c r="U196">
        <v>0</v>
      </c>
      <c r="V196">
        <v>0</v>
      </c>
      <c r="W196" s="3">
        <f>W195</f>
        <v>8.3054400000000008</v>
      </c>
      <c r="X196" s="30"/>
      <c r="Y196">
        <v>2</v>
      </c>
      <c r="Z196" t="s">
        <v>1</v>
      </c>
      <c r="AA196">
        <v>28960</v>
      </c>
      <c r="AB196">
        <v>160</v>
      </c>
      <c r="AC196">
        <v>1</v>
      </c>
      <c r="AD196">
        <v>16</v>
      </c>
      <c r="AE196" s="16">
        <v>1762.48</v>
      </c>
      <c r="AF196" s="3">
        <v>9.1879000000000008</v>
      </c>
      <c r="AG196" s="1">
        <v>45321</v>
      </c>
      <c r="AH196" s="2">
        <v>0.8849999999999999</v>
      </c>
      <c r="AI196">
        <v>0</v>
      </c>
      <c r="AJ196">
        <v>0</v>
      </c>
      <c r="AK196">
        <v>0</v>
      </c>
      <c r="AL196">
        <v>0</v>
      </c>
      <c r="AM196">
        <v>0</v>
      </c>
      <c r="AN196">
        <v>0</v>
      </c>
      <c r="AO196">
        <v>0</v>
      </c>
      <c r="AP196">
        <v>0</v>
      </c>
      <c r="AQ196">
        <v>0</v>
      </c>
      <c r="AR196">
        <v>0</v>
      </c>
      <c r="AS196">
        <v>0</v>
      </c>
      <c r="AT196">
        <v>0</v>
      </c>
      <c r="AU196" s="3">
        <f>AU195</f>
        <v>9.2028800000000004</v>
      </c>
    </row>
    <row r="197" spans="1:47" x14ac:dyDescent="0.25">
      <c r="A197">
        <v>3</v>
      </c>
      <c r="B197" t="s">
        <v>1</v>
      </c>
      <c r="C197">
        <v>28960</v>
      </c>
      <c r="D197">
        <v>160</v>
      </c>
      <c r="E197">
        <v>1</v>
      </c>
      <c r="F197">
        <v>16</v>
      </c>
      <c r="G197" s="16">
        <v>1973.9</v>
      </c>
      <c r="H197" s="3">
        <v>8.2037999999999993</v>
      </c>
      <c r="I197" s="1">
        <v>45323</v>
      </c>
      <c r="J197" s="37">
        <v>0.33052083333333332</v>
      </c>
      <c r="K197">
        <v>0</v>
      </c>
      <c r="L197">
        <v>0</v>
      </c>
      <c r="M197">
        <v>0</v>
      </c>
      <c r="N197">
        <v>0</v>
      </c>
      <c r="O197">
        <v>0</v>
      </c>
      <c r="P197">
        <v>0</v>
      </c>
      <c r="Q197">
        <v>0</v>
      </c>
      <c r="R197">
        <v>0</v>
      </c>
      <c r="S197">
        <v>0</v>
      </c>
      <c r="T197">
        <v>0</v>
      </c>
      <c r="U197">
        <v>0</v>
      </c>
      <c r="V197">
        <v>0</v>
      </c>
      <c r="W197" s="3">
        <f>W196</f>
        <v>8.3054400000000008</v>
      </c>
      <c r="X197" s="30"/>
      <c r="Y197">
        <v>3</v>
      </c>
      <c r="Z197" t="s">
        <v>1</v>
      </c>
      <c r="AA197">
        <v>28960</v>
      </c>
      <c r="AB197">
        <v>160</v>
      </c>
      <c r="AC197">
        <v>1</v>
      </c>
      <c r="AD197">
        <v>16</v>
      </c>
      <c r="AE197" s="16">
        <v>1757.22</v>
      </c>
      <c r="AF197" s="3">
        <v>9.2154000000000007</v>
      </c>
      <c r="AG197" s="1">
        <v>45322</v>
      </c>
      <c r="AH197" s="2">
        <v>0.71901620370370367</v>
      </c>
      <c r="AI197">
        <v>0</v>
      </c>
      <c r="AJ197">
        <v>0</v>
      </c>
      <c r="AK197">
        <v>0</v>
      </c>
      <c r="AL197">
        <v>0</v>
      </c>
      <c r="AM197">
        <v>0</v>
      </c>
      <c r="AN197">
        <v>0</v>
      </c>
      <c r="AO197">
        <v>0</v>
      </c>
      <c r="AP197">
        <v>0</v>
      </c>
      <c r="AQ197">
        <v>0</v>
      </c>
      <c r="AR197">
        <v>0</v>
      </c>
      <c r="AS197">
        <v>0</v>
      </c>
      <c r="AT197">
        <v>0</v>
      </c>
      <c r="AU197" s="3">
        <f>AU196</f>
        <v>9.2028800000000004</v>
      </c>
    </row>
    <row r="198" spans="1:47" x14ac:dyDescent="0.25">
      <c r="A198">
        <v>4</v>
      </c>
      <c r="B198" t="s">
        <v>1</v>
      </c>
      <c r="C198">
        <v>28960</v>
      </c>
      <c r="D198">
        <v>160</v>
      </c>
      <c r="E198">
        <v>1</v>
      </c>
      <c r="F198">
        <v>16</v>
      </c>
      <c r="G198" s="16">
        <v>1973.5</v>
      </c>
      <c r="H198" s="3">
        <v>8.2053999999999991</v>
      </c>
      <c r="I198" s="1">
        <v>45318</v>
      </c>
      <c r="J198" s="37">
        <v>0.43381944444444448</v>
      </c>
      <c r="K198">
        <v>0</v>
      </c>
      <c r="L198">
        <v>0</v>
      </c>
      <c r="M198">
        <v>0</v>
      </c>
      <c r="N198">
        <v>0</v>
      </c>
      <c r="O198">
        <v>0</v>
      </c>
      <c r="P198">
        <v>0</v>
      </c>
      <c r="Q198">
        <v>0</v>
      </c>
      <c r="R198">
        <v>0</v>
      </c>
      <c r="S198">
        <v>0</v>
      </c>
      <c r="T198">
        <v>0</v>
      </c>
      <c r="U198">
        <v>0</v>
      </c>
      <c r="V198">
        <v>0</v>
      </c>
      <c r="W198" s="3">
        <f>W197</f>
        <v>8.3054400000000008</v>
      </c>
      <c r="X198" s="30"/>
      <c r="Y198">
        <v>4</v>
      </c>
      <c r="Z198" t="s">
        <v>1</v>
      </c>
      <c r="AA198">
        <v>28960</v>
      </c>
      <c r="AB198">
        <v>160</v>
      </c>
      <c r="AC198">
        <v>1</v>
      </c>
      <c r="AD198">
        <v>16</v>
      </c>
      <c r="AE198" s="16">
        <v>1759.19</v>
      </c>
      <c r="AF198" s="3">
        <v>9.2050000000000001</v>
      </c>
      <c r="AG198" s="1">
        <v>45323</v>
      </c>
      <c r="AH198" s="2">
        <v>0.55358796296296298</v>
      </c>
      <c r="AI198">
        <v>0</v>
      </c>
      <c r="AJ198">
        <v>0</v>
      </c>
      <c r="AK198">
        <v>0</v>
      </c>
      <c r="AL198">
        <v>0</v>
      </c>
      <c r="AM198">
        <v>0</v>
      </c>
      <c r="AN198">
        <v>0</v>
      </c>
      <c r="AO198">
        <v>0</v>
      </c>
      <c r="AP198">
        <v>0</v>
      </c>
      <c r="AQ198">
        <v>0</v>
      </c>
      <c r="AR198">
        <v>0</v>
      </c>
      <c r="AS198">
        <v>0</v>
      </c>
      <c r="AT198">
        <v>0</v>
      </c>
      <c r="AU198" s="3">
        <f>AU197</f>
        <v>9.2028800000000004</v>
      </c>
    </row>
    <row r="199" spans="1:47" x14ac:dyDescent="0.25">
      <c r="A199">
        <v>0</v>
      </c>
      <c r="B199" t="s">
        <v>1</v>
      </c>
      <c r="C199">
        <v>25920</v>
      </c>
      <c r="D199">
        <v>160</v>
      </c>
      <c r="E199">
        <v>2</v>
      </c>
      <c r="F199">
        <v>8</v>
      </c>
      <c r="G199" s="16">
        <v>1355.42</v>
      </c>
      <c r="H199" s="3">
        <v>8.5660000000000007</v>
      </c>
      <c r="I199" s="1">
        <v>45320</v>
      </c>
      <c r="J199" s="37">
        <v>0.49855324074074076</v>
      </c>
      <c r="K199">
        <v>0</v>
      </c>
      <c r="L199">
        <v>0</v>
      </c>
      <c r="M199">
        <v>0</v>
      </c>
      <c r="N199">
        <v>0</v>
      </c>
      <c r="O199">
        <v>0</v>
      </c>
      <c r="P199">
        <v>0</v>
      </c>
      <c r="Q199">
        <v>0</v>
      </c>
      <c r="R199">
        <v>0</v>
      </c>
      <c r="S199">
        <v>0</v>
      </c>
      <c r="T199">
        <v>0</v>
      </c>
      <c r="U199">
        <v>0</v>
      </c>
      <c r="V199">
        <v>0</v>
      </c>
      <c r="W199" s="3">
        <f>AVERAGE(H154:H158)</f>
        <v>8.5316200000000002</v>
      </c>
      <c r="X199" s="30"/>
      <c r="Y199">
        <v>0</v>
      </c>
      <c r="Z199" t="s">
        <v>1</v>
      </c>
      <c r="AA199">
        <v>25920</v>
      </c>
      <c r="AB199">
        <v>160</v>
      </c>
      <c r="AC199">
        <v>2</v>
      </c>
      <c r="AD199">
        <v>8</v>
      </c>
      <c r="AE199" s="16">
        <v>1211.6300000000001</v>
      </c>
      <c r="AF199" s="3">
        <v>9.5825999999999993</v>
      </c>
      <c r="AG199" s="1">
        <v>45319</v>
      </c>
      <c r="AH199" s="2">
        <v>0.89759259259259261</v>
      </c>
      <c r="AI199">
        <v>0</v>
      </c>
      <c r="AJ199">
        <v>0</v>
      </c>
      <c r="AK199">
        <v>0</v>
      </c>
      <c r="AL199">
        <v>0</v>
      </c>
      <c r="AM199">
        <v>0</v>
      </c>
      <c r="AN199">
        <v>0</v>
      </c>
      <c r="AO199">
        <v>0</v>
      </c>
      <c r="AP199">
        <v>0</v>
      </c>
      <c r="AQ199">
        <v>0</v>
      </c>
      <c r="AR199">
        <v>0</v>
      </c>
      <c r="AS199">
        <v>0</v>
      </c>
      <c r="AT199">
        <v>0</v>
      </c>
      <c r="AU199" s="3">
        <f>AVERAGE(AF199:AF203)</f>
        <v>9.5685000000000002</v>
      </c>
    </row>
    <row r="200" spans="1:47" x14ac:dyDescent="0.25">
      <c r="A200">
        <v>1</v>
      </c>
      <c r="B200" t="s">
        <v>1</v>
      </c>
      <c r="C200">
        <v>25920</v>
      </c>
      <c r="D200">
        <v>160</v>
      </c>
      <c r="E200">
        <v>2</v>
      </c>
      <c r="F200">
        <v>8</v>
      </c>
      <c r="G200" s="16">
        <v>1355.79</v>
      </c>
      <c r="H200" s="3">
        <v>8.5635999999999992</v>
      </c>
      <c r="I200" s="1">
        <v>45321</v>
      </c>
      <c r="J200" s="37">
        <v>0.36839120370370365</v>
      </c>
      <c r="K200">
        <v>0</v>
      </c>
      <c r="L200">
        <v>0</v>
      </c>
      <c r="M200">
        <v>0</v>
      </c>
      <c r="N200">
        <v>0</v>
      </c>
      <c r="O200">
        <v>0</v>
      </c>
      <c r="P200">
        <v>0</v>
      </c>
      <c r="Q200">
        <v>0</v>
      </c>
      <c r="R200">
        <v>0</v>
      </c>
      <c r="S200">
        <v>0</v>
      </c>
      <c r="T200">
        <v>0</v>
      </c>
      <c r="U200">
        <v>0</v>
      </c>
      <c r="V200">
        <v>0</v>
      </c>
      <c r="W200" s="3">
        <f>W199</f>
        <v>8.5316200000000002</v>
      </c>
      <c r="X200" s="30"/>
      <c r="Y200">
        <v>1</v>
      </c>
      <c r="Z200" t="s">
        <v>1</v>
      </c>
      <c r="AA200">
        <v>25920</v>
      </c>
      <c r="AB200">
        <v>160</v>
      </c>
      <c r="AC200">
        <v>2</v>
      </c>
      <c r="AD200">
        <v>8</v>
      </c>
      <c r="AE200" s="16">
        <v>1213.21</v>
      </c>
      <c r="AF200" s="3">
        <v>9.5701000000000001</v>
      </c>
      <c r="AG200" s="1">
        <v>45320</v>
      </c>
      <c r="AH200" s="2">
        <v>0.82469907407407417</v>
      </c>
      <c r="AI200">
        <v>0</v>
      </c>
      <c r="AJ200">
        <v>0</v>
      </c>
      <c r="AK200">
        <v>0</v>
      </c>
      <c r="AL200">
        <v>0</v>
      </c>
      <c r="AM200">
        <v>0</v>
      </c>
      <c r="AN200">
        <v>0</v>
      </c>
      <c r="AO200">
        <v>0</v>
      </c>
      <c r="AP200">
        <v>0</v>
      </c>
      <c r="AQ200">
        <v>0</v>
      </c>
      <c r="AR200">
        <v>0</v>
      </c>
      <c r="AS200">
        <v>0</v>
      </c>
      <c r="AT200">
        <v>0</v>
      </c>
      <c r="AU200" s="3">
        <f>AU199</f>
        <v>9.5685000000000002</v>
      </c>
    </row>
    <row r="201" spans="1:47" x14ac:dyDescent="0.25">
      <c r="A201">
        <v>2</v>
      </c>
      <c r="B201" t="s">
        <v>1</v>
      </c>
      <c r="C201">
        <v>25920</v>
      </c>
      <c r="D201">
        <v>160</v>
      </c>
      <c r="E201">
        <v>2</v>
      </c>
      <c r="F201">
        <v>8</v>
      </c>
      <c r="G201" s="16">
        <v>1356.4</v>
      </c>
      <c r="H201" s="3">
        <v>8.5597999999999992</v>
      </c>
      <c r="I201" s="1">
        <v>45322</v>
      </c>
      <c r="J201" s="37">
        <v>0.23825231481481482</v>
      </c>
      <c r="K201">
        <v>0</v>
      </c>
      <c r="L201">
        <v>0</v>
      </c>
      <c r="M201">
        <v>0</v>
      </c>
      <c r="N201">
        <v>0</v>
      </c>
      <c r="O201">
        <v>0</v>
      </c>
      <c r="P201">
        <v>0</v>
      </c>
      <c r="Q201">
        <v>0</v>
      </c>
      <c r="R201">
        <v>0</v>
      </c>
      <c r="S201">
        <v>0</v>
      </c>
      <c r="T201">
        <v>0</v>
      </c>
      <c r="U201">
        <v>0</v>
      </c>
      <c r="V201">
        <v>0</v>
      </c>
      <c r="W201" s="3">
        <f>W200</f>
        <v>8.5316200000000002</v>
      </c>
      <c r="X201" s="30"/>
      <c r="Y201">
        <v>2</v>
      </c>
      <c r="Z201" t="s">
        <v>1</v>
      </c>
      <c r="AA201">
        <v>25920</v>
      </c>
      <c r="AB201">
        <v>160</v>
      </c>
      <c r="AC201">
        <v>2</v>
      </c>
      <c r="AD201">
        <v>8</v>
      </c>
      <c r="AE201" s="16">
        <v>1212.8</v>
      </c>
      <c r="AF201" s="3">
        <v>9.5732999999999997</v>
      </c>
      <c r="AG201" s="1">
        <v>45321</v>
      </c>
      <c r="AH201" s="2">
        <v>0.65824074074074079</v>
      </c>
      <c r="AI201">
        <v>0</v>
      </c>
      <c r="AJ201">
        <v>0</v>
      </c>
      <c r="AK201">
        <v>0</v>
      </c>
      <c r="AL201">
        <v>0</v>
      </c>
      <c r="AM201">
        <v>0</v>
      </c>
      <c r="AN201">
        <v>0</v>
      </c>
      <c r="AO201">
        <v>0</v>
      </c>
      <c r="AP201">
        <v>0</v>
      </c>
      <c r="AQ201">
        <v>0</v>
      </c>
      <c r="AR201">
        <v>0</v>
      </c>
      <c r="AS201">
        <v>0</v>
      </c>
      <c r="AT201">
        <v>0</v>
      </c>
      <c r="AU201" s="3">
        <f>AU200</f>
        <v>9.5685000000000002</v>
      </c>
    </row>
    <row r="202" spans="1:47" x14ac:dyDescent="0.25">
      <c r="A202">
        <v>3</v>
      </c>
      <c r="B202" t="s">
        <v>1</v>
      </c>
      <c r="C202">
        <v>25920</v>
      </c>
      <c r="D202">
        <v>160</v>
      </c>
      <c r="E202">
        <v>2</v>
      </c>
      <c r="F202">
        <v>8</v>
      </c>
      <c r="G202" s="16">
        <v>1355.81</v>
      </c>
      <c r="H202" s="3">
        <v>8.5634999999999994</v>
      </c>
      <c r="I202" s="1">
        <v>45323</v>
      </c>
      <c r="J202" s="37">
        <v>0.1080787037037037</v>
      </c>
      <c r="K202">
        <v>0</v>
      </c>
      <c r="L202">
        <v>0</v>
      </c>
      <c r="M202">
        <v>0</v>
      </c>
      <c r="N202">
        <v>0</v>
      </c>
      <c r="O202">
        <v>0</v>
      </c>
      <c r="P202">
        <v>0</v>
      </c>
      <c r="Q202">
        <v>0</v>
      </c>
      <c r="R202">
        <v>0</v>
      </c>
      <c r="S202">
        <v>0</v>
      </c>
      <c r="T202">
        <v>0</v>
      </c>
      <c r="U202">
        <v>0</v>
      </c>
      <c r="V202">
        <v>0</v>
      </c>
      <c r="W202" s="3">
        <f>W201</f>
        <v>8.5316200000000002</v>
      </c>
      <c r="X202" s="30"/>
      <c r="Y202">
        <v>3</v>
      </c>
      <c r="Z202" t="s">
        <v>1</v>
      </c>
      <c r="AA202">
        <v>25920</v>
      </c>
      <c r="AB202">
        <v>160</v>
      </c>
      <c r="AC202">
        <v>2</v>
      </c>
      <c r="AD202">
        <v>8</v>
      </c>
      <c r="AE202" s="16">
        <v>1211.46</v>
      </c>
      <c r="AF202" s="3">
        <v>9.5838999999999999</v>
      </c>
      <c r="AG202" s="1">
        <v>45322</v>
      </c>
      <c r="AH202" s="2">
        <v>0.49201388888888892</v>
      </c>
      <c r="AI202">
        <v>0</v>
      </c>
      <c r="AJ202">
        <v>0</v>
      </c>
      <c r="AK202">
        <v>0</v>
      </c>
      <c r="AL202">
        <v>0</v>
      </c>
      <c r="AM202">
        <v>0</v>
      </c>
      <c r="AN202">
        <v>0</v>
      </c>
      <c r="AO202">
        <v>0</v>
      </c>
      <c r="AP202">
        <v>0</v>
      </c>
      <c r="AQ202">
        <v>0</v>
      </c>
      <c r="AR202">
        <v>0</v>
      </c>
      <c r="AS202">
        <v>0</v>
      </c>
      <c r="AT202">
        <v>0</v>
      </c>
      <c r="AU202" s="3">
        <f>AU201</f>
        <v>9.5685000000000002</v>
      </c>
    </row>
    <row r="203" spans="1:47" x14ac:dyDescent="0.25">
      <c r="A203">
        <v>4</v>
      </c>
      <c r="B203" t="s">
        <v>1</v>
      </c>
      <c r="C203">
        <v>25920</v>
      </c>
      <c r="D203">
        <v>160</v>
      </c>
      <c r="E203">
        <v>2</v>
      </c>
      <c r="F203">
        <v>8</v>
      </c>
      <c r="G203" s="16">
        <v>1356.15</v>
      </c>
      <c r="H203" s="3">
        <v>8.5614000000000008</v>
      </c>
      <c r="I203" s="1">
        <v>45318</v>
      </c>
      <c r="J203" s="37">
        <v>0.19839120370370369</v>
      </c>
      <c r="K203">
        <v>0</v>
      </c>
      <c r="L203">
        <v>0</v>
      </c>
      <c r="M203">
        <v>0</v>
      </c>
      <c r="N203">
        <v>0</v>
      </c>
      <c r="O203">
        <v>0</v>
      </c>
      <c r="P203">
        <v>0</v>
      </c>
      <c r="Q203">
        <v>0</v>
      </c>
      <c r="R203">
        <v>0</v>
      </c>
      <c r="S203">
        <v>0</v>
      </c>
      <c r="T203">
        <v>0</v>
      </c>
      <c r="U203">
        <v>0</v>
      </c>
      <c r="V203">
        <v>0</v>
      </c>
      <c r="W203" s="3">
        <f>W202</f>
        <v>8.5316200000000002</v>
      </c>
      <c r="X203" s="30"/>
      <c r="Y203">
        <v>4</v>
      </c>
      <c r="Z203" t="s">
        <v>1</v>
      </c>
      <c r="AA203">
        <v>25920</v>
      </c>
      <c r="AB203">
        <v>160</v>
      </c>
      <c r="AC203">
        <v>2</v>
      </c>
      <c r="AD203">
        <v>8</v>
      </c>
      <c r="AE203" s="16">
        <v>1217.97</v>
      </c>
      <c r="AF203" s="3">
        <v>9.5326000000000004</v>
      </c>
      <c r="AG203" s="1">
        <v>45323</v>
      </c>
      <c r="AH203" s="2">
        <v>0.32628472222222221</v>
      </c>
      <c r="AI203">
        <v>0</v>
      </c>
      <c r="AJ203">
        <v>0</v>
      </c>
      <c r="AK203">
        <v>0</v>
      </c>
      <c r="AL203">
        <v>0</v>
      </c>
      <c r="AM203">
        <v>0</v>
      </c>
      <c r="AN203">
        <v>0</v>
      </c>
      <c r="AO203">
        <v>0</v>
      </c>
      <c r="AP203">
        <v>0</v>
      </c>
      <c r="AQ203">
        <v>0</v>
      </c>
      <c r="AR203">
        <v>0</v>
      </c>
      <c r="AS203">
        <v>0</v>
      </c>
      <c r="AT203">
        <v>0</v>
      </c>
      <c r="AU203" s="3">
        <f>AU202</f>
        <v>9.5685000000000002</v>
      </c>
    </row>
    <row r="204" spans="1:47" x14ac:dyDescent="0.25">
      <c r="A204">
        <v>0</v>
      </c>
      <c r="B204" t="s">
        <v>1</v>
      </c>
      <c r="C204">
        <v>27520</v>
      </c>
      <c r="D204">
        <v>160</v>
      </c>
      <c r="E204">
        <v>2</v>
      </c>
      <c r="F204">
        <v>8</v>
      </c>
      <c r="G204" s="16">
        <v>1614.55</v>
      </c>
      <c r="H204" s="3">
        <v>8.6067</v>
      </c>
      <c r="I204" s="1">
        <v>45320</v>
      </c>
      <c r="J204" s="37">
        <v>0.21600694444444446</v>
      </c>
      <c r="K204">
        <v>0</v>
      </c>
      <c r="L204">
        <v>0</v>
      </c>
      <c r="M204">
        <v>0</v>
      </c>
      <c r="N204">
        <v>0</v>
      </c>
      <c r="O204">
        <v>0</v>
      </c>
      <c r="P204">
        <v>0</v>
      </c>
      <c r="Q204">
        <v>0</v>
      </c>
      <c r="R204">
        <v>0</v>
      </c>
      <c r="S204">
        <v>0</v>
      </c>
      <c r="T204">
        <v>0</v>
      </c>
      <c r="U204">
        <v>0</v>
      </c>
      <c r="V204">
        <v>0</v>
      </c>
      <c r="W204" s="3">
        <f>AVERAGE(H159:H163)</f>
        <v>8.4949999999999992</v>
      </c>
      <c r="X204" s="30"/>
      <c r="Y204">
        <v>0</v>
      </c>
      <c r="Z204" t="s">
        <v>1</v>
      </c>
      <c r="AA204">
        <v>27520</v>
      </c>
      <c r="AB204">
        <v>160</v>
      </c>
      <c r="AC204">
        <v>2</v>
      </c>
      <c r="AD204">
        <v>8</v>
      </c>
      <c r="AE204" s="16">
        <v>1439.35</v>
      </c>
      <c r="AF204" s="3">
        <v>9.6544000000000008</v>
      </c>
      <c r="AG204" s="1">
        <v>45319</v>
      </c>
      <c r="AH204" s="2">
        <v>0.62722222222222224</v>
      </c>
      <c r="AI204">
        <v>0</v>
      </c>
      <c r="AJ204">
        <v>0</v>
      </c>
      <c r="AK204">
        <v>0</v>
      </c>
      <c r="AL204">
        <v>0</v>
      </c>
      <c r="AM204">
        <v>0</v>
      </c>
      <c r="AN204">
        <v>0</v>
      </c>
      <c r="AO204">
        <v>0</v>
      </c>
      <c r="AP204">
        <v>0</v>
      </c>
      <c r="AQ204">
        <v>0</v>
      </c>
      <c r="AR204">
        <v>0</v>
      </c>
      <c r="AS204">
        <v>0</v>
      </c>
      <c r="AT204">
        <v>0</v>
      </c>
      <c r="AU204" s="3">
        <f>AVERAGE(AF204:AF208)</f>
        <v>9.6519800000000018</v>
      </c>
    </row>
    <row r="205" spans="1:47" x14ac:dyDescent="0.25">
      <c r="A205">
        <v>1</v>
      </c>
      <c r="B205" t="s">
        <v>1</v>
      </c>
      <c r="C205">
        <v>27520</v>
      </c>
      <c r="D205">
        <v>160</v>
      </c>
      <c r="E205">
        <v>2</v>
      </c>
      <c r="F205">
        <v>8</v>
      </c>
      <c r="G205" s="16">
        <v>1614.31</v>
      </c>
      <c r="H205" s="3">
        <v>8.6080000000000005</v>
      </c>
      <c r="I205" s="1">
        <v>45321</v>
      </c>
      <c r="J205" s="37">
        <v>8.5902777777777772E-2</v>
      </c>
      <c r="K205">
        <v>0</v>
      </c>
      <c r="L205">
        <v>0</v>
      </c>
      <c r="M205">
        <v>0</v>
      </c>
      <c r="N205">
        <v>0</v>
      </c>
      <c r="O205">
        <v>0</v>
      </c>
      <c r="P205">
        <v>0</v>
      </c>
      <c r="Q205">
        <v>0</v>
      </c>
      <c r="R205">
        <v>0</v>
      </c>
      <c r="S205">
        <v>0</v>
      </c>
      <c r="T205">
        <v>0</v>
      </c>
      <c r="U205">
        <v>0</v>
      </c>
      <c r="V205">
        <v>0</v>
      </c>
      <c r="W205" s="3">
        <f>W204</f>
        <v>8.4949999999999992</v>
      </c>
      <c r="X205" s="30"/>
      <c r="Y205">
        <v>1</v>
      </c>
      <c r="Z205" t="s">
        <v>1</v>
      </c>
      <c r="AA205">
        <v>27520</v>
      </c>
      <c r="AB205">
        <v>160</v>
      </c>
      <c r="AC205">
        <v>2</v>
      </c>
      <c r="AD205">
        <v>8</v>
      </c>
      <c r="AE205" s="16">
        <v>1438.01</v>
      </c>
      <c r="AF205" s="3">
        <v>9.6632999999999996</v>
      </c>
      <c r="AG205" s="1">
        <v>45320</v>
      </c>
      <c r="AH205" s="2">
        <v>0.46037037037037037</v>
      </c>
      <c r="AI205">
        <v>0</v>
      </c>
      <c r="AJ205">
        <v>0</v>
      </c>
      <c r="AK205">
        <v>0</v>
      </c>
      <c r="AL205">
        <v>0</v>
      </c>
      <c r="AM205">
        <v>0</v>
      </c>
      <c r="AN205">
        <v>0</v>
      </c>
      <c r="AO205">
        <v>0</v>
      </c>
      <c r="AP205">
        <v>0</v>
      </c>
      <c r="AQ205">
        <v>0</v>
      </c>
      <c r="AR205">
        <v>0</v>
      </c>
      <c r="AS205">
        <v>0</v>
      </c>
      <c r="AT205">
        <v>0</v>
      </c>
      <c r="AU205" s="3">
        <f>AU204</f>
        <v>9.6519800000000018</v>
      </c>
    </row>
    <row r="206" spans="1:47" x14ac:dyDescent="0.25">
      <c r="A206">
        <v>2</v>
      </c>
      <c r="B206" t="s">
        <v>1</v>
      </c>
      <c r="C206">
        <v>27520</v>
      </c>
      <c r="D206">
        <v>160</v>
      </c>
      <c r="E206">
        <v>2</v>
      </c>
      <c r="F206">
        <v>8</v>
      </c>
      <c r="G206" s="16">
        <v>1614.51</v>
      </c>
      <c r="H206" s="3">
        <v>8.6068999999999996</v>
      </c>
      <c r="I206" s="1">
        <v>45321</v>
      </c>
      <c r="J206" s="37">
        <v>0.95581018518518512</v>
      </c>
      <c r="K206">
        <v>0</v>
      </c>
      <c r="L206">
        <v>0</v>
      </c>
      <c r="M206">
        <v>0</v>
      </c>
      <c r="N206">
        <v>0</v>
      </c>
      <c r="O206">
        <v>0</v>
      </c>
      <c r="P206">
        <v>0</v>
      </c>
      <c r="Q206">
        <v>0</v>
      </c>
      <c r="R206">
        <v>0</v>
      </c>
      <c r="S206">
        <v>0</v>
      </c>
      <c r="T206">
        <v>0</v>
      </c>
      <c r="U206">
        <v>0</v>
      </c>
      <c r="V206">
        <v>0</v>
      </c>
      <c r="W206" s="3">
        <f>W205</f>
        <v>8.4949999999999992</v>
      </c>
      <c r="X206" s="30"/>
      <c r="Y206">
        <v>2</v>
      </c>
      <c r="Z206" t="s">
        <v>1</v>
      </c>
      <c r="AA206">
        <v>27520</v>
      </c>
      <c r="AB206">
        <v>160</v>
      </c>
      <c r="AC206">
        <v>2</v>
      </c>
      <c r="AD206">
        <v>8</v>
      </c>
      <c r="AE206" s="16">
        <v>1440.13</v>
      </c>
      <c r="AF206" s="3">
        <v>9.6491000000000007</v>
      </c>
      <c r="AG206" s="1">
        <v>45321</v>
      </c>
      <c r="AH206" s="2">
        <v>0.38765046296296296</v>
      </c>
      <c r="AI206">
        <v>0</v>
      </c>
      <c r="AJ206">
        <v>0</v>
      </c>
      <c r="AK206">
        <v>0</v>
      </c>
      <c r="AL206">
        <v>0</v>
      </c>
      <c r="AM206">
        <v>0</v>
      </c>
      <c r="AN206">
        <v>0</v>
      </c>
      <c r="AO206">
        <v>0</v>
      </c>
      <c r="AP206">
        <v>0</v>
      </c>
      <c r="AQ206">
        <v>0</v>
      </c>
      <c r="AR206">
        <v>0</v>
      </c>
      <c r="AS206">
        <v>0</v>
      </c>
      <c r="AT206">
        <v>0</v>
      </c>
      <c r="AU206" s="3">
        <f>AU205</f>
        <v>9.6519800000000018</v>
      </c>
    </row>
    <row r="207" spans="1:47" x14ac:dyDescent="0.25">
      <c r="A207">
        <v>3</v>
      </c>
      <c r="B207" t="s">
        <v>1</v>
      </c>
      <c r="C207">
        <v>27520</v>
      </c>
      <c r="D207">
        <v>160</v>
      </c>
      <c r="E207">
        <v>2</v>
      </c>
      <c r="F207">
        <v>8</v>
      </c>
      <c r="G207" s="16">
        <v>1614.18</v>
      </c>
      <c r="H207" s="3">
        <v>8.6087000000000007</v>
      </c>
      <c r="I207" s="1">
        <v>45322</v>
      </c>
      <c r="J207" s="37">
        <v>0.8256134259259259</v>
      </c>
      <c r="K207">
        <v>0</v>
      </c>
      <c r="L207">
        <v>0</v>
      </c>
      <c r="M207">
        <v>0</v>
      </c>
      <c r="N207">
        <v>0</v>
      </c>
      <c r="O207">
        <v>0</v>
      </c>
      <c r="P207">
        <v>0</v>
      </c>
      <c r="Q207">
        <v>0</v>
      </c>
      <c r="R207">
        <v>0</v>
      </c>
      <c r="S207">
        <v>0</v>
      </c>
      <c r="T207">
        <v>0</v>
      </c>
      <c r="U207">
        <v>0</v>
      </c>
      <c r="V207">
        <v>0</v>
      </c>
      <c r="W207" s="3">
        <f>W206</f>
        <v>8.4949999999999992</v>
      </c>
      <c r="X207" s="30"/>
      <c r="Y207">
        <v>3</v>
      </c>
      <c r="Z207" t="s">
        <v>1</v>
      </c>
      <c r="AA207">
        <v>27520</v>
      </c>
      <c r="AB207">
        <v>160</v>
      </c>
      <c r="AC207">
        <v>2</v>
      </c>
      <c r="AD207">
        <v>8</v>
      </c>
      <c r="AE207" s="16">
        <v>1441.69</v>
      </c>
      <c r="AF207" s="3">
        <v>9.6387</v>
      </c>
      <c r="AG207" s="1">
        <v>45322</v>
      </c>
      <c r="AH207" s="2">
        <v>0.22158564814814816</v>
      </c>
      <c r="AI207">
        <v>0</v>
      </c>
      <c r="AJ207">
        <v>0</v>
      </c>
      <c r="AK207">
        <v>0</v>
      </c>
      <c r="AL207">
        <v>0</v>
      </c>
      <c r="AM207">
        <v>0</v>
      </c>
      <c r="AN207">
        <v>0</v>
      </c>
      <c r="AO207">
        <v>0</v>
      </c>
      <c r="AP207">
        <v>0</v>
      </c>
      <c r="AQ207">
        <v>0</v>
      </c>
      <c r="AR207">
        <v>0</v>
      </c>
      <c r="AS207">
        <v>0</v>
      </c>
      <c r="AT207">
        <v>0</v>
      </c>
      <c r="AU207" s="3">
        <f>AU206</f>
        <v>9.6519800000000018</v>
      </c>
    </row>
    <row r="208" spans="1:47" x14ac:dyDescent="0.25">
      <c r="A208">
        <v>4</v>
      </c>
      <c r="B208" t="s">
        <v>1</v>
      </c>
      <c r="C208">
        <v>27520</v>
      </c>
      <c r="D208">
        <v>160</v>
      </c>
      <c r="E208">
        <v>2</v>
      </c>
      <c r="F208">
        <v>8</v>
      </c>
      <c r="G208" s="16">
        <v>1613.57</v>
      </c>
      <c r="H208" s="3">
        <v>8.6120000000000001</v>
      </c>
      <c r="I208" s="1">
        <v>45323</v>
      </c>
      <c r="J208" s="37">
        <v>0.68248842592592596</v>
      </c>
      <c r="K208">
        <v>0</v>
      </c>
      <c r="L208">
        <v>0</v>
      </c>
      <c r="M208">
        <v>0</v>
      </c>
      <c r="N208">
        <v>0</v>
      </c>
      <c r="O208">
        <v>0</v>
      </c>
      <c r="P208">
        <v>0</v>
      </c>
      <c r="Q208">
        <v>0</v>
      </c>
      <c r="R208">
        <v>0</v>
      </c>
      <c r="S208">
        <v>0</v>
      </c>
      <c r="T208">
        <v>0</v>
      </c>
      <c r="U208">
        <v>0</v>
      </c>
      <c r="V208">
        <v>0</v>
      </c>
      <c r="W208" s="3">
        <f>W207</f>
        <v>8.4949999999999992</v>
      </c>
      <c r="X208" s="30"/>
      <c r="Y208">
        <v>4</v>
      </c>
      <c r="Z208" t="s">
        <v>1</v>
      </c>
      <c r="AA208">
        <v>27520</v>
      </c>
      <c r="AB208">
        <v>160</v>
      </c>
      <c r="AC208">
        <v>2</v>
      </c>
      <c r="AD208">
        <v>8</v>
      </c>
      <c r="AE208" s="16">
        <v>1439.35</v>
      </c>
      <c r="AF208" s="3">
        <v>9.6544000000000008</v>
      </c>
      <c r="AG208" s="1">
        <v>45323</v>
      </c>
      <c r="AH208" s="2">
        <v>5.5520833333333332E-2</v>
      </c>
      <c r="AI208">
        <v>0</v>
      </c>
      <c r="AJ208">
        <v>0</v>
      </c>
      <c r="AK208">
        <v>0</v>
      </c>
      <c r="AL208">
        <v>0</v>
      </c>
      <c r="AM208">
        <v>0</v>
      </c>
      <c r="AN208">
        <v>0</v>
      </c>
      <c r="AO208">
        <v>0</v>
      </c>
      <c r="AP208">
        <v>0</v>
      </c>
      <c r="AQ208">
        <v>0</v>
      </c>
      <c r="AR208">
        <v>0</v>
      </c>
      <c r="AS208">
        <v>0</v>
      </c>
      <c r="AT208">
        <v>0</v>
      </c>
      <c r="AU208" s="3">
        <f>AU207</f>
        <v>9.6519800000000018</v>
      </c>
    </row>
    <row r="209" spans="1:47" x14ac:dyDescent="0.25">
      <c r="A209">
        <v>0</v>
      </c>
      <c r="B209" t="s">
        <v>1</v>
      </c>
      <c r="C209">
        <v>28960</v>
      </c>
      <c r="D209">
        <v>160</v>
      </c>
      <c r="E209">
        <v>2</v>
      </c>
      <c r="F209">
        <v>8</v>
      </c>
      <c r="G209" s="16">
        <v>1870.21</v>
      </c>
      <c r="H209" s="3">
        <v>8.6585999999999999</v>
      </c>
      <c r="I209" s="1">
        <v>45320</v>
      </c>
      <c r="J209" s="37">
        <v>0.75599537037037035</v>
      </c>
      <c r="K209">
        <v>0</v>
      </c>
      <c r="L209">
        <v>0</v>
      </c>
      <c r="M209">
        <v>0</v>
      </c>
      <c r="N209">
        <v>0</v>
      </c>
      <c r="O209">
        <v>0</v>
      </c>
      <c r="P209">
        <v>0</v>
      </c>
      <c r="Q209">
        <v>0</v>
      </c>
      <c r="R209">
        <v>0</v>
      </c>
      <c r="S209">
        <v>0</v>
      </c>
      <c r="T209">
        <v>0</v>
      </c>
      <c r="U209">
        <v>0</v>
      </c>
      <c r="V209">
        <v>0</v>
      </c>
      <c r="W209" s="3">
        <f>AVERAGE(H164:H168)</f>
        <v>8.6553399999999989</v>
      </c>
      <c r="X209" s="30"/>
      <c r="Y209">
        <v>0</v>
      </c>
      <c r="Z209" t="s">
        <v>1</v>
      </c>
      <c r="AA209">
        <v>28960</v>
      </c>
      <c r="AB209">
        <v>160</v>
      </c>
      <c r="AC209">
        <v>2</v>
      </c>
      <c r="AD209">
        <v>8</v>
      </c>
      <c r="AE209" s="16">
        <v>1664.13</v>
      </c>
      <c r="AF209" s="3">
        <v>9.7309000000000001</v>
      </c>
      <c r="AG209" s="1">
        <v>45320</v>
      </c>
      <c r="AH209" s="2">
        <v>0.14494212962962963</v>
      </c>
      <c r="AI209">
        <v>0</v>
      </c>
      <c r="AJ209">
        <v>0</v>
      </c>
      <c r="AK209">
        <v>0</v>
      </c>
      <c r="AL209">
        <v>0</v>
      </c>
      <c r="AM209">
        <v>0</v>
      </c>
      <c r="AN209">
        <v>0</v>
      </c>
      <c r="AO209">
        <v>0</v>
      </c>
      <c r="AP209">
        <v>0</v>
      </c>
      <c r="AQ209">
        <v>0</v>
      </c>
      <c r="AR209">
        <v>0</v>
      </c>
      <c r="AS209">
        <v>0</v>
      </c>
      <c r="AT209">
        <v>0</v>
      </c>
      <c r="AU209" s="3">
        <f>AVERAGE(AF209:AF213)</f>
        <v>9.7122599999999988</v>
      </c>
    </row>
    <row r="210" spans="1:47" x14ac:dyDescent="0.25">
      <c r="A210">
        <v>1</v>
      </c>
      <c r="B210" t="s">
        <v>1</v>
      </c>
      <c r="C210">
        <v>28960</v>
      </c>
      <c r="D210">
        <v>160</v>
      </c>
      <c r="E210">
        <v>2</v>
      </c>
      <c r="F210">
        <v>8</v>
      </c>
      <c r="G210" s="16">
        <v>1869.59</v>
      </c>
      <c r="H210" s="3">
        <v>8.6615000000000002</v>
      </c>
      <c r="I210" s="1">
        <v>45321</v>
      </c>
      <c r="J210" s="37">
        <v>0.62583333333333335</v>
      </c>
      <c r="K210">
        <v>0</v>
      </c>
      <c r="L210">
        <v>0</v>
      </c>
      <c r="M210">
        <v>0</v>
      </c>
      <c r="N210">
        <v>0</v>
      </c>
      <c r="O210">
        <v>0</v>
      </c>
      <c r="P210">
        <v>0</v>
      </c>
      <c r="Q210">
        <v>0</v>
      </c>
      <c r="R210">
        <v>0</v>
      </c>
      <c r="S210">
        <v>0</v>
      </c>
      <c r="T210">
        <v>0</v>
      </c>
      <c r="U210">
        <v>0</v>
      </c>
      <c r="V210">
        <v>0</v>
      </c>
      <c r="W210" s="3">
        <f>W209</f>
        <v>8.6553399999999989</v>
      </c>
      <c r="X210" s="30"/>
      <c r="Y210">
        <v>1</v>
      </c>
      <c r="Z210" t="s">
        <v>1</v>
      </c>
      <c r="AA210">
        <v>28960</v>
      </c>
      <c r="AB210">
        <v>160</v>
      </c>
      <c r="AC210">
        <v>2</v>
      </c>
      <c r="AD210">
        <v>8</v>
      </c>
      <c r="AE210" s="16">
        <v>1666.99</v>
      </c>
      <c r="AF210" s="3">
        <v>9.7141999999999999</v>
      </c>
      <c r="AG210" s="1">
        <v>45321</v>
      </c>
      <c r="AH210" s="2">
        <v>7.2256944444444443E-2</v>
      </c>
      <c r="AI210">
        <v>0</v>
      </c>
      <c r="AJ210">
        <v>0</v>
      </c>
      <c r="AK210">
        <v>0</v>
      </c>
      <c r="AL210">
        <v>0</v>
      </c>
      <c r="AM210">
        <v>0</v>
      </c>
      <c r="AN210">
        <v>0</v>
      </c>
      <c r="AO210">
        <v>0</v>
      </c>
      <c r="AP210">
        <v>0</v>
      </c>
      <c r="AQ210">
        <v>0</v>
      </c>
      <c r="AR210">
        <v>0</v>
      </c>
      <c r="AS210">
        <v>0</v>
      </c>
      <c r="AT210">
        <v>0</v>
      </c>
      <c r="AU210" s="3">
        <f>AU209</f>
        <v>9.7122599999999988</v>
      </c>
    </row>
    <row r="211" spans="1:47" x14ac:dyDescent="0.25">
      <c r="A211">
        <v>2</v>
      </c>
      <c r="B211" t="s">
        <v>1</v>
      </c>
      <c r="C211">
        <v>28960</v>
      </c>
      <c r="D211">
        <v>160</v>
      </c>
      <c r="E211">
        <v>2</v>
      </c>
      <c r="F211">
        <v>8</v>
      </c>
      <c r="G211" s="16">
        <v>1869.36</v>
      </c>
      <c r="H211" s="3">
        <v>8.6624999999999996</v>
      </c>
      <c r="I211" s="1">
        <v>45322</v>
      </c>
      <c r="J211" s="37">
        <v>0.49569444444444444</v>
      </c>
      <c r="K211">
        <v>0</v>
      </c>
      <c r="L211">
        <v>0</v>
      </c>
      <c r="M211">
        <v>0</v>
      </c>
      <c r="N211">
        <v>0</v>
      </c>
      <c r="O211">
        <v>0</v>
      </c>
      <c r="P211">
        <v>0</v>
      </c>
      <c r="Q211">
        <v>0</v>
      </c>
      <c r="R211">
        <v>0</v>
      </c>
      <c r="S211">
        <v>0</v>
      </c>
      <c r="T211">
        <v>0</v>
      </c>
      <c r="U211">
        <v>0</v>
      </c>
      <c r="V211">
        <v>0</v>
      </c>
      <c r="W211" s="3">
        <f>W210</f>
        <v>8.6553399999999989</v>
      </c>
      <c r="X211" s="30"/>
      <c r="Y211">
        <v>2</v>
      </c>
      <c r="Z211" t="s">
        <v>1</v>
      </c>
      <c r="AA211">
        <v>28960</v>
      </c>
      <c r="AB211">
        <v>160</v>
      </c>
      <c r="AC211">
        <v>2</v>
      </c>
      <c r="AD211">
        <v>8</v>
      </c>
      <c r="AE211" s="16">
        <v>1665.64</v>
      </c>
      <c r="AF211" s="3">
        <v>9.7219999999999995</v>
      </c>
      <c r="AG211" s="1">
        <v>45321</v>
      </c>
      <c r="AH211" s="2">
        <v>0.9059490740740741</v>
      </c>
      <c r="AI211">
        <v>0</v>
      </c>
      <c r="AJ211">
        <v>0</v>
      </c>
      <c r="AK211">
        <v>0</v>
      </c>
      <c r="AL211">
        <v>0</v>
      </c>
      <c r="AM211">
        <v>0</v>
      </c>
      <c r="AN211">
        <v>0</v>
      </c>
      <c r="AO211">
        <v>0</v>
      </c>
      <c r="AP211">
        <v>0</v>
      </c>
      <c r="AQ211">
        <v>0</v>
      </c>
      <c r="AR211">
        <v>0</v>
      </c>
      <c r="AS211">
        <v>0</v>
      </c>
      <c r="AT211">
        <v>0</v>
      </c>
      <c r="AU211" s="3">
        <f>AU210</f>
        <v>9.7122599999999988</v>
      </c>
    </row>
    <row r="212" spans="1:47" x14ac:dyDescent="0.25">
      <c r="A212">
        <v>3</v>
      </c>
      <c r="B212" t="s">
        <v>1</v>
      </c>
      <c r="C212">
        <v>28960</v>
      </c>
      <c r="D212">
        <v>160</v>
      </c>
      <c r="E212">
        <v>2</v>
      </c>
      <c r="F212">
        <v>8</v>
      </c>
      <c r="G212" s="16">
        <v>1870.15</v>
      </c>
      <c r="H212" s="3">
        <v>8.6588999999999992</v>
      </c>
      <c r="I212" s="1">
        <v>45323</v>
      </c>
      <c r="J212" s="37">
        <v>0.35254629629629625</v>
      </c>
      <c r="K212">
        <v>0</v>
      </c>
      <c r="L212">
        <v>0</v>
      </c>
      <c r="M212">
        <v>0</v>
      </c>
      <c r="N212">
        <v>0</v>
      </c>
      <c r="O212">
        <v>0</v>
      </c>
      <c r="P212">
        <v>0</v>
      </c>
      <c r="Q212">
        <v>0</v>
      </c>
      <c r="R212">
        <v>0</v>
      </c>
      <c r="S212">
        <v>0</v>
      </c>
      <c r="T212">
        <v>0</v>
      </c>
      <c r="U212">
        <v>0</v>
      </c>
      <c r="V212">
        <v>0</v>
      </c>
      <c r="W212" s="3">
        <f>W211</f>
        <v>8.6553399999999989</v>
      </c>
      <c r="X212" s="30"/>
      <c r="Y212">
        <v>3</v>
      </c>
      <c r="Z212" t="s">
        <v>1</v>
      </c>
      <c r="AA212">
        <v>28960</v>
      </c>
      <c r="AB212">
        <v>160</v>
      </c>
      <c r="AC212">
        <v>2</v>
      </c>
      <c r="AD212">
        <v>8</v>
      </c>
      <c r="AE212" s="16">
        <v>1669.2</v>
      </c>
      <c r="AF212" s="3">
        <v>9.7012999999999998</v>
      </c>
      <c r="AG212" s="1">
        <v>45322</v>
      </c>
      <c r="AH212" s="2">
        <v>0.74001157407407403</v>
      </c>
      <c r="AI212">
        <v>0</v>
      </c>
      <c r="AJ212">
        <v>0</v>
      </c>
      <c r="AK212">
        <v>0</v>
      </c>
      <c r="AL212">
        <v>0</v>
      </c>
      <c r="AM212">
        <v>0</v>
      </c>
      <c r="AN212">
        <v>0</v>
      </c>
      <c r="AO212">
        <v>0</v>
      </c>
      <c r="AP212">
        <v>0</v>
      </c>
      <c r="AQ212">
        <v>0</v>
      </c>
      <c r="AR212">
        <v>0</v>
      </c>
      <c r="AS212">
        <v>0</v>
      </c>
      <c r="AT212">
        <v>0</v>
      </c>
      <c r="AU212" s="3">
        <f>AU211</f>
        <v>9.7122599999999988</v>
      </c>
    </row>
    <row r="213" spans="1:47" x14ac:dyDescent="0.25">
      <c r="A213">
        <v>4</v>
      </c>
      <c r="B213" t="s">
        <v>1</v>
      </c>
      <c r="C213">
        <v>28960</v>
      </c>
      <c r="D213">
        <v>160</v>
      </c>
      <c r="E213">
        <v>2</v>
      </c>
      <c r="F213">
        <v>8</v>
      </c>
      <c r="G213" s="16">
        <v>1870.24</v>
      </c>
      <c r="H213" s="3">
        <v>8.6584000000000003</v>
      </c>
      <c r="I213" s="1">
        <v>45318</v>
      </c>
      <c r="J213" s="37">
        <v>0.45585648148148145</v>
      </c>
      <c r="K213">
        <v>0</v>
      </c>
      <c r="L213">
        <v>0</v>
      </c>
      <c r="M213">
        <v>0</v>
      </c>
      <c r="N213">
        <v>0</v>
      </c>
      <c r="O213">
        <v>0</v>
      </c>
      <c r="P213">
        <v>0</v>
      </c>
      <c r="Q213">
        <v>0</v>
      </c>
      <c r="R213">
        <v>0</v>
      </c>
      <c r="S213">
        <v>0</v>
      </c>
      <c r="T213">
        <v>0</v>
      </c>
      <c r="U213">
        <v>0</v>
      </c>
      <c r="V213">
        <v>0</v>
      </c>
      <c r="W213" s="3">
        <f>W212</f>
        <v>8.6553399999999989</v>
      </c>
      <c r="X213" s="30"/>
      <c r="Y213">
        <v>4</v>
      </c>
      <c r="Z213" t="s">
        <v>1</v>
      </c>
      <c r="AA213">
        <v>28960</v>
      </c>
      <c r="AB213">
        <v>160</v>
      </c>
      <c r="AC213">
        <v>2</v>
      </c>
      <c r="AD213">
        <v>8</v>
      </c>
      <c r="AE213" s="16">
        <v>1670.65</v>
      </c>
      <c r="AF213" s="3">
        <v>9.6928999999999998</v>
      </c>
      <c r="AG213" s="1">
        <v>45323</v>
      </c>
      <c r="AH213" s="2">
        <v>0.57459490740740737</v>
      </c>
      <c r="AI213">
        <v>0</v>
      </c>
      <c r="AJ213">
        <v>0</v>
      </c>
      <c r="AK213">
        <v>0</v>
      </c>
      <c r="AL213">
        <v>0</v>
      </c>
      <c r="AM213">
        <v>0</v>
      </c>
      <c r="AN213">
        <v>0</v>
      </c>
      <c r="AO213">
        <v>0</v>
      </c>
      <c r="AP213">
        <v>0</v>
      </c>
      <c r="AQ213">
        <v>0</v>
      </c>
      <c r="AR213">
        <v>0</v>
      </c>
      <c r="AS213">
        <v>0</v>
      </c>
      <c r="AT213">
        <v>0</v>
      </c>
      <c r="AU213" s="3">
        <f>AU212</f>
        <v>9.7122599999999988</v>
      </c>
    </row>
    <row r="214" spans="1:47" x14ac:dyDescent="0.25">
      <c r="A214">
        <v>0</v>
      </c>
      <c r="B214" t="s">
        <v>1</v>
      </c>
      <c r="C214">
        <v>25920</v>
      </c>
      <c r="D214">
        <v>160</v>
      </c>
      <c r="E214">
        <v>4</v>
      </c>
      <c r="F214">
        <v>4</v>
      </c>
      <c r="G214" s="16">
        <v>1336.96</v>
      </c>
      <c r="H214" s="3">
        <v>8.6843000000000004</v>
      </c>
      <c r="I214" s="1">
        <v>45320</v>
      </c>
      <c r="J214" s="37">
        <v>0.51432870370370376</v>
      </c>
      <c r="K214">
        <v>0</v>
      </c>
      <c r="L214">
        <v>0</v>
      </c>
      <c r="M214">
        <v>0</v>
      </c>
      <c r="N214">
        <v>0</v>
      </c>
      <c r="O214">
        <v>0</v>
      </c>
      <c r="P214">
        <v>0</v>
      </c>
      <c r="Q214">
        <v>0</v>
      </c>
      <c r="R214">
        <v>0</v>
      </c>
      <c r="S214">
        <v>0</v>
      </c>
      <c r="T214">
        <v>0</v>
      </c>
      <c r="U214">
        <v>0</v>
      </c>
      <c r="V214">
        <v>0</v>
      </c>
      <c r="W214" s="3">
        <f>AVERAGE(H169:H173)</f>
        <v>8.7473600000000005</v>
      </c>
      <c r="X214" s="30"/>
      <c r="Y214">
        <v>0</v>
      </c>
      <c r="Z214" t="s">
        <v>1</v>
      </c>
      <c r="AA214">
        <v>25920</v>
      </c>
      <c r="AB214">
        <v>160</v>
      </c>
      <c r="AC214">
        <v>4</v>
      </c>
      <c r="AD214">
        <v>4</v>
      </c>
      <c r="AE214" s="16">
        <v>1215.56</v>
      </c>
      <c r="AF214" s="3">
        <v>9.5516000000000005</v>
      </c>
      <c r="AG214" s="1">
        <v>45319</v>
      </c>
      <c r="AH214" s="2">
        <v>0.91300925925925924</v>
      </c>
      <c r="AI214">
        <v>0</v>
      </c>
      <c r="AJ214">
        <v>0</v>
      </c>
      <c r="AK214">
        <v>0</v>
      </c>
      <c r="AL214">
        <v>0</v>
      </c>
      <c r="AM214">
        <v>0</v>
      </c>
      <c r="AN214">
        <v>0</v>
      </c>
      <c r="AO214">
        <v>0</v>
      </c>
      <c r="AP214">
        <v>0</v>
      </c>
      <c r="AQ214">
        <v>0</v>
      </c>
      <c r="AR214">
        <v>0</v>
      </c>
      <c r="AS214">
        <v>0</v>
      </c>
      <c r="AT214">
        <v>0</v>
      </c>
      <c r="AU214" s="3">
        <f>AVERAGE(AF214:AF218)</f>
        <v>9.5504999999999995</v>
      </c>
    </row>
    <row r="215" spans="1:47" x14ac:dyDescent="0.25">
      <c r="A215">
        <v>1</v>
      </c>
      <c r="B215" t="s">
        <v>1</v>
      </c>
      <c r="C215">
        <v>25920</v>
      </c>
      <c r="D215">
        <v>160</v>
      </c>
      <c r="E215">
        <v>4</v>
      </c>
      <c r="F215">
        <v>4</v>
      </c>
      <c r="G215" s="16">
        <v>1336.61</v>
      </c>
      <c r="H215" s="3">
        <v>8.6865000000000006</v>
      </c>
      <c r="I215" s="1">
        <v>45321</v>
      </c>
      <c r="J215" s="37">
        <v>0.38417824074074075</v>
      </c>
      <c r="K215">
        <v>0</v>
      </c>
      <c r="L215">
        <v>0</v>
      </c>
      <c r="M215">
        <v>0</v>
      </c>
      <c r="N215">
        <v>0</v>
      </c>
      <c r="O215">
        <v>0</v>
      </c>
      <c r="P215">
        <v>0</v>
      </c>
      <c r="Q215">
        <v>0</v>
      </c>
      <c r="R215">
        <v>0</v>
      </c>
      <c r="S215">
        <v>0</v>
      </c>
      <c r="T215">
        <v>0</v>
      </c>
      <c r="U215">
        <v>0</v>
      </c>
      <c r="V215">
        <v>0</v>
      </c>
      <c r="W215" s="3">
        <f>W214</f>
        <v>8.7473600000000005</v>
      </c>
      <c r="X215" s="30"/>
      <c r="Y215">
        <v>1</v>
      </c>
      <c r="Z215" t="s">
        <v>1</v>
      </c>
      <c r="AA215">
        <v>25920</v>
      </c>
      <c r="AB215">
        <v>160</v>
      </c>
      <c r="AC215">
        <v>4</v>
      </c>
      <c r="AD215">
        <v>4</v>
      </c>
      <c r="AE215" s="16">
        <v>1213.8599999999999</v>
      </c>
      <c r="AF215" s="3">
        <v>9.5648999999999997</v>
      </c>
      <c r="AG215" s="1">
        <v>45320</v>
      </c>
      <c r="AH215" s="2">
        <v>0.84010416666666676</v>
      </c>
      <c r="AI215">
        <v>0</v>
      </c>
      <c r="AJ215">
        <v>0</v>
      </c>
      <c r="AK215">
        <v>0</v>
      </c>
      <c r="AL215">
        <v>0</v>
      </c>
      <c r="AM215">
        <v>0</v>
      </c>
      <c r="AN215">
        <v>0</v>
      </c>
      <c r="AO215">
        <v>0</v>
      </c>
      <c r="AP215">
        <v>0</v>
      </c>
      <c r="AQ215">
        <v>0</v>
      </c>
      <c r="AR215">
        <v>0</v>
      </c>
      <c r="AS215">
        <v>0</v>
      </c>
      <c r="AT215">
        <v>0</v>
      </c>
      <c r="AU215" s="3">
        <f>AU214</f>
        <v>9.5504999999999995</v>
      </c>
    </row>
    <row r="216" spans="1:47" x14ac:dyDescent="0.25">
      <c r="A216">
        <v>2</v>
      </c>
      <c r="B216" t="s">
        <v>1</v>
      </c>
      <c r="C216">
        <v>25920</v>
      </c>
      <c r="D216">
        <v>160</v>
      </c>
      <c r="E216">
        <v>4</v>
      </c>
      <c r="F216">
        <v>4</v>
      </c>
      <c r="G216" s="16">
        <v>1336.98</v>
      </c>
      <c r="H216" s="3">
        <v>8.6841000000000008</v>
      </c>
      <c r="I216" s="1">
        <v>45322</v>
      </c>
      <c r="J216" s="37">
        <v>0.25403935185185184</v>
      </c>
      <c r="K216">
        <v>0</v>
      </c>
      <c r="L216">
        <v>0</v>
      </c>
      <c r="M216">
        <v>0</v>
      </c>
      <c r="N216">
        <v>0</v>
      </c>
      <c r="O216">
        <v>0</v>
      </c>
      <c r="P216">
        <v>0</v>
      </c>
      <c r="Q216">
        <v>0</v>
      </c>
      <c r="R216">
        <v>0</v>
      </c>
      <c r="S216">
        <v>0</v>
      </c>
      <c r="T216">
        <v>0</v>
      </c>
      <c r="U216">
        <v>0</v>
      </c>
      <c r="V216">
        <v>0</v>
      </c>
      <c r="W216" s="3">
        <f>W215</f>
        <v>8.7473600000000005</v>
      </c>
      <c r="X216" s="30"/>
      <c r="Y216">
        <v>2</v>
      </c>
      <c r="Z216" t="s">
        <v>1</v>
      </c>
      <c r="AA216">
        <v>25920</v>
      </c>
      <c r="AB216">
        <v>160</v>
      </c>
      <c r="AC216">
        <v>4</v>
      </c>
      <c r="AD216">
        <v>4</v>
      </c>
      <c r="AE216" s="16">
        <v>1214.23</v>
      </c>
      <c r="AF216" s="3">
        <v>9.5619999999999994</v>
      </c>
      <c r="AG216" s="1">
        <v>45321</v>
      </c>
      <c r="AH216" s="2">
        <v>0.67364583333333339</v>
      </c>
      <c r="AI216">
        <v>0</v>
      </c>
      <c r="AJ216">
        <v>0</v>
      </c>
      <c r="AK216">
        <v>0</v>
      </c>
      <c r="AL216">
        <v>0</v>
      </c>
      <c r="AM216">
        <v>0</v>
      </c>
      <c r="AN216">
        <v>0</v>
      </c>
      <c r="AO216">
        <v>0</v>
      </c>
      <c r="AP216">
        <v>0</v>
      </c>
      <c r="AQ216">
        <v>0</v>
      </c>
      <c r="AR216">
        <v>0</v>
      </c>
      <c r="AS216">
        <v>0</v>
      </c>
      <c r="AT216">
        <v>0</v>
      </c>
      <c r="AU216" s="3">
        <f>AU215</f>
        <v>9.5504999999999995</v>
      </c>
    </row>
    <row r="217" spans="1:47" x14ac:dyDescent="0.25">
      <c r="A217">
        <v>3</v>
      </c>
      <c r="B217" t="s">
        <v>1</v>
      </c>
      <c r="C217">
        <v>25920</v>
      </c>
      <c r="D217">
        <v>160</v>
      </c>
      <c r="E217">
        <v>4</v>
      </c>
      <c r="F217">
        <v>4</v>
      </c>
      <c r="G217" s="16">
        <v>1336.41</v>
      </c>
      <c r="H217" s="3">
        <v>8.6879000000000008</v>
      </c>
      <c r="I217" s="1">
        <v>45318</v>
      </c>
      <c r="J217" s="37">
        <v>1.2974537037037036E-2</v>
      </c>
      <c r="K217">
        <v>0</v>
      </c>
      <c r="L217">
        <v>0</v>
      </c>
      <c r="M217">
        <v>0</v>
      </c>
      <c r="N217">
        <v>0</v>
      </c>
      <c r="O217">
        <v>0</v>
      </c>
      <c r="P217">
        <v>0</v>
      </c>
      <c r="Q217">
        <v>0</v>
      </c>
      <c r="R217">
        <v>0</v>
      </c>
      <c r="S217">
        <v>0</v>
      </c>
      <c r="T217">
        <v>0</v>
      </c>
      <c r="U217">
        <v>0</v>
      </c>
      <c r="V217">
        <v>0</v>
      </c>
      <c r="W217" s="3">
        <f>W216</f>
        <v>8.7473600000000005</v>
      </c>
      <c r="X217" s="30"/>
      <c r="Y217">
        <v>3</v>
      </c>
      <c r="Z217" t="s">
        <v>1</v>
      </c>
      <c r="AA217">
        <v>25920</v>
      </c>
      <c r="AB217">
        <v>160</v>
      </c>
      <c r="AC217">
        <v>4</v>
      </c>
      <c r="AD217">
        <v>4</v>
      </c>
      <c r="AE217" s="16">
        <v>1218.3699999999999</v>
      </c>
      <c r="AF217" s="3">
        <v>9.5296000000000003</v>
      </c>
      <c r="AG217" s="1">
        <v>45322</v>
      </c>
      <c r="AH217" s="2">
        <v>0.50745370370370368</v>
      </c>
      <c r="AI217">
        <v>0</v>
      </c>
      <c r="AJ217">
        <v>0</v>
      </c>
      <c r="AK217">
        <v>0</v>
      </c>
      <c r="AL217">
        <v>0</v>
      </c>
      <c r="AM217">
        <v>0</v>
      </c>
      <c r="AN217">
        <v>0</v>
      </c>
      <c r="AO217">
        <v>0</v>
      </c>
      <c r="AP217">
        <v>0</v>
      </c>
      <c r="AQ217">
        <v>0</v>
      </c>
      <c r="AR217">
        <v>0</v>
      </c>
      <c r="AS217">
        <v>0</v>
      </c>
      <c r="AT217">
        <v>0</v>
      </c>
      <c r="AU217" s="3">
        <f>AU216</f>
        <v>9.5504999999999995</v>
      </c>
    </row>
    <row r="218" spans="1:47" x14ac:dyDescent="0.25">
      <c r="A218">
        <v>4</v>
      </c>
      <c r="B218" t="s">
        <v>1</v>
      </c>
      <c r="C218">
        <v>25920</v>
      </c>
      <c r="D218">
        <v>160</v>
      </c>
      <c r="E218">
        <v>4</v>
      </c>
      <c r="F218">
        <v>4</v>
      </c>
      <c r="G218" s="16">
        <v>1337.28</v>
      </c>
      <c r="H218" s="3">
        <v>8.6821999999999999</v>
      </c>
      <c r="I218" s="1">
        <v>45318</v>
      </c>
      <c r="J218" s="37">
        <v>0.21418981481481481</v>
      </c>
      <c r="K218">
        <v>0</v>
      </c>
      <c r="L218">
        <v>0</v>
      </c>
      <c r="M218">
        <v>0</v>
      </c>
      <c r="N218">
        <v>0</v>
      </c>
      <c r="O218">
        <v>0</v>
      </c>
      <c r="P218">
        <v>0</v>
      </c>
      <c r="Q218">
        <v>0</v>
      </c>
      <c r="R218">
        <v>0</v>
      </c>
      <c r="S218">
        <v>0</v>
      </c>
      <c r="T218">
        <v>0</v>
      </c>
      <c r="U218">
        <v>0</v>
      </c>
      <c r="V218">
        <v>0</v>
      </c>
      <c r="W218" s="3">
        <f>W217</f>
        <v>8.7473600000000005</v>
      </c>
      <c r="X218" s="30"/>
      <c r="Y218">
        <v>4</v>
      </c>
      <c r="Z218" t="s">
        <v>1</v>
      </c>
      <c r="AA218">
        <v>25920</v>
      </c>
      <c r="AB218">
        <v>160</v>
      </c>
      <c r="AC218">
        <v>4</v>
      </c>
      <c r="AD218">
        <v>4</v>
      </c>
      <c r="AE218" s="16">
        <v>1216.48</v>
      </c>
      <c r="AF218" s="3">
        <v>9.5443999999999996</v>
      </c>
      <c r="AG218" s="1">
        <v>45323</v>
      </c>
      <c r="AH218" s="2">
        <v>0.34171296296296294</v>
      </c>
      <c r="AI218">
        <v>0</v>
      </c>
      <c r="AJ218">
        <v>0</v>
      </c>
      <c r="AK218">
        <v>0</v>
      </c>
      <c r="AL218">
        <v>0</v>
      </c>
      <c r="AM218">
        <v>0</v>
      </c>
      <c r="AN218">
        <v>0</v>
      </c>
      <c r="AO218">
        <v>0</v>
      </c>
      <c r="AP218">
        <v>0</v>
      </c>
      <c r="AQ218">
        <v>0</v>
      </c>
      <c r="AR218">
        <v>0</v>
      </c>
      <c r="AS218">
        <v>0</v>
      </c>
      <c r="AT218">
        <v>0</v>
      </c>
      <c r="AU218" s="3">
        <f>AU217</f>
        <v>9.5504999999999995</v>
      </c>
    </row>
    <row r="219" spans="1:47" x14ac:dyDescent="0.25">
      <c r="A219">
        <v>0</v>
      </c>
      <c r="B219" t="s">
        <v>1</v>
      </c>
      <c r="C219">
        <v>27520</v>
      </c>
      <c r="D219">
        <v>160</v>
      </c>
      <c r="E219">
        <v>4</v>
      </c>
      <c r="F219">
        <v>4</v>
      </c>
      <c r="G219" s="16">
        <v>1578.5</v>
      </c>
      <c r="H219" s="3">
        <v>8.8033000000000001</v>
      </c>
      <c r="I219" s="1">
        <v>45320</v>
      </c>
      <c r="J219" s="37">
        <v>0.23461805555555557</v>
      </c>
      <c r="K219">
        <v>0</v>
      </c>
      <c r="L219">
        <v>0</v>
      </c>
      <c r="M219">
        <v>0</v>
      </c>
      <c r="N219">
        <v>0</v>
      </c>
      <c r="O219">
        <v>0</v>
      </c>
      <c r="P219">
        <v>0</v>
      </c>
      <c r="Q219">
        <v>0</v>
      </c>
      <c r="R219">
        <v>0</v>
      </c>
      <c r="S219">
        <v>0</v>
      </c>
      <c r="T219">
        <v>0</v>
      </c>
      <c r="U219">
        <v>0</v>
      </c>
      <c r="V219">
        <v>0</v>
      </c>
      <c r="W219" s="3">
        <f>AVERAGE(H174:H178)</f>
        <v>8.7358000000000011</v>
      </c>
      <c r="X219" s="30"/>
      <c r="Y219">
        <v>0</v>
      </c>
      <c r="Z219" t="s">
        <v>1</v>
      </c>
      <c r="AA219">
        <v>27520</v>
      </c>
      <c r="AB219">
        <v>160</v>
      </c>
      <c r="AC219">
        <v>4</v>
      </c>
      <c r="AD219">
        <v>4</v>
      </c>
      <c r="AE219" s="16">
        <v>1446.01</v>
      </c>
      <c r="AF219" s="3">
        <v>9.6098999999999997</v>
      </c>
      <c r="AG219" s="1">
        <v>45319</v>
      </c>
      <c r="AH219" s="2">
        <v>0.64542824074074068</v>
      </c>
      <c r="AI219">
        <v>0</v>
      </c>
      <c r="AJ219">
        <v>0</v>
      </c>
      <c r="AK219">
        <v>0</v>
      </c>
      <c r="AL219">
        <v>0</v>
      </c>
      <c r="AM219">
        <v>0</v>
      </c>
      <c r="AN219">
        <v>0</v>
      </c>
      <c r="AO219">
        <v>0</v>
      </c>
      <c r="AP219">
        <v>0</v>
      </c>
      <c r="AQ219">
        <v>0</v>
      </c>
      <c r="AR219">
        <v>0</v>
      </c>
      <c r="AS219">
        <v>0</v>
      </c>
      <c r="AT219">
        <v>0</v>
      </c>
      <c r="AU219" s="3">
        <f>AVERAGE(AF219:AF223)</f>
        <v>9.6335999999999995</v>
      </c>
    </row>
    <row r="220" spans="1:47" x14ac:dyDescent="0.25">
      <c r="A220">
        <v>1</v>
      </c>
      <c r="B220" t="s">
        <v>1</v>
      </c>
      <c r="C220">
        <v>27520</v>
      </c>
      <c r="D220">
        <v>160</v>
      </c>
      <c r="E220">
        <v>4</v>
      </c>
      <c r="F220">
        <v>4</v>
      </c>
      <c r="G220" s="16">
        <v>1578.71</v>
      </c>
      <c r="H220" s="3">
        <v>8.8020999999999994</v>
      </c>
      <c r="I220" s="1">
        <v>45321</v>
      </c>
      <c r="J220" s="37">
        <v>0.10451388888888889</v>
      </c>
      <c r="K220">
        <v>0</v>
      </c>
      <c r="L220">
        <v>0</v>
      </c>
      <c r="M220">
        <v>0</v>
      </c>
      <c r="N220">
        <v>0</v>
      </c>
      <c r="O220">
        <v>0</v>
      </c>
      <c r="P220">
        <v>0</v>
      </c>
      <c r="Q220">
        <v>0</v>
      </c>
      <c r="R220">
        <v>0</v>
      </c>
      <c r="S220">
        <v>0</v>
      </c>
      <c r="T220">
        <v>0</v>
      </c>
      <c r="U220">
        <v>0</v>
      </c>
      <c r="V220">
        <v>0</v>
      </c>
      <c r="W220" s="3">
        <f>W219</f>
        <v>8.7358000000000011</v>
      </c>
      <c r="X220" s="30"/>
      <c r="Y220">
        <v>1</v>
      </c>
      <c r="Z220" t="s">
        <v>1</v>
      </c>
      <c r="AA220">
        <v>27520</v>
      </c>
      <c r="AB220">
        <v>160</v>
      </c>
      <c r="AC220">
        <v>4</v>
      </c>
      <c r="AD220">
        <v>4</v>
      </c>
      <c r="AE220" s="16">
        <v>1440.34</v>
      </c>
      <c r="AF220" s="3">
        <v>9.6477000000000004</v>
      </c>
      <c r="AG220" s="1">
        <v>45320</v>
      </c>
      <c r="AH220" s="2">
        <v>0.57251157407407405</v>
      </c>
      <c r="AI220">
        <v>0</v>
      </c>
      <c r="AJ220">
        <v>0</v>
      </c>
      <c r="AK220">
        <v>0</v>
      </c>
      <c r="AL220">
        <v>0</v>
      </c>
      <c r="AM220">
        <v>0</v>
      </c>
      <c r="AN220">
        <v>0</v>
      </c>
      <c r="AO220">
        <v>0</v>
      </c>
      <c r="AP220">
        <v>0</v>
      </c>
      <c r="AQ220">
        <v>0</v>
      </c>
      <c r="AR220">
        <v>0</v>
      </c>
      <c r="AS220">
        <v>0</v>
      </c>
      <c r="AT220">
        <v>0</v>
      </c>
      <c r="AU220" s="3">
        <f>AU219</f>
        <v>9.6335999999999995</v>
      </c>
    </row>
    <row r="221" spans="1:47" x14ac:dyDescent="0.25">
      <c r="A221">
        <v>2</v>
      </c>
      <c r="B221" t="s">
        <v>1</v>
      </c>
      <c r="C221">
        <v>27520</v>
      </c>
      <c r="D221">
        <v>160</v>
      </c>
      <c r="E221">
        <v>4</v>
      </c>
      <c r="F221">
        <v>4</v>
      </c>
      <c r="G221" s="16">
        <v>1578.42</v>
      </c>
      <c r="H221" s="3">
        <v>8.8036999999999992</v>
      </c>
      <c r="I221" s="1">
        <v>45321</v>
      </c>
      <c r="J221" s="37">
        <v>0.97442129629629637</v>
      </c>
      <c r="K221">
        <v>0</v>
      </c>
      <c r="L221">
        <v>0</v>
      </c>
      <c r="M221">
        <v>0</v>
      </c>
      <c r="N221">
        <v>0</v>
      </c>
      <c r="O221">
        <v>0</v>
      </c>
      <c r="P221">
        <v>0</v>
      </c>
      <c r="Q221">
        <v>0</v>
      </c>
      <c r="R221">
        <v>0</v>
      </c>
      <c r="S221">
        <v>0</v>
      </c>
      <c r="T221">
        <v>0</v>
      </c>
      <c r="U221">
        <v>0</v>
      </c>
      <c r="V221">
        <v>0</v>
      </c>
      <c r="W221" s="3">
        <f>W220</f>
        <v>8.7358000000000011</v>
      </c>
      <c r="X221" s="30"/>
      <c r="Y221">
        <v>2</v>
      </c>
      <c r="Z221" t="s">
        <v>1</v>
      </c>
      <c r="AA221">
        <v>27520</v>
      </c>
      <c r="AB221">
        <v>160</v>
      </c>
      <c r="AC221">
        <v>4</v>
      </c>
      <c r="AD221">
        <v>4</v>
      </c>
      <c r="AE221" s="16">
        <v>1443.16</v>
      </c>
      <c r="AF221" s="3">
        <v>9.6288999999999998</v>
      </c>
      <c r="AG221" s="1">
        <v>45321</v>
      </c>
      <c r="AH221" s="2">
        <v>0.40583333333333332</v>
      </c>
      <c r="AI221">
        <v>0</v>
      </c>
      <c r="AJ221">
        <v>0</v>
      </c>
      <c r="AK221">
        <v>0</v>
      </c>
      <c r="AL221">
        <v>0</v>
      </c>
      <c r="AM221">
        <v>0</v>
      </c>
      <c r="AN221">
        <v>0</v>
      </c>
      <c r="AO221">
        <v>0</v>
      </c>
      <c r="AP221">
        <v>0</v>
      </c>
      <c r="AQ221">
        <v>0</v>
      </c>
      <c r="AR221">
        <v>0</v>
      </c>
      <c r="AS221">
        <v>0</v>
      </c>
      <c r="AT221">
        <v>0</v>
      </c>
      <c r="AU221" s="3">
        <f>AU220</f>
        <v>9.6335999999999995</v>
      </c>
    </row>
    <row r="222" spans="1:47" x14ac:dyDescent="0.25">
      <c r="A222">
        <v>3</v>
      </c>
      <c r="B222" t="s">
        <v>1</v>
      </c>
      <c r="C222">
        <v>27520</v>
      </c>
      <c r="D222">
        <v>160</v>
      </c>
      <c r="E222">
        <v>4</v>
      </c>
      <c r="F222">
        <v>4</v>
      </c>
      <c r="G222" s="16">
        <v>1577.75</v>
      </c>
      <c r="H222" s="3">
        <v>8.8074999999999992</v>
      </c>
      <c r="I222" s="1">
        <v>45322</v>
      </c>
      <c r="J222" s="37">
        <v>0.844212962962963</v>
      </c>
      <c r="K222">
        <v>0</v>
      </c>
      <c r="L222">
        <v>0</v>
      </c>
      <c r="M222">
        <v>0</v>
      </c>
      <c r="N222">
        <v>0</v>
      </c>
      <c r="O222">
        <v>0</v>
      </c>
      <c r="P222">
        <v>0</v>
      </c>
      <c r="Q222">
        <v>0</v>
      </c>
      <c r="R222">
        <v>0</v>
      </c>
      <c r="S222">
        <v>0</v>
      </c>
      <c r="T222">
        <v>0</v>
      </c>
      <c r="U222">
        <v>0</v>
      </c>
      <c r="V222">
        <v>0</v>
      </c>
      <c r="W222" s="3">
        <f>W221</f>
        <v>8.7358000000000011</v>
      </c>
      <c r="X222" s="30"/>
      <c r="Y222">
        <v>3</v>
      </c>
      <c r="Z222" t="s">
        <v>1</v>
      </c>
      <c r="AA222">
        <v>27520</v>
      </c>
      <c r="AB222">
        <v>160</v>
      </c>
      <c r="AC222">
        <v>4</v>
      </c>
      <c r="AD222">
        <v>4</v>
      </c>
      <c r="AE222" s="16">
        <v>1441.21</v>
      </c>
      <c r="AF222" s="3">
        <v>9.6418999999999997</v>
      </c>
      <c r="AG222" s="1">
        <v>45322</v>
      </c>
      <c r="AH222" s="2">
        <v>0.23974537037037036</v>
      </c>
      <c r="AI222">
        <v>0</v>
      </c>
      <c r="AJ222">
        <v>0</v>
      </c>
      <c r="AK222">
        <v>0</v>
      </c>
      <c r="AL222">
        <v>0</v>
      </c>
      <c r="AM222">
        <v>0</v>
      </c>
      <c r="AN222">
        <v>0</v>
      </c>
      <c r="AO222">
        <v>0</v>
      </c>
      <c r="AP222">
        <v>0</v>
      </c>
      <c r="AQ222">
        <v>0</v>
      </c>
      <c r="AR222">
        <v>0</v>
      </c>
      <c r="AS222">
        <v>0</v>
      </c>
      <c r="AT222">
        <v>0</v>
      </c>
      <c r="AU222" s="3">
        <f>AU221</f>
        <v>9.6335999999999995</v>
      </c>
    </row>
    <row r="223" spans="1:47" x14ac:dyDescent="0.25">
      <c r="A223">
        <v>4</v>
      </c>
      <c r="B223" t="s">
        <v>1</v>
      </c>
      <c r="C223">
        <v>27520</v>
      </c>
      <c r="D223">
        <v>160</v>
      </c>
      <c r="E223">
        <v>4</v>
      </c>
      <c r="F223">
        <v>4</v>
      </c>
      <c r="G223" s="16">
        <v>1578.2</v>
      </c>
      <c r="H223" s="3">
        <v>8.8049999999999997</v>
      </c>
      <c r="I223" s="1">
        <v>45323</v>
      </c>
      <c r="J223" s="37">
        <v>0.70108796296296294</v>
      </c>
      <c r="K223">
        <v>0</v>
      </c>
      <c r="L223">
        <v>0</v>
      </c>
      <c r="M223">
        <v>0</v>
      </c>
      <c r="N223">
        <v>0</v>
      </c>
      <c r="O223">
        <v>0</v>
      </c>
      <c r="P223">
        <v>0</v>
      </c>
      <c r="Q223">
        <v>0</v>
      </c>
      <c r="R223">
        <v>0</v>
      </c>
      <c r="S223">
        <v>0</v>
      </c>
      <c r="T223">
        <v>0</v>
      </c>
      <c r="U223">
        <v>0</v>
      </c>
      <c r="V223">
        <v>0</v>
      </c>
      <c r="W223" s="3">
        <f>W222</f>
        <v>8.7358000000000011</v>
      </c>
      <c r="X223" s="30"/>
      <c r="Y223">
        <v>4</v>
      </c>
      <c r="Z223" t="s">
        <v>1</v>
      </c>
      <c r="AA223">
        <v>27520</v>
      </c>
      <c r="AB223">
        <v>160</v>
      </c>
      <c r="AC223">
        <v>4</v>
      </c>
      <c r="AD223">
        <v>4</v>
      </c>
      <c r="AE223" s="16">
        <v>1441.56</v>
      </c>
      <c r="AF223" s="3">
        <v>9.6395999999999997</v>
      </c>
      <c r="AG223" s="1">
        <v>45323</v>
      </c>
      <c r="AH223" s="2">
        <v>7.3680555555555555E-2</v>
      </c>
      <c r="AI223">
        <v>0</v>
      </c>
      <c r="AJ223">
        <v>0</v>
      </c>
      <c r="AK223">
        <v>0</v>
      </c>
      <c r="AL223">
        <v>0</v>
      </c>
      <c r="AM223">
        <v>0</v>
      </c>
      <c r="AN223">
        <v>0</v>
      </c>
      <c r="AO223">
        <v>0</v>
      </c>
      <c r="AP223">
        <v>0</v>
      </c>
      <c r="AQ223">
        <v>0</v>
      </c>
      <c r="AR223">
        <v>0</v>
      </c>
      <c r="AS223">
        <v>0</v>
      </c>
      <c r="AT223">
        <v>0</v>
      </c>
      <c r="AU223" s="3">
        <f>AU222</f>
        <v>9.6335999999999995</v>
      </c>
    </row>
    <row r="224" spans="1:47" x14ac:dyDescent="0.25">
      <c r="A224">
        <v>0</v>
      </c>
      <c r="B224" t="s">
        <v>1</v>
      </c>
      <c r="C224">
        <v>28960</v>
      </c>
      <c r="D224">
        <v>160</v>
      </c>
      <c r="E224">
        <v>4</v>
      </c>
      <c r="F224">
        <v>4</v>
      </c>
      <c r="G224" s="16">
        <v>1827</v>
      </c>
      <c r="H224" s="3">
        <v>8.8634000000000004</v>
      </c>
      <c r="I224" s="1">
        <v>45320</v>
      </c>
      <c r="J224" s="37">
        <v>0.77752314814814805</v>
      </c>
      <c r="K224">
        <v>0</v>
      </c>
      <c r="L224">
        <v>0</v>
      </c>
      <c r="M224">
        <v>0</v>
      </c>
      <c r="N224">
        <v>0</v>
      </c>
      <c r="O224">
        <v>0</v>
      </c>
      <c r="P224">
        <v>0</v>
      </c>
      <c r="Q224">
        <v>0</v>
      </c>
      <c r="R224">
        <v>0</v>
      </c>
      <c r="S224">
        <v>0</v>
      </c>
      <c r="T224">
        <v>0</v>
      </c>
      <c r="U224">
        <v>0</v>
      </c>
      <c r="V224">
        <v>0</v>
      </c>
      <c r="W224" s="3">
        <f>AVERAGE(H179:H183)</f>
        <v>8.8467999999999982</v>
      </c>
      <c r="X224" s="30"/>
      <c r="Y224">
        <v>0</v>
      </c>
      <c r="Z224" t="s">
        <v>1</v>
      </c>
      <c r="AA224">
        <v>28960</v>
      </c>
      <c r="AB224">
        <v>160</v>
      </c>
      <c r="AC224">
        <v>4</v>
      </c>
      <c r="AD224">
        <v>4</v>
      </c>
      <c r="AE224" s="16">
        <v>1666.15</v>
      </c>
      <c r="AF224" s="3">
        <v>9.7189999999999994</v>
      </c>
      <c r="AG224" s="1">
        <v>45320</v>
      </c>
      <c r="AH224" s="2">
        <v>0.16591435185185185</v>
      </c>
      <c r="AI224">
        <v>0</v>
      </c>
      <c r="AJ224">
        <v>0</v>
      </c>
      <c r="AK224">
        <v>0</v>
      </c>
      <c r="AL224">
        <v>0</v>
      </c>
      <c r="AM224">
        <v>0</v>
      </c>
      <c r="AN224">
        <v>0</v>
      </c>
      <c r="AO224">
        <v>0</v>
      </c>
      <c r="AP224">
        <v>0</v>
      </c>
      <c r="AQ224">
        <v>0</v>
      </c>
      <c r="AR224">
        <v>0</v>
      </c>
      <c r="AS224">
        <v>0</v>
      </c>
      <c r="AT224">
        <v>0</v>
      </c>
      <c r="AU224" s="3">
        <f>AVERAGE(AF224:AF228)</f>
        <v>9.7031399999999994</v>
      </c>
    </row>
    <row r="225" spans="1:47" x14ac:dyDescent="0.25">
      <c r="A225">
        <v>1</v>
      </c>
      <c r="B225" t="s">
        <v>1</v>
      </c>
      <c r="C225">
        <v>28960</v>
      </c>
      <c r="D225">
        <v>160</v>
      </c>
      <c r="E225">
        <v>4</v>
      </c>
      <c r="F225">
        <v>4</v>
      </c>
      <c r="G225" s="16">
        <v>1826.78</v>
      </c>
      <c r="H225" s="3">
        <v>8.8643999999999998</v>
      </c>
      <c r="I225" s="1">
        <v>45321</v>
      </c>
      <c r="J225" s="37">
        <v>0.64736111111111116</v>
      </c>
      <c r="K225">
        <v>0</v>
      </c>
      <c r="L225">
        <v>0</v>
      </c>
      <c r="M225">
        <v>0</v>
      </c>
      <c r="N225">
        <v>0</v>
      </c>
      <c r="O225">
        <v>0</v>
      </c>
      <c r="P225">
        <v>0</v>
      </c>
      <c r="Q225">
        <v>0</v>
      </c>
      <c r="R225">
        <v>0</v>
      </c>
      <c r="S225">
        <v>0</v>
      </c>
      <c r="T225">
        <v>0</v>
      </c>
      <c r="U225">
        <v>0</v>
      </c>
      <c r="V225">
        <v>0</v>
      </c>
      <c r="W225" s="3">
        <f>W224</f>
        <v>8.8467999999999982</v>
      </c>
      <c r="X225" s="30"/>
      <c r="Y225">
        <v>1</v>
      </c>
      <c r="Z225" t="s">
        <v>1</v>
      </c>
      <c r="AA225">
        <v>28960</v>
      </c>
      <c r="AB225">
        <v>160</v>
      </c>
      <c r="AC225">
        <v>4</v>
      </c>
      <c r="AD225">
        <v>4</v>
      </c>
      <c r="AE225" s="16">
        <v>1668.82</v>
      </c>
      <c r="AF225" s="3">
        <v>9.7035</v>
      </c>
      <c r="AG225" s="1">
        <v>45321</v>
      </c>
      <c r="AH225" s="2">
        <v>9.3263888888888882E-2</v>
      </c>
      <c r="AI225">
        <v>0</v>
      </c>
      <c r="AJ225">
        <v>0</v>
      </c>
      <c r="AK225">
        <v>0</v>
      </c>
      <c r="AL225">
        <v>0</v>
      </c>
      <c r="AM225">
        <v>0</v>
      </c>
      <c r="AN225">
        <v>0</v>
      </c>
      <c r="AO225">
        <v>0</v>
      </c>
      <c r="AP225">
        <v>0</v>
      </c>
      <c r="AQ225">
        <v>0</v>
      </c>
      <c r="AR225">
        <v>0</v>
      </c>
      <c r="AS225">
        <v>0</v>
      </c>
      <c r="AT225">
        <v>0</v>
      </c>
      <c r="AU225" s="3">
        <f>AU224</f>
        <v>9.7031399999999994</v>
      </c>
    </row>
    <row r="226" spans="1:47" x14ac:dyDescent="0.25">
      <c r="A226">
        <v>2</v>
      </c>
      <c r="B226" t="s">
        <v>1</v>
      </c>
      <c r="C226">
        <v>28960</v>
      </c>
      <c r="D226">
        <v>160</v>
      </c>
      <c r="E226">
        <v>4</v>
      </c>
      <c r="F226">
        <v>4</v>
      </c>
      <c r="G226" s="16">
        <v>1826.13</v>
      </c>
      <c r="H226" s="3">
        <v>8.8675999999999995</v>
      </c>
      <c r="I226" s="1">
        <v>45322</v>
      </c>
      <c r="J226" s="37">
        <v>0.5172106481481481</v>
      </c>
      <c r="K226">
        <v>0</v>
      </c>
      <c r="L226">
        <v>0</v>
      </c>
      <c r="M226">
        <v>0</v>
      </c>
      <c r="N226">
        <v>0</v>
      </c>
      <c r="O226">
        <v>0</v>
      </c>
      <c r="P226">
        <v>0</v>
      </c>
      <c r="Q226">
        <v>0</v>
      </c>
      <c r="R226">
        <v>0</v>
      </c>
      <c r="S226">
        <v>0</v>
      </c>
      <c r="T226">
        <v>0</v>
      </c>
      <c r="U226">
        <v>0</v>
      </c>
      <c r="V226">
        <v>0</v>
      </c>
      <c r="W226" s="3">
        <f>W225</f>
        <v>8.8467999999999982</v>
      </c>
      <c r="X226" s="30"/>
      <c r="Y226">
        <v>2</v>
      </c>
      <c r="Z226" t="s">
        <v>1</v>
      </c>
      <c r="AA226">
        <v>28960</v>
      </c>
      <c r="AB226">
        <v>160</v>
      </c>
      <c r="AC226">
        <v>4</v>
      </c>
      <c r="AD226">
        <v>4</v>
      </c>
      <c r="AE226" s="16">
        <v>1673.57</v>
      </c>
      <c r="AF226" s="3">
        <v>9.6760000000000002</v>
      </c>
      <c r="AG226" s="1">
        <v>45321</v>
      </c>
      <c r="AH226" s="2">
        <v>0.92700231481481488</v>
      </c>
      <c r="AI226">
        <v>0</v>
      </c>
      <c r="AJ226">
        <v>0</v>
      </c>
      <c r="AK226">
        <v>0</v>
      </c>
      <c r="AL226">
        <v>0</v>
      </c>
      <c r="AM226">
        <v>0</v>
      </c>
      <c r="AN226">
        <v>0</v>
      </c>
      <c r="AO226">
        <v>0</v>
      </c>
      <c r="AP226">
        <v>0</v>
      </c>
      <c r="AQ226">
        <v>0</v>
      </c>
      <c r="AR226">
        <v>0</v>
      </c>
      <c r="AS226">
        <v>0</v>
      </c>
      <c r="AT226">
        <v>0</v>
      </c>
      <c r="AU226" s="3">
        <f>AU225</f>
        <v>9.7031399999999994</v>
      </c>
    </row>
    <row r="227" spans="1:47" x14ac:dyDescent="0.25">
      <c r="A227">
        <v>3</v>
      </c>
      <c r="B227" t="s">
        <v>1</v>
      </c>
      <c r="C227">
        <v>28960</v>
      </c>
      <c r="D227">
        <v>160</v>
      </c>
      <c r="E227">
        <v>4</v>
      </c>
      <c r="F227">
        <v>4</v>
      </c>
      <c r="G227" s="16">
        <v>1826.65</v>
      </c>
      <c r="H227" s="3">
        <v>8.8651</v>
      </c>
      <c r="I227" s="1">
        <v>45323</v>
      </c>
      <c r="J227" s="37">
        <v>0.37407407407407406</v>
      </c>
      <c r="K227">
        <v>0</v>
      </c>
      <c r="L227">
        <v>0</v>
      </c>
      <c r="M227">
        <v>0</v>
      </c>
      <c r="N227">
        <v>0</v>
      </c>
      <c r="O227">
        <v>0</v>
      </c>
      <c r="P227">
        <v>0</v>
      </c>
      <c r="Q227">
        <v>0</v>
      </c>
      <c r="R227">
        <v>0</v>
      </c>
      <c r="S227">
        <v>0</v>
      </c>
      <c r="T227">
        <v>0</v>
      </c>
      <c r="U227">
        <v>0</v>
      </c>
      <c r="V227">
        <v>0</v>
      </c>
      <c r="W227" s="3">
        <f>W226</f>
        <v>8.8467999999999982</v>
      </c>
      <c r="X227" s="30"/>
      <c r="Y227">
        <v>3</v>
      </c>
      <c r="Z227" t="s">
        <v>1</v>
      </c>
      <c r="AA227">
        <v>28960</v>
      </c>
      <c r="AB227">
        <v>160</v>
      </c>
      <c r="AC227">
        <v>4</v>
      </c>
      <c r="AD227">
        <v>4</v>
      </c>
      <c r="AE227" s="16">
        <v>1670.15</v>
      </c>
      <c r="AF227" s="3">
        <v>9.6958000000000002</v>
      </c>
      <c r="AG227" s="1">
        <v>45322</v>
      </c>
      <c r="AH227" s="2">
        <v>0.76101851851851843</v>
      </c>
      <c r="AI227">
        <v>0</v>
      </c>
      <c r="AJ227">
        <v>0</v>
      </c>
      <c r="AK227">
        <v>0</v>
      </c>
      <c r="AL227">
        <v>0</v>
      </c>
      <c r="AM227">
        <v>0</v>
      </c>
      <c r="AN227">
        <v>0</v>
      </c>
      <c r="AO227">
        <v>0</v>
      </c>
      <c r="AP227">
        <v>0</v>
      </c>
      <c r="AQ227">
        <v>0</v>
      </c>
      <c r="AR227">
        <v>0</v>
      </c>
      <c r="AS227">
        <v>0</v>
      </c>
      <c r="AT227">
        <v>0</v>
      </c>
      <c r="AU227" s="3">
        <f>AU226</f>
        <v>9.7031399999999994</v>
      </c>
    </row>
    <row r="228" spans="1:47" x14ac:dyDescent="0.25">
      <c r="A228">
        <v>4</v>
      </c>
      <c r="B228" t="s">
        <v>1</v>
      </c>
      <c r="C228">
        <v>28960</v>
      </c>
      <c r="D228">
        <v>160</v>
      </c>
      <c r="E228">
        <v>4</v>
      </c>
      <c r="F228">
        <v>4</v>
      </c>
      <c r="G228" s="16">
        <v>1826.69</v>
      </c>
      <c r="H228" s="3">
        <v>8.8649000000000004</v>
      </c>
      <c r="I228" s="1">
        <v>45318</v>
      </c>
      <c r="J228" s="37">
        <v>0.47737268518518516</v>
      </c>
      <c r="K228">
        <v>0</v>
      </c>
      <c r="L228">
        <v>0</v>
      </c>
      <c r="M228">
        <v>0</v>
      </c>
      <c r="N228">
        <v>0</v>
      </c>
      <c r="O228">
        <v>0</v>
      </c>
      <c r="P228">
        <v>0</v>
      </c>
      <c r="Q228">
        <v>0</v>
      </c>
      <c r="R228">
        <v>0</v>
      </c>
      <c r="S228">
        <v>0</v>
      </c>
      <c r="T228">
        <v>0</v>
      </c>
      <c r="U228">
        <v>0</v>
      </c>
      <c r="V228">
        <v>0</v>
      </c>
      <c r="W228" s="3">
        <f>W227</f>
        <v>8.8467999999999982</v>
      </c>
      <c r="X228" s="30"/>
      <c r="Y228">
        <v>4</v>
      </c>
      <c r="Z228" t="s">
        <v>1</v>
      </c>
      <c r="AA228">
        <v>28960</v>
      </c>
      <c r="AB228">
        <v>160</v>
      </c>
      <c r="AC228">
        <v>4</v>
      </c>
      <c r="AD228">
        <v>4</v>
      </c>
      <c r="AE228" s="16">
        <v>1665.75</v>
      </c>
      <c r="AF228" s="3">
        <v>9.7213999999999992</v>
      </c>
      <c r="AG228" s="1">
        <v>45323</v>
      </c>
      <c r="AH228" s="2">
        <v>0.59556712962962965</v>
      </c>
      <c r="AI228">
        <v>0</v>
      </c>
      <c r="AJ228">
        <v>0</v>
      </c>
      <c r="AK228">
        <v>0</v>
      </c>
      <c r="AL228">
        <v>0</v>
      </c>
      <c r="AM228">
        <v>0</v>
      </c>
      <c r="AN228">
        <v>0</v>
      </c>
      <c r="AO228">
        <v>0</v>
      </c>
      <c r="AP228">
        <v>0</v>
      </c>
      <c r="AQ228">
        <v>0</v>
      </c>
      <c r="AR228">
        <v>0</v>
      </c>
      <c r="AS228">
        <v>0</v>
      </c>
      <c r="AT228">
        <v>0</v>
      </c>
      <c r="AU228" s="3">
        <f>AU227</f>
        <v>9.7031399999999994</v>
      </c>
    </row>
    <row r="229" spans="1:47" x14ac:dyDescent="0.25">
      <c r="A229">
        <v>0</v>
      </c>
      <c r="B229" t="s">
        <v>1</v>
      </c>
      <c r="C229">
        <v>25920</v>
      </c>
      <c r="D229">
        <v>192</v>
      </c>
      <c r="E229">
        <v>1</v>
      </c>
      <c r="F229">
        <v>16</v>
      </c>
      <c r="G229" s="16">
        <v>1461.42</v>
      </c>
      <c r="H229" s="3">
        <v>7.9447000000000001</v>
      </c>
      <c r="I229" s="1">
        <v>45320</v>
      </c>
      <c r="J229" s="37">
        <v>0.53157407407407409</v>
      </c>
      <c r="K229">
        <v>0</v>
      </c>
      <c r="L229">
        <v>0</v>
      </c>
      <c r="M229">
        <v>0</v>
      </c>
      <c r="N229">
        <v>0</v>
      </c>
      <c r="O229">
        <v>0</v>
      </c>
      <c r="P229">
        <v>0</v>
      </c>
      <c r="Q229">
        <v>0</v>
      </c>
      <c r="R229">
        <v>0</v>
      </c>
      <c r="S229">
        <v>0</v>
      </c>
      <c r="T229">
        <v>0</v>
      </c>
      <c r="U229">
        <v>0</v>
      </c>
      <c r="V229">
        <v>0</v>
      </c>
      <c r="W229" s="3">
        <f>AVERAGE(H184:H188)</f>
        <v>8.0551799999999982</v>
      </c>
      <c r="X229" s="30"/>
      <c r="Y229">
        <v>0</v>
      </c>
      <c r="Z229" t="s">
        <v>1</v>
      </c>
      <c r="AA229">
        <v>25920</v>
      </c>
      <c r="AB229">
        <v>192</v>
      </c>
      <c r="AC229">
        <v>1</v>
      </c>
      <c r="AD229">
        <v>16</v>
      </c>
      <c r="AE229" s="16">
        <v>1312.58</v>
      </c>
      <c r="AF229" s="3">
        <v>8.8454999999999995</v>
      </c>
      <c r="AG229" s="1">
        <v>45319</v>
      </c>
      <c r="AH229" s="2">
        <v>0.92960648148148151</v>
      </c>
      <c r="AI229">
        <v>0</v>
      </c>
      <c r="AJ229">
        <v>0</v>
      </c>
      <c r="AK229">
        <v>0</v>
      </c>
      <c r="AL229">
        <v>0</v>
      </c>
      <c r="AM229">
        <v>0</v>
      </c>
      <c r="AN229">
        <v>0</v>
      </c>
      <c r="AO229">
        <v>0</v>
      </c>
      <c r="AP229">
        <v>0</v>
      </c>
      <c r="AQ229">
        <v>0</v>
      </c>
      <c r="AR229">
        <v>0</v>
      </c>
      <c r="AS229">
        <v>0</v>
      </c>
      <c r="AT229">
        <v>0</v>
      </c>
      <c r="AU229" s="3">
        <f>AVERAGE(AF229:AF233)</f>
        <v>8.8428000000000004</v>
      </c>
    </row>
    <row r="230" spans="1:47" x14ac:dyDescent="0.25">
      <c r="A230">
        <v>1</v>
      </c>
      <c r="B230" t="s">
        <v>1</v>
      </c>
      <c r="C230">
        <v>25920</v>
      </c>
      <c r="D230">
        <v>192</v>
      </c>
      <c r="E230">
        <v>1</v>
      </c>
      <c r="F230">
        <v>16</v>
      </c>
      <c r="G230" s="16">
        <v>1462.35</v>
      </c>
      <c r="H230" s="3">
        <v>7.9396000000000004</v>
      </c>
      <c r="I230" s="1">
        <v>45321</v>
      </c>
      <c r="J230" s="37">
        <v>0.40143518518518517</v>
      </c>
      <c r="K230">
        <v>0</v>
      </c>
      <c r="L230">
        <v>0</v>
      </c>
      <c r="M230">
        <v>0</v>
      </c>
      <c r="N230">
        <v>0</v>
      </c>
      <c r="O230">
        <v>0</v>
      </c>
      <c r="P230">
        <v>0</v>
      </c>
      <c r="Q230">
        <v>0</v>
      </c>
      <c r="R230">
        <v>0</v>
      </c>
      <c r="S230">
        <v>0</v>
      </c>
      <c r="T230">
        <v>0</v>
      </c>
      <c r="U230">
        <v>0</v>
      </c>
      <c r="V230">
        <v>0</v>
      </c>
      <c r="W230" s="3">
        <f>W229</f>
        <v>8.0551799999999982</v>
      </c>
      <c r="X230" s="30"/>
      <c r="Y230">
        <v>1</v>
      </c>
      <c r="Z230" t="s">
        <v>1</v>
      </c>
      <c r="AA230">
        <v>25920</v>
      </c>
      <c r="AB230">
        <v>192</v>
      </c>
      <c r="AC230">
        <v>1</v>
      </c>
      <c r="AD230">
        <v>16</v>
      </c>
      <c r="AE230" s="16">
        <v>1314.02</v>
      </c>
      <c r="AF230" s="3">
        <v>8.8358000000000008</v>
      </c>
      <c r="AG230" s="1">
        <v>45320</v>
      </c>
      <c r="AH230" s="2">
        <v>0.85671296296296295</v>
      </c>
      <c r="AI230">
        <v>0</v>
      </c>
      <c r="AJ230">
        <v>0</v>
      </c>
      <c r="AK230">
        <v>0</v>
      </c>
      <c r="AL230">
        <v>0</v>
      </c>
      <c r="AM230">
        <v>0</v>
      </c>
      <c r="AN230">
        <v>0</v>
      </c>
      <c r="AO230">
        <v>0</v>
      </c>
      <c r="AP230">
        <v>0</v>
      </c>
      <c r="AQ230">
        <v>0</v>
      </c>
      <c r="AR230">
        <v>0</v>
      </c>
      <c r="AS230">
        <v>0</v>
      </c>
      <c r="AT230">
        <v>0</v>
      </c>
      <c r="AU230" s="3">
        <f>AU229</f>
        <v>8.8428000000000004</v>
      </c>
    </row>
    <row r="231" spans="1:47" x14ac:dyDescent="0.25">
      <c r="A231">
        <v>2</v>
      </c>
      <c r="B231" t="s">
        <v>1</v>
      </c>
      <c r="C231">
        <v>25920</v>
      </c>
      <c r="D231">
        <v>192</v>
      </c>
      <c r="E231">
        <v>1</v>
      </c>
      <c r="F231">
        <v>16</v>
      </c>
      <c r="G231" s="16">
        <v>1461.94</v>
      </c>
      <c r="H231" s="3">
        <v>7.9419000000000004</v>
      </c>
      <c r="I231" s="1">
        <v>45322</v>
      </c>
      <c r="J231" s="37">
        <v>0.27129629629629631</v>
      </c>
      <c r="K231">
        <v>0</v>
      </c>
      <c r="L231">
        <v>0</v>
      </c>
      <c r="M231">
        <v>0</v>
      </c>
      <c r="N231">
        <v>0</v>
      </c>
      <c r="O231">
        <v>0</v>
      </c>
      <c r="P231">
        <v>0</v>
      </c>
      <c r="Q231">
        <v>0</v>
      </c>
      <c r="R231">
        <v>0</v>
      </c>
      <c r="S231">
        <v>0</v>
      </c>
      <c r="T231">
        <v>0</v>
      </c>
      <c r="U231">
        <v>0</v>
      </c>
      <c r="V231">
        <v>0</v>
      </c>
      <c r="W231" s="3">
        <f>W230</f>
        <v>8.0551799999999982</v>
      </c>
      <c r="X231" s="30"/>
      <c r="Y231">
        <v>2</v>
      </c>
      <c r="Z231" t="s">
        <v>1</v>
      </c>
      <c r="AA231">
        <v>25920</v>
      </c>
      <c r="AB231">
        <v>192</v>
      </c>
      <c r="AC231">
        <v>1</v>
      </c>
      <c r="AD231">
        <v>16</v>
      </c>
      <c r="AE231" s="16">
        <v>1312.65</v>
      </c>
      <c r="AF231" s="3">
        <v>8.8451000000000004</v>
      </c>
      <c r="AG231" s="1">
        <v>45321</v>
      </c>
      <c r="AH231" s="2">
        <v>0.69024305555555554</v>
      </c>
      <c r="AI231">
        <v>0</v>
      </c>
      <c r="AJ231">
        <v>0</v>
      </c>
      <c r="AK231">
        <v>0</v>
      </c>
      <c r="AL231">
        <v>0</v>
      </c>
      <c r="AM231">
        <v>0</v>
      </c>
      <c r="AN231">
        <v>0</v>
      </c>
      <c r="AO231">
        <v>0</v>
      </c>
      <c r="AP231">
        <v>0</v>
      </c>
      <c r="AQ231">
        <v>0</v>
      </c>
      <c r="AR231">
        <v>0</v>
      </c>
      <c r="AS231">
        <v>0</v>
      </c>
      <c r="AT231">
        <v>0</v>
      </c>
      <c r="AU231" s="3">
        <f>AU230</f>
        <v>8.8428000000000004</v>
      </c>
    </row>
    <row r="232" spans="1:47" x14ac:dyDescent="0.25">
      <c r="A232">
        <v>3</v>
      </c>
      <c r="B232" t="s">
        <v>1</v>
      </c>
      <c r="C232">
        <v>25920</v>
      </c>
      <c r="D232">
        <v>192</v>
      </c>
      <c r="E232">
        <v>1</v>
      </c>
      <c r="F232">
        <v>16</v>
      </c>
      <c r="G232" s="16">
        <v>1462.36</v>
      </c>
      <c r="H232" s="3">
        <v>7.9396000000000004</v>
      </c>
      <c r="I232" s="1">
        <v>45323</v>
      </c>
      <c r="J232" s="37">
        <v>0.12811342592592592</v>
      </c>
      <c r="K232">
        <v>0</v>
      </c>
      <c r="L232">
        <v>0</v>
      </c>
      <c r="M232">
        <v>0</v>
      </c>
      <c r="N232">
        <v>0</v>
      </c>
      <c r="O232">
        <v>0</v>
      </c>
      <c r="P232">
        <v>0</v>
      </c>
      <c r="Q232">
        <v>0</v>
      </c>
      <c r="R232">
        <v>0</v>
      </c>
      <c r="S232">
        <v>0</v>
      </c>
      <c r="T232">
        <v>0</v>
      </c>
      <c r="U232">
        <v>0</v>
      </c>
      <c r="V232">
        <v>0</v>
      </c>
      <c r="W232" s="3">
        <f>W231</f>
        <v>8.0551799999999982</v>
      </c>
      <c r="X232" s="30"/>
      <c r="Y232">
        <v>3</v>
      </c>
      <c r="Z232" t="s">
        <v>1</v>
      </c>
      <c r="AA232">
        <v>25920</v>
      </c>
      <c r="AB232">
        <v>192</v>
      </c>
      <c r="AC232">
        <v>1</v>
      </c>
      <c r="AD232">
        <v>16</v>
      </c>
      <c r="AE232" s="16">
        <v>1313.7</v>
      </c>
      <c r="AF232" s="3">
        <v>8.8379999999999992</v>
      </c>
      <c r="AG232" s="1">
        <v>45322</v>
      </c>
      <c r="AH232" s="2">
        <v>0.52406249999999999</v>
      </c>
      <c r="AI232">
        <v>0</v>
      </c>
      <c r="AJ232">
        <v>0</v>
      </c>
      <c r="AK232">
        <v>0</v>
      </c>
      <c r="AL232">
        <v>0</v>
      </c>
      <c r="AM232">
        <v>0</v>
      </c>
      <c r="AN232">
        <v>0</v>
      </c>
      <c r="AO232">
        <v>0</v>
      </c>
      <c r="AP232">
        <v>0</v>
      </c>
      <c r="AQ232">
        <v>0</v>
      </c>
      <c r="AR232">
        <v>0</v>
      </c>
      <c r="AS232">
        <v>0</v>
      </c>
      <c r="AT232">
        <v>0</v>
      </c>
      <c r="AU232" s="3">
        <f>AU231</f>
        <v>8.8428000000000004</v>
      </c>
    </row>
    <row r="233" spans="1:47" x14ac:dyDescent="0.25">
      <c r="A233">
        <v>4</v>
      </c>
      <c r="B233" t="s">
        <v>1</v>
      </c>
      <c r="C233">
        <v>25920</v>
      </c>
      <c r="D233">
        <v>192</v>
      </c>
      <c r="E233">
        <v>1</v>
      </c>
      <c r="F233">
        <v>16</v>
      </c>
      <c r="G233" s="16">
        <v>1461.54</v>
      </c>
      <c r="H233" s="3">
        <v>7.944</v>
      </c>
      <c r="I233" s="1">
        <v>45318</v>
      </c>
      <c r="J233" s="37">
        <v>0.23143518518518516</v>
      </c>
      <c r="K233">
        <v>0</v>
      </c>
      <c r="L233">
        <v>0</v>
      </c>
      <c r="M233">
        <v>0</v>
      </c>
      <c r="N233">
        <v>0</v>
      </c>
      <c r="O233">
        <v>0</v>
      </c>
      <c r="P233">
        <v>0</v>
      </c>
      <c r="Q233">
        <v>0</v>
      </c>
      <c r="R233">
        <v>0</v>
      </c>
      <c r="S233">
        <v>0</v>
      </c>
      <c r="T233">
        <v>0</v>
      </c>
      <c r="U233">
        <v>0</v>
      </c>
      <c r="V233">
        <v>0</v>
      </c>
      <c r="W233" s="3">
        <f>W232</f>
        <v>8.0551799999999982</v>
      </c>
      <c r="X233" s="30"/>
      <c r="Y233">
        <v>4</v>
      </c>
      <c r="Z233" t="s">
        <v>1</v>
      </c>
      <c r="AA233">
        <v>25920</v>
      </c>
      <c r="AB233">
        <v>192</v>
      </c>
      <c r="AC233">
        <v>1</v>
      </c>
      <c r="AD233">
        <v>16</v>
      </c>
      <c r="AE233" s="16">
        <v>1311.98</v>
      </c>
      <c r="AF233" s="3">
        <v>8.8496000000000006</v>
      </c>
      <c r="AG233" s="1">
        <v>45323</v>
      </c>
      <c r="AH233" s="2">
        <v>0.35829861111111111</v>
      </c>
      <c r="AI233">
        <v>0</v>
      </c>
      <c r="AJ233">
        <v>0</v>
      </c>
      <c r="AK233">
        <v>0</v>
      </c>
      <c r="AL233">
        <v>0</v>
      </c>
      <c r="AM233">
        <v>0</v>
      </c>
      <c r="AN233">
        <v>0</v>
      </c>
      <c r="AO233">
        <v>0</v>
      </c>
      <c r="AP233">
        <v>0</v>
      </c>
      <c r="AQ233">
        <v>0</v>
      </c>
      <c r="AR233">
        <v>0</v>
      </c>
      <c r="AS233">
        <v>0</v>
      </c>
      <c r="AT233">
        <v>0</v>
      </c>
      <c r="AU233" s="3">
        <f>AU232</f>
        <v>8.8428000000000004</v>
      </c>
    </row>
    <row r="234" spans="1:47" x14ac:dyDescent="0.25">
      <c r="A234">
        <v>0</v>
      </c>
      <c r="B234" t="s">
        <v>1</v>
      </c>
      <c r="C234">
        <v>27456</v>
      </c>
      <c r="D234">
        <v>192</v>
      </c>
      <c r="E234">
        <v>1</v>
      </c>
      <c r="F234">
        <v>16</v>
      </c>
      <c r="G234" s="16">
        <v>1717.14</v>
      </c>
      <c r="H234" s="3">
        <v>8.0361999999999991</v>
      </c>
      <c r="I234" s="1">
        <v>45320</v>
      </c>
      <c r="J234" s="37">
        <v>0.25483796296296296</v>
      </c>
      <c r="K234">
        <v>0</v>
      </c>
      <c r="L234">
        <v>0</v>
      </c>
      <c r="M234">
        <v>0</v>
      </c>
      <c r="N234">
        <v>0</v>
      </c>
      <c r="O234">
        <v>0</v>
      </c>
      <c r="P234">
        <v>0</v>
      </c>
      <c r="Q234">
        <v>0</v>
      </c>
      <c r="R234">
        <v>0</v>
      </c>
      <c r="S234">
        <v>0</v>
      </c>
      <c r="T234">
        <v>0</v>
      </c>
      <c r="U234">
        <v>0</v>
      </c>
      <c r="V234">
        <v>0</v>
      </c>
      <c r="W234" s="3">
        <f>AVERAGE(H189:H193)</f>
        <v>8.0792399999999986</v>
      </c>
      <c r="X234" s="30"/>
      <c r="Y234">
        <v>0</v>
      </c>
      <c r="Z234" t="s">
        <v>1</v>
      </c>
      <c r="AA234">
        <v>27456</v>
      </c>
      <c r="AB234">
        <v>192</v>
      </c>
      <c r="AC234">
        <v>1</v>
      </c>
      <c r="AD234">
        <v>16</v>
      </c>
      <c r="AE234" s="16">
        <v>1542.09</v>
      </c>
      <c r="AF234" s="3">
        <v>8.9483999999999995</v>
      </c>
      <c r="AG234" s="1">
        <v>45319</v>
      </c>
      <c r="AH234" s="2">
        <v>0.66476851851851848</v>
      </c>
      <c r="AI234">
        <v>0</v>
      </c>
      <c r="AJ234">
        <v>0</v>
      </c>
      <c r="AK234">
        <v>0</v>
      </c>
      <c r="AL234">
        <v>0</v>
      </c>
      <c r="AM234">
        <v>0</v>
      </c>
      <c r="AN234">
        <v>0</v>
      </c>
      <c r="AO234">
        <v>0</v>
      </c>
      <c r="AP234">
        <v>0</v>
      </c>
      <c r="AQ234">
        <v>0</v>
      </c>
      <c r="AR234">
        <v>0</v>
      </c>
      <c r="AS234">
        <v>0</v>
      </c>
      <c r="AT234">
        <v>0</v>
      </c>
      <c r="AU234" s="3">
        <f>AVERAGE(AF234:AF238)</f>
        <v>8.952</v>
      </c>
    </row>
    <row r="235" spans="1:47" x14ac:dyDescent="0.25">
      <c r="A235">
        <v>1</v>
      </c>
      <c r="B235" t="s">
        <v>1</v>
      </c>
      <c r="C235">
        <v>27456</v>
      </c>
      <c r="D235">
        <v>192</v>
      </c>
      <c r="E235">
        <v>1</v>
      </c>
      <c r="F235">
        <v>16</v>
      </c>
      <c r="G235" s="16">
        <v>1715.87</v>
      </c>
      <c r="H235" s="3">
        <v>8.0420999999999996</v>
      </c>
      <c r="I235" s="1">
        <v>45321</v>
      </c>
      <c r="J235" s="37">
        <v>0.12472222222222222</v>
      </c>
      <c r="K235">
        <v>0</v>
      </c>
      <c r="L235">
        <v>0</v>
      </c>
      <c r="M235">
        <v>0</v>
      </c>
      <c r="N235">
        <v>0</v>
      </c>
      <c r="O235">
        <v>0</v>
      </c>
      <c r="P235">
        <v>0</v>
      </c>
      <c r="Q235">
        <v>0</v>
      </c>
      <c r="R235">
        <v>0</v>
      </c>
      <c r="S235">
        <v>0</v>
      </c>
      <c r="T235">
        <v>0</v>
      </c>
      <c r="U235">
        <v>0</v>
      </c>
      <c r="V235">
        <v>0</v>
      </c>
      <c r="W235" s="3">
        <f>W234</f>
        <v>8.0792399999999986</v>
      </c>
      <c r="X235" s="30"/>
      <c r="Y235">
        <v>1</v>
      </c>
      <c r="Z235" t="s">
        <v>1</v>
      </c>
      <c r="AA235">
        <v>27456</v>
      </c>
      <c r="AB235">
        <v>192</v>
      </c>
      <c r="AC235">
        <v>1</v>
      </c>
      <c r="AD235">
        <v>16</v>
      </c>
      <c r="AE235" s="16">
        <v>1540.4</v>
      </c>
      <c r="AF235" s="3">
        <v>8.9582999999999995</v>
      </c>
      <c r="AG235" s="1">
        <v>45320</v>
      </c>
      <c r="AH235" s="2">
        <v>0.59182870370370366</v>
      </c>
      <c r="AI235">
        <v>0</v>
      </c>
      <c r="AJ235">
        <v>0</v>
      </c>
      <c r="AK235">
        <v>0</v>
      </c>
      <c r="AL235">
        <v>0</v>
      </c>
      <c r="AM235">
        <v>0</v>
      </c>
      <c r="AN235">
        <v>0</v>
      </c>
      <c r="AO235">
        <v>0</v>
      </c>
      <c r="AP235">
        <v>0</v>
      </c>
      <c r="AQ235">
        <v>0</v>
      </c>
      <c r="AR235">
        <v>0</v>
      </c>
      <c r="AS235">
        <v>0</v>
      </c>
      <c r="AT235">
        <v>0</v>
      </c>
      <c r="AU235" s="3">
        <f>AU234</f>
        <v>8.952</v>
      </c>
    </row>
    <row r="236" spans="1:47" x14ac:dyDescent="0.25">
      <c r="A236">
        <v>2</v>
      </c>
      <c r="B236" t="s">
        <v>1</v>
      </c>
      <c r="C236">
        <v>27456</v>
      </c>
      <c r="D236">
        <v>192</v>
      </c>
      <c r="E236">
        <v>1</v>
      </c>
      <c r="F236">
        <v>16</v>
      </c>
      <c r="G236" s="16">
        <v>1714.73</v>
      </c>
      <c r="H236" s="3">
        <v>8.0474999999999994</v>
      </c>
      <c r="I236" s="1">
        <v>45321</v>
      </c>
      <c r="J236" s="37">
        <v>0.9946180555555556</v>
      </c>
      <c r="K236">
        <v>0</v>
      </c>
      <c r="L236">
        <v>0</v>
      </c>
      <c r="M236">
        <v>0</v>
      </c>
      <c r="N236">
        <v>0</v>
      </c>
      <c r="O236">
        <v>0</v>
      </c>
      <c r="P236">
        <v>0</v>
      </c>
      <c r="Q236">
        <v>0</v>
      </c>
      <c r="R236">
        <v>0</v>
      </c>
      <c r="S236">
        <v>0</v>
      </c>
      <c r="T236">
        <v>0</v>
      </c>
      <c r="U236">
        <v>0</v>
      </c>
      <c r="V236">
        <v>0</v>
      </c>
      <c r="W236" s="3">
        <f>W235</f>
        <v>8.0792399999999986</v>
      </c>
      <c r="X236" s="30"/>
      <c r="Y236">
        <v>2</v>
      </c>
      <c r="Z236" t="s">
        <v>1</v>
      </c>
      <c r="AA236">
        <v>27456</v>
      </c>
      <c r="AB236">
        <v>192</v>
      </c>
      <c r="AC236">
        <v>1</v>
      </c>
      <c r="AD236">
        <v>16</v>
      </c>
      <c r="AE236" s="16">
        <v>1543.55</v>
      </c>
      <c r="AF236" s="3">
        <v>8.94</v>
      </c>
      <c r="AG236" s="1">
        <v>45321</v>
      </c>
      <c r="AH236" s="2">
        <v>0.42518518518518517</v>
      </c>
      <c r="AI236">
        <v>0</v>
      </c>
      <c r="AJ236">
        <v>0</v>
      </c>
      <c r="AK236">
        <v>0</v>
      </c>
      <c r="AL236">
        <v>0</v>
      </c>
      <c r="AM236">
        <v>0</v>
      </c>
      <c r="AN236">
        <v>0</v>
      </c>
      <c r="AO236">
        <v>0</v>
      </c>
      <c r="AP236">
        <v>0</v>
      </c>
      <c r="AQ236">
        <v>0</v>
      </c>
      <c r="AR236">
        <v>0</v>
      </c>
      <c r="AS236">
        <v>0</v>
      </c>
      <c r="AT236">
        <v>0</v>
      </c>
      <c r="AU236" s="3">
        <f>AU235</f>
        <v>8.952</v>
      </c>
    </row>
    <row r="237" spans="1:47" x14ac:dyDescent="0.25">
      <c r="A237">
        <v>3</v>
      </c>
      <c r="B237" t="s">
        <v>1</v>
      </c>
      <c r="C237">
        <v>27456</v>
      </c>
      <c r="D237">
        <v>192</v>
      </c>
      <c r="E237">
        <v>1</v>
      </c>
      <c r="F237">
        <v>16</v>
      </c>
      <c r="G237" s="16">
        <v>1715.49</v>
      </c>
      <c r="H237" s="3">
        <v>8.0439000000000007</v>
      </c>
      <c r="I237" s="1">
        <v>45322</v>
      </c>
      <c r="J237" s="37">
        <v>0.86440972222222223</v>
      </c>
      <c r="K237">
        <v>0</v>
      </c>
      <c r="L237">
        <v>0</v>
      </c>
      <c r="M237">
        <v>0</v>
      </c>
      <c r="N237">
        <v>0</v>
      </c>
      <c r="O237">
        <v>0</v>
      </c>
      <c r="P237">
        <v>0</v>
      </c>
      <c r="Q237">
        <v>0</v>
      </c>
      <c r="R237">
        <v>0</v>
      </c>
      <c r="S237">
        <v>0</v>
      </c>
      <c r="T237">
        <v>0</v>
      </c>
      <c r="U237">
        <v>0</v>
      </c>
      <c r="V237">
        <v>0</v>
      </c>
      <c r="W237" s="3">
        <f>W236</f>
        <v>8.0792399999999986</v>
      </c>
      <c r="X237" s="30"/>
      <c r="Y237">
        <v>3</v>
      </c>
      <c r="Z237" t="s">
        <v>1</v>
      </c>
      <c r="AA237">
        <v>27456</v>
      </c>
      <c r="AB237">
        <v>192</v>
      </c>
      <c r="AC237">
        <v>1</v>
      </c>
      <c r="AD237">
        <v>16</v>
      </c>
      <c r="AE237" s="16">
        <v>1539.59</v>
      </c>
      <c r="AF237" s="3">
        <v>8.9629999999999992</v>
      </c>
      <c r="AG237" s="1">
        <v>45322</v>
      </c>
      <c r="AH237" s="2">
        <v>0.25905092592592593</v>
      </c>
      <c r="AI237">
        <v>0</v>
      </c>
      <c r="AJ237">
        <v>0</v>
      </c>
      <c r="AK237">
        <v>0</v>
      </c>
      <c r="AL237">
        <v>0</v>
      </c>
      <c r="AM237">
        <v>0</v>
      </c>
      <c r="AN237">
        <v>0</v>
      </c>
      <c r="AO237">
        <v>0</v>
      </c>
      <c r="AP237">
        <v>0</v>
      </c>
      <c r="AQ237">
        <v>0</v>
      </c>
      <c r="AR237">
        <v>0</v>
      </c>
      <c r="AS237">
        <v>0</v>
      </c>
      <c r="AT237">
        <v>0</v>
      </c>
      <c r="AU237" s="3">
        <f>AU236</f>
        <v>8.952</v>
      </c>
    </row>
    <row r="238" spans="1:47" x14ac:dyDescent="0.25">
      <c r="A238">
        <v>4</v>
      </c>
      <c r="B238" t="s">
        <v>1</v>
      </c>
      <c r="C238">
        <v>27456</v>
      </c>
      <c r="D238">
        <v>192</v>
      </c>
      <c r="E238">
        <v>1</v>
      </c>
      <c r="F238">
        <v>16</v>
      </c>
      <c r="G238" s="16">
        <v>1715.01</v>
      </c>
      <c r="H238" s="3">
        <v>8.0462000000000007</v>
      </c>
      <c r="I238" s="1">
        <v>45323</v>
      </c>
      <c r="J238" s="37">
        <v>0.72128472222222229</v>
      </c>
      <c r="K238">
        <v>0</v>
      </c>
      <c r="L238">
        <v>0</v>
      </c>
      <c r="M238">
        <v>0</v>
      </c>
      <c r="N238">
        <v>0</v>
      </c>
      <c r="O238">
        <v>0</v>
      </c>
      <c r="P238">
        <v>0</v>
      </c>
      <c r="Q238">
        <v>0</v>
      </c>
      <c r="R238">
        <v>0</v>
      </c>
      <c r="S238">
        <v>0</v>
      </c>
      <c r="T238">
        <v>0</v>
      </c>
      <c r="U238">
        <v>0</v>
      </c>
      <c r="V238">
        <v>0</v>
      </c>
      <c r="W238" s="3">
        <f>W237</f>
        <v>8.0792399999999986</v>
      </c>
      <c r="X238" s="30"/>
      <c r="Y238">
        <v>4</v>
      </c>
      <c r="Z238" t="s">
        <v>1</v>
      </c>
      <c r="AA238">
        <v>27456</v>
      </c>
      <c r="AB238">
        <v>192</v>
      </c>
      <c r="AC238">
        <v>1</v>
      </c>
      <c r="AD238">
        <v>16</v>
      </c>
      <c r="AE238" s="16">
        <v>1541.77</v>
      </c>
      <c r="AF238" s="3">
        <v>8.9503000000000004</v>
      </c>
      <c r="AG238" s="1">
        <v>45323</v>
      </c>
      <c r="AH238" s="2">
        <v>9.300925925925925E-2</v>
      </c>
      <c r="AI238">
        <v>0</v>
      </c>
      <c r="AJ238">
        <v>0</v>
      </c>
      <c r="AK238">
        <v>0</v>
      </c>
      <c r="AL238">
        <v>0</v>
      </c>
      <c r="AM238">
        <v>0</v>
      </c>
      <c r="AN238">
        <v>0</v>
      </c>
      <c r="AO238">
        <v>0</v>
      </c>
      <c r="AP238">
        <v>0</v>
      </c>
      <c r="AQ238">
        <v>0</v>
      </c>
      <c r="AR238">
        <v>0</v>
      </c>
      <c r="AS238">
        <v>0</v>
      </c>
      <c r="AT238">
        <v>0</v>
      </c>
      <c r="AU238" s="3">
        <f>AU237</f>
        <v>8.952</v>
      </c>
    </row>
    <row r="239" spans="1:47" x14ac:dyDescent="0.25">
      <c r="A239">
        <v>0</v>
      </c>
      <c r="B239" t="s">
        <v>1</v>
      </c>
      <c r="C239">
        <v>28992</v>
      </c>
      <c r="D239">
        <v>192</v>
      </c>
      <c r="E239">
        <v>1</v>
      </c>
      <c r="F239">
        <v>16</v>
      </c>
      <c r="G239" s="16">
        <v>2008.45</v>
      </c>
      <c r="H239" s="3">
        <v>8.0893999999999995</v>
      </c>
      <c r="I239" s="1">
        <v>45320</v>
      </c>
      <c r="J239" s="37">
        <v>0.80120370370370375</v>
      </c>
      <c r="K239">
        <v>0</v>
      </c>
      <c r="L239">
        <v>0</v>
      </c>
      <c r="M239">
        <v>0</v>
      </c>
      <c r="N239">
        <v>0</v>
      </c>
      <c r="O239">
        <v>0</v>
      </c>
      <c r="P239">
        <v>0</v>
      </c>
      <c r="Q239">
        <v>0</v>
      </c>
      <c r="R239">
        <v>0</v>
      </c>
      <c r="S239">
        <v>0</v>
      </c>
      <c r="T239">
        <v>0</v>
      </c>
      <c r="U239">
        <v>0</v>
      </c>
      <c r="V239">
        <v>0</v>
      </c>
      <c r="W239" s="3">
        <f>AVERAGE(H194:H198)</f>
        <v>8.2011399999999988</v>
      </c>
      <c r="X239" s="30"/>
      <c r="Y239">
        <v>0</v>
      </c>
      <c r="Z239" t="s">
        <v>1</v>
      </c>
      <c r="AA239">
        <v>28992</v>
      </c>
      <c r="AB239">
        <v>192</v>
      </c>
      <c r="AC239">
        <v>1</v>
      </c>
      <c r="AD239">
        <v>16</v>
      </c>
      <c r="AE239" s="16">
        <v>1806.3</v>
      </c>
      <c r="AF239" s="3">
        <v>8.9946999999999999</v>
      </c>
      <c r="AG239" s="1">
        <v>45320</v>
      </c>
      <c r="AH239" s="2">
        <v>0.18859953703703702</v>
      </c>
      <c r="AI239">
        <v>0</v>
      </c>
      <c r="AJ239">
        <v>0</v>
      </c>
      <c r="AK239">
        <v>0</v>
      </c>
      <c r="AL239">
        <v>0</v>
      </c>
      <c r="AM239">
        <v>0</v>
      </c>
      <c r="AN239">
        <v>0</v>
      </c>
      <c r="AO239">
        <v>0</v>
      </c>
      <c r="AP239">
        <v>0</v>
      </c>
      <c r="AQ239">
        <v>0</v>
      </c>
      <c r="AR239">
        <v>0</v>
      </c>
      <c r="AS239">
        <v>0</v>
      </c>
      <c r="AT239">
        <v>0</v>
      </c>
      <c r="AU239" s="3">
        <f>AVERAGE(AF239:AF243)</f>
        <v>9.0000800000000005</v>
      </c>
    </row>
    <row r="240" spans="1:47" x14ac:dyDescent="0.25">
      <c r="A240">
        <v>1</v>
      </c>
      <c r="B240" t="s">
        <v>1</v>
      </c>
      <c r="C240">
        <v>28992</v>
      </c>
      <c r="D240">
        <v>192</v>
      </c>
      <c r="E240">
        <v>1</v>
      </c>
      <c r="F240">
        <v>16</v>
      </c>
      <c r="G240" s="16">
        <v>2004.9</v>
      </c>
      <c r="H240" s="3">
        <v>8.1036999999999999</v>
      </c>
      <c r="I240" s="1">
        <v>45321</v>
      </c>
      <c r="J240" s="37">
        <v>0.67103009259259261</v>
      </c>
      <c r="K240">
        <v>0</v>
      </c>
      <c r="L240">
        <v>0</v>
      </c>
      <c r="M240">
        <v>0</v>
      </c>
      <c r="N240">
        <v>0</v>
      </c>
      <c r="O240">
        <v>0</v>
      </c>
      <c r="P240">
        <v>0</v>
      </c>
      <c r="Q240">
        <v>0</v>
      </c>
      <c r="R240">
        <v>0</v>
      </c>
      <c r="S240">
        <v>0</v>
      </c>
      <c r="T240">
        <v>0</v>
      </c>
      <c r="U240">
        <v>0</v>
      </c>
      <c r="V240">
        <v>0</v>
      </c>
      <c r="W240" s="3">
        <f>W239</f>
        <v>8.2011399999999988</v>
      </c>
      <c r="X240" s="30"/>
      <c r="Y240">
        <v>1</v>
      </c>
      <c r="Z240" t="s">
        <v>1</v>
      </c>
      <c r="AA240">
        <v>28992</v>
      </c>
      <c r="AB240">
        <v>192</v>
      </c>
      <c r="AC240">
        <v>1</v>
      </c>
      <c r="AD240">
        <v>16</v>
      </c>
      <c r="AE240" s="16">
        <v>1803.18</v>
      </c>
      <c r="AF240" s="3">
        <v>9.0103000000000009</v>
      </c>
      <c r="AG240" s="1">
        <v>45321</v>
      </c>
      <c r="AH240" s="2">
        <v>0.11591435185185185</v>
      </c>
      <c r="AI240">
        <v>0</v>
      </c>
      <c r="AJ240">
        <v>0</v>
      </c>
      <c r="AK240">
        <v>0</v>
      </c>
      <c r="AL240">
        <v>0</v>
      </c>
      <c r="AM240">
        <v>0</v>
      </c>
      <c r="AN240">
        <v>0</v>
      </c>
      <c r="AO240">
        <v>0</v>
      </c>
      <c r="AP240">
        <v>0</v>
      </c>
      <c r="AQ240">
        <v>0</v>
      </c>
      <c r="AR240">
        <v>0</v>
      </c>
      <c r="AS240">
        <v>0</v>
      </c>
      <c r="AT240">
        <v>0</v>
      </c>
      <c r="AU240" s="3">
        <f>AU239</f>
        <v>9.0000800000000005</v>
      </c>
    </row>
    <row r="241" spans="1:47" x14ac:dyDescent="0.25">
      <c r="A241">
        <v>2</v>
      </c>
      <c r="B241" t="s">
        <v>1</v>
      </c>
      <c r="C241">
        <v>28992</v>
      </c>
      <c r="D241">
        <v>192</v>
      </c>
      <c r="E241">
        <v>1</v>
      </c>
      <c r="F241">
        <v>16</v>
      </c>
      <c r="G241" s="16">
        <v>2004.31</v>
      </c>
      <c r="H241" s="3">
        <v>8.1060999999999996</v>
      </c>
      <c r="I241" s="1">
        <v>45322</v>
      </c>
      <c r="J241" s="37">
        <v>0.5408680555555555</v>
      </c>
      <c r="K241">
        <v>0</v>
      </c>
      <c r="L241">
        <v>0</v>
      </c>
      <c r="M241">
        <v>0</v>
      </c>
      <c r="N241">
        <v>0</v>
      </c>
      <c r="O241">
        <v>0</v>
      </c>
      <c r="P241">
        <v>0</v>
      </c>
      <c r="Q241">
        <v>0</v>
      </c>
      <c r="R241">
        <v>0</v>
      </c>
      <c r="S241">
        <v>0</v>
      </c>
      <c r="T241">
        <v>0</v>
      </c>
      <c r="U241">
        <v>0</v>
      </c>
      <c r="V241">
        <v>0</v>
      </c>
      <c r="W241" s="3">
        <f>W240</f>
        <v>8.2011399999999988</v>
      </c>
      <c r="X241" s="30"/>
      <c r="Y241">
        <v>2</v>
      </c>
      <c r="Z241" t="s">
        <v>1</v>
      </c>
      <c r="AA241">
        <v>28992</v>
      </c>
      <c r="AB241">
        <v>192</v>
      </c>
      <c r="AC241">
        <v>1</v>
      </c>
      <c r="AD241">
        <v>16</v>
      </c>
      <c r="AE241" s="16">
        <v>1809.2</v>
      </c>
      <c r="AF241" s="3">
        <v>8.9802999999999997</v>
      </c>
      <c r="AG241" s="1">
        <v>45321</v>
      </c>
      <c r="AH241" s="2">
        <v>0.94973379629629628</v>
      </c>
      <c r="AI241">
        <v>0</v>
      </c>
      <c r="AJ241">
        <v>0</v>
      </c>
      <c r="AK241">
        <v>0</v>
      </c>
      <c r="AL241">
        <v>0</v>
      </c>
      <c r="AM241">
        <v>0</v>
      </c>
      <c r="AN241">
        <v>0</v>
      </c>
      <c r="AO241">
        <v>0</v>
      </c>
      <c r="AP241">
        <v>0</v>
      </c>
      <c r="AQ241">
        <v>0</v>
      </c>
      <c r="AR241">
        <v>0</v>
      </c>
      <c r="AS241">
        <v>0</v>
      </c>
      <c r="AT241">
        <v>0</v>
      </c>
      <c r="AU241" s="3">
        <f>AU240</f>
        <v>9.0000800000000005</v>
      </c>
    </row>
    <row r="242" spans="1:47" x14ac:dyDescent="0.25">
      <c r="A242">
        <v>3</v>
      </c>
      <c r="B242" t="s">
        <v>1</v>
      </c>
      <c r="C242">
        <v>28992</v>
      </c>
      <c r="D242">
        <v>192</v>
      </c>
      <c r="E242">
        <v>1</v>
      </c>
      <c r="F242">
        <v>16</v>
      </c>
      <c r="G242" s="16">
        <v>2005.66</v>
      </c>
      <c r="H242" s="3">
        <v>8.1006</v>
      </c>
      <c r="I242" s="1">
        <v>45323</v>
      </c>
      <c r="J242" s="37">
        <v>0.39776620370370369</v>
      </c>
      <c r="K242">
        <v>0</v>
      </c>
      <c r="L242">
        <v>0</v>
      </c>
      <c r="M242">
        <v>0</v>
      </c>
      <c r="N242">
        <v>0</v>
      </c>
      <c r="O242">
        <v>0</v>
      </c>
      <c r="P242">
        <v>0</v>
      </c>
      <c r="Q242">
        <v>0</v>
      </c>
      <c r="R242">
        <v>0</v>
      </c>
      <c r="S242">
        <v>0</v>
      </c>
      <c r="T242">
        <v>0</v>
      </c>
      <c r="U242">
        <v>0</v>
      </c>
      <c r="V242">
        <v>0</v>
      </c>
      <c r="W242" s="3">
        <f>W241</f>
        <v>8.2011399999999988</v>
      </c>
      <c r="X242" s="30"/>
      <c r="Y242">
        <v>3</v>
      </c>
      <c r="Z242" t="s">
        <v>1</v>
      </c>
      <c r="AA242">
        <v>28992</v>
      </c>
      <c r="AB242">
        <v>192</v>
      </c>
      <c r="AC242">
        <v>1</v>
      </c>
      <c r="AD242">
        <v>16</v>
      </c>
      <c r="AE242" s="16">
        <v>1804.25</v>
      </c>
      <c r="AF242" s="3">
        <v>9.0048999999999992</v>
      </c>
      <c r="AG242" s="1">
        <v>45322</v>
      </c>
      <c r="AH242" s="2">
        <v>0.78371527777777772</v>
      </c>
      <c r="AI242">
        <v>0</v>
      </c>
      <c r="AJ242">
        <v>0</v>
      </c>
      <c r="AK242">
        <v>0</v>
      </c>
      <c r="AL242">
        <v>0</v>
      </c>
      <c r="AM242">
        <v>0</v>
      </c>
      <c r="AN242">
        <v>0</v>
      </c>
      <c r="AO242">
        <v>0</v>
      </c>
      <c r="AP242">
        <v>0</v>
      </c>
      <c r="AQ242">
        <v>0</v>
      </c>
      <c r="AR242">
        <v>0</v>
      </c>
      <c r="AS242">
        <v>0</v>
      </c>
      <c r="AT242">
        <v>0</v>
      </c>
      <c r="AU242" s="3">
        <f>AU241</f>
        <v>9.0000800000000005</v>
      </c>
    </row>
    <row r="243" spans="1:47" x14ac:dyDescent="0.25">
      <c r="A243">
        <v>4</v>
      </c>
      <c r="B243" t="s">
        <v>1</v>
      </c>
      <c r="C243">
        <v>28992</v>
      </c>
      <c r="D243">
        <v>192</v>
      </c>
      <c r="E243">
        <v>1</v>
      </c>
      <c r="F243">
        <v>16</v>
      </c>
      <c r="G243" s="16">
        <v>2004.06</v>
      </c>
      <c r="H243" s="3">
        <v>8.1071000000000009</v>
      </c>
      <c r="I243" s="1">
        <v>45318</v>
      </c>
      <c r="J243" s="37">
        <v>0.50101851851851853</v>
      </c>
      <c r="K243">
        <v>0</v>
      </c>
      <c r="L243">
        <v>0</v>
      </c>
      <c r="M243">
        <v>0</v>
      </c>
      <c r="N243">
        <v>0</v>
      </c>
      <c r="O243">
        <v>0</v>
      </c>
      <c r="P243">
        <v>0</v>
      </c>
      <c r="Q243">
        <v>0</v>
      </c>
      <c r="R243">
        <v>0</v>
      </c>
      <c r="S243">
        <v>0</v>
      </c>
      <c r="T243">
        <v>0</v>
      </c>
      <c r="U243">
        <v>0</v>
      </c>
      <c r="V243">
        <v>0</v>
      </c>
      <c r="W243" s="3">
        <f>W242</f>
        <v>8.2011399999999988</v>
      </c>
      <c r="X243" s="30"/>
      <c r="Y243">
        <v>4</v>
      </c>
      <c r="Z243" t="s">
        <v>1</v>
      </c>
      <c r="AA243">
        <v>28992</v>
      </c>
      <c r="AB243">
        <v>192</v>
      </c>
      <c r="AC243">
        <v>1</v>
      </c>
      <c r="AD243">
        <v>16</v>
      </c>
      <c r="AE243" s="16">
        <v>1803.2</v>
      </c>
      <c r="AF243" s="3">
        <v>9.0101999999999993</v>
      </c>
      <c r="AG243" s="1">
        <v>45323</v>
      </c>
      <c r="AH243" s="2">
        <v>0.61821759259259257</v>
      </c>
      <c r="AI243">
        <v>0</v>
      </c>
      <c r="AJ243">
        <v>0</v>
      </c>
      <c r="AK243">
        <v>0</v>
      </c>
      <c r="AL243">
        <v>0</v>
      </c>
      <c r="AM243">
        <v>0</v>
      </c>
      <c r="AN243">
        <v>0</v>
      </c>
      <c r="AO243">
        <v>0</v>
      </c>
      <c r="AP243">
        <v>0</v>
      </c>
      <c r="AQ243">
        <v>0</v>
      </c>
      <c r="AR243">
        <v>0</v>
      </c>
      <c r="AS243">
        <v>0</v>
      </c>
      <c r="AT243">
        <v>0</v>
      </c>
      <c r="AU243" s="3">
        <f>AU242</f>
        <v>9.0000800000000005</v>
      </c>
    </row>
    <row r="244" spans="1:47" x14ac:dyDescent="0.25">
      <c r="A244">
        <v>0</v>
      </c>
      <c r="B244" t="s">
        <v>1</v>
      </c>
      <c r="C244">
        <v>25920</v>
      </c>
      <c r="D244">
        <v>192</v>
      </c>
      <c r="E244">
        <v>2</v>
      </c>
      <c r="F244">
        <v>8</v>
      </c>
      <c r="G244" s="16">
        <v>1373.64</v>
      </c>
      <c r="H244" s="3">
        <v>8.4524000000000008</v>
      </c>
      <c r="I244" s="1">
        <v>45320</v>
      </c>
      <c r="J244" s="37">
        <v>0.54778935185185185</v>
      </c>
      <c r="K244">
        <v>0</v>
      </c>
      <c r="L244">
        <v>0</v>
      </c>
      <c r="M244">
        <v>0</v>
      </c>
      <c r="N244">
        <v>0</v>
      </c>
      <c r="O244">
        <v>0</v>
      </c>
      <c r="P244">
        <v>0</v>
      </c>
      <c r="Q244">
        <v>0</v>
      </c>
      <c r="R244">
        <v>0</v>
      </c>
      <c r="S244">
        <v>0</v>
      </c>
      <c r="T244">
        <v>0</v>
      </c>
      <c r="U244">
        <v>0</v>
      </c>
      <c r="V244">
        <v>0</v>
      </c>
      <c r="W244" s="3">
        <f>AVERAGE(H199:H203)</f>
        <v>8.5628599999999988</v>
      </c>
      <c r="X244" s="30"/>
      <c r="Y244">
        <v>0</v>
      </c>
      <c r="Z244" t="s">
        <v>1</v>
      </c>
      <c r="AA244">
        <v>25920</v>
      </c>
      <c r="AB244">
        <v>192</v>
      </c>
      <c r="AC244">
        <v>2</v>
      </c>
      <c r="AD244">
        <v>8</v>
      </c>
      <c r="AE244" s="16">
        <v>1226.57</v>
      </c>
      <c r="AF244" s="3">
        <v>9.4658999999999995</v>
      </c>
      <c r="AG244" s="1">
        <v>45319</v>
      </c>
      <c r="AH244" s="2">
        <v>0.94513888888888886</v>
      </c>
      <c r="AI244">
        <v>0</v>
      </c>
      <c r="AJ244">
        <v>0</v>
      </c>
      <c r="AK244">
        <v>0</v>
      </c>
      <c r="AL244">
        <v>0</v>
      </c>
      <c r="AM244">
        <v>0</v>
      </c>
      <c r="AN244">
        <v>0</v>
      </c>
      <c r="AO244">
        <v>0</v>
      </c>
      <c r="AP244">
        <v>0</v>
      </c>
      <c r="AQ244">
        <v>0</v>
      </c>
      <c r="AR244">
        <v>0</v>
      </c>
      <c r="AS244">
        <v>0</v>
      </c>
      <c r="AT244">
        <v>0</v>
      </c>
      <c r="AU244" s="3">
        <f>AVERAGE(AF244:AF248)</f>
        <v>9.43248</v>
      </c>
    </row>
    <row r="245" spans="1:47" x14ac:dyDescent="0.25">
      <c r="A245">
        <v>1</v>
      </c>
      <c r="B245" t="s">
        <v>1</v>
      </c>
      <c r="C245">
        <v>25920</v>
      </c>
      <c r="D245">
        <v>192</v>
      </c>
      <c r="E245">
        <v>2</v>
      </c>
      <c r="F245">
        <v>8</v>
      </c>
      <c r="G245" s="16">
        <v>1373.93</v>
      </c>
      <c r="H245" s="3">
        <v>8.4505999999999997</v>
      </c>
      <c r="I245" s="1">
        <v>45321</v>
      </c>
      <c r="J245" s="37">
        <v>0.41765046296296293</v>
      </c>
      <c r="K245">
        <v>0</v>
      </c>
      <c r="L245">
        <v>0</v>
      </c>
      <c r="M245">
        <v>0</v>
      </c>
      <c r="N245">
        <v>0</v>
      </c>
      <c r="O245">
        <v>0</v>
      </c>
      <c r="P245">
        <v>0</v>
      </c>
      <c r="Q245">
        <v>0</v>
      </c>
      <c r="R245">
        <v>0</v>
      </c>
      <c r="S245">
        <v>0</v>
      </c>
      <c r="T245">
        <v>0</v>
      </c>
      <c r="U245">
        <v>0</v>
      </c>
      <c r="V245">
        <v>0</v>
      </c>
      <c r="W245" s="3">
        <f>W244</f>
        <v>8.5628599999999988</v>
      </c>
      <c r="X245" s="30"/>
      <c r="Y245">
        <v>1</v>
      </c>
      <c r="Z245" t="s">
        <v>1</v>
      </c>
      <c r="AA245">
        <v>25920</v>
      </c>
      <c r="AB245">
        <v>192</v>
      </c>
      <c r="AC245">
        <v>2</v>
      </c>
      <c r="AD245">
        <v>8</v>
      </c>
      <c r="AE245" s="16">
        <v>1230.57</v>
      </c>
      <c r="AF245" s="3">
        <v>9.4351000000000003</v>
      </c>
      <c r="AG245" s="1">
        <v>45320</v>
      </c>
      <c r="AH245" s="2">
        <v>0.87229166666666658</v>
      </c>
      <c r="AI245">
        <v>0</v>
      </c>
      <c r="AJ245">
        <v>0</v>
      </c>
      <c r="AK245">
        <v>0</v>
      </c>
      <c r="AL245">
        <v>0</v>
      </c>
      <c r="AM245">
        <v>0</v>
      </c>
      <c r="AN245">
        <v>0</v>
      </c>
      <c r="AO245">
        <v>0</v>
      </c>
      <c r="AP245">
        <v>0</v>
      </c>
      <c r="AQ245">
        <v>0</v>
      </c>
      <c r="AR245">
        <v>0</v>
      </c>
      <c r="AS245">
        <v>0</v>
      </c>
      <c r="AT245">
        <v>0</v>
      </c>
      <c r="AU245" s="3">
        <f>AU244</f>
        <v>9.43248</v>
      </c>
    </row>
    <row r="246" spans="1:47" x14ac:dyDescent="0.25">
      <c r="A246">
        <v>2</v>
      </c>
      <c r="B246" t="s">
        <v>1</v>
      </c>
      <c r="C246">
        <v>25920</v>
      </c>
      <c r="D246">
        <v>192</v>
      </c>
      <c r="E246">
        <v>2</v>
      </c>
      <c r="F246">
        <v>8</v>
      </c>
      <c r="G246" s="16">
        <v>1374.65</v>
      </c>
      <c r="H246" s="3">
        <v>8.4461999999999993</v>
      </c>
      <c r="I246" s="1">
        <v>45322</v>
      </c>
      <c r="J246" s="37">
        <v>0.28751157407407407</v>
      </c>
      <c r="K246">
        <v>0</v>
      </c>
      <c r="L246">
        <v>0</v>
      </c>
      <c r="M246">
        <v>0</v>
      </c>
      <c r="N246">
        <v>0</v>
      </c>
      <c r="O246">
        <v>0</v>
      </c>
      <c r="P246">
        <v>0</v>
      </c>
      <c r="Q246">
        <v>0</v>
      </c>
      <c r="R246">
        <v>0</v>
      </c>
      <c r="S246">
        <v>0</v>
      </c>
      <c r="T246">
        <v>0</v>
      </c>
      <c r="U246">
        <v>0</v>
      </c>
      <c r="V246">
        <v>0</v>
      </c>
      <c r="W246" s="3">
        <f>W245</f>
        <v>8.5628599999999988</v>
      </c>
      <c r="X246" s="30"/>
      <c r="Y246">
        <v>2</v>
      </c>
      <c r="Z246" t="s">
        <v>1</v>
      </c>
      <c r="AA246">
        <v>25920</v>
      </c>
      <c r="AB246">
        <v>192</v>
      </c>
      <c r="AC246">
        <v>2</v>
      </c>
      <c r="AD246">
        <v>8</v>
      </c>
      <c r="AE246" s="16">
        <v>1230.6500000000001</v>
      </c>
      <c r="AF246" s="3">
        <v>9.4344999999999999</v>
      </c>
      <c r="AG246" s="1">
        <v>45321</v>
      </c>
      <c r="AH246" s="2">
        <v>0.70583333333333342</v>
      </c>
      <c r="AI246">
        <v>0</v>
      </c>
      <c r="AJ246">
        <v>0</v>
      </c>
      <c r="AK246">
        <v>0</v>
      </c>
      <c r="AL246">
        <v>0</v>
      </c>
      <c r="AM246">
        <v>0</v>
      </c>
      <c r="AN246">
        <v>0</v>
      </c>
      <c r="AO246">
        <v>0</v>
      </c>
      <c r="AP246">
        <v>0</v>
      </c>
      <c r="AQ246">
        <v>0</v>
      </c>
      <c r="AR246">
        <v>0</v>
      </c>
      <c r="AS246">
        <v>0</v>
      </c>
      <c r="AT246">
        <v>0</v>
      </c>
      <c r="AU246" s="3">
        <f>AU245</f>
        <v>9.43248</v>
      </c>
    </row>
    <row r="247" spans="1:47" x14ac:dyDescent="0.25">
      <c r="A247">
        <v>3</v>
      </c>
      <c r="B247" t="s">
        <v>1</v>
      </c>
      <c r="C247">
        <v>25920</v>
      </c>
      <c r="D247">
        <v>192</v>
      </c>
      <c r="E247">
        <v>2</v>
      </c>
      <c r="F247">
        <v>8</v>
      </c>
      <c r="G247" s="16">
        <v>1374.46</v>
      </c>
      <c r="H247" s="3">
        <v>8.4473000000000003</v>
      </c>
      <c r="I247" s="1">
        <v>45323</v>
      </c>
      <c r="J247" s="37">
        <v>0.14432870370370371</v>
      </c>
      <c r="K247">
        <v>0</v>
      </c>
      <c r="L247">
        <v>0</v>
      </c>
      <c r="M247">
        <v>0</v>
      </c>
      <c r="N247">
        <v>0</v>
      </c>
      <c r="O247">
        <v>0</v>
      </c>
      <c r="P247">
        <v>0</v>
      </c>
      <c r="Q247">
        <v>0</v>
      </c>
      <c r="R247">
        <v>0</v>
      </c>
      <c r="S247">
        <v>0</v>
      </c>
      <c r="T247">
        <v>0</v>
      </c>
      <c r="U247">
        <v>0</v>
      </c>
      <c r="V247">
        <v>0</v>
      </c>
      <c r="W247" s="3">
        <f>W246</f>
        <v>8.5628599999999988</v>
      </c>
      <c r="X247" s="30"/>
      <c r="Y247">
        <v>3</v>
      </c>
      <c r="Z247" t="s">
        <v>1</v>
      </c>
      <c r="AA247">
        <v>25920</v>
      </c>
      <c r="AB247">
        <v>192</v>
      </c>
      <c r="AC247">
        <v>2</v>
      </c>
      <c r="AD247">
        <v>8</v>
      </c>
      <c r="AE247" s="16">
        <v>1238.8599999999999</v>
      </c>
      <c r="AF247" s="3">
        <v>9.3719000000000001</v>
      </c>
      <c r="AG247" s="1">
        <v>45322</v>
      </c>
      <c r="AH247" s="2">
        <v>0.5397453703703704</v>
      </c>
      <c r="AI247">
        <v>0</v>
      </c>
      <c r="AJ247">
        <v>0</v>
      </c>
      <c r="AK247">
        <v>0</v>
      </c>
      <c r="AL247">
        <v>0</v>
      </c>
      <c r="AM247">
        <v>0</v>
      </c>
      <c r="AN247">
        <v>0</v>
      </c>
      <c r="AO247">
        <v>0</v>
      </c>
      <c r="AP247">
        <v>0</v>
      </c>
      <c r="AQ247">
        <v>0</v>
      </c>
      <c r="AR247">
        <v>0</v>
      </c>
      <c r="AS247">
        <v>0</v>
      </c>
      <c r="AT247">
        <v>0</v>
      </c>
      <c r="AU247" s="3">
        <f>AU246</f>
        <v>9.43248</v>
      </c>
    </row>
    <row r="248" spans="1:47" x14ac:dyDescent="0.25">
      <c r="A248">
        <v>4</v>
      </c>
      <c r="B248" t="s">
        <v>1</v>
      </c>
      <c r="C248">
        <v>25920</v>
      </c>
      <c r="D248">
        <v>192</v>
      </c>
      <c r="E248">
        <v>2</v>
      </c>
      <c r="F248">
        <v>8</v>
      </c>
      <c r="G248" s="16">
        <v>1374.99</v>
      </c>
      <c r="H248" s="3">
        <v>8.4441000000000006</v>
      </c>
      <c r="I248" s="1">
        <v>45318</v>
      </c>
      <c r="J248" s="37">
        <v>0.24765046296296298</v>
      </c>
      <c r="K248">
        <v>0</v>
      </c>
      <c r="L248">
        <v>0</v>
      </c>
      <c r="M248">
        <v>0</v>
      </c>
      <c r="N248">
        <v>0</v>
      </c>
      <c r="O248">
        <v>0</v>
      </c>
      <c r="P248">
        <v>0</v>
      </c>
      <c r="Q248">
        <v>0</v>
      </c>
      <c r="R248">
        <v>0</v>
      </c>
      <c r="S248">
        <v>0</v>
      </c>
      <c r="T248">
        <v>0</v>
      </c>
      <c r="U248">
        <v>0</v>
      </c>
      <c r="V248">
        <v>0</v>
      </c>
      <c r="W248" s="3">
        <f>W247</f>
        <v>8.5628599999999988</v>
      </c>
      <c r="X248" s="30"/>
      <c r="Y248">
        <v>4</v>
      </c>
      <c r="Z248" t="s">
        <v>1</v>
      </c>
      <c r="AA248">
        <v>25920</v>
      </c>
      <c r="AB248">
        <v>192</v>
      </c>
      <c r="AC248">
        <v>2</v>
      </c>
      <c r="AD248">
        <v>8</v>
      </c>
      <c r="AE248" s="16">
        <v>1227.98</v>
      </c>
      <c r="AF248" s="3">
        <v>9.4550000000000001</v>
      </c>
      <c r="AG248" s="1">
        <v>45323</v>
      </c>
      <c r="AH248" s="2">
        <v>0.37385416666666665</v>
      </c>
      <c r="AI248">
        <v>0</v>
      </c>
      <c r="AJ248">
        <v>0</v>
      </c>
      <c r="AK248">
        <v>0</v>
      </c>
      <c r="AL248">
        <v>0</v>
      </c>
      <c r="AM248">
        <v>0</v>
      </c>
      <c r="AN248">
        <v>0</v>
      </c>
      <c r="AO248">
        <v>0</v>
      </c>
      <c r="AP248">
        <v>0</v>
      </c>
      <c r="AQ248">
        <v>0</v>
      </c>
      <c r="AR248">
        <v>0</v>
      </c>
      <c r="AS248">
        <v>0</v>
      </c>
      <c r="AT248">
        <v>0</v>
      </c>
      <c r="AU248" s="3">
        <f>AU247</f>
        <v>9.43248</v>
      </c>
    </row>
    <row r="249" spans="1:47" x14ac:dyDescent="0.25">
      <c r="A249">
        <v>0</v>
      </c>
      <c r="B249" t="s">
        <v>1</v>
      </c>
      <c r="C249">
        <v>27456</v>
      </c>
      <c r="D249">
        <v>192</v>
      </c>
      <c r="E249">
        <v>2</v>
      </c>
      <c r="F249">
        <v>8</v>
      </c>
      <c r="G249" s="16">
        <v>1637.61</v>
      </c>
      <c r="H249" s="3">
        <v>8.4265000000000008</v>
      </c>
      <c r="I249" s="1">
        <v>45320</v>
      </c>
      <c r="J249" s="37">
        <v>0.27414351851851854</v>
      </c>
      <c r="K249">
        <v>0</v>
      </c>
      <c r="L249">
        <v>0</v>
      </c>
      <c r="M249">
        <v>0</v>
      </c>
      <c r="N249">
        <v>0</v>
      </c>
      <c r="O249">
        <v>0</v>
      </c>
      <c r="P249">
        <v>0</v>
      </c>
      <c r="Q249">
        <v>0</v>
      </c>
      <c r="R249">
        <v>0</v>
      </c>
      <c r="S249">
        <v>0</v>
      </c>
      <c r="T249">
        <v>0</v>
      </c>
      <c r="U249">
        <v>0</v>
      </c>
      <c r="V249">
        <v>0</v>
      </c>
      <c r="W249" s="3">
        <f>AVERAGE(H204:H208)</f>
        <v>8.6084600000000009</v>
      </c>
      <c r="X249" s="30"/>
      <c r="Y249">
        <v>0</v>
      </c>
      <c r="Z249" t="s">
        <v>1</v>
      </c>
      <c r="AA249">
        <v>27456</v>
      </c>
      <c r="AB249">
        <v>192</v>
      </c>
      <c r="AC249">
        <v>2</v>
      </c>
      <c r="AD249">
        <v>8</v>
      </c>
      <c r="AE249" s="16">
        <v>1452.2</v>
      </c>
      <c r="AF249" s="3">
        <v>9.5023</v>
      </c>
      <c r="AG249" s="1">
        <v>45319</v>
      </c>
      <c r="AH249" s="2">
        <v>0.68306712962962957</v>
      </c>
      <c r="AI249">
        <v>0</v>
      </c>
      <c r="AJ249">
        <v>0</v>
      </c>
      <c r="AK249">
        <v>0</v>
      </c>
      <c r="AL249">
        <v>0</v>
      </c>
      <c r="AM249">
        <v>0</v>
      </c>
      <c r="AN249">
        <v>0</v>
      </c>
      <c r="AO249">
        <v>0</v>
      </c>
      <c r="AP249">
        <v>0</v>
      </c>
      <c r="AQ249">
        <v>0</v>
      </c>
      <c r="AR249">
        <v>0</v>
      </c>
      <c r="AS249">
        <v>0</v>
      </c>
      <c r="AT249">
        <v>0</v>
      </c>
      <c r="AU249" s="3">
        <f>AVERAGE(AF249:AF253)</f>
        <v>9.5067599999999999</v>
      </c>
    </row>
    <row r="250" spans="1:47" x14ac:dyDescent="0.25">
      <c r="A250">
        <v>1</v>
      </c>
      <c r="B250" t="s">
        <v>1</v>
      </c>
      <c r="C250">
        <v>27456</v>
      </c>
      <c r="D250">
        <v>192</v>
      </c>
      <c r="E250">
        <v>2</v>
      </c>
      <c r="F250">
        <v>8</v>
      </c>
      <c r="G250" s="16">
        <v>1637.69</v>
      </c>
      <c r="H250" s="3">
        <v>8.4260999999999999</v>
      </c>
      <c r="I250" s="1">
        <v>45321</v>
      </c>
      <c r="J250" s="37">
        <v>0.14401620370370369</v>
      </c>
      <c r="K250">
        <v>0</v>
      </c>
      <c r="L250">
        <v>0</v>
      </c>
      <c r="M250">
        <v>0</v>
      </c>
      <c r="N250">
        <v>0</v>
      </c>
      <c r="O250">
        <v>0</v>
      </c>
      <c r="P250">
        <v>0</v>
      </c>
      <c r="Q250">
        <v>0</v>
      </c>
      <c r="R250">
        <v>0</v>
      </c>
      <c r="S250">
        <v>0</v>
      </c>
      <c r="T250">
        <v>0</v>
      </c>
      <c r="U250">
        <v>0</v>
      </c>
      <c r="V250">
        <v>0</v>
      </c>
      <c r="W250" s="3">
        <f>W249</f>
        <v>8.6084600000000009</v>
      </c>
      <c r="X250" s="30"/>
      <c r="Y250">
        <v>1</v>
      </c>
      <c r="Z250" t="s">
        <v>1</v>
      </c>
      <c r="AA250">
        <v>27456</v>
      </c>
      <c r="AB250">
        <v>192</v>
      </c>
      <c r="AC250">
        <v>2</v>
      </c>
      <c r="AD250">
        <v>8</v>
      </c>
      <c r="AE250" s="16">
        <v>1450.35</v>
      </c>
      <c r="AF250" s="3">
        <v>9.5144000000000002</v>
      </c>
      <c r="AG250" s="1">
        <v>45320</v>
      </c>
      <c r="AH250" s="2">
        <v>0.61010416666666667</v>
      </c>
      <c r="AI250">
        <v>0</v>
      </c>
      <c r="AJ250">
        <v>0</v>
      </c>
      <c r="AK250">
        <v>0</v>
      </c>
      <c r="AL250">
        <v>0</v>
      </c>
      <c r="AM250">
        <v>0</v>
      </c>
      <c r="AN250">
        <v>0</v>
      </c>
      <c r="AO250">
        <v>0</v>
      </c>
      <c r="AP250">
        <v>0</v>
      </c>
      <c r="AQ250">
        <v>0</v>
      </c>
      <c r="AR250">
        <v>0</v>
      </c>
      <c r="AS250">
        <v>0</v>
      </c>
      <c r="AT250">
        <v>0</v>
      </c>
      <c r="AU250" s="3">
        <f>AU249</f>
        <v>9.5067599999999999</v>
      </c>
    </row>
    <row r="251" spans="1:47" x14ac:dyDescent="0.25">
      <c r="A251">
        <v>2</v>
      </c>
      <c r="B251" t="s">
        <v>1</v>
      </c>
      <c r="C251">
        <v>27456</v>
      </c>
      <c r="D251">
        <v>192</v>
      </c>
      <c r="E251">
        <v>2</v>
      </c>
      <c r="F251">
        <v>8</v>
      </c>
      <c r="G251" s="16">
        <v>1636.51</v>
      </c>
      <c r="H251" s="3">
        <v>8.4321999999999999</v>
      </c>
      <c r="I251" s="1">
        <v>45322</v>
      </c>
      <c r="J251" s="37">
        <v>1.3900462962962962E-2</v>
      </c>
      <c r="K251">
        <v>0</v>
      </c>
      <c r="L251">
        <v>0</v>
      </c>
      <c r="M251">
        <v>0</v>
      </c>
      <c r="N251">
        <v>0</v>
      </c>
      <c r="O251">
        <v>0</v>
      </c>
      <c r="P251">
        <v>0</v>
      </c>
      <c r="Q251">
        <v>0</v>
      </c>
      <c r="R251">
        <v>0</v>
      </c>
      <c r="S251">
        <v>0</v>
      </c>
      <c r="T251">
        <v>0</v>
      </c>
      <c r="U251">
        <v>0</v>
      </c>
      <c r="V251">
        <v>0</v>
      </c>
      <c r="W251" s="3">
        <f>W250</f>
        <v>8.6084600000000009</v>
      </c>
      <c r="X251" s="30"/>
      <c r="Y251">
        <v>2</v>
      </c>
      <c r="Z251" t="s">
        <v>1</v>
      </c>
      <c r="AA251">
        <v>27456</v>
      </c>
      <c r="AB251">
        <v>192</v>
      </c>
      <c r="AC251">
        <v>2</v>
      </c>
      <c r="AD251">
        <v>8</v>
      </c>
      <c r="AE251" s="16">
        <v>1454.64</v>
      </c>
      <c r="AF251" s="3">
        <v>9.4863999999999997</v>
      </c>
      <c r="AG251" s="1">
        <v>45321</v>
      </c>
      <c r="AH251" s="2">
        <v>0.44350694444444444</v>
      </c>
      <c r="AI251">
        <v>0</v>
      </c>
      <c r="AJ251">
        <v>0</v>
      </c>
      <c r="AK251">
        <v>0</v>
      </c>
      <c r="AL251">
        <v>0</v>
      </c>
      <c r="AM251">
        <v>0</v>
      </c>
      <c r="AN251">
        <v>0</v>
      </c>
      <c r="AO251">
        <v>0</v>
      </c>
      <c r="AP251">
        <v>0</v>
      </c>
      <c r="AQ251">
        <v>0</v>
      </c>
      <c r="AR251">
        <v>0</v>
      </c>
      <c r="AS251">
        <v>0</v>
      </c>
      <c r="AT251">
        <v>0</v>
      </c>
      <c r="AU251" s="3">
        <f>AU250</f>
        <v>9.5067599999999999</v>
      </c>
    </row>
    <row r="252" spans="1:47" x14ac:dyDescent="0.25">
      <c r="A252">
        <v>3</v>
      </c>
      <c r="B252" t="s">
        <v>1</v>
      </c>
      <c r="C252">
        <v>27456</v>
      </c>
      <c r="D252">
        <v>192</v>
      </c>
      <c r="E252">
        <v>2</v>
      </c>
      <c r="F252">
        <v>8</v>
      </c>
      <c r="G252" s="16">
        <v>1637.69</v>
      </c>
      <c r="H252" s="3">
        <v>8.4260999999999999</v>
      </c>
      <c r="I252" s="1">
        <v>45322</v>
      </c>
      <c r="J252" s="37">
        <v>0.88371527777777781</v>
      </c>
      <c r="K252">
        <v>0</v>
      </c>
      <c r="L252">
        <v>0</v>
      </c>
      <c r="M252">
        <v>0</v>
      </c>
      <c r="N252">
        <v>0</v>
      </c>
      <c r="O252">
        <v>0</v>
      </c>
      <c r="P252">
        <v>0</v>
      </c>
      <c r="Q252">
        <v>0</v>
      </c>
      <c r="R252">
        <v>0</v>
      </c>
      <c r="S252">
        <v>0</v>
      </c>
      <c r="T252">
        <v>0</v>
      </c>
      <c r="U252">
        <v>0</v>
      </c>
      <c r="V252">
        <v>0</v>
      </c>
      <c r="W252" s="3">
        <f>W251</f>
        <v>8.6084600000000009</v>
      </c>
      <c r="X252" s="30"/>
      <c r="Y252">
        <v>3</v>
      </c>
      <c r="Z252" t="s">
        <v>1</v>
      </c>
      <c r="AA252">
        <v>27456</v>
      </c>
      <c r="AB252">
        <v>192</v>
      </c>
      <c r="AC252">
        <v>2</v>
      </c>
      <c r="AD252">
        <v>8</v>
      </c>
      <c r="AE252" s="16">
        <v>1449.56</v>
      </c>
      <c r="AF252" s="3">
        <v>9.5196000000000005</v>
      </c>
      <c r="AG252" s="1">
        <v>45322</v>
      </c>
      <c r="AH252" s="2">
        <v>0.27732638888888889</v>
      </c>
      <c r="AI252">
        <v>0</v>
      </c>
      <c r="AJ252">
        <v>0</v>
      </c>
      <c r="AK252">
        <v>0</v>
      </c>
      <c r="AL252">
        <v>0</v>
      </c>
      <c r="AM252">
        <v>0</v>
      </c>
      <c r="AN252">
        <v>0</v>
      </c>
      <c r="AO252">
        <v>0</v>
      </c>
      <c r="AP252">
        <v>0</v>
      </c>
      <c r="AQ252">
        <v>0</v>
      </c>
      <c r="AR252">
        <v>0</v>
      </c>
      <c r="AS252">
        <v>0</v>
      </c>
      <c r="AT252">
        <v>0</v>
      </c>
      <c r="AU252" s="3">
        <f>AU251</f>
        <v>9.5067599999999999</v>
      </c>
    </row>
    <row r="253" spans="1:47" x14ac:dyDescent="0.25">
      <c r="A253">
        <v>4</v>
      </c>
      <c r="B253" t="s">
        <v>1</v>
      </c>
      <c r="C253">
        <v>27456</v>
      </c>
      <c r="D253">
        <v>192</v>
      </c>
      <c r="E253">
        <v>2</v>
      </c>
      <c r="F253">
        <v>8</v>
      </c>
      <c r="G253" s="16">
        <v>1636.42</v>
      </c>
      <c r="H253" s="3">
        <v>8.4326000000000008</v>
      </c>
      <c r="I253" s="1">
        <v>45323</v>
      </c>
      <c r="J253" s="37">
        <v>0.74056712962962967</v>
      </c>
      <c r="K253">
        <v>0</v>
      </c>
      <c r="L253">
        <v>0</v>
      </c>
      <c r="M253">
        <v>0</v>
      </c>
      <c r="N253">
        <v>0</v>
      </c>
      <c r="O253">
        <v>0</v>
      </c>
      <c r="P253">
        <v>0</v>
      </c>
      <c r="Q253">
        <v>0</v>
      </c>
      <c r="R253">
        <v>0</v>
      </c>
      <c r="S253">
        <v>0</v>
      </c>
      <c r="T253">
        <v>0</v>
      </c>
      <c r="U253">
        <v>0</v>
      </c>
      <c r="V253">
        <v>0</v>
      </c>
      <c r="W253" s="3">
        <f>W252</f>
        <v>8.6084600000000009</v>
      </c>
      <c r="X253" s="30"/>
      <c r="Y253">
        <v>4</v>
      </c>
      <c r="Z253" t="s">
        <v>1</v>
      </c>
      <c r="AA253">
        <v>27456</v>
      </c>
      <c r="AB253">
        <v>192</v>
      </c>
      <c r="AC253">
        <v>2</v>
      </c>
      <c r="AD253">
        <v>8</v>
      </c>
      <c r="AE253" s="16">
        <v>1450.86</v>
      </c>
      <c r="AF253" s="3">
        <v>9.5111000000000008</v>
      </c>
      <c r="AG253" s="1">
        <v>45323</v>
      </c>
      <c r="AH253" s="2">
        <v>0.1112962962962963</v>
      </c>
      <c r="AI253">
        <v>0</v>
      </c>
      <c r="AJ253">
        <v>0</v>
      </c>
      <c r="AK253">
        <v>0</v>
      </c>
      <c r="AL253">
        <v>0</v>
      </c>
      <c r="AM253">
        <v>0</v>
      </c>
      <c r="AN253">
        <v>0</v>
      </c>
      <c r="AO253">
        <v>0</v>
      </c>
      <c r="AP253">
        <v>0</v>
      </c>
      <c r="AQ253">
        <v>0</v>
      </c>
      <c r="AR253">
        <v>0</v>
      </c>
      <c r="AS253">
        <v>0</v>
      </c>
      <c r="AT253">
        <v>0</v>
      </c>
      <c r="AU253" s="3">
        <f>AU252</f>
        <v>9.5067599999999999</v>
      </c>
    </row>
    <row r="254" spans="1:47" x14ac:dyDescent="0.25">
      <c r="A254">
        <v>0</v>
      </c>
      <c r="B254" t="s">
        <v>1</v>
      </c>
      <c r="C254">
        <v>28992</v>
      </c>
      <c r="D254">
        <v>192</v>
      </c>
      <c r="E254">
        <v>2</v>
      </c>
      <c r="F254">
        <v>8</v>
      </c>
      <c r="G254" s="16">
        <v>1890.78</v>
      </c>
      <c r="H254" s="3">
        <v>8.5928000000000004</v>
      </c>
      <c r="I254" s="1">
        <v>45320</v>
      </c>
      <c r="J254" s="37">
        <v>0.82347222222222216</v>
      </c>
      <c r="K254">
        <v>0</v>
      </c>
      <c r="L254">
        <v>0</v>
      </c>
      <c r="M254">
        <v>0</v>
      </c>
      <c r="N254">
        <v>0</v>
      </c>
      <c r="O254">
        <v>0</v>
      </c>
      <c r="P254">
        <v>0</v>
      </c>
      <c r="Q254">
        <v>0</v>
      </c>
      <c r="R254">
        <v>0</v>
      </c>
      <c r="S254">
        <v>0</v>
      </c>
      <c r="T254">
        <v>0</v>
      </c>
      <c r="U254">
        <v>0</v>
      </c>
      <c r="V254">
        <v>0</v>
      </c>
      <c r="W254" s="3">
        <f>AVERAGE(H209:H213)</f>
        <v>8.6599799999999991</v>
      </c>
      <c r="X254" s="30"/>
      <c r="Y254">
        <v>0</v>
      </c>
      <c r="Z254" t="s">
        <v>1</v>
      </c>
      <c r="AA254">
        <v>28992</v>
      </c>
      <c r="AB254">
        <v>192</v>
      </c>
      <c r="AC254">
        <v>2</v>
      </c>
      <c r="AD254">
        <v>8</v>
      </c>
      <c r="AE254" s="16">
        <v>1689.55</v>
      </c>
      <c r="AF254" s="3">
        <v>9.6161999999999992</v>
      </c>
      <c r="AG254" s="1">
        <v>45320</v>
      </c>
      <c r="AH254" s="2">
        <v>0.20981481481481482</v>
      </c>
      <c r="AI254">
        <v>0</v>
      </c>
      <c r="AJ254">
        <v>0</v>
      </c>
      <c r="AK254">
        <v>0</v>
      </c>
      <c r="AL254">
        <v>0</v>
      </c>
      <c r="AM254">
        <v>0</v>
      </c>
      <c r="AN254">
        <v>0</v>
      </c>
      <c r="AO254">
        <v>0</v>
      </c>
      <c r="AP254">
        <v>0</v>
      </c>
      <c r="AQ254">
        <v>0</v>
      </c>
      <c r="AR254">
        <v>0</v>
      </c>
      <c r="AS254">
        <v>0</v>
      </c>
      <c r="AT254">
        <v>0</v>
      </c>
      <c r="AU254" s="3">
        <f>AVERAGE(AF254:AF258)</f>
        <v>9.6064199999999982</v>
      </c>
    </row>
    <row r="255" spans="1:47" x14ac:dyDescent="0.25">
      <c r="A255">
        <v>1</v>
      </c>
      <c r="B255" t="s">
        <v>1</v>
      </c>
      <c r="C255">
        <v>28992</v>
      </c>
      <c r="D255">
        <v>192</v>
      </c>
      <c r="E255">
        <v>2</v>
      </c>
      <c r="F255">
        <v>8</v>
      </c>
      <c r="G255" s="16">
        <v>1892.11</v>
      </c>
      <c r="H255" s="3">
        <v>8.5868000000000002</v>
      </c>
      <c r="I255" s="1">
        <v>45321</v>
      </c>
      <c r="J255" s="37">
        <v>0.69331018518518517</v>
      </c>
      <c r="K255">
        <v>0</v>
      </c>
      <c r="L255">
        <v>0</v>
      </c>
      <c r="M255">
        <v>0</v>
      </c>
      <c r="N255">
        <v>0</v>
      </c>
      <c r="O255">
        <v>0</v>
      </c>
      <c r="P255">
        <v>0</v>
      </c>
      <c r="Q255">
        <v>0</v>
      </c>
      <c r="R255">
        <v>0</v>
      </c>
      <c r="S255">
        <v>0</v>
      </c>
      <c r="T255">
        <v>0</v>
      </c>
      <c r="U255">
        <v>0</v>
      </c>
      <c r="V255">
        <v>0</v>
      </c>
      <c r="W255" s="3">
        <f>W254</f>
        <v>8.6599799999999991</v>
      </c>
      <c r="X255" s="30"/>
      <c r="Y255">
        <v>1</v>
      </c>
      <c r="Z255" t="s">
        <v>1</v>
      </c>
      <c r="AA255">
        <v>28992</v>
      </c>
      <c r="AB255">
        <v>192</v>
      </c>
      <c r="AC255">
        <v>2</v>
      </c>
      <c r="AD255">
        <v>8</v>
      </c>
      <c r="AE255" s="16">
        <v>1689.06</v>
      </c>
      <c r="AF255" s="3">
        <v>9.6190999999999995</v>
      </c>
      <c r="AG255" s="1">
        <v>45321</v>
      </c>
      <c r="AH255" s="2">
        <v>0.13712962962962963</v>
      </c>
      <c r="AI255">
        <v>0</v>
      </c>
      <c r="AJ255">
        <v>0</v>
      </c>
      <c r="AK255">
        <v>0</v>
      </c>
      <c r="AL255">
        <v>0</v>
      </c>
      <c r="AM255">
        <v>0</v>
      </c>
      <c r="AN255">
        <v>0</v>
      </c>
      <c r="AO255">
        <v>0</v>
      </c>
      <c r="AP255">
        <v>0</v>
      </c>
      <c r="AQ255">
        <v>0</v>
      </c>
      <c r="AR255">
        <v>0</v>
      </c>
      <c r="AS255">
        <v>0</v>
      </c>
      <c r="AT255">
        <v>0</v>
      </c>
      <c r="AU255" s="3">
        <f>AU254</f>
        <v>9.6064199999999982</v>
      </c>
    </row>
    <row r="256" spans="1:47" x14ac:dyDescent="0.25">
      <c r="A256">
        <v>2</v>
      </c>
      <c r="B256" t="s">
        <v>1</v>
      </c>
      <c r="C256">
        <v>28992</v>
      </c>
      <c r="D256">
        <v>192</v>
      </c>
      <c r="E256">
        <v>2</v>
      </c>
      <c r="F256">
        <v>8</v>
      </c>
      <c r="G256" s="16">
        <v>1889.96</v>
      </c>
      <c r="H256" s="3">
        <v>8.5965000000000007</v>
      </c>
      <c r="I256" s="1">
        <v>45322</v>
      </c>
      <c r="J256" s="37">
        <v>0.56312499999999999</v>
      </c>
      <c r="K256">
        <v>0</v>
      </c>
      <c r="L256">
        <v>0</v>
      </c>
      <c r="M256">
        <v>0</v>
      </c>
      <c r="N256">
        <v>0</v>
      </c>
      <c r="O256">
        <v>0</v>
      </c>
      <c r="P256">
        <v>0</v>
      </c>
      <c r="Q256">
        <v>0</v>
      </c>
      <c r="R256">
        <v>0</v>
      </c>
      <c r="S256">
        <v>0</v>
      </c>
      <c r="T256">
        <v>0</v>
      </c>
      <c r="U256">
        <v>0</v>
      </c>
      <c r="V256">
        <v>0</v>
      </c>
      <c r="W256" s="3">
        <f>W255</f>
        <v>8.6599799999999991</v>
      </c>
      <c r="X256" s="30"/>
      <c r="Y256">
        <v>2</v>
      </c>
      <c r="Z256" t="s">
        <v>1</v>
      </c>
      <c r="AA256">
        <v>28992</v>
      </c>
      <c r="AB256">
        <v>192</v>
      </c>
      <c r="AC256">
        <v>2</v>
      </c>
      <c r="AD256">
        <v>8</v>
      </c>
      <c r="AE256" s="16">
        <v>1696.99</v>
      </c>
      <c r="AF256" s="3">
        <v>9.5740999999999996</v>
      </c>
      <c r="AG256" s="1">
        <v>45321</v>
      </c>
      <c r="AH256" s="2">
        <v>0.97104166666666669</v>
      </c>
      <c r="AI256">
        <v>0</v>
      </c>
      <c r="AJ256">
        <v>0</v>
      </c>
      <c r="AK256">
        <v>0</v>
      </c>
      <c r="AL256">
        <v>0</v>
      </c>
      <c r="AM256">
        <v>0</v>
      </c>
      <c r="AN256">
        <v>0</v>
      </c>
      <c r="AO256">
        <v>0</v>
      </c>
      <c r="AP256">
        <v>0</v>
      </c>
      <c r="AQ256">
        <v>0</v>
      </c>
      <c r="AR256">
        <v>0</v>
      </c>
      <c r="AS256">
        <v>0</v>
      </c>
      <c r="AT256">
        <v>0</v>
      </c>
      <c r="AU256" s="3">
        <f>AU255</f>
        <v>9.6064199999999982</v>
      </c>
    </row>
    <row r="257" spans="1:47" x14ac:dyDescent="0.25">
      <c r="A257">
        <v>3</v>
      </c>
      <c r="B257" t="s">
        <v>1</v>
      </c>
      <c r="C257">
        <v>28992</v>
      </c>
      <c r="D257">
        <v>192</v>
      </c>
      <c r="E257">
        <v>2</v>
      </c>
      <c r="F257">
        <v>8</v>
      </c>
      <c r="G257" s="16">
        <v>1892.09</v>
      </c>
      <c r="H257" s="3">
        <v>8.5869</v>
      </c>
      <c r="I257" s="1">
        <v>45323</v>
      </c>
      <c r="J257" s="37">
        <v>0.42004629629629631</v>
      </c>
      <c r="K257">
        <v>0</v>
      </c>
      <c r="L257">
        <v>0</v>
      </c>
      <c r="M257">
        <v>0</v>
      </c>
      <c r="N257">
        <v>0</v>
      </c>
      <c r="O257">
        <v>0</v>
      </c>
      <c r="P257">
        <v>0</v>
      </c>
      <c r="Q257">
        <v>0</v>
      </c>
      <c r="R257">
        <v>0</v>
      </c>
      <c r="S257">
        <v>0</v>
      </c>
      <c r="T257">
        <v>0</v>
      </c>
      <c r="U257">
        <v>0</v>
      </c>
      <c r="V257">
        <v>0</v>
      </c>
      <c r="W257" s="3">
        <f>W256</f>
        <v>8.6599799999999991</v>
      </c>
      <c r="X257" s="30"/>
      <c r="Y257">
        <v>3</v>
      </c>
      <c r="Z257" t="s">
        <v>1</v>
      </c>
      <c r="AA257">
        <v>28992</v>
      </c>
      <c r="AB257">
        <v>192</v>
      </c>
      <c r="AC257">
        <v>2</v>
      </c>
      <c r="AD257">
        <v>8</v>
      </c>
      <c r="AE257" s="16">
        <v>1690.84</v>
      </c>
      <c r="AF257" s="3">
        <v>9.6089000000000002</v>
      </c>
      <c r="AG257" s="1">
        <v>45322</v>
      </c>
      <c r="AH257" s="2">
        <v>0.80495370370370367</v>
      </c>
      <c r="AI257">
        <v>0</v>
      </c>
      <c r="AJ257">
        <v>0</v>
      </c>
      <c r="AK257">
        <v>0</v>
      </c>
      <c r="AL257">
        <v>0</v>
      </c>
      <c r="AM257">
        <v>0</v>
      </c>
      <c r="AN257">
        <v>0</v>
      </c>
      <c r="AO257">
        <v>0</v>
      </c>
      <c r="AP257">
        <v>0</v>
      </c>
      <c r="AQ257">
        <v>0</v>
      </c>
      <c r="AR257">
        <v>0</v>
      </c>
      <c r="AS257">
        <v>0</v>
      </c>
      <c r="AT257">
        <v>0</v>
      </c>
      <c r="AU257" s="3">
        <f>AU256</f>
        <v>9.6064199999999982</v>
      </c>
    </row>
    <row r="258" spans="1:47" x14ac:dyDescent="0.25">
      <c r="A258">
        <v>4</v>
      </c>
      <c r="B258" t="s">
        <v>1</v>
      </c>
      <c r="C258">
        <v>28992</v>
      </c>
      <c r="D258">
        <v>192</v>
      </c>
      <c r="E258">
        <v>2</v>
      </c>
      <c r="F258">
        <v>8</v>
      </c>
      <c r="G258" s="16">
        <v>1890.76</v>
      </c>
      <c r="H258" s="3">
        <v>8.5929000000000002</v>
      </c>
      <c r="I258" s="1">
        <v>45318</v>
      </c>
      <c r="J258" s="37">
        <v>0.52328703703703705</v>
      </c>
      <c r="K258">
        <v>0</v>
      </c>
      <c r="L258">
        <v>0</v>
      </c>
      <c r="M258">
        <v>0</v>
      </c>
      <c r="N258">
        <v>0</v>
      </c>
      <c r="O258">
        <v>0</v>
      </c>
      <c r="P258">
        <v>0</v>
      </c>
      <c r="Q258">
        <v>0</v>
      </c>
      <c r="R258">
        <v>0</v>
      </c>
      <c r="S258">
        <v>0</v>
      </c>
      <c r="T258">
        <v>0</v>
      </c>
      <c r="U258">
        <v>0</v>
      </c>
      <c r="V258">
        <v>0</v>
      </c>
      <c r="W258" s="3">
        <f>W257</f>
        <v>8.6599799999999991</v>
      </c>
      <c r="X258" s="30"/>
      <c r="Y258">
        <v>4</v>
      </c>
      <c r="Z258" t="s">
        <v>1</v>
      </c>
      <c r="AA258">
        <v>28992</v>
      </c>
      <c r="AB258">
        <v>192</v>
      </c>
      <c r="AC258">
        <v>2</v>
      </c>
      <c r="AD258">
        <v>8</v>
      </c>
      <c r="AE258" s="16">
        <v>1689.98</v>
      </c>
      <c r="AF258" s="3">
        <v>9.6137999999999995</v>
      </c>
      <c r="AG258" s="1">
        <v>45323</v>
      </c>
      <c r="AH258" s="2">
        <v>0.63944444444444448</v>
      </c>
      <c r="AI258">
        <v>0</v>
      </c>
      <c r="AJ258">
        <v>0</v>
      </c>
      <c r="AK258">
        <v>0</v>
      </c>
      <c r="AL258">
        <v>0</v>
      </c>
      <c r="AM258">
        <v>0</v>
      </c>
      <c r="AN258">
        <v>0</v>
      </c>
      <c r="AO258">
        <v>0</v>
      </c>
      <c r="AP258">
        <v>0</v>
      </c>
      <c r="AQ258">
        <v>0</v>
      </c>
      <c r="AR258">
        <v>0</v>
      </c>
      <c r="AS258">
        <v>0</v>
      </c>
      <c r="AT258">
        <v>0</v>
      </c>
      <c r="AU258" s="3">
        <f>AU257</f>
        <v>9.6064199999999982</v>
      </c>
    </row>
    <row r="259" spans="1:47" x14ac:dyDescent="0.25">
      <c r="A259">
        <v>0</v>
      </c>
      <c r="B259" t="s">
        <v>1</v>
      </c>
      <c r="C259">
        <v>25920</v>
      </c>
      <c r="D259">
        <v>192</v>
      </c>
      <c r="E259">
        <v>4</v>
      </c>
      <c r="F259">
        <v>4</v>
      </c>
      <c r="G259" s="16">
        <v>1352.14</v>
      </c>
      <c r="H259" s="3">
        <v>8.5868000000000002</v>
      </c>
      <c r="I259" s="1">
        <v>45320</v>
      </c>
      <c r="J259" s="37">
        <v>0.56374999999999997</v>
      </c>
      <c r="K259">
        <v>0</v>
      </c>
      <c r="L259">
        <v>0</v>
      </c>
      <c r="M259">
        <v>0</v>
      </c>
      <c r="N259">
        <v>0</v>
      </c>
      <c r="O259">
        <v>0</v>
      </c>
      <c r="P259">
        <v>0</v>
      </c>
      <c r="Q259">
        <v>0</v>
      </c>
      <c r="R259">
        <v>0</v>
      </c>
      <c r="S259">
        <v>0</v>
      </c>
      <c r="T259">
        <v>0</v>
      </c>
      <c r="U259">
        <v>0</v>
      </c>
      <c r="V259">
        <v>0</v>
      </c>
      <c r="W259" s="3">
        <f>AVERAGE(H214:H218)</f>
        <v>8.6850000000000005</v>
      </c>
      <c r="X259" s="30"/>
      <c r="Y259">
        <v>0</v>
      </c>
      <c r="Z259" t="s">
        <v>1</v>
      </c>
      <c r="AA259">
        <v>25920</v>
      </c>
      <c r="AB259">
        <v>192</v>
      </c>
      <c r="AC259">
        <v>4</v>
      </c>
      <c r="AD259">
        <v>4</v>
      </c>
      <c r="AE259" s="16">
        <v>1224.43</v>
      </c>
      <c r="AF259" s="3">
        <v>9.4824000000000002</v>
      </c>
      <c r="AG259" s="1">
        <v>45319</v>
      </c>
      <c r="AH259" s="2">
        <v>0.96064814814814825</v>
      </c>
      <c r="AI259">
        <v>0</v>
      </c>
      <c r="AJ259">
        <v>0</v>
      </c>
      <c r="AK259">
        <v>0</v>
      </c>
      <c r="AL259">
        <v>0</v>
      </c>
      <c r="AM259">
        <v>0</v>
      </c>
      <c r="AN259">
        <v>0</v>
      </c>
      <c r="AO259">
        <v>0</v>
      </c>
      <c r="AP259">
        <v>0</v>
      </c>
      <c r="AQ259">
        <v>0</v>
      </c>
      <c r="AR259">
        <v>0</v>
      </c>
      <c r="AS259">
        <v>0</v>
      </c>
      <c r="AT259">
        <v>0</v>
      </c>
      <c r="AU259" s="3">
        <f>AVERAGE(AF259:AF263)</f>
        <v>9.4485199999999985</v>
      </c>
    </row>
    <row r="260" spans="1:47" x14ac:dyDescent="0.25">
      <c r="A260">
        <v>1</v>
      </c>
      <c r="B260" t="s">
        <v>1</v>
      </c>
      <c r="C260">
        <v>25920</v>
      </c>
      <c r="D260">
        <v>192</v>
      </c>
      <c r="E260">
        <v>4</v>
      </c>
      <c r="F260">
        <v>4</v>
      </c>
      <c r="G260" s="16">
        <v>1351.74</v>
      </c>
      <c r="H260" s="3">
        <v>8.5892999999999997</v>
      </c>
      <c r="I260" s="1">
        <v>45321</v>
      </c>
      <c r="J260" s="37">
        <v>0.43359953703703707</v>
      </c>
      <c r="K260">
        <v>0</v>
      </c>
      <c r="L260">
        <v>0</v>
      </c>
      <c r="M260">
        <v>0</v>
      </c>
      <c r="N260">
        <v>0</v>
      </c>
      <c r="O260">
        <v>0</v>
      </c>
      <c r="P260">
        <v>0</v>
      </c>
      <c r="Q260">
        <v>0</v>
      </c>
      <c r="R260">
        <v>0</v>
      </c>
      <c r="S260">
        <v>0</v>
      </c>
      <c r="T260">
        <v>0</v>
      </c>
      <c r="U260">
        <v>0</v>
      </c>
      <c r="V260">
        <v>0</v>
      </c>
      <c r="W260" s="3">
        <f>W259</f>
        <v>8.6850000000000005</v>
      </c>
      <c r="X260" s="30"/>
      <c r="Y260">
        <v>1</v>
      </c>
      <c r="Z260" t="s">
        <v>1</v>
      </c>
      <c r="AA260">
        <v>25920</v>
      </c>
      <c r="AB260">
        <v>192</v>
      </c>
      <c r="AC260">
        <v>4</v>
      </c>
      <c r="AD260">
        <v>4</v>
      </c>
      <c r="AE260" s="16">
        <v>1229.05</v>
      </c>
      <c r="AF260" s="3">
        <v>9.4466999999999999</v>
      </c>
      <c r="AG260" s="1">
        <v>45320</v>
      </c>
      <c r="AH260" s="2">
        <v>0.88785879629629638</v>
      </c>
      <c r="AI260">
        <v>0</v>
      </c>
      <c r="AJ260">
        <v>0</v>
      </c>
      <c r="AK260">
        <v>0</v>
      </c>
      <c r="AL260">
        <v>0</v>
      </c>
      <c r="AM260">
        <v>0</v>
      </c>
      <c r="AN260">
        <v>0</v>
      </c>
      <c r="AO260">
        <v>0</v>
      </c>
      <c r="AP260">
        <v>0</v>
      </c>
      <c r="AQ260">
        <v>0</v>
      </c>
      <c r="AR260">
        <v>0</v>
      </c>
      <c r="AS260">
        <v>0</v>
      </c>
      <c r="AT260">
        <v>0</v>
      </c>
      <c r="AU260" s="3">
        <f>AU259</f>
        <v>9.4485199999999985</v>
      </c>
    </row>
    <row r="261" spans="1:47" x14ac:dyDescent="0.25">
      <c r="A261">
        <v>2</v>
      </c>
      <c r="B261" t="s">
        <v>1</v>
      </c>
      <c r="C261">
        <v>25920</v>
      </c>
      <c r="D261">
        <v>192</v>
      </c>
      <c r="E261">
        <v>4</v>
      </c>
      <c r="F261">
        <v>4</v>
      </c>
      <c r="G261" s="16">
        <v>1351.6</v>
      </c>
      <c r="H261" s="3">
        <v>8.5901999999999994</v>
      </c>
      <c r="I261" s="1">
        <v>45322</v>
      </c>
      <c r="J261" s="37">
        <v>0.3034722222222222</v>
      </c>
      <c r="K261">
        <v>0</v>
      </c>
      <c r="L261">
        <v>0</v>
      </c>
      <c r="M261">
        <v>0</v>
      </c>
      <c r="N261">
        <v>0</v>
      </c>
      <c r="O261">
        <v>0</v>
      </c>
      <c r="P261">
        <v>0</v>
      </c>
      <c r="Q261">
        <v>0</v>
      </c>
      <c r="R261">
        <v>0</v>
      </c>
      <c r="S261">
        <v>0</v>
      </c>
      <c r="T261">
        <v>0</v>
      </c>
      <c r="U261">
        <v>0</v>
      </c>
      <c r="V261">
        <v>0</v>
      </c>
      <c r="W261" s="3">
        <f>W260</f>
        <v>8.6850000000000005</v>
      </c>
      <c r="X261" s="30"/>
      <c r="Y261">
        <v>2</v>
      </c>
      <c r="Z261" t="s">
        <v>1</v>
      </c>
      <c r="AA261">
        <v>25920</v>
      </c>
      <c r="AB261">
        <v>192</v>
      </c>
      <c r="AC261">
        <v>4</v>
      </c>
      <c r="AD261">
        <v>4</v>
      </c>
      <c r="AE261" s="16">
        <v>1233.93</v>
      </c>
      <c r="AF261" s="3">
        <v>9.4093999999999998</v>
      </c>
      <c r="AG261" s="1">
        <v>45321</v>
      </c>
      <c r="AH261" s="2">
        <v>0.72144675925925927</v>
      </c>
      <c r="AI261">
        <v>0</v>
      </c>
      <c r="AJ261">
        <v>0</v>
      </c>
      <c r="AK261">
        <v>0</v>
      </c>
      <c r="AL261">
        <v>0</v>
      </c>
      <c r="AM261">
        <v>0</v>
      </c>
      <c r="AN261">
        <v>0</v>
      </c>
      <c r="AO261">
        <v>0</v>
      </c>
      <c r="AP261">
        <v>0</v>
      </c>
      <c r="AQ261">
        <v>0</v>
      </c>
      <c r="AR261">
        <v>0</v>
      </c>
      <c r="AS261">
        <v>0</v>
      </c>
      <c r="AT261">
        <v>0</v>
      </c>
      <c r="AU261" s="3">
        <f>AU260</f>
        <v>9.4485199999999985</v>
      </c>
    </row>
    <row r="262" spans="1:47" x14ac:dyDescent="0.25">
      <c r="A262">
        <v>3</v>
      </c>
      <c r="B262" t="s">
        <v>1</v>
      </c>
      <c r="C262">
        <v>25920</v>
      </c>
      <c r="D262">
        <v>192</v>
      </c>
      <c r="E262">
        <v>4</v>
      </c>
      <c r="F262">
        <v>4</v>
      </c>
      <c r="G262" s="16">
        <v>1352.2</v>
      </c>
      <c r="H262" s="3">
        <v>8.5863999999999994</v>
      </c>
      <c r="I262" s="1">
        <v>45323</v>
      </c>
      <c r="J262" s="37">
        <v>0.16028935185185186</v>
      </c>
      <c r="K262">
        <v>0</v>
      </c>
      <c r="L262">
        <v>0</v>
      </c>
      <c r="M262">
        <v>0</v>
      </c>
      <c r="N262">
        <v>0</v>
      </c>
      <c r="O262">
        <v>0</v>
      </c>
      <c r="P262">
        <v>0</v>
      </c>
      <c r="Q262">
        <v>0</v>
      </c>
      <c r="R262">
        <v>0</v>
      </c>
      <c r="S262">
        <v>0</v>
      </c>
      <c r="T262">
        <v>0</v>
      </c>
      <c r="U262">
        <v>0</v>
      </c>
      <c r="V262">
        <v>0</v>
      </c>
      <c r="W262" s="3">
        <f>W261</f>
        <v>8.6850000000000005</v>
      </c>
      <c r="X262" s="30"/>
      <c r="Y262">
        <v>3</v>
      </c>
      <c r="Z262" t="s">
        <v>1</v>
      </c>
      <c r="AA262">
        <v>25920</v>
      </c>
      <c r="AB262">
        <v>192</v>
      </c>
      <c r="AC262">
        <v>4</v>
      </c>
      <c r="AD262">
        <v>4</v>
      </c>
      <c r="AE262" s="16">
        <v>1226.76</v>
      </c>
      <c r="AF262" s="3">
        <v>9.4643999999999995</v>
      </c>
      <c r="AG262" s="1">
        <v>45322</v>
      </c>
      <c r="AH262" s="2">
        <v>0.55527777777777776</v>
      </c>
      <c r="AI262">
        <v>0</v>
      </c>
      <c r="AJ262">
        <v>0</v>
      </c>
      <c r="AK262">
        <v>0</v>
      </c>
      <c r="AL262">
        <v>0</v>
      </c>
      <c r="AM262">
        <v>0</v>
      </c>
      <c r="AN262">
        <v>0</v>
      </c>
      <c r="AO262">
        <v>0</v>
      </c>
      <c r="AP262">
        <v>0</v>
      </c>
      <c r="AQ262">
        <v>0</v>
      </c>
      <c r="AR262">
        <v>0</v>
      </c>
      <c r="AS262">
        <v>0</v>
      </c>
      <c r="AT262">
        <v>0</v>
      </c>
      <c r="AU262" s="3">
        <f>AU261</f>
        <v>9.4485199999999985</v>
      </c>
    </row>
    <row r="263" spans="1:47" x14ac:dyDescent="0.25">
      <c r="A263">
        <v>4</v>
      </c>
      <c r="B263" t="s">
        <v>1</v>
      </c>
      <c r="C263">
        <v>25920</v>
      </c>
      <c r="D263">
        <v>192</v>
      </c>
      <c r="E263">
        <v>4</v>
      </c>
      <c r="F263">
        <v>4</v>
      </c>
      <c r="G263" s="16">
        <v>1352.4</v>
      </c>
      <c r="H263" s="3">
        <v>8.5851000000000006</v>
      </c>
      <c r="I263" s="1">
        <v>45318</v>
      </c>
      <c r="J263" s="37">
        <v>0.26362268518518517</v>
      </c>
      <c r="K263">
        <v>0</v>
      </c>
      <c r="L263">
        <v>0</v>
      </c>
      <c r="M263">
        <v>0</v>
      </c>
      <c r="N263">
        <v>0</v>
      </c>
      <c r="O263">
        <v>0</v>
      </c>
      <c r="P263">
        <v>0</v>
      </c>
      <c r="Q263">
        <v>0</v>
      </c>
      <c r="R263">
        <v>0</v>
      </c>
      <c r="S263">
        <v>0</v>
      </c>
      <c r="T263">
        <v>0</v>
      </c>
      <c r="U263">
        <v>0</v>
      </c>
      <c r="V263">
        <v>0</v>
      </c>
      <c r="W263" s="3">
        <f>W262</f>
        <v>8.6850000000000005</v>
      </c>
      <c r="X263" s="30"/>
      <c r="Y263">
        <v>4</v>
      </c>
      <c r="Z263" t="s">
        <v>1</v>
      </c>
      <c r="AA263">
        <v>25920</v>
      </c>
      <c r="AB263">
        <v>192</v>
      </c>
      <c r="AC263">
        <v>4</v>
      </c>
      <c r="AD263">
        <v>4</v>
      </c>
      <c r="AE263" s="16">
        <v>1229.96</v>
      </c>
      <c r="AF263" s="3">
        <v>9.4397000000000002</v>
      </c>
      <c r="AG263" s="1">
        <v>45323</v>
      </c>
      <c r="AH263" s="2">
        <v>0.38942129629629635</v>
      </c>
      <c r="AI263">
        <v>0</v>
      </c>
      <c r="AJ263">
        <v>0</v>
      </c>
      <c r="AK263">
        <v>0</v>
      </c>
      <c r="AL263">
        <v>0</v>
      </c>
      <c r="AM263">
        <v>0</v>
      </c>
      <c r="AN263">
        <v>0</v>
      </c>
      <c r="AO263">
        <v>0</v>
      </c>
      <c r="AP263">
        <v>0</v>
      </c>
      <c r="AQ263">
        <v>0</v>
      </c>
      <c r="AR263">
        <v>0</v>
      </c>
      <c r="AS263">
        <v>0</v>
      </c>
      <c r="AT263">
        <v>0</v>
      </c>
      <c r="AU263" s="3">
        <f>AU262</f>
        <v>9.4485199999999985</v>
      </c>
    </row>
    <row r="264" spans="1:47" x14ac:dyDescent="0.25">
      <c r="A264">
        <v>0</v>
      </c>
      <c r="B264" t="s">
        <v>1</v>
      </c>
      <c r="C264">
        <v>27456</v>
      </c>
      <c r="D264">
        <v>192</v>
      </c>
      <c r="E264">
        <v>4</v>
      </c>
      <c r="F264">
        <v>4</v>
      </c>
      <c r="G264" s="16">
        <v>1607.02</v>
      </c>
      <c r="H264" s="3">
        <v>8.5869</v>
      </c>
      <c r="I264" s="1">
        <v>45320</v>
      </c>
      <c r="J264" s="37">
        <v>0.2930787037037037</v>
      </c>
      <c r="K264">
        <v>0</v>
      </c>
      <c r="L264">
        <v>0</v>
      </c>
      <c r="M264">
        <v>0</v>
      </c>
      <c r="N264">
        <v>0</v>
      </c>
      <c r="O264">
        <v>0</v>
      </c>
      <c r="P264">
        <v>0</v>
      </c>
      <c r="Q264">
        <v>0</v>
      </c>
      <c r="R264">
        <v>0</v>
      </c>
      <c r="S264">
        <v>0</v>
      </c>
      <c r="T264">
        <v>0</v>
      </c>
      <c r="U264">
        <v>0</v>
      </c>
      <c r="V264">
        <v>0</v>
      </c>
      <c r="W264" s="3">
        <f>AVERAGE(H219:H223)</f>
        <v>8.8043200000000006</v>
      </c>
      <c r="X264" s="30"/>
      <c r="Y264">
        <v>0</v>
      </c>
      <c r="Z264" t="s">
        <v>1</v>
      </c>
      <c r="AA264">
        <v>27456</v>
      </c>
      <c r="AB264">
        <v>192</v>
      </c>
      <c r="AC264">
        <v>4</v>
      </c>
      <c r="AD264">
        <v>4</v>
      </c>
      <c r="AE264" s="16">
        <v>1443.61</v>
      </c>
      <c r="AF264" s="3">
        <v>9.5588999999999995</v>
      </c>
      <c r="AG264" s="1">
        <v>45319</v>
      </c>
      <c r="AH264" s="2">
        <v>0.70126157407407408</v>
      </c>
      <c r="AI264">
        <v>0</v>
      </c>
      <c r="AJ264">
        <v>0</v>
      </c>
      <c r="AK264">
        <v>0</v>
      </c>
      <c r="AL264">
        <v>0</v>
      </c>
      <c r="AM264">
        <v>0</v>
      </c>
      <c r="AN264">
        <v>0</v>
      </c>
      <c r="AO264">
        <v>0</v>
      </c>
      <c r="AP264">
        <v>0</v>
      </c>
      <c r="AQ264">
        <v>0</v>
      </c>
      <c r="AR264">
        <v>0</v>
      </c>
      <c r="AS264">
        <v>0</v>
      </c>
      <c r="AT264">
        <v>0</v>
      </c>
      <c r="AU264" s="3">
        <f>AVERAGE(AF264:AF268)</f>
        <v>9.5375399999999999</v>
      </c>
    </row>
    <row r="265" spans="1:47" x14ac:dyDescent="0.25">
      <c r="A265">
        <v>1</v>
      </c>
      <c r="B265" t="s">
        <v>1</v>
      </c>
      <c r="C265">
        <v>27456</v>
      </c>
      <c r="D265">
        <v>192</v>
      </c>
      <c r="E265">
        <v>4</v>
      </c>
      <c r="F265">
        <v>4</v>
      </c>
      <c r="G265" s="16">
        <v>1606.64</v>
      </c>
      <c r="H265" s="3">
        <v>8.5889000000000006</v>
      </c>
      <c r="I265" s="1">
        <v>45321</v>
      </c>
      <c r="J265" s="37">
        <v>0.16295138888888888</v>
      </c>
      <c r="K265">
        <v>0</v>
      </c>
      <c r="L265">
        <v>0</v>
      </c>
      <c r="M265">
        <v>0</v>
      </c>
      <c r="N265">
        <v>0</v>
      </c>
      <c r="O265">
        <v>0</v>
      </c>
      <c r="P265">
        <v>0</v>
      </c>
      <c r="Q265">
        <v>0</v>
      </c>
      <c r="R265">
        <v>0</v>
      </c>
      <c r="S265">
        <v>0</v>
      </c>
      <c r="T265">
        <v>0</v>
      </c>
      <c r="U265">
        <v>0</v>
      </c>
      <c r="V265">
        <v>0</v>
      </c>
      <c r="W265" s="3">
        <f>W264</f>
        <v>8.8043200000000006</v>
      </c>
      <c r="X265" s="30"/>
      <c r="Y265">
        <v>1</v>
      </c>
      <c r="Z265" t="s">
        <v>1</v>
      </c>
      <c r="AA265">
        <v>27456</v>
      </c>
      <c r="AB265">
        <v>192</v>
      </c>
      <c r="AC265">
        <v>4</v>
      </c>
      <c r="AD265">
        <v>4</v>
      </c>
      <c r="AE265" s="16">
        <v>1445.12</v>
      </c>
      <c r="AF265" s="3">
        <v>9.5488</v>
      </c>
      <c r="AG265" s="1">
        <v>45320</v>
      </c>
      <c r="AH265" s="2">
        <v>0.62832175925925926</v>
      </c>
      <c r="AI265">
        <v>0</v>
      </c>
      <c r="AJ265">
        <v>0</v>
      </c>
      <c r="AK265">
        <v>0</v>
      </c>
      <c r="AL265">
        <v>0</v>
      </c>
      <c r="AM265">
        <v>0</v>
      </c>
      <c r="AN265">
        <v>0</v>
      </c>
      <c r="AO265">
        <v>0</v>
      </c>
      <c r="AP265">
        <v>0</v>
      </c>
      <c r="AQ265">
        <v>0</v>
      </c>
      <c r="AR265">
        <v>0</v>
      </c>
      <c r="AS265">
        <v>0</v>
      </c>
      <c r="AT265">
        <v>0</v>
      </c>
      <c r="AU265" s="3">
        <f>AU264</f>
        <v>9.5375399999999999</v>
      </c>
    </row>
    <row r="266" spans="1:47" x14ac:dyDescent="0.25">
      <c r="A266">
        <v>2</v>
      </c>
      <c r="B266" t="s">
        <v>1</v>
      </c>
      <c r="C266">
        <v>27456</v>
      </c>
      <c r="D266">
        <v>192</v>
      </c>
      <c r="E266">
        <v>4</v>
      </c>
      <c r="F266">
        <v>4</v>
      </c>
      <c r="G266" s="16">
        <v>1606.35</v>
      </c>
      <c r="H266" s="3">
        <v>8.5905000000000005</v>
      </c>
      <c r="I266" s="1">
        <v>45322</v>
      </c>
      <c r="J266" s="37">
        <v>3.2835648148148149E-2</v>
      </c>
      <c r="K266">
        <v>0</v>
      </c>
      <c r="L266">
        <v>0</v>
      </c>
      <c r="M266">
        <v>0</v>
      </c>
      <c r="N266">
        <v>0</v>
      </c>
      <c r="O266">
        <v>0</v>
      </c>
      <c r="P266">
        <v>0</v>
      </c>
      <c r="Q266">
        <v>0</v>
      </c>
      <c r="R266">
        <v>0</v>
      </c>
      <c r="S266">
        <v>0</v>
      </c>
      <c r="T266">
        <v>0</v>
      </c>
      <c r="U266">
        <v>0</v>
      </c>
      <c r="V266">
        <v>0</v>
      </c>
      <c r="W266" s="3">
        <f>W265</f>
        <v>8.8043200000000006</v>
      </c>
      <c r="X266" s="30"/>
      <c r="Y266">
        <v>2</v>
      </c>
      <c r="Z266" t="s">
        <v>1</v>
      </c>
      <c r="AA266">
        <v>27456</v>
      </c>
      <c r="AB266">
        <v>192</v>
      </c>
      <c r="AC266">
        <v>4</v>
      </c>
      <c r="AD266">
        <v>4</v>
      </c>
      <c r="AE266" s="16">
        <v>1444.28</v>
      </c>
      <c r="AF266" s="3">
        <v>9.5543999999999993</v>
      </c>
      <c r="AG266" s="1">
        <v>45321</v>
      </c>
      <c r="AH266" s="2">
        <v>0.46171296296296299</v>
      </c>
      <c r="AI266">
        <v>0</v>
      </c>
      <c r="AJ266">
        <v>0</v>
      </c>
      <c r="AK266">
        <v>0</v>
      </c>
      <c r="AL266">
        <v>0</v>
      </c>
      <c r="AM266">
        <v>0</v>
      </c>
      <c r="AN266">
        <v>0</v>
      </c>
      <c r="AO266">
        <v>0</v>
      </c>
      <c r="AP266">
        <v>0</v>
      </c>
      <c r="AQ266">
        <v>0</v>
      </c>
      <c r="AR266">
        <v>0</v>
      </c>
      <c r="AS266">
        <v>0</v>
      </c>
      <c r="AT266">
        <v>0</v>
      </c>
      <c r="AU266" s="3">
        <f>AU265</f>
        <v>9.5375399999999999</v>
      </c>
    </row>
    <row r="267" spans="1:47" x14ac:dyDescent="0.25">
      <c r="A267">
        <v>3</v>
      </c>
      <c r="B267" t="s">
        <v>1</v>
      </c>
      <c r="C267">
        <v>27456</v>
      </c>
      <c r="D267">
        <v>192</v>
      </c>
      <c r="E267">
        <v>4</v>
      </c>
      <c r="F267">
        <v>4</v>
      </c>
      <c r="G267" s="16">
        <v>1605.46</v>
      </c>
      <c r="H267" s="3">
        <v>8.5952000000000002</v>
      </c>
      <c r="I267" s="1">
        <v>45322</v>
      </c>
      <c r="J267" s="37">
        <v>0.90263888888888888</v>
      </c>
      <c r="K267">
        <v>0</v>
      </c>
      <c r="L267">
        <v>0</v>
      </c>
      <c r="M267">
        <v>0</v>
      </c>
      <c r="N267">
        <v>0</v>
      </c>
      <c r="O267">
        <v>0</v>
      </c>
      <c r="P267">
        <v>0</v>
      </c>
      <c r="Q267">
        <v>0</v>
      </c>
      <c r="R267">
        <v>0</v>
      </c>
      <c r="S267">
        <v>0</v>
      </c>
      <c r="T267">
        <v>0</v>
      </c>
      <c r="U267">
        <v>0</v>
      </c>
      <c r="V267">
        <v>0</v>
      </c>
      <c r="W267" s="3">
        <f>W266</f>
        <v>8.8043200000000006</v>
      </c>
      <c r="X267" s="30"/>
      <c r="Y267">
        <v>3</v>
      </c>
      <c r="Z267" t="s">
        <v>1</v>
      </c>
      <c r="AA267">
        <v>27456</v>
      </c>
      <c r="AB267">
        <v>192</v>
      </c>
      <c r="AC267">
        <v>4</v>
      </c>
      <c r="AD267">
        <v>4</v>
      </c>
      <c r="AE267" s="16">
        <v>1443.31</v>
      </c>
      <c r="AF267" s="3">
        <v>9.5609000000000002</v>
      </c>
      <c r="AG267" s="1">
        <v>45322</v>
      </c>
      <c r="AH267" s="2">
        <v>0.29552083333333334</v>
      </c>
      <c r="AI267">
        <v>0</v>
      </c>
      <c r="AJ267">
        <v>0</v>
      </c>
      <c r="AK267">
        <v>0</v>
      </c>
      <c r="AL267">
        <v>0</v>
      </c>
      <c r="AM267">
        <v>0</v>
      </c>
      <c r="AN267">
        <v>0</v>
      </c>
      <c r="AO267">
        <v>0</v>
      </c>
      <c r="AP267">
        <v>0</v>
      </c>
      <c r="AQ267">
        <v>0</v>
      </c>
      <c r="AR267">
        <v>0</v>
      </c>
      <c r="AS267">
        <v>0</v>
      </c>
      <c r="AT267">
        <v>0</v>
      </c>
      <c r="AU267" s="3">
        <f>AU266</f>
        <v>9.5375399999999999</v>
      </c>
    </row>
    <row r="268" spans="1:47" x14ac:dyDescent="0.25">
      <c r="A268">
        <v>4</v>
      </c>
      <c r="B268" t="s">
        <v>1</v>
      </c>
      <c r="C268">
        <v>27456</v>
      </c>
      <c r="D268">
        <v>192</v>
      </c>
      <c r="E268">
        <v>4</v>
      </c>
      <c r="F268">
        <v>4</v>
      </c>
      <c r="G268" s="16">
        <v>1606.4</v>
      </c>
      <c r="H268" s="3">
        <v>8.5901999999999994</v>
      </c>
      <c r="I268" s="1">
        <v>45323</v>
      </c>
      <c r="J268" s="37">
        <v>0.75950231481481489</v>
      </c>
      <c r="K268">
        <v>0</v>
      </c>
      <c r="L268">
        <v>0</v>
      </c>
      <c r="M268">
        <v>0</v>
      </c>
      <c r="N268">
        <v>0</v>
      </c>
      <c r="O268">
        <v>0</v>
      </c>
      <c r="P268">
        <v>0</v>
      </c>
      <c r="Q268">
        <v>0</v>
      </c>
      <c r="R268">
        <v>0</v>
      </c>
      <c r="S268">
        <v>0</v>
      </c>
      <c r="T268">
        <v>0</v>
      </c>
      <c r="U268">
        <v>0</v>
      </c>
      <c r="V268">
        <v>0</v>
      </c>
      <c r="W268" s="3">
        <f>W267</f>
        <v>8.8043200000000006</v>
      </c>
      <c r="X268" s="30"/>
      <c r="Y268">
        <v>4</v>
      </c>
      <c r="Z268" t="s">
        <v>1</v>
      </c>
      <c r="AA268">
        <v>27456</v>
      </c>
      <c r="AB268">
        <v>192</v>
      </c>
      <c r="AC268">
        <v>4</v>
      </c>
      <c r="AD268">
        <v>4</v>
      </c>
      <c r="AE268" s="16">
        <v>1457.97</v>
      </c>
      <c r="AF268" s="3">
        <v>9.4647000000000006</v>
      </c>
      <c r="AG268" s="1">
        <v>45323</v>
      </c>
      <c r="AH268" s="2">
        <v>0.12966435185185185</v>
      </c>
      <c r="AI268">
        <v>0</v>
      </c>
      <c r="AJ268">
        <v>0</v>
      </c>
      <c r="AK268">
        <v>0</v>
      </c>
      <c r="AL268">
        <v>0</v>
      </c>
      <c r="AM268">
        <v>0</v>
      </c>
      <c r="AN268">
        <v>0</v>
      </c>
      <c r="AO268">
        <v>0</v>
      </c>
      <c r="AP268">
        <v>0</v>
      </c>
      <c r="AQ268">
        <v>0</v>
      </c>
      <c r="AR268">
        <v>0</v>
      </c>
      <c r="AS268">
        <v>0</v>
      </c>
      <c r="AT268">
        <v>0</v>
      </c>
      <c r="AU268" s="3">
        <f>AU267</f>
        <v>9.5375399999999999</v>
      </c>
    </row>
    <row r="269" spans="1:47" x14ac:dyDescent="0.25">
      <c r="A269">
        <v>0</v>
      </c>
      <c r="B269" t="s">
        <v>1</v>
      </c>
      <c r="C269">
        <v>28992</v>
      </c>
      <c r="D269">
        <v>192</v>
      </c>
      <c r="E269">
        <v>4</v>
      </c>
      <c r="F269">
        <v>4</v>
      </c>
      <c r="G269" s="16">
        <v>1862.85</v>
      </c>
      <c r="H269" s="3">
        <v>8.7217000000000002</v>
      </c>
      <c r="I269" s="1">
        <v>45320</v>
      </c>
      <c r="J269" s="37">
        <v>0.84540509259259267</v>
      </c>
      <c r="K269">
        <v>0</v>
      </c>
      <c r="L269">
        <v>0</v>
      </c>
      <c r="M269">
        <v>0</v>
      </c>
      <c r="N269">
        <v>0</v>
      </c>
      <c r="O269">
        <v>0</v>
      </c>
      <c r="P269">
        <v>0</v>
      </c>
      <c r="Q269">
        <v>0</v>
      </c>
      <c r="R269">
        <v>0</v>
      </c>
      <c r="S269">
        <v>0</v>
      </c>
      <c r="T269">
        <v>0</v>
      </c>
      <c r="U269">
        <v>0</v>
      </c>
      <c r="V269">
        <v>0</v>
      </c>
      <c r="W269" s="3">
        <f>AVERAGE(H224:H228)</f>
        <v>8.8650800000000007</v>
      </c>
      <c r="X269" s="30"/>
      <c r="Y269">
        <v>0</v>
      </c>
      <c r="Z269" t="s">
        <v>1</v>
      </c>
      <c r="AA269">
        <v>28992</v>
      </c>
      <c r="AB269">
        <v>192</v>
      </c>
      <c r="AC269">
        <v>4</v>
      </c>
      <c r="AD269">
        <v>4</v>
      </c>
      <c r="AE269" s="16">
        <v>1691.77</v>
      </c>
      <c r="AF269" s="3">
        <v>9.6036000000000001</v>
      </c>
      <c r="AG269" s="1">
        <v>45320</v>
      </c>
      <c r="AH269" s="2">
        <v>0.23105324074074074</v>
      </c>
      <c r="AI269">
        <v>0</v>
      </c>
      <c r="AJ269">
        <v>0</v>
      </c>
      <c r="AK269">
        <v>0</v>
      </c>
      <c r="AL269">
        <v>0</v>
      </c>
      <c r="AM269">
        <v>0</v>
      </c>
      <c r="AN269">
        <v>0</v>
      </c>
      <c r="AO269">
        <v>0</v>
      </c>
      <c r="AP269">
        <v>0</v>
      </c>
      <c r="AQ269">
        <v>0</v>
      </c>
      <c r="AR269">
        <v>0</v>
      </c>
      <c r="AS269">
        <v>0</v>
      </c>
      <c r="AT269">
        <v>0</v>
      </c>
      <c r="AU269" s="3">
        <f>AVERAGE(AF269:AF273)</f>
        <v>9.6207400000000014</v>
      </c>
    </row>
    <row r="270" spans="1:47" x14ac:dyDescent="0.25">
      <c r="A270">
        <v>1</v>
      </c>
      <c r="B270" t="s">
        <v>1</v>
      </c>
      <c r="C270">
        <v>28992</v>
      </c>
      <c r="D270">
        <v>192</v>
      </c>
      <c r="E270">
        <v>4</v>
      </c>
      <c r="F270">
        <v>4</v>
      </c>
      <c r="G270" s="16">
        <v>1863.95</v>
      </c>
      <c r="H270" s="3">
        <v>8.7164999999999999</v>
      </c>
      <c r="I270" s="1">
        <v>45321</v>
      </c>
      <c r="J270" s="37">
        <v>0.7152546296296296</v>
      </c>
      <c r="K270">
        <v>0</v>
      </c>
      <c r="L270">
        <v>0</v>
      </c>
      <c r="M270">
        <v>0</v>
      </c>
      <c r="N270">
        <v>0</v>
      </c>
      <c r="O270">
        <v>0</v>
      </c>
      <c r="P270">
        <v>0</v>
      </c>
      <c r="Q270">
        <v>0</v>
      </c>
      <c r="R270">
        <v>0</v>
      </c>
      <c r="S270">
        <v>0</v>
      </c>
      <c r="T270">
        <v>0</v>
      </c>
      <c r="U270">
        <v>0</v>
      </c>
      <c r="V270">
        <v>0</v>
      </c>
      <c r="W270" s="3">
        <f>W269</f>
        <v>8.8650800000000007</v>
      </c>
      <c r="X270" s="30"/>
      <c r="Y270">
        <v>1</v>
      </c>
      <c r="Z270" t="s">
        <v>1</v>
      </c>
      <c r="AA270">
        <v>28992</v>
      </c>
      <c r="AB270">
        <v>192</v>
      </c>
      <c r="AC270">
        <v>4</v>
      </c>
      <c r="AD270">
        <v>4</v>
      </c>
      <c r="AE270" s="16">
        <v>1688.5</v>
      </c>
      <c r="AF270" s="3">
        <v>9.6221999999999994</v>
      </c>
      <c r="AG270" s="1">
        <v>45321</v>
      </c>
      <c r="AH270" s="2">
        <v>0.15833333333333333</v>
      </c>
      <c r="AI270">
        <v>0</v>
      </c>
      <c r="AJ270">
        <v>0</v>
      </c>
      <c r="AK270">
        <v>0</v>
      </c>
      <c r="AL270">
        <v>0</v>
      </c>
      <c r="AM270">
        <v>0</v>
      </c>
      <c r="AN270">
        <v>0</v>
      </c>
      <c r="AO270">
        <v>0</v>
      </c>
      <c r="AP270">
        <v>0</v>
      </c>
      <c r="AQ270">
        <v>0</v>
      </c>
      <c r="AR270">
        <v>0</v>
      </c>
      <c r="AS270">
        <v>0</v>
      </c>
      <c r="AT270">
        <v>0</v>
      </c>
      <c r="AU270" s="3">
        <f>AU269</f>
        <v>9.6207400000000014</v>
      </c>
    </row>
    <row r="271" spans="1:47" x14ac:dyDescent="0.25">
      <c r="A271">
        <v>2</v>
      </c>
      <c r="B271" t="s">
        <v>1</v>
      </c>
      <c r="C271">
        <v>28992</v>
      </c>
      <c r="D271">
        <v>192</v>
      </c>
      <c r="E271">
        <v>4</v>
      </c>
      <c r="F271">
        <v>4</v>
      </c>
      <c r="G271" s="16">
        <v>1863.51</v>
      </c>
      <c r="H271" s="3">
        <v>8.7186000000000003</v>
      </c>
      <c r="I271" s="1">
        <v>45322</v>
      </c>
      <c r="J271" s="37">
        <v>0.58506944444444442</v>
      </c>
      <c r="K271">
        <v>0</v>
      </c>
      <c r="L271">
        <v>0</v>
      </c>
      <c r="M271">
        <v>0</v>
      </c>
      <c r="N271">
        <v>0</v>
      </c>
      <c r="O271">
        <v>0</v>
      </c>
      <c r="P271">
        <v>0</v>
      </c>
      <c r="Q271">
        <v>0</v>
      </c>
      <c r="R271">
        <v>0</v>
      </c>
      <c r="S271">
        <v>0</v>
      </c>
      <c r="T271">
        <v>0</v>
      </c>
      <c r="U271">
        <v>0</v>
      </c>
      <c r="V271">
        <v>0</v>
      </c>
      <c r="W271" s="3">
        <f>W270</f>
        <v>8.8650800000000007</v>
      </c>
      <c r="X271" s="30"/>
      <c r="Y271">
        <v>2</v>
      </c>
      <c r="Z271" t="s">
        <v>1</v>
      </c>
      <c r="AA271">
        <v>28992</v>
      </c>
      <c r="AB271">
        <v>192</v>
      </c>
      <c r="AC271">
        <v>4</v>
      </c>
      <c r="AD271">
        <v>4</v>
      </c>
      <c r="AE271" s="16">
        <v>1688.13</v>
      </c>
      <c r="AF271" s="3">
        <v>9.6243999999999996</v>
      </c>
      <c r="AG271" s="1">
        <v>45321</v>
      </c>
      <c r="AH271" s="2">
        <v>0.99223379629629627</v>
      </c>
      <c r="AI271">
        <v>0</v>
      </c>
      <c r="AJ271">
        <v>0</v>
      </c>
      <c r="AK271">
        <v>0</v>
      </c>
      <c r="AL271">
        <v>0</v>
      </c>
      <c r="AM271">
        <v>0</v>
      </c>
      <c r="AN271">
        <v>0</v>
      </c>
      <c r="AO271">
        <v>0</v>
      </c>
      <c r="AP271">
        <v>0</v>
      </c>
      <c r="AQ271">
        <v>0</v>
      </c>
      <c r="AR271">
        <v>0</v>
      </c>
      <c r="AS271">
        <v>0</v>
      </c>
      <c r="AT271">
        <v>0</v>
      </c>
      <c r="AU271" s="3">
        <f>AU270</f>
        <v>9.6207400000000014</v>
      </c>
    </row>
    <row r="272" spans="1:47" x14ac:dyDescent="0.25">
      <c r="A272">
        <v>3</v>
      </c>
      <c r="B272" t="s">
        <v>1</v>
      </c>
      <c r="C272">
        <v>28992</v>
      </c>
      <c r="D272">
        <v>192</v>
      </c>
      <c r="E272">
        <v>4</v>
      </c>
      <c r="F272">
        <v>4</v>
      </c>
      <c r="G272" s="16">
        <v>1863.44</v>
      </c>
      <c r="H272" s="3">
        <v>8.7188999999999997</v>
      </c>
      <c r="I272" s="1">
        <v>45323</v>
      </c>
      <c r="J272" s="37">
        <v>0.4419907407407408</v>
      </c>
      <c r="K272">
        <v>0</v>
      </c>
      <c r="L272">
        <v>0</v>
      </c>
      <c r="M272">
        <v>0</v>
      </c>
      <c r="N272">
        <v>0</v>
      </c>
      <c r="O272">
        <v>0</v>
      </c>
      <c r="P272">
        <v>0</v>
      </c>
      <c r="Q272">
        <v>0</v>
      </c>
      <c r="R272">
        <v>0</v>
      </c>
      <c r="S272">
        <v>0</v>
      </c>
      <c r="T272">
        <v>0</v>
      </c>
      <c r="U272">
        <v>0</v>
      </c>
      <c r="V272">
        <v>0</v>
      </c>
      <c r="W272" s="3">
        <f>W271</f>
        <v>8.8650800000000007</v>
      </c>
      <c r="X272" s="30"/>
      <c r="Y272">
        <v>3</v>
      </c>
      <c r="Z272" t="s">
        <v>1</v>
      </c>
      <c r="AA272">
        <v>28992</v>
      </c>
      <c r="AB272">
        <v>192</v>
      </c>
      <c r="AC272">
        <v>4</v>
      </c>
      <c r="AD272">
        <v>4</v>
      </c>
      <c r="AE272" s="16">
        <v>1688.31</v>
      </c>
      <c r="AF272" s="3">
        <v>9.6233000000000004</v>
      </c>
      <c r="AG272" s="1">
        <v>45322</v>
      </c>
      <c r="AH272" s="2">
        <v>0.82614583333333336</v>
      </c>
      <c r="AI272">
        <v>0</v>
      </c>
      <c r="AJ272">
        <v>0</v>
      </c>
      <c r="AK272">
        <v>0</v>
      </c>
      <c r="AL272">
        <v>0</v>
      </c>
      <c r="AM272">
        <v>0</v>
      </c>
      <c r="AN272">
        <v>0</v>
      </c>
      <c r="AO272">
        <v>0</v>
      </c>
      <c r="AP272">
        <v>0</v>
      </c>
      <c r="AQ272">
        <v>0</v>
      </c>
      <c r="AR272">
        <v>0</v>
      </c>
      <c r="AS272">
        <v>0</v>
      </c>
      <c r="AT272">
        <v>0</v>
      </c>
      <c r="AU272" s="3">
        <f>AU271</f>
        <v>9.6207400000000014</v>
      </c>
    </row>
    <row r="273" spans="1:47" x14ac:dyDescent="0.25">
      <c r="A273">
        <v>4</v>
      </c>
      <c r="B273" t="s">
        <v>1</v>
      </c>
      <c r="C273">
        <v>28992</v>
      </c>
      <c r="D273">
        <v>192</v>
      </c>
      <c r="E273">
        <v>4</v>
      </c>
      <c r="F273">
        <v>4</v>
      </c>
      <c r="G273" s="16">
        <v>1862.41</v>
      </c>
      <c r="H273" s="3">
        <v>8.7236999999999991</v>
      </c>
      <c r="I273" s="1">
        <v>45318</v>
      </c>
      <c r="J273" s="37">
        <v>0.54521990740740744</v>
      </c>
      <c r="K273">
        <v>0</v>
      </c>
      <c r="L273">
        <v>0</v>
      </c>
      <c r="M273">
        <v>0</v>
      </c>
      <c r="N273">
        <v>0</v>
      </c>
      <c r="O273">
        <v>0</v>
      </c>
      <c r="P273">
        <v>0</v>
      </c>
      <c r="Q273">
        <v>0</v>
      </c>
      <c r="R273">
        <v>0</v>
      </c>
      <c r="S273">
        <v>0</v>
      </c>
      <c r="T273">
        <v>0</v>
      </c>
      <c r="U273">
        <v>0</v>
      </c>
      <c r="V273">
        <v>0</v>
      </c>
      <c r="W273" s="3">
        <f>W272</f>
        <v>8.8650800000000007</v>
      </c>
      <c r="X273" s="30"/>
      <c r="Y273">
        <v>4</v>
      </c>
      <c r="Z273" t="s">
        <v>1</v>
      </c>
      <c r="AA273">
        <v>28992</v>
      </c>
      <c r="AB273">
        <v>192</v>
      </c>
      <c r="AC273">
        <v>4</v>
      </c>
      <c r="AD273">
        <v>4</v>
      </c>
      <c r="AE273" s="16">
        <v>1687.1</v>
      </c>
      <c r="AF273" s="3">
        <v>9.6302000000000003</v>
      </c>
      <c r="AG273" s="1">
        <v>45323</v>
      </c>
      <c r="AH273" s="2">
        <v>0.66062500000000002</v>
      </c>
      <c r="AI273">
        <v>0</v>
      </c>
      <c r="AJ273">
        <v>0</v>
      </c>
      <c r="AK273">
        <v>0</v>
      </c>
      <c r="AL273">
        <v>0</v>
      </c>
      <c r="AM273">
        <v>0</v>
      </c>
      <c r="AN273">
        <v>0</v>
      </c>
      <c r="AO273">
        <v>0</v>
      </c>
      <c r="AP273">
        <v>0</v>
      </c>
      <c r="AQ273">
        <v>0</v>
      </c>
      <c r="AR273">
        <v>0</v>
      </c>
      <c r="AS273">
        <v>0</v>
      </c>
      <c r="AT273">
        <v>0</v>
      </c>
      <c r="AU273" s="3">
        <f>AU272</f>
        <v>9.6207400000000014</v>
      </c>
    </row>
    <row r="274" spans="1:47" x14ac:dyDescent="0.25">
      <c r="A274">
        <v>0</v>
      </c>
      <c r="B274" t="s">
        <v>1</v>
      </c>
      <c r="C274">
        <v>25984</v>
      </c>
      <c r="D274">
        <v>224</v>
      </c>
      <c r="E274">
        <v>1</v>
      </c>
      <c r="F274">
        <v>16</v>
      </c>
      <c r="G274" s="16">
        <v>1522.35</v>
      </c>
      <c r="H274" s="3">
        <v>7.6833</v>
      </c>
      <c r="I274" s="1">
        <v>45320</v>
      </c>
      <c r="J274" s="37">
        <v>0.67792824074074076</v>
      </c>
      <c r="K274">
        <v>0</v>
      </c>
      <c r="L274">
        <v>0</v>
      </c>
      <c r="M274">
        <v>0</v>
      </c>
      <c r="N274">
        <v>0</v>
      </c>
      <c r="O274">
        <v>0</v>
      </c>
      <c r="P274">
        <v>0</v>
      </c>
      <c r="Q274">
        <v>0</v>
      </c>
      <c r="R274">
        <v>0</v>
      </c>
      <c r="S274">
        <v>0</v>
      </c>
      <c r="T274">
        <v>0</v>
      </c>
      <c r="U274">
        <v>0</v>
      </c>
      <c r="V274">
        <v>0</v>
      </c>
      <c r="W274" s="3">
        <f>AVERAGE(H229:H233)</f>
        <v>7.9419599999999999</v>
      </c>
      <c r="X274" s="30"/>
      <c r="Y274">
        <v>0</v>
      </c>
      <c r="Z274" t="s">
        <v>1</v>
      </c>
      <c r="AA274">
        <v>25984</v>
      </c>
      <c r="AB274">
        <v>224</v>
      </c>
      <c r="AC274">
        <v>1</v>
      </c>
      <c r="AD274">
        <v>16</v>
      </c>
      <c r="AE274" s="16">
        <v>1349.74</v>
      </c>
      <c r="AF274" s="3">
        <v>8.6659000000000006</v>
      </c>
      <c r="AG274" s="1">
        <v>45320</v>
      </c>
      <c r="AH274" s="2">
        <v>7.0104166666666676E-2</v>
      </c>
      <c r="AI274">
        <v>0</v>
      </c>
      <c r="AJ274">
        <v>0</v>
      </c>
      <c r="AK274">
        <v>0</v>
      </c>
      <c r="AL274">
        <v>0</v>
      </c>
      <c r="AM274">
        <v>0</v>
      </c>
      <c r="AN274">
        <v>0</v>
      </c>
      <c r="AO274">
        <v>0</v>
      </c>
      <c r="AP274">
        <v>0</v>
      </c>
      <c r="AQ274">
        <v>0</v>
      </c>
      <c r="AR274">
        <v>0</v>
      </c>
      <c r="AS274">
        <v>0</v>
      </c>
      <c r="AT274">
        <v>0</v>
      </c>
      <c r="AU274" s="3">
        <f>AVERAGE(AF274:AF278)</f>
        <v>8.6559799999999996</v>
      </c>
    </row>
    <row r="275" spans="1:47" x14ac:dyDescent="0.25">
      <c r="A275">
        <v>1</v>
      </c>
      <c r="B275" t="s">
        <v>1</v>
      </c>
      <c r="C275">
        <v>25984</v>
      </c>
      <c r="D275">
        <v>224</v>
      </c>
      <c r="E275">
        <v>1</v>
      </c>
      <c r="F275">
        <v>16</v>
      </c>
      <c r="G275" s="16">
        <v>1522.66</v>
      </c>
      <c r="H275" s="3">
        <v>7.6818</v>
      </c>
      <c r="I275" s="1">
        <v>45321</v>
      </c>
      <c r="J275" s="37">
        <v>0.54778935185185185</v>
      </c>
      <c r="K275">
        <v>0</v>
      </c>
      <c r="L275">
        <v>0</v>
      </c>
      <c r="M275">
        <v>0</v>
      </c>
      <c r="N275">
        <v>0</v>
      </c>
      <c r="O275">
        <v>0</v>
      </c>
      <c r="P275">
        <v>0</v>
      </c>
      <c r="Q275">
        <v>0</v>
      </c>
      <c r="R275">
        <v>0</v>
      </c>
      <c r="S275">
        <v>0</v>
      </c>
      <c r="T275">
        <v>0</v>
      </c>
      <c r="U275">
        <v>0</v>
      </c>
      <c r="V275">
        <v>0</v>
      </c>
      <c r="W275" s="3">
        <f>W274</f>
        <v>7.9419599999999999</v>
      </c>
      <c r="X275" s="30"/>
      <c r="Y275">
        <v>1</v>
      </c>
      <c r="Z275" t="s">
        <v>1</v>
      </c>
      <c r="AA275">
        <v>25984</v>
      </c>
      <c r="AB275">
        <v>224</v>
      </c>
      <c r="AC275">
        <v>1</v>
      </c>
      <c r="AD275">
        <v>16</v>
      </c>
      <c r="AE275" s="16">
        <v>1350.42</v>
      </c>
      <c r="AF275" s="3">
        <v>8.6616</v>
      </c>
      <c r="AG275" s="1">
        <v>45320</v>
      </c>
      <c r="AH275" s="2">
        <v>0.99743055555555549</v>
      </c>
      <c r="AI275">
        <v>0</v>
      </c>
      <c r="AJ275">
        <v>0</v>
      </c>
      <c r="AK275">
        <v>0</v>
      </c>
      <c r="AL275">
        <v>0</v>
      </c>
      <c r="AM275">
        <v>0</v>
      </c>
      <c r="AN275">
        <v>0</v>
      </c>
      <c r="AO275">
        <v>0</v>
      </c>
      <c r="AP275">
        <v>0</v>
      </c>
      <c r="AQ275">
        <v>0</v>
      </c>
      <c r="AR275">
        <v>0</v>
      </c>
      <c r="AS275">
        <v>0</v>
      </c>
      <c r="AT275">
        <v>0</v>
      </c>
      <c r="AU275" s="3">
        <f>AU274</f>
        <v>8.6559799999999996</v>
      </c>
    </row>
    <row r="276" spans="1:47" x14ac:dyDescent="0.25">
      <c r="A276">
        <v>2</v>
      </c>
      <c r="B276" t="s">
        <v>1</v>
      </c>
      <c r="C276">
        <v>25984</v>
      </c>
      <c r="D276">
        <v>224</v>
      </c>
      <c r="E276">
        <v>1</v>
      </c>
      <c r="F276">
        <v>16</v>
      </c>
      <c r="G276" s="16">
        <v>1521.62</v>
      </c>
      <c r="H276" s="3">
        <v>7.6870000000000003</v>
      </c>
      <c r="I276" s="1">
        <v>45322</v>
      </c>
      <c r="J276" s="37">
        <v>0.41763888888888889</v>
      </c>
      <c r="K276">
        <v>0</v>
      </c>
      <c r="L276">
        <v>0</v>
      </c>
      <c r="M276">
        <v>0</v>
      </c>
      <c r="N276">
        <v>0</v>
      </c>
      <c r="O276">
        <v>0</v>
      </c>
      <c r="P276">
        <v>0</v>
      </c>
      <c r="Q276">
        <v>0</v>
      </c>
      <c r="R276">
        <v>0</v>
      </c>
      <c r="S276">
        <v>0</v>
      </c>
      <c r="T276">
        <v>0</v>
      </c>
      <c r="U276">
        <v>0</v>
      </c>
      <c r="V276">
        <v>0</v>
      </c>
      <c r="W276" s="3">
        <f>W275</f>
        <v>7.9419599999999999</v>
      </c>
      <c r="X276" s="30"/>
      <c r="Y276">
        <v>2</v>
      </c>
      <c r="Z276" t="s">
        <v>1</v>
      </c>
      <c r="AA276">
        <v>25984</v>
      </c>
      <c r="AB276">
        <v>224</v>
      </c>
      <c r="AC276">
        <v>1</v>
      </c>
      <c r="AD276">
        <v>16</v>
      </c>
      <c r="AE276" s="16">
        <v>1349.82</v>
      </c>
      <c r="AF276" s="3">
        <v>8.6654</v>
      </c>
      <c r="AG276" s="1">
        <v>45321</v>
      </c>
      <c r="AH276" s="2">
        <v>0.83096064814814818</v>
      </c>
      <c r="AI276">
        <v>0</v>
      </c>
      <c r="AJ276">
        <v>0</v>
      </c>
      <c r="AK276">
        <v>0</v>
      </c>
      <c r="AL276">
        <v>0</v>
      </c>
      <c r="AM276">
        <v>0</v>
      </c>
      <c r="AN276">
        <v>0</v>
      </c>
      <c r="AO276">
        <v>0</v>
      </c>
      <c r="AP276">
        <v>0</v>
      </c>
      <c r="AQ276">
        <v>0</v>
      </c>
      <c r="AR276">
        <v>0</v>
      </c>
      <c r="AS276">
        <v>0</v>
      </c>
      <c r="AT276">
        <v>0</v>
      </c>
      <c r="AU276" s="3">
        <f>AU275</f>
        <v>8.6559799999999996</v>
      </c>
    </row>
    <row r="277" spans="1:47" x14ac:dyDescent="0.25">
      <c r="A277">
        <v>3</v>
      </c>
      <c r="B277" t="s">
        <v>1</v>
      </c>
      <c r="C277">
        <v>25984</v>
      </c>
      <c r="D277">
        <v>224</v>
      </c>
      <c r="E277">
        <v>1</v>
      </c>
      <c r="F277">
        <v>16</v>
      </c>
      <c r="G277" s="16">
        <v>1522.64</v>
      </c>
      <c r="H277" s="3">
        <v>7.6818999999999997</v>
      </c>
      <c r="I277" s="1">
        <v>45323</v>
      </c>
      <c r="J277" s="37">
        <v>0.2744907407407407</v>
      </c>
      <c r="K277">
        <v>0</v>
      </c>
      <c r="L277">
        <v>0</v>
      </c>
      <c r="M277">
        <v>0</v>
      </c>
      <c r="N277">
        <v>0</v>
      </c>
      <c r="O277">
        <v>0</v>
      </c>
      <c r="P277">
        <v>0</v>
      </c>
      <c r="Q277">
        <v>0</v>
      </c>
      <c r="R277">
        <v>0</v>
      </c>
      <c r="S277">
        <v>0</v>
      </c>
      <c r="T277">
        <v>0</v>
      </c>
      <c r="U277">
        <v>0</v>
      </c>
      <c r="V277">
        <v>0</v>
      </c>
      <c r="W277" s="3">
        <f>W276</f>
        <v>7.9419599999999999</v>
      </c>
      <c r="X277" s="30"/>
      <c r="Y277">
        <v>3</v>
      </c>
      <c r="Z277" t="s">
        <v>1</v>
      </c>
      <c r="AA277">
        <v>25984</v>
      </c>
      <c r="AB277">
        <v>224</v>
      </c>
      <c r="AC277">
        <v>1</v>
      </c>
      <c r="AD277">
        <v>16</v>
      </c>
      <c r="AE277" s="16">
        <v>1351.31</v>
      </c>
      <c r="AF277" s="3">
        <v>8.6559000000000008</v>
      </c>
      <c r="AG277" s="1">
        <v>45322</v>
      </c>
      <c r="AH277" s="2">
        <v>0.66505787037037034</v>
      </c>
      <c r="AI277">
        <v>0</v>
      </c>
      <c r="AJ277">
        <v>0</v>
      </c>
      <c r="AK277">
        <v>0</v>
      </c>
      <c r="AL277">
        <v>0</v>
      </c>
      <c r="AM277">
        <v>0</v>
      </c>
      <c r="AN277">
        <v>0</v>
      </c>
      <c r="AO277">
        <v>0</v>
      </c>
      <c r="AP277">
        <v>0</v>
      </c>
      <c r="AQ277">
        <v>0</v>
      </c>
      <c r="AR277">
        <v>0</v>
      </c>
      <c r="AS277">
        <v>0</v>
      </c>
      <c r="AT277">
        <v>0</v>
      </c>
      <c r="AU277" s="3">
        <f>AU276</f>
        <v>8.6559799999999996</v>
      </c>
    </row>
    <row r="278" spans="1:47" x14ac:dyDescent="0.25">
      <c r="A278">
        <v>4</v>
      </c>
      <c r="B278" t="s">
        <v>1</v>
      </c>
      <c r="C278">
        <v>25984</v>
      </c>
      <c r="D278">
        <v>224</v>
      </c>
      <c r="E278">
        <v>1</v>
      </c>
      <c r="F278">
        <v>16</v>
      </c>
      <c r="G278" s="16">
        <v>1522.46</v>
      </c>
      <c r="H278" s="3">
        <v>7.6828000000000003</v>
      </c>
      <c r="I278" s="1">
        <v>45318</v>
      </c>
      <c r="J278" s="37">
        <v>0.3778009259259259</v>
      </c>
      <c r="K278">
        <v>0</v>
      </c>
      <c r="L278">
        <v>0</v>
      </c>
      <c r="M278">
        <v>0</v>
      </c>
      <c r="N278">
        <v>0</v>
      </c>
      <c r="O278">
        <v>0</v>
      </c>
      <c r="P278">
        <v>0</v>
      </c>
      <c r="Q278">
        <v>0</v>
      </c>
      <c r="R278">
        <v>0</v>
      </c>
      <c r="S278">
        <v>0</v>
      </c>
      <c r="T278">
        <v>0</v>
      </c>
      <c r="U278">
        <v>0</v>
      </c>
      <c r="V278">
        <v>0</v>
      </c>
      <c r="W278" s="3">
        <f>W277</f>
        <v>7.9419599999999999</v>
      </c>
      <c r="X278" s="30"/>
      <c r="Y278">
        <v>4</v>
      </c>
      <c r="Z278" t="s">
        <v>1</v>
      </c>
      <c r="AA278">
        <v>25984</v>
      </c>
      <c r="AB278">
        <v>224</v>
      </c>
      <c r="AC278">
        <v>1</v>
      </c>
      <c r="AD278">
        <v>16</v>
      </c>
      <c r="AE278" s="16">
        <v>1355.19</v>
      </c>
      <c r="AF278" s="3">
        <v>8.6311</v>
      </c>
      <c r="AG278" s="1">
        <v>45323</v>
      </c>
      <c r="AH278" s="2">
        <v>0.49920138888888888</v>
      </c>
      <c r="AI278">
        <v>0</v>
      </c>
      <c r="AJ278">
        <v>0</v>
      </c>
      <c r="AK278">
        <v>0</v>
      </c>
      <c r="AL278">
        <v>0</v>
      </c>
      <c r="AM278">
        <v>0</v>
      </c>
      <c r="AN278">
        <v>0</v>
      </c>
      <c r="AO278">
        <v>0</v>
      </c>
      <c r="AP278">
        <v>0</v>
      </c>
      <c r="AQ278">
        <v>0</v>
      </c>
      <c r="AR278">
        <v>0</v>
      </c>
      <c r="AS278">
        <v>0</v>
      </c>
      <c r="AT278">
        <v>0</v>
      </c>
      <c r="AU278" s="3">
        <f>AU277</f>
        <v>8.6559799999999996</v>
      </c>
    </row>
    <row r="279" spans="1:47" x14ac:dyDescent="0.25">
      <c r="A279">
        <v>0</v>
      </c>
      <c r="B279" t="s">
        <v>1</v>
      </c>
      <c r="C279">
        <v>27328</v>
      </c>
      <c r="D279">
        <v>224</v>
      </c>
      <c r="E279">
        <v>1</v>
      </c>
      <c r="F279">
        <v>16</v>
      </c>
      <c r="G279" s="16">
        <v>1754.98</v>
      </c>
      <c r="H279" s="3">
        <v>7.7534999999999998</v>
      </c>
      <c r="I279" s="1">
        <v>45320</v>
      </c>
      <c r="J279" s="37">
        <v>0.42774305555555553</v>
      </c>
      <c r="K279">
        <v>0</v>
      </c>
      <c r="L279">
        <v>0</v>
      </c>
      <c r="M279">
        <v>0</v>
      </c>
      <c r="N279">
        <v>0</v>
      </c>
      <c r="O279">
        <v>0</v>
      </c>
      <c r="P279">
        <v>0</v>
      </c>
      <c r="Q279">
        <v>0</v>
      </c>
      <c r="R279">
        <v>0</v>
      </c>
      <c r="S279">
        <v>0</v>
      </c>
      <c r="T279">
        <v>0</v>
      </c>
      <c r="U279">
        <v>0</v>
      </c>
      <c r="V279">
        <v>0</v>
      </c>
      <c r="W279" s="3">
        <f>AVERAGE(H234:H238)</f>
        <v>8.0431799999999996</v>
      </c>
      <c r="X279" s="30"/>
      <c r="Y279">
        <v>0</v>
      </c>
      <c r="Z279" t="s">
        <v>1</v>
      </c>
      <c r="AA279">
        <v>27328</v>
      </c>
      <c r="AB279">
        <v>224</v>
      </c>
      <c r="AC279">
        <v>1</v>
      </c>
      <c r="AD279">
        <v>16</v>
      </c>
      <c r="AE279" s="16">
        <v>1561.8</v>
      </c>
      <c r="AF279" s="3">
        <v>8.7125000000000004</v>
      </c>
      <c r="AG279" s="1">
        <v>45319</v>
      </c>
      <c r="AH279" s="2">
        <v>0.82944444444444443</v>
      </c>
      <c r="AI279">
        <v>0</v>
      </c>
      <c r="AJ279">
        <v>0</v>
      </c>
      <c r="AK279">
        <v>0</v>
      </c>
      <c r="AL279">
        <v>0</v>
      </c>
      <c r="AM279">
        <v>0</v>
      </c>
      <c r="AN279">
        <v>0</v>
      </c>
      <c r="AO279">
        <v>0</v>
      </c>
      <c r="AP279">
        <v>0</v>
      </c>
      <c r="AQ279">
        <v>0</v>
      </c>
      <c r="AR279">
        <v>0</v>
      </c>
      <c r="AS279">
        <v>0</v>
      </c>
      <c r="AT279">
        <v>0</v>
      </c>
      <c r="AU279" s="3">
        <f>AVERAGE(AF279:AF283)</f>
        <v>8.7078400000000009</v>
      </c>
    </row>
    <row r="280" spans="1:47" x14ac:dyDescent="0.25">
      <c r="A280">
        <v>1</v>
      </c>
      <c r="B280" t="s">
        <v>1</v>
      </c>
      <c r="C280">
        <v>27328</v>
      </c>
      <c r="D280">
        <v>224</v>
      </c>
      <c r="E280">
        <v>1</v>
      </c>
      <c r="F280">
        <v>16</v>
      </c>
      <c r="G280" s="16">
        <v>1753.96</v>
      </c>
      <c r="H280" s="3">
        <v>7.758</v>
      </c>
      <c r="I280" s="1">
        <v>45321</v>
      </c>
      <c r="J280" s="37">
        <v>0.29758101851851854</v>
      </c>
      <c r="K280">
        <v>0</v>
      </c>
      <c r="L280">
        <v>0</v>
      </c>
      <c r="M280">
        <v>0</v>
      </c>
      <c r="N280">
        <v>0</v>
      </c>
      <c r="O280">
        <v>0</v>
      </c>
      <c r="P280">
        <v>0</v>
      </c>
      <c r="Q280">
        <v>0</v>
      </c>
      <c r="R280">
        <v>0</v>
      </c>
      <c r="S280">
        <v>0</v>
      </c>
      <c r="T280">
        <v>0</v>
      </c>
      <c r="U280">
        <v>0</v>
      </c>
      <c r="V280">
        <v>0</v>
      </c>
      <c r="W280" s="3">
        <f>W279</f>
        <v>8.0431799999999996</v>
      </c>
      <c r="X280" s="30"/>
      <c r="Y280">
        <v>1</v>
      </c>
      <c r="Z280" t="s">
        <v>1</v>
      </c>
      <c r="AA280">
        <v>27328</v>
      </c>
      <c r="AB280">
        <v>224</v>
      </c>
      <c r="AC280">
        <v>1</v>
      </c>
      <c r="AD280">
        <v>16</v>
      </c>
      <c r="AE280" s="16">
        <v>1562.97</v>
      </c>
      <c r="AF280" s="3">
        <v>8.7059999999999995</v>
      </c>
      <c r="AG280" s="1">
        <v>45320</v>
      </c>
      <c r="AH280" s="2">
        <v>0.7565277777777778</v>
      </c>
      <c r="AI280">
        <v>0</v>
      </c>
      <c r="AJ280">
        <v>0</v>
      </c>
      <c r="AK280">
        <v>0</v>
      </c>
      <c r="AL280">
        <v>0</v>
      </c>
      <c r="AM280">
        <v>0</v>
      </c>
      <c r="AN280">
        <v>0</v>
      </c>
      <c r="AO280">
        <v>0</v>
      </c>
      <c r="AP280">
        <v>0</v>
      </c>
      <c r="AQ280">
        <v>0</v>
      </c>
      <c r="AR280">
        <v>0</v>
      </c>
      <c r="AS280">
        <v>0</v>
      </c>
      <c r="AT280">
        <v>0</v>
      </c>
      <c r="AU280" s="3">
        <f>AU279</f>
        <v>8.7078400000000009</v>
      </c>
    </row>
    <row r="281" spans="1:47" x14ac:dyDescent="0.25">
      <c r="A281">
        <v>2</v>
      </c>
      <c r="B281" t="s">
        <v>1</v>
      </c>
      <c r="C281">
        <v>27328</v>
      </c>
      <c r="D281">
        <v>224</v>
      </c>
      <c r="E281">
        <v>1</v>
      </c>
      <c r="F281">
        <v>16</v>
      </c>
      <c r="G281" s="16">
        <v>1752.56</v>
      </c>
      <c r="H281" s="3">
        <v>7.7641999999999998</v>
      </c>
      <c r="I281" s="1">
        <v>45322</v>
      </c>
      <c r="J281" s="37">
        <v>0.16745370370370372</v>
      </c>
      <c r="K281">
        <v>0</v>
      </c>
      <c r="L281">
        <v>0</v>
      </c>
      <c r="M281">
        <v>0</v>
      </c>
      <c r="N281">
        <v>0</v>
      </c>
      <c r="O281">
        <v>0</v>
      </c>
      <c r="P281">
        <v>0</v>
      </c>
      <c r="Q281">
        <v>0</v>
      </c>
      <c r="R281">
        <v>0</v>
      </c>
      <c r="S281">
        <v>0</v>
      </c>
      <c r="T281">
        <v>0</v>
      </c>
      <c r="U281">
        <v>0</v>
      </c>
      <c r="V281">
        <v>0</v>
      </c>
      <c r="W281" s="3">
        <f>W280</f>
        <v>8.0431799999999996</v>
      </c>
      <c r="X281" s="30"/>
      <c r="Y281">
        <v>2</v>
      </c>
      <c r="Z281" t="s">
        <v>1</v>
      </c>
      <c r="AA281">
        <v>27328</v>
      </c>
      <c r="AB281">
        <v>224</v>
      </c>
      <c r="AC281">
        <v>1</v>
      </c>
      <c r="AD281">
        <v>16</v>
      </c>
      <c r="AE281" s="16">
        <v>1560.83</v>
      </c>
      <c r="AF281" s="3">
        <v>8.7179000000000002</v>
      </c>
      <c r="AG281" s="1">
        <v>45321</v>
      </c>
      <c r="AH281" s="2">
        <v>0.59001157407407401</v>
      </c>
      <c r="AI281">
        <v>0</v>
      </c>
      <c r="AJ281">
        <v>0</v>
      </c>
      <c r="AK281">
        <v>0</v>
      </c>
      <c r="AL281">
        <v>0</v>
      </c>
      <c r="AM281">
        <v>0</v>
      </c>
      <c r="AN281">
        <v>0</v>
      </c>
      <c r="AO281">
        <v>0</v>
      </c>
      <c r="AP281">
        <v>0</v>
      </c>
      <c r="AQ281">
        <v>0</v>
      </c>
      <c r="AR281">
        <v>0</v>
      </c>
      <c r="AS281">
        <v>0</v>
      </c>
      <c r="AT281">
        <v>0</v>
      </c>
      <c r="AU281" s="3">
        <f>AU280</f>
        <v>8.7078400000000009</v>
      </c>
    </row>
    <row r="282" spans="1:47" x14ac:dyDescent="0.25">
      <c r="A282">
        <v>3</v>
      </c>
      <c r="B282" t="s">
        <v>1</v>
      </c>
      <c r="C282">
        <v>27328</v>
      </c>
      <c r="D282">
        <v>224</v>
      </c>
      <c r="E282">
        <v>1</v>
      </c>
      <c r="F282">
        <v>16</v>
      </c>
      <c r="G282" s="16">
        <v>1753.76</v>
      </c>
      <c r="H282" s="3">
        <v>7.7588999999999997</v>
      </c>
      <c r="I282" s="1">
        <v>45323</v>
      </c>
      <c r="J282" s="37">
        <v>3.7268518518518513E-2</v>
      </c>
      <c r="K282">
        <v>0</v>
      </c>
      <c r="L282">
        <v>0</v>
      </c>
      <c r="M282">
        <v>0</v>
      </c>
      <c r="N282">
        <v>0</v>
      </c>
      <c r="O282">
        <v>0</v>
      </c>
      <c r="P282">
        <v>0</v>
      </c>
      <c r="Q282">
        <v>0</v>
      </c>
      <c r="R282">
        <v>0</v>
      </c>
      <c r="S282">
        <v>0</v>
      </c>
      <c r="T282">
        <v>0</v>
      </c>
      <c r="U282">
        <v>0</v>
      </c>
      <c r="V282">
        <v>0</v>
      </c>
      <c r="W282" s="3">
        <f>W281</f>
        <v>8.0431799999999996</v>
      </c>
      <c r="X282" s="30"/>
      <c r="Y282">
        <v>3</v>
      </c>
      <c r="Z282" t="s">
        <v>1</v>
      </c>
      <c r="AA282">
        <v>27328</v>
      </c>
      <c r="AB282">
        <v>224</v>
      </c>
      <c r="AC282">
        <v>1</v>
      </c>
      <c r="AD282">
        <v>16</v>
      </c>
      <c r="AE282" s="16">
        <v>1562.89</v>
      </c>
      <c r="AF282" s="3">
        <v>8.7064000000000004</v>
      </c>
      <c r="AG282" s="1">
        <v>45322</v>
      </c>
      <c r="AH282" s="2">
        <v>0.42377314814814815</v>
      </c>
      <c r="AI282">
        <v>0</v>
      </c>
      <c r="AJ282">
        <v>0</v>
      </c>
      <c r="AK282">
        <v>0</v>
      </c>
      <c r="AL282">
        <v>0</v>
      </c>
      <c r="AM282">
        <v>0</v>
      </c>
      <c r="AN282">
        <v>0</v>
      </c>
      <c r="AO282">
        <v>0</v>
      </c>
      <c r="AP282">
        <v>0</v>
      </c>
      <c r="AQ282">
        <v>0</v>
      </c>
      <c r="AR282">
        <v>0</v>
      </c>
      <c r="AS282">
        <v>0</v>
      </c>
      <c r="AT282">
        <v>0</v>
      </c>
      <c r="AU282" s="3">
        <f>AU281</f>
        <v>8.7078400000000009</v>
      </c>
    </row>
    <row r="283" spans="1:47" x14ac:dyDescent="0.25">
      <c r="A283">
        <v>4</v>
      </c>
      <c r="B283" t="s">
        <v>1</v>
      </c>
      <c r="C283">
        <v>27328</v>
      </c>
      <c r="D283">
        <v>224</v>
      </c>
      <c r="E283">
        <v>1</v>
      </c>
      <c r="F283">
        <v>16</v>
      </c>
      <c r="G283" s="16">
        <v>1752.62</v>
      </c>
      <c r="H283" s="3">
        <v>7.7638999999999996</v>
      </c>
      <c r="I283" s="1">
        <v>45318</v>
      </c>
      <c r="J283" s="37">
        <v>0.12761574074074075</v>
      </c>
      <c r="K283">
        <v>0</v>
      </c>
      <c r="L283">
        <v>0</v>
      </c>
      <c r="M283">
        <v>0</v>
      </c>
      <c r="N283">
        <v>0</v>
      </c>
      <c r="O283">
        <v>0</v>
      </c>
      <c r="P283">
        <v>0</v>
      </c>
      <c r="Q283">
        <v>0</v>
      </c>
      <c r="R283">
        <v>0</v>
      </c>
      <c r="S283">
        <v>0</v>
      </c>
      <c r="T283">
        <v>0</v>
      </c>
      <c r="U283">
        <v>0</v>
      </c>
      <c r="V283">
        <v>0</v>
      </c>
      <c r="W283" s="3">
        <f>W282</f>
        <v>8.0431799999999996</v>
      </c>
      <c r="X283" s="30"/>
      <c r="Y283">
        <v>4</v>
      </c>
      <c r="Z283" t="s">
        <v>1</v>
      </c>
      <c r="AA283">
        <v>27328</v>
      </c>
      <c r="AB283">
        <v>224</v>
      </c>
      <c r="AC283">
        <v>1</v>
      </c>
      <c r="AD283">
        <v>16</v>
      </c>
      <c r="AE283" s="16">
        <v>1564.69</v>
      </c>
      <c r="AF283" s="3">
        <v>8.6964000000000006</v>
      </c>
      <c r="AG283" s="1">
        <v>45323</v>
      </c>
      <c r="AH283" s="2">
        <v>0.25795138888888886</v>
      </c>
      <c r="AI283">
        <v>0</v>
      </c>
      <c r="AJ283">
        <v>0</v>
      </c>
      <c r="AK283">
        <v>0</v>
      </c>
      <c r="AL283">
        <v>0</v>
      </c>
      <c r="AM283">
        <v>0</v>
      </c>
      <c r="AN283">
        <v>0</v>
      </c>
      <c r="AO283">
        <v>0</v>
      </c>
      <c r="AP283">
        <v>0</v>
      </c>
      <c r="AQ283">
        <v>0</v>
      </c>
      <c r="AR283">
        <v>0</v>
      </c>
      <c r="AS283">
        <v>0</v>
      </c>
      <c r="AT283">
        <v>0</v>
      </c>
      <c r="AU283" s="3">
        <f>AU282</f>
        <v>8.7078400000000009</v>
      </c>
    </row>
    <row r="284" spans="1:47" x14ac:dyDescent="0.25">
      <c r="A284">
        <v>0</v>
      </c>
      <c r="B284" t="s">
        <v>1</v>
      </c>
      <c r="C284">
        <v>28896</v>
      </c>
      <c r="D284">
        <v>224</v>
      </c>
      <c r="E284">
        <v>1</v>
      </c>
      <c r="F284">
        <v>16</v>
      </c>
      <c r="G284" s="16">
        <v>2039.02</v>
      </c>
      <c r="H284" s="3">
        <v>7.8891999999999998</v>
      </c>
      <c r="I284" s="1">
        <v>45321</v>
      </c>
      <c r="J284" s="37">
        <v>1.8981481481481482E-3</v>
      </c>
      <c r="K284">
        <v>0</v>
      </c>
      <c r="L284">
        <v>0</v>
      </c>
      <c r="M284">
        <v>0</v>
      </c>
      <c r="N284">
        <v>0</v>
      </c>
      <c r="O284">
        <v>0</v>
      </c>
      <c r="P284">
        <v>0</v>
      </c>
      <c r="Q284">
        <v>0</v>
      </c>
      <c r="R284">
        <v>0</v>
      </c>
      <c r="S284">
        <v>0</v>
      </c>
      <c r="T284">
        <v>0</v>
      </c>
      <c r="U284">
        <v>0</v>
      </c>
      <c r="V284">
        <v>0</v>
      </c>
      <c r="W284" s="3">
        <f>AVERAGE(H239:H243)</f>
        <v>8.1013800000000007</v>
      </c>
      <c r="X284" s="30"/>
      <c r="Y284">
        <v>0</v>
      </c>
      <c r="Z284" t="s">
        <v>1</v>
      </c>
      <c r="AA284">
        <v>28896</v>
      </c>
      <c r="AB284">
        <v>224</v>
      </c>
      <c r="AC284">
        <v>1</v>
      </c>
      <c r="AD284">
        <v>16</v>
      </c>
      <c r="AE284" s="16">
        <v>1818.85</v>
      </c>
      <c r="AF284" s="3">
        <v>8.8442000000000007</v>
      </c>
      <c r="AG284" s="1">
        <v>45320</v>
      </c>
      <c r="AH284" s="2">
        <v>0.38040509259259259</v>
      </c>
      <c r="AI284">
        <v>0</v>
      </c>
      <c r="AJ284">
        <v>0</v>
      </c>
      <c r="AK284">
        <v>0</v>
      </c>
      <c r="AL284">
        <v>0</v>
      </c>
      <c r="AM284">
        <v>0</v>
      </c>
      <c r="AN284">
        <v>0</v>
      </c>
      <c r="AO284">
        <v>0</v>
      </c>
      <c r="AP284">
        <v>0</v>
      </c>
      <c r="AQ284">
        <v>0</v>
      </c>
      <c r="AR284">
        <v>0</v>
      </c>
      <c r="AS284">
        <v>0</v>
      </c>
      <c r="AT284">
        <v>0</v>
      </c>
      <c r="AU284" s="3">
        <f>AVERAGE(AF284:AF288)</f>
        <v>8.83704</v>
      </c>
    </row>
    <row r="285" spans="1:47" x14ac:dyDescent="0.25">
      <c r="A285">
        <v>1</v>
      </c>
      <c r="B285" t="s">
        <v>1</v>
      </c>
      <c r="C285">
        <v>28896</v>
      </c>
      <c r="D285">
        <v>224</v>
      </c>
      <c r="E285">
        <v>1</v>
      </c>
      <c r="F285">
        <v>16</v>
      </c>
      <c r="G285" s="16">
        <v>2037.88</v>
      </c>
      <c r="H285" s="3">
        <v>7.8936999999999999</v>
      </c>
      <c r="I285" s="1">
        <v>45321</v>
      </c>
      <c r="J285" s="37">
        <v>0.87179398148148157</v>
      </c>
      <c r="K285">
        <v>0</v>
      </c>
      <c r="L285">
        <v>0</v>
      </c>
      <c r="M285">
        <v>0</v>
      </c>
      <c r="N285">
        <v>0</v>
      </c>
      <c r="O285">
        <v>0</v>
      </c>
      <c r="P285">
        <v>0</v>
      </c>
      <c r="Q285">
        <v>0</v>
      </c>
      <c r="R285">
        <v>0</v>
      </c>
      <c r="S285">
        <v>0</v>
      </c>
      <c r="T285">
        <v>0</v>
      </c>
      <c r="U285">
        <v>0</v>
      </c>
      <c r="V285">
        <v>0</v>
      </c>
      <c r="W285" s="3">
        <f>W284</f>
        <v>8.1013800000000007</v>
      </c>
      <c r="X285" s="30"/>
      <c r="Y285">
        <v>1</v>
      </c>
      <c r="Z285" t="s">
        <v>1</v>
      </c>
      <c r="AA285">
        <v>28896</v>
      </c>
      <c r="AB285">
        <v>224</v>
      </c>
      <c r="AC285">
        <v>1</v>
      </c>
      <c r="AD285">
        <v>16</v>
      </c>
      <c r="AE285" s="16">
        <v>1816.34</v>
      </c>
      <c r="AF285" s="3">
        <v>8.8564000000000007</v>
      </c>
      <c r="AG285" s="1">
        <v>45321</v>
      </c>
      <c r="AH285" s="2">
        <v>0.30755787037037036</v>
      </c>
      <c r="AI285">
        <v>0</v>
      </c>
      <c r="AJ285">
        <v>0</v>
      </c>
      <c r="AK285">
        <v>0</v>
      </c>
      <c r="AL285">
        <v>0</v>
      </c>
      <c r="AM285">
        <v>0</v>
      </c>
      <c r="AN285">
        <v>0</v>
      </c>
      <c r="AO285">
        <v>0</v>
      </c>
      <c r="AP285">
        <v>0</v>
      </c>
      <c r="AQ285">
        <v>0</v>
      </c>
      <c r="AR285">
        <v>0</v>
      </c>
      <c r="AS285">
        <v>0</v>
      </c>
      <c r="AT285">
        <v>0</v>
      </c>
      <c r="AU285" s="3">
        <f>AU284</f>
        <v>8.83704</v>
      </c>
    </row>
    <row r="286" spans="1:47" x14ac:dyDescent="0.25">
      <c r="A286">
        <v>2</v>
      </c>
      <c r="B286" t="s">
        <v>1</v>
      </c>
      <c r="C286">
        <v>28896</v>
      </c>
      <c r="D286">
        <v>224</v>
      </c>
      <c r="E286">
        <v>1</v>
      </c>
      <c r="F286">
        <v>16</v>
      </c>
      <c r="G286" s="16">
        <v>2038.83</v>
      </c>
      <c r="H286" s="3">
        <v>7.89</v>
      </c>
      <c r="I286" s="1">
        <v>45322</v>
      </c>
      <c r="J286" s="37">
        <v>0.74160879629629628</v>
      </c>
      <c r="K286">
        <v>0</v>
      </c>
      <c r="L286">
        <v>0</v>
      </c>
      <c r="M286">
        <v>0</v>
      </c>
      <c r="N286">
        <v>0</v>
      </c>
      <c r="O286">
        <v>0</v>
      </c>
      <c r="P286">
        <v>0</v>
      </c>
      <c r="Q286">
        <v>0</v>
      </c>
      <c r="R286">
        <v>0</v>
      </c>
      <c r="S286">
        <v>0</v>
      </c>
      <c r="T286">
        <v>0</v>
      </c>
      <c r="U286">
        <v>0</v>
      </c>
      <c r="V286">
        <v>0</v>
      </c>
      <c r="W286" s="3">
        <f>W285</f>
        <v>8.1013800000000007</v>
      </c>
      <c r="X286" s="30"/>
      <c r="Y286">
        <v>2</v>
      </c>
      <c r="Z286" t="s">
        <v>1</v>
      </c>
      <c r="AA286">
        <v>28896</v>
      </c>
      <c r="AB286">
        <v>224</v>
      </c>
      <c r="AC286">
        <v>1</v>
      </c>
      <c r="AD286">
        <v>16</v>
      </c>
      <c r="AE286" s="16">
        <v>1820.45</v>
      </c>
      <c r="AF286" s="3">
        <v>8.8363999999999994</v>
      </c>
      <c r="AG286" s="1">
        <v>45322</v>
      </c>
      <c r="AH286" s="2">
        <v>0.14150462962962962</v>
      </c>
      <c r="AI286">
        <v>0</v>
      </c>
      <c r="AJ286">
        <v>0</v>
      </c>
      <c r="AK286">
        <v>0</v>
      </c>
      <c r="AL286">
        <v>0</v>
      </c>
      <c r="AM286">
        <v>0</v>
      </c>
      <c r="AN286">
        <v>0</v>
      </c>
      <c r="AO286">
        <v>0</v>
      </c>
      <c r="AP286">
        <v>0</v>
      </c>
      <c r="AQ286">
        <v>0</v>
      </c>
      <c r="AR286">
        <v>0</v>
      </c>
      <c r="AS286">
        <v>0</v>
      </c>
      <c r="AT286">
        <v>0</v>
      </c>
      <c r="AU286" s="3">
        <f>AU285</f>
        <v>8.83704</v>
      </c>
    </row>
    <row r="287" spans="1:47" x14ac:dyDescent="0.25">
      <c r="A287">
        <v>3</v>
      </c>
      <c r="B287" t="s">
        <v>1</v>
      </c>
      <c r="C287">
        <v>28896</v>
      </c>
      <c r="D287">
        <v>224</v>
      </c>
      <c r="E287">
        <v>1</v>
      </c>
      <c r="F287">
        <v>16</v>
      </c>
      <c r="G287" s="16">
        <v>2038.13</v>
      </c>
      <c r="H287" s="3">
        <v>7.8926999999999996</v>
      </c>
      <c r="I287" s="1">
        <v>45323</v>
      </c>
      <c r="J287" s="37">
        <v>0.59849537037037037</v>
      </c>
      <c r="K287">
        <v>0</v>
      </c>
      <c r="L287">
        <v>0</v>
      </c>
      <c r="M287">
        <v>0</v>
      </c>
      <c r="N287">
        <v>0</v>
      </c>
      <c r="O287">
        <v>0</v>
      </c>
      <c r="P287">
        <v>0</v>
      </c>
      <c r="Q287">
        <v>0</v>
      </c>
      <c r="R287">
        <v>0</v>
      </c>
      <c r="S287">
        <v>0</v>
      </c>
      <c r="T287">
        <v>0</v>
      </c>
      <c r="U287">
        <v>0</v>
      </c>
      <c r="V287">
        <v>0</v>
      </c>
      <c r="W287" s="3">
        <f>W286</f>
        <v>8.1013800000000007</v>
      </c>
      <c r="X287" s="30"/>
      <c r="Y287">
        <v>3</v>
      </c>
      <c r="Z287" t="s">
        <v>1</v>
      </c>
      <c r="AA287">
        <v>28896</v>
      </c>
      <c r="AB287">
        <v>224</v>
      </c>
      <c r="AC287">
        <v>1</v>
      </c>
      <c r="AD287">
        <v>16</v>
      </c>
      <c r="AE287" s="16">
        <v>1826.65</v>
      </c>
      <c r="AF287" s="3">
        <v>8.8064</v>
      </c>
      <c r="AG287" s="1">
        <v>45322</v>
      </c>
      <c r="AH287" s="2">
        <v>0.97552083333333339</v>
      </c>
      <c r="AI287">
        <v>0</v>
      </c>
      <c r="AJ287">
        <v>0</v>
      </c>
      <c r="AK287">
        <v>0</v>
      </c>
      <c r="AL287">
        <v>0</v>
      </c>
      <c r="AM287">
        <v>0</v>
      </c>
      <c r="AN287">
        <v>0</v>
      </c>
      <c r="AO287">
        <v>0</v>
      </c>
      <c r="AP287">
        <v>0</v>
      </c>
      <c r="AQ287">
        <v>0</v>
      </c>
      <c r="AR287">
        <v>0</v>
      </c>
      <c r="AS287">
        <v>0</v>
      </c>
      <c r="AT287">
        <v>0</v>
      </c>
      <c r="AU287" s="3">
        <f>AU286</f>
        <v>8.83704</v>
      </c>
    </row>
    <row r="288" spans="1:47" x14ac:dyDescent="0.25">
      <c r="A288">
        <v>4</v>
      </c>
      <c r="B288" t="s">
        <v>1</v>
      </c>
      <c r="C288">
        <v>28896</v>
      </c>
      <c r="D288">
        <v>224</v>
      </c>
      <c r="E288">
        <v>1</v>
      </c>
      <c r="F288">
        <v>16</v>
      </c>
      <c r="G288" s="16">
        <v>2037.64</v>
      </c>
      <c r="H288" s="3">
        <v>7.8944999999999999</v>
      </c>
      <c r="I288" s="1">
        <v>45318</v>
      </c>
      <c r="J288" s="37">
        <v>0.70166666666666666</v>
      </c>
      <c r="K288">
        <v>0</v>
      </c>
      <c r="L288">
        <v>0</v>
      </c>
      <c r="M288">
        <v>0</v>
      </c>
      <c r="N288">
        <v>0</v>
      </c>
      <c r="O288">
        <v>0</v>
      </c>
      <c r="P288">
        <v>0</v>
      </c>
      <c r="Q288">
        <v>0</v>
      </c>
      <c r="R288">
        <v>0</v>
      </c>
      <c r="S288">
        <v>0</v>
      </c>
      <c r="T288">
        <v>0</v>
      </c>
      <c r="U288">
        <v>0</v>
      </c>
      <c r="V288">
        <v>0</v>
      </c>
      <c r="W288" s="3">
        <f>W287</f>
        <v>8.1013800000000007</v>
      </c>
      <c r="X288" s="30"/>
      <c r="Y288">
        <v>4</v>
      </c>
      <c r="Z288" t="s">
        <v>1</v>
      </c>
      <c r="AA288">
        <v>28896</v>
      </c>
      <c r="AB288">
        <v>224</v>
      </c>
      <c r="AC288">
        <v>1</v>
      </c>
      <c r="AD288">
        <v>16</v>
      </c>
      <c r="AE288" s="16">
        <v>1819.34</v>
      </c>
      <c r="AF288" s="3">
        <v>8.8417999999999992</v>
      </c>
      <c r="AG288" s="1">
        <v>45323</v>
      </c>
      <c r="AH288" s="2">
        <v>0.8099884259259259</v>
      </c>
      <c r="AI288">
        <v>0</v>
      </c>
      <c r="AJ288">
        <v>0</v>
      </c>
      <c r="AK288">
        <v>0</v>
      </c>
      <c r="AL288">
        <v>0</v>
      </c>
      <c r="AM288">
        <v>0</v>
      </c>
      <c r="AN288">
        <v>0</v>
      </c>
      <c r="AO288">
        <v>0</v>
      </c>
      <c r="AP288">
        <v>0</v>
      </c>
      <c r="AQ288">
        <v>0</v>
      </c>
      <c r="AR288">
        <v>0</v>
      </c>
      <c r="AS288">
        <v>0</v>
      </c>
      <c r="AT288">
        <v>0</v>
      </c>
      <c r="AU288" s="3">
        <f>AU287</f>
        <v>8.83704</v>
      </c>
    </row>
    <row r="289" spans="1:47" x14ac:dyDescent="0.25">
      <c r="A289">
        <v>0</v>
      </c>
      <c r="B289" t="s">
        <v>1</v>
      </c>
      <c r="C289">
        <v>25984</v>
      </c>
      <c r="D289">
        <v>224</v>
      </c>
      <c r="E289">
        <v>2</v>
      </c>
      <c r="F289">
        <v>8</v>
      </c>
      <c r="G289" s="16">
        <v>1402.35</v>
      </c>
      <c r="H289" s="3">
        <v>8.3407999999999998</v>
      </c>
      <c r="I289" s="1">
        <v>45320</v>
      </c>
      <c r="J289" s="37">
        <v>0.69447916666666665</v>
      </c>
      <c r="K289">
        <v>0</v>
      </c>
      <c r="L289">
        <v>0</v>
      </c>
      <c r="M289">
        <v>0</v>
      </c>
      <c r="N289">
        <v>0</v>
      </c>
      <c r="O289">
        <v>0</v>
      </c>
      <c r="P289">
        <v>0</v>
      </c>
      <c r="Q289">
        <v>0</v>
      </c>
      <c r="R289">
        <v>0</v>
      </c>
      <c r="S289">
        <v>0</v>
      </c>
      <c r="T289">
        <v>0</v>
      </c>
      <c r="U289">
        <v>0</v>
      </c>
      <c r="V289">
        <v>0</v>
      </c>
      <c r="W289" s="3">
        <f>AVERAGE(H244:H248)</f>
        <v>8.4481199999999994</v>
      </c>
      <c r="X289" s="30"/>
      <c r="Y289">
        <v>0</v>
      </c>
      <c r="Z289" t="s">
        <v>1</v>
      </c>
      <c r="AA289">
        <v>25984</v>
      </c>
      <c r="AB289">
        <v>224</v>
      </c>
      <c r="AC289">
        <v>2</v>
      </c>
      <c r="AD289">
        <v>8</v>
      </c>
      <c r="AE289" s="16">
        <v>1259.19</v>
      </c>
      <c r="AF289" s="3">
        <v>9.2890999999999995</v>
      </c>
      <c r="AG289" s="1">
        <v>45320</v>
      </c>
      <c r="AH289" s="2">
        <v>8.6041666666666669E-2</v>
      </c>
      <c r="AI289">
        <v>0</v>
      </c>
      <c r="AJ289">
        <v>0</v>
      </c>
      <c r="AK289">
        <v>0</v>
      </c>
      <c r="AL289">
        <v>0</v>
      </c>
      <c r="AM289">
        <v>0</v>
      </c>
      <c r="AN289">
        <v>0</v>
      </c>
      <c r="AO289">
        <v>0</v>
      </c>
      <c r="AP289">
        <v>0</v>
      </c>
      <c r="AQ289">
        <v>0</v>
      </c>
      <c r="AR289">
        <v>0</v>
      </c>
      <c r="AS289">
        <v>0</v>
      </c>
      <c r="AT289">
        <v>0</v>
      </c>
      <c r="AU289" s="3">
        <f>AVERAGE(AF289:AF293)</f>
        <v>9.28322</v>
      </c>
    </row>
    <row r="290" spans="1:47" x14ac:dyDescent="0.25">
      <c r="A290">
        <v>1</v>
      </c>
      <c r="B290" t="s">
        <v>1</v>
      </c>
      <c r="C290">
        <v>25984</v>
      </c>
      <c r="D290">
        <v>224</v>
      </c>
      <c r="E290">
        <v>2</v>
      </c>
      <c r="F290">
        <v>8</v>
      </c>
      <c r="G290" s="16">
        <v>1403.02</v>
      </c>
      <c r="H290" s="3">
        <v>8.3368000000000002</v>
      </c>
      <c r="I290" s="1">
        <v>45321</v>
      </c>
      <c r="J290" s="37">
        <v>0.56434027777777784</v>
      </c>
      <c r="K290">
        <v>0</v>
      </c>
      <c r="L290">
        <v>0</v>
      </c>
      <c r="M290">
        <v>0</v>
      </c>
      <c r="N290">
        <v>0</v>
      </c>
      <c r="O290">
        <v>0</v>
      </c>
      <c r="P290">
        <v>0</v>
      </c>
      <c r="Q290">
        <v>0</v>
      </c>
      <c r="R290">
        <v>0</v>
      </c>
      <c r="S290">
        <v>0</v>
      </c>
      <c r="T290">
        <v>0</v>
      </c>
      <c r="U290">
        <v>0</v>
      </c>
      <c r="V290">
        <v>0</v>
      </c>
      <c r="W290" s="3">
        <f>W289</f>
        <v>8.4481199999999994</v>
      </c>
      <c r="X290" s="30"/>
      <c r="Y290">
        <v>1</v>
      </c>
      <c r="Z290" t="s">
        <v>1</v>
      </c>
      <c r="AA290">
        <v>25984</v>
      </c>
      <c r="AB290">
        <v>224</v>
      </c>
      <c r="AC290">
        <v>2</v>
      </c>
      <c r="AD290">
        <v>8</v>
      </c>
      <c r="AE290" s="16">
        <v>1254.2</v>
      </c>
      <c r="AF290" s="3">
        <v>9.3260000000000005</v>
      </c>
      <c r="AG290" s="1">
        <v>45321</v>
      </c>
      <c r="AH290" s="2">
        <v>1.3310185185185187E-2</v>
      </c>
      <c r="AI290">
        <v>0</v>
      </c>
      <c r="AJ290">
        <v>0</v>
      </c>
      <c r="AK290">
        <v>0</v>
      </c>
      <c r="AL290">
        <v>0</v>
      </c>
      <c r="AM290">
        <v>0</v>
      </c>
      <c r="AN290">
        <v>0</v>
      </c>
      <c r="AO290">
        <v>0</v>
      </c>
      <c r="AP290">
        <v>0</v>
      </c>
      <c r="AQ290">
        <v>0</v>
      </c>
      <c r="AR290">
        <v>0</v>
      </c>
      <c r="AS290">
        <v>0</v>
      </c>
      <c r="AT290">
        <v>0</v>
      </c>
      <c r="AU290" s="3">
        <f>AU289</f>
        <v>9.28322</v>
      </c>
    </row>
    <row r="291" spans="1:47" x14ac:dyDescent="0.25">
      <c r="A291">
        <v>2</v>
      </c>
      <c r="B291" t="s">
        <v>1</v>
      </c>
      <c r="C291">
        <v>25984</v>
      </c>
      <c r="D291">
        <v>224</v>
      </c>
      <c r="E291">
        <v>2</v>
      </c>
      <c r="F291">
        <v>8</v>
      </c>
      <c r="G291" s="16">
        <v>1402.69</v>
      </c>
      <c r="H291" s="3">
        <v>8.3388000000000009</v>
      </c>
      <c r="I291" s="1">
        <v>45322</v>
      </c>
      <c r="J291" s="37">
        <v>0.43418981481481483</v>
      </c>
      <c r="K291">
        <v>0</v>
      </c>
      <c r="L291">
        <v>0</v>
      </c>
      <c r="M291">
        <v>0</v>
      </c>
      <c r="N291">
        <v>0</v>
      </c>
      <c r="O291">
        <v>0</v>
      </c>
      <c r="P291">
        <v>0</v>
      </c>
      <c r="Q291">
        <v>0</v>
      </c>
      <c r="R291">
        <v>0</v>
      </c>
      <c r="S291">
        <v>0</v>
      </c>
      <c r="T291">
        <v>0</v>
      </c>
      <c r="U291">
        <v>0</v>
      </c>
      <c r="V291">
        <v>0</v>
      </c>
      <c r="W291" s="3">
        <f>W290</f>
        <v>8.4481199999999994</v>
      </c>
      <c r="X291" s="30"/>
      <c r="Y291">
        <v>2</v>
      </c>
      <c r="Z291" t="s">
        <v>1</v>
      </c>
      <c r="AA291">
        <v>25984</v>
      </c>
      <c r="AB291">
        <v>224</v>
      </c>
      <c r="AC291">
        <v>2</v>
      </c>
      <c r="AD291">
        <v>8</v>
      </c>
      <c r="AE291" s="16">
        <v>1262.67</v>
      </c>
      <c r="AF291" s="3">
        <v>9.2635000000000005</v>
      </c>
      <c r="AG291" s="1">
        <v>45321</v>
      </c>
      <c r="AH291" s="2">
        <v>0.8469444444444445</v>
      </c>
      <c r="AI291">
        <v>0</v>
      </c>
      <c r="AJ291">
        <v>0</v>
      </c>
      <c r="AK291">
        <v>0</v>
      </c>
      <c r="AL291">
        <v>0</v>
      </c>
      <c r="AM291">
        <v>0</v>
      </c>
      <c r="AN291">
        <v>0</v>
      </c>
      <c r="AO291">
        <v>0</v>
      </c>
      <c r="AP291">
        <v>0</v>
      </c>
      <c r="AQ291">
        <v>0</v>
      </c>
      <c r="AR291">
        <v>0</v>
      </c>
      <c r="AS291">
        <v>0</v>
      </c>
      <c r="AT291">
        <v>0</v>
      </c>
      <c r="AU291" s="3">
        <f>AU290</f>
        <v>9.28322</v>
      </c>
    </row>
    <row r="292" spans="1:47" x14ac:dyDescent="0.25">
      <c r="A292">
        <v>3</v>
      </c>
      <c r="B292" t="s">
        <v>1</v>
      </c>
      <c r="C292">
        <v>25984</v>
      </c>
      <c r="D292">
        <v>224</v>
      </c>
      <c r="E292">
        <v>2</v>
      </c>
      <c r="F292">
        <v>8</v>
      </c>
      <c r="G292" s="16">
        <v>1403.43</v>
      </c>
      <c r="H292" s="3">
        <v>8.3344000000000005</v>
      </c>
      <c r="I292" s="1">
        <v>45323</v>
      </c>
      <c r="J292" s="37">
        <v>0.29105324074074074</v>
      </c>
      <c r="K292">
        <v>0</v>
      </c>
      <c r="L292">
        <v>0</v>
      </c>
      <c r="M292">
        <v>0</v>
      </c>
      <c r="N292">
        <v>0</v>
      </c>
      <c r="O292">
        <v>0</v>
      </c>
      <c r="P292">
        <v>0</v>
      </c>
      <c r="Q292">
        <v>0</v>
      </c>
      <c r="R292">
        <v>0</v>
      </c>
      <c r="S292">
        <v>0</v>
      </c>
      <c r="T292">
        <v>0</v>
      </c>
      <c r="U292">
        <v>0</v>
      </c>
      <c r="V292">
        <v>0</v>
      </c>
      <c r="W292" s="3">
        <f>W291</f>
        <v>8.4481199999999994</v>
      </c>
      <c r="X292" s="30"/>
      <c r="Y292">
        <v>3</v>
      </c>
      <c r="Z292" t="s">
        <v>1</v>
      </c>
      <c r="AA292">
        <v>25984</v>
      </c>
      <c r="AB292">
        <v>224</v>
      </c>
      <c r="AC292">
        <v>2</v>
      </c>
      <c r="AD292">
        <v>8</v>
      </c>
      <c r="AE292" s="16">
        <v>1256.83</v>
      </c>
      <c r="AF292" s="3">
        <v>9.3064999999999998</v>
      </c>
      <c r="AG292" s="1">
        <v>45322</v>
      </c>
      <c r="AH292" s="2">
        <v>0.68098379629629635</v>
      </c>
      <c r="AI292">
        <v>0</v>
      </c>
      <c r="AJ292">
        <v>0</v>
      </c>
      <c r="AK292">
        <v>0</v>
      </c>
      <c r="AL292">
        <v>0</v>
      </c>
      <c r="AM292">
        <v>0</v>
      </c>
      <c r="AN292">
        <v>0</v>
      </c>
      <c r="AO292">
        <v>0</v>
      </c>
      <c r="AP292">
        <v>0</v>
      </c>
      <c r="AQ292">
        <v>0</v>
      </c>
      <c r="AR292">
        <v>0</v>
      </c>
      <c r="AS292">
        <v>0</v>
      </c>
      <c r="AT292">
        <v>0</v>
      </c>
      <c r="AU292" s="3">
        <f>AU291</f>
        <v>9.28322</v>
      </c>
    </row>
    <row r="293" spans="1:47" x14ac:dyDescent="0.25">
      <c r="A293">
        <v>4</v>
      </c>
      <c r="B293" t="s">
        <v>1</v>
      </c>
      <c r="C293">
        <v>25984</v>
      </c>
      <c r="D293">
        <v>224</v>
      </c>
      <c r="E293">
        <v>2</v>
      </c>
      <c r="F293">
        <v>8</v>
      </c>
      <c r="G293" s="16">
        <v>1402.71</v>
      </c>
      <c r="H293" s="3">
        <v>8.3386999999999993</v>
      </c>
      <c r="I293" s="1">
        <v>45318</v>
      </c>
      <c r="J293" s="37">
        <v>0.39435185185185184</v>
      </c>
      <c r="K293">
        <v>0</v>
      </c>
      <c r="L293">
        <v>0</v>
      </c>
      <c r="M293">
        <v>0</v>
      </c>
      <c r="N293">
        <v>0</v>
      </c>
      <c r="O293">
        <v>0</v>
      </c>
      <c r="P293">
        <v>0</v>
      </c>
      <c r="Q293">
        <v>0</v>
      </c>
      <c r="R293">
        <v>0</v>
      </c>
      <c r="S293">
        <v>0</v>
      </c>
      <c r="T293">
        <v>0</v>
      </c>
      <c r="U293">
        <v>0</v>
      </c>
      <c r="V293">
        <v>0</v>
      </c>
      <c r="W293" s="3">
        <f>W292</f>
        <v>8.4481199999999994</v>
      </c>
      <c r="X293" s="30"/>
      <c r="Y293">
        <v>4</v>
      </c>
      <c r="Z293" t="s">
        <v>1</v>
      </c>
      <c r="AA293">
        <v>25984</v>
      </c>
      <c r="AB293">
        <v>224</v>
      </c>
      <c r="AC293">
        <v>2</v>
      </c>
      <c r="AD293">
        <v>8</v>
      </c>
      <c r="AE293" s="16">
        <v>1267.1199999999999</v>
      </c>
      <c r="AF293" s="3">
        <v>9.2309999999999999</v>
      </c>
      <c r="AG293" s="1">
        <v>45323</v>
      </c>
      <c r="AH293" s="2">
        <v>0.51523148148148146</v>
      </c>
      <c r="AI293">
        <v>0</v>
      </c>
      <c r="AJ293">
        <v>0</v>
      </c>
      <c r="AK293">
        <v>0</v>
      </c>
      <c r="AL293">
        <v>0</v>
      </c>
      <c r="AM293">
        <v>0</v>
      </c>
      <c r="AN293">
        <v>0</v>
      </c>
      <c r="AO293">
        <v>0</v>
      </c>
      <c r="AP293">
        <v>0</v>
      </c>
      <c r="AQ293">
        <v>0</v>
      </c>
      <c r="AR293">
        <v>0</v>
      </c>
      <c r="AS293">
        <v>0</v>
      </c>
      <c r="AT293">
        <v>0</v>
      </c>
      <c r="AU293" s="3">
        <f>AU292</f>
        <v>9.28322</v>
      </c>
    </row>
    <row r="294" spans="1:47" x14ac:dyDescent="0.25">
      <c r="A294">
        <v>0</v>
      </c>
      <c r="B294" t="s">
        <v>1</v>
      </c>
      <c r="C294">
        <v>27328</v>
      </c>
      <c r="D294">
        <v>224</v>
      </c>
      <c r="E294">
        <v>2</v>
      </c>
      <c r="F294">
        <v>8</v>
      </c>
      <c r="G294" s="16">
        <v>1618.23</v>
      </c>
      <c r="H294" s="3">
        <v>8.4086999999999996</v>
      </c>
      <c r="I294" s="1">
        <v>45320</v>
      </c>
      <c r="J294" s="37">
        <v>0.4468287037037037</v>
      </c>
      <c r="K294">
        <v>0</v>
      </c>
      <c r="L294">
        <v>0</v>
      </c>
      <c r="M294">
        <v>0</v>
      </c>
      <c r="N294">
        <v>0</v>
      </c>
      <c r="O294">
        <v>0</v>
      </c>
      <c r="P294">
        <v>0</v>
      </c>
      <c r="Q294">
        <v>0</v>
      </c>
      <c r="R294">
        <v>0</v>
      </c>
      <c r="S294">
        <v>0</v>
      </c>
      <c r="T294">
        <v>0</v>
      </c>
      <c r="U294">
        <v>0</v>
      </c>
      <c r="V294">
        <v>0</v>
      </c>
      <c r="W294" s="3">
        <f>AVERAGE(H249:H253)</f>
        <v>8.428700000000001</v>
      </c>
      <c r="X294" s="30"/>
      <c r="Y294">
        <v>0</v>
      </c>
      <c r="Z294" t="s">
        <v>1</v>
      </c>
      <c r="AA294">
        <v>27328</v>
      </c>
      <c r="AB294">
        <v>224</v>
      </c>
      <c r="AC294">
        <v>2</v>
      </c>
      <c r="AD294">
        <v>8</v>
      </c>
      <c r="AE294" s="16">
        <v>1449.52</v>
      </c>
      <c r="AF294" s="3">
        <v>9.3873999999999995</v>
      </c>
      <c r="AG294" s="1">
        <v>45319</v>
      </c>
      <c r="AH294" s="2">
        <v>0.84775462962962955</v>
      </c>
      <c r="AI294">
        <v>0</v>
      </c>
      <c r="AJ294">
        <v>0</v>
      </c>
      <c r="AK294">
        <v>0</v>
      </c>
      <c r="AL294">
        <v>0</v>
      </c>
      <c r="AM294">
        <v>0</v>
      </c>
      <c r="AN294">
        <v>0</v>
      </c>
      <c r="AO294">
        <v>0</v>
      </c>
      <c r="AP294">
        <v>0</v>
      </c>
      <c r="AQ294">
        <v>0</v>
      </c>
      <c r="AR294">
        <v>0</v>
      </c>
      <c r="AS294">
        <v>0</v>
      </c>
      <c r="AT294">
        <v>0</v>
      </c>
      <c r="AU294" s="3">
        <f>AVERAGE(AF294:AF298)</f>
        <v>9.3772400000000005</v>
      </c>
    </row>
    <row r="295" spans="1:47" x14ac:dyDescent="0.25">
      <c r="A295">
        <v>1</v>
      </c>
      <c r="B295" t="s">
        <v>1</v>
      </c>
      <c r="C295">
        <v>27328</v>
      </c>
      <c r="D295">
        <v>224</v>
      </c>
      <c r="E295">
        <v>2</v>
      </c>
      <c r="F295">
        <v>8</v>
      </c>
      <c r="G295" s="16">
        <v>1618.25</v>
      </c>
      <c r="H295" s="3">
        <v>8.4085999999999999</v>
      </c>
      <c r="I295" s="1">
        <v>45321</v>
      </c>
      <c r="J295" s="37">
        <v>0.31666666666666665</v>
      </c>
      <c r="K295">
        <v>0</v>
      </c>
      <c r="L295">
        <v>0</v>
      </c>
      <c r="M295">
        <v>0</v>
      </c>
      <c r="N295">
        <v>0</v>
      </c>
      <c r="O295">
        <v>0</v>
      </c>
      <c r="P295">
        <v>0</v>
      </c>
      <c r="Q295">
        <v>0</v>
      </c>
      <c r="R295">
        <v>0</v>
      </c>
      <c r="S295">
        <v>0</v>
      </c>
      <c r="T295">
        <v>0</v>
      </c>
      <c r="U295">
        <v>0</v>
      </c>
      <c r="V295">
        <v>0</v>
      </c>
      <c r="W295" s="3">
        <f>W294</f>
        <v>8.428700000000001</v>
      </c>
      <c r="X295" s="30"/>
      <c r="Y295">
        <v>1</v>
      </c>
      <c r="Z295" t="s">
        <v>1</v>
      </c>
      <c r="AA295">
        <v>27328</v>
      </c>
      <c r="AB295">
        <v>224</v>
      </c>
      <c r="AC295">
        <v>2</v>
      </c>
      <c r="AD295">
        <v>8</v>
      </c>
      <c r="AE295" s="16">
        <v>1447.82</v>
      </c>
      <c r="AF295" s="3">
        <v>9.3984000000000005</v>
      </c>
      <c r="AG295" s="1">
        <v>45320</v>
      </c>
      <c r="AH295" s="2">
        <v>0.77481481481481485</v>
      </c>
      <c r="AI295">
        <v>0</v>
      </c>
      <c r="AJ295">
        <v>0</v>
      </c>
      <c r="AK295">
        <v>0</v>
      </c>
      <c r="AL295">
        <v>0</v>
      </c>
      <c r="AM295">
        <v>0</v>
      </c>
      <c r="AN295">
        <v>0</v>
      </c>
      <c r="AO295">
        <v>0</v>
      </c>
      <c r="AP295">
        <v>0</v>
      </c>
      <c r="AQ295">
        <v>0</v>
      </c>
      <c r="AR295">
        <v>0</v>
      </c>
      <c r="AS295">
        <v>0</v>
      </c>
      <c r="AT295">
        <v>0</v>
      </c>
      <c r="AU295" s="3">
        <f>AU294</f>
        <v>9.3772400000000005</v>
      </c>
    </row>
    <row r="296" spans="1:47" x14ac:dyDescent="0.25">
      <c r="A296">
        <v>2</v>
      </c>
      <c r="B296" t="s">
        <v>1</v>
      </c>
      <c r="C296">
        <v>27328</v>
      </c>
      <c r="D296">
        <v>224</v>
      </c>
      <c r="E296">
        <v>2</v>
      </c>
      <c r="F296">
        <v>8</v>
      </c>
      <c r="G296" s="16">
        <v>1618.45</v>
      </c>
      <c r="H296" s="3">
        <v>8.4076000000000004</v>
      </c>
      <c r="I296" s="1">
        <v>45322</v>
      </c>
      <c r="J296" s="37">
        <v>0.18653935185185186</v>
      </c>
      <c r="K296">
        <v>0</v>
      </c>
      <c r="L296">
        <v>0</v>
      </c>
      <c r="M296">
        <v>0</v>
      </c>
      <c r="N296">
        <v>0</v>
      </c>
      <c r="O296">
        <v>0</v>
      </c>
      <c r="P296">
        <v>0</v>
      </c>
      <c r="Q296">
        <v>0</v>
      </c>
      <c r="R296">
        <v>0</v>
      </c>
      <c r="S296">
        <v>0</v>
      </c>
      <c r="T296">
        <v>0</v>
      </c>
      <c r="U296">
        <v>0</v>
      </c>
      <c r="V296">
        <v>0</v>
      </c>
      <c r="W296" s="3">
        <f>W295</f>
        <v>8.428700000000001</v>
      </c>
      <c r="X296" s="30"/>
      <c r="Y296">
        <v>2</v>
      </c>
      <c r="Z296" t="s">
        <v>1</v>
      </c>
      <c r="AA296">
        <v>27328</v>
      </c>
      <c r="AB296">
        <v>224</v>
      </c>
      <c r="AC296">
        <v>2</v>
      </c>
      <c r="AD296">
        <v>8</v>
      </c>
      <c r="AE296" s="16">
        <v>1456.33</v>
      </c>
      <c r="AF296" s="3">
        <v>9.3435000000000006</v>
      </c>
      <c r="AG296" s="1">
        <v>45321</v>
      </c>
      <c r="AH296" s="2">
        <v>0.6083912037037037</v>
      </c>
      <c r="AI296">
        <v>0</v>
      </c>
      <c r="AJ296">
        <v>0</v>
      </c>
      <c r="AK296">
        <v>0</v>
      </c>
      <c r="AL296">
        <v>0</v>
      </c>
      <c r="AM296">
        <v>0</v>
      </c>
      <c r="AN296">
        <v>0</v>
      </c>
      <c r="AO296">
        <v>0</v>
      </c>
      <c r="AP296">
        <v>0</v>
      </c>
      <c r="AQ296">
        <v>0</v>
      </c>
      <c r="AR296">
        <v>0</v>
      </c>
      <c r="AS296">
        <v>0</v>
      </c>
      <c r="AT296">
        <v>0</v>
      </c>
      <c r="AU296" s="3">
        <f>AU295</f>
        <v>9.3772400000000005</v>
      </c>
    </row>
    <row r="297" spans="1:47" x14ac:dyDescent="0.25">
      <c r="A297">
        <v>3</v>
      </c>
      <c r="B297" t="s">
        <v>1</v>
      </c>
      <c r="C297">
        <v>27328</v>
      </c>
      <c r="D297">
        <v>224</v>
      </c>
      <c r="E297">
        <v>2</v>
      </c>
      <c r="F297">
        <v>8</v>
      </c>
      <c r="G297" s="16">
        <v>1618.83</v>
      </c>
      <c r="H297" s="3">
        <v>8.4055999999999997</v>
      </c>
      <c r="I297" s="1">
        <v>45323</v>
      </c>
      <c r="J297" s="37">
        <v>5.635416666666667E-2</v>
      </c>
      <c r="K297">
        <v>0</v>
      </c>
      <c r="L297">
        <v>0</v>
      </c>
      <c r="M297">
        <v>0</v>
      </c>
      <c r="N297">
        <v>0</v>
      </c>
      <c r="O297">
        <v>0</v>
      </c>
      <c r="P297">
        <v>0</v>
      </c>
      <c r="Q297">
        <v>0</v>
      </c>
      <c r="R297">
        <v>0</v>
      </c>
      <c r="S297">
        <v>0</v>
      </c>
      <c r="T297">
        <v>0</v>
      </c>
      <c r="U297">
        <v>0</v>
      </c>
      <c r="V297">
        <v>0</v>
      </c>
      <c r="W297" s="3">
        <f>W296</f>
        <v>8.428700000000001</v>
      </c>
      <c r="X297" s="30"/>
      <c r="Y297">
        <v>3</v>
      </c>
      <c r="Z297" t="s">
        <v>1</v>
      </c>
      <c r="AA297">
        <v>27328</v>
      </c>
      <c r="AB297">
        <v>224</v>
      </c>
      <c r="AC297">
        <v>2</v>
      </c>
      <c r="AD297">
        <v>8</v>
      </c>
      <c r="AE297" s="16">
        <v>1448.96</v>
      </c>
      <c r="AF297" s="3">
        <v>9.391</v>
      </c>
      <c r="AG297" s="1">
        <v>45322</v>
      </c>
      <c r="AH297" s="2">
        <v>0.44207175925925929</v>
      </c>
      <c r="AI297">
        <v>0</v>
      </c>
      <c r="AJ297">
        <v>0</v>
      </c>
      <c r="AK297">
        <v>0</v>
      </c>
      <c r="AL297">
        <v>0</v>
      </c>
      <c r="AM297">
        <v>0</v>
      </c>
      <c r="AN297">
        <v>0</v>
      </c>
      <c r="AO297">
        <v>0</v>
      </c>
      <c r="AP297">
        <v>0</v>
      </c>
      <c r="AQ297">
        <v>0</v>
      </c>
      <c r="AR297">
        <v>0</v>
      </c>
      <c r="AS297">
        <v>0</v>
      </c>
      <c r="AT297">
        <v>0</v>
      </c>
      <c r="AU297" s="3">
        <f>AU296</f>
        <v>9.3772400000000005</v>
      </c>
    </row>
    <row r="298" spans="1:47" x14ac:dyDescent="0.25">
      <c r="A298">
        <v>4</v>
      </c>
      <c r="B298" t="s">
        <v>1</v>
      </c>
      <c r="C298">
        <v>27328</v>
      </c>
      <c r="D298">
        <v>224</v>
      </c>
      <c r="E298">
        <v>2</v>
      </c>
      <c r="F298">
        <v>8</v>
      </c>
      <c r="G298" s="16">
        <v>1617.67</v>
      </c>
      <c r="H298" s="3">
        <v>8.4116</v>
      </c>
      <c r="I298" s="1">
        <v>45318</v>
      </c>
      <c r="J298" s="37">
        <v>0.14668981481481483</v>
      </c>
      <c r="K298">
        <v>0</v>
      </c>
      <c r="L298">
        <v>0</v>
      </c>
      <c r="M298">
        <v>0</v>
      </c>
      <c r="N298">
        <v>0</v>
      </c>
      <c r="O298">
        <v>0</v>
      </c>
      <c r="P298">
        <v>0</v>
      </c>
      <c r="Q298">
        <v>0</v>
      </c>
      <c r="R298">
        <v>0</v>
      </c>
      <c r="S298">
        <v>0</v>
      </c>
      <c r="T298">
        <v>0</v>
      </c>
      <c r="U298">
        <v>0</v>
      </c>
      <c r="V298">
        <v>0</v>
      </c>
      <c r="W298" s="3">
        <f>W297</f>
        <v>8.428700000000001</v>
      </c>
      <c r="X298" s="30"/>
      <c r="Y298">
        <v>4</v>
      </c>
      <c r="Z298" t="s">
        <v>1</v>
      </c>
      <c r="AA298">
        <v>27328</v>
      </c>
      <c r="AB298">
        <v>224</v>
      </c>
      <c r="AC298">
        <v>2</v>
      </c>
      <c r="AD298">
        <v>8</v>
      </c>
      <c r="AE298" s="16">
        <v>1452.84</v>
      </c>
      <c r="AF298" s="3">
        <v>9.3658999999999999</v>
      </c>
      <c r="AG298" s="1">
        <v>45323</v>
      </c>
      <c r="AH298" s="2">
        <v>0.27629629629629632</v>
      </c>
      <c r="AI298">
        <v>0</v>
      </c>
      <c r="AJ298">
        <v>0</v>
      </c>
      <c r="AK298">
        <v>0</v>
      </c>
      <c r="AL298">
        <v>0</v>
      </c>
      <c r="AM298">
        <v>0</v>
      </c>
      <c r="AN298">
        <v>0</v>
      </c>
      <c r="AO298">
        <v>0</v>
      </c>
      <c r="AP298">
        <v>0</v>
      </c>
      <c r="AQ298">
        <v>0</v>
      </c>
      <c r="AR298">
        <v>0</v>
      </c>
      <c r="AS298">
        <v>0</v>
      </c>
      <c r="AT298">
        <v>0</v>
      </c>
      <c r="AU298" s="3">
        <f>AU297</f>
        <v>9.3772400000000005</v>
      </c>
    </row>
    <row r="299" spans="1:47" x14ac:dyDescent="0.25">
      <c r="A299">
        <v>0</v>
      </c>
      <c r="B299" t="s">
        <v>1</v>
      </c>
      <c r="C299">
        <v>28896</v>
      </c>
      <c r="D299">
        <v>224</v>
      </c>
      <c r="E299">
        <v>2</v>
      </c>
      <c r="F299">
        <v>8</v>
      </c>
      <c r="G299" s="16">
        <v>1911.24</v>
      </c>
      <c r="H299" s="3">
        <v>8.4167000000000005</v>
      </c>
      <c r="I299" s="1">
        <v>45321</v>
      </c>
      <c r="J299" s="37">
        <v>2.4409722222222222E-2</v>
      </c>
      <c r="K299">
        <v>0</v>
      </c>
      <c r="L299">
        <v>0</v>
      </c>
      <c r="M299">
        <v>0</v>
      </c>
      <c r="N299">
        <v>0</v>
      </c>
      <c r="O299">
        <v>0</v>
      </c>
      <c r="P299">
        <v>0</v>
      </c>
      <c r="Q299">
        <v>0</v>
      </c>
      <c r="R299">
        <v>0</v>
      </c>
      <c r="S299">
        <v>0</v>
      </c>
      <c r="T299">
        <v>0</v>
      </c>
      <c r="U299">
        <v>0</v>
      </c>
      <c r="V299">
        <v>0</v>
      </c>
      <c r="W299" s="3">
        <f>AVERAGE(H254:H258)</f>
        <v>8.5911799999999996</v>
      </c>
      <c r="X299" s="30"/>
      <c r="Y299">
        <v>0</v>
      </c>
      <c r="Z299" t="s">
        <v>1</v>
      </c>
      <c r="AA299">
        <v>28896</v>
      </c>
      <c r="AB299">
        <v>224</v>
      </c>
      <c r="AC299">
        <v>2</v>
      </c>
      <c r="AD299">
        <v>8</v>
      </c>
      <c r="AE299" s="16">
        <v>1698.56</v>
      </c>
      <c r="AF299" s="3">
        <v>9.4704999999999995</v>
      </c>
      <c r="AG299" s="1">
        <v>45320</v>
      </c>
      <c r="AH299" s="2">
        <v>0.40178240740740739</v>
      </c>
      <c r="AI299">
        <v>0</v>
      </c>
      <c r="AJ299">
        <v>0</v>
      </c>
      <c r="AK299">
        <v>0</v>
      </c>
      <c r="AL299">
        <v>0</v>
      </c>
      <c r="AM299">
        <v>0</v>
      </c>
      <c r="AN299">
        <v>0</v>
      </c>
      <c r="AO299">
        <v>0</v>
      </c>
      <c r="AP299">
        <v>0</v>
      </c>
      <c r="AQ299">
        <v>0</v>
      </c>
      <c r="AR299">
        <v>0</v>
      </c>
      <c r="AS299">
        <v>0</v>
      </c>
      <c r="AT299">
        <v>0</v>
      </c>
      <c r="AU299" s="3">
        <f>AVERAGE(AF299:AF303)</f>
        <v>9.4601800000000011</v>
      </c>
    </row>
    <row r="300" spans="1:47" x14ac:dyDescent="0.25">
      <c r="A300">
        <v>1</v>
      </c>
      <c r="B300" t="s">
        <v>1</v>
      </c>
      <c r="C300">
        <v>28896</v>
      </c>
      <c r="D300">
        <v>224</v>
      </c>
      <c r="E300">
        <v>2</v>
      </c>
      <c r="F300">
        <v>8</v>
      </c>
      <c r="G300" s="16">
        <v>1913.08</v>
      </c>
      <c r="H300" s="3">
        <v>8.4085999999999999</v>
      </c>
      <c r="I300" s="1">
        <v>45321</v>
      </c>
      <c r="J300" s="37">
        <v>0.89432870370370365</v>
      </c>
      <c r="K300">
        <v>0</v>
      </c>
      <c r="L300">
        <v>0</v>
      </c>
      <c r="M300">
        <v>0</v>
      </c>
      <c r="N300">
        <v>0</v>
      </c>
      <c r="O300">
        <v>0</v>
      </c>
      <c r="P300">
        <v>0</v>
      </c>
      <c r="Q300">
        <v>0</v>
      </c>
      <c r="R300">
        <v>0</v>
      </c>
      <c r="S300">
        <v>0</v>
      </c>
      <c r="T300">
        <v>0</v>
      </c>
      <c r="U300">
        <v>0</v>
      </c>
      <c r="V300">
        <v>0</v>
      </c>
      <c r="W300" s="3">
        <f>W299</f>
        <v>8.5911799999999996</v>
      </c>
      <c r="X300" s="30"/>
      <c r="Y300">
        <v>1</v>
      </c>
      <c r="Z300" t="s">
        <v>1</v>
      </c>
      <c r="AA300">
        <v>28896</v>
      </c>
      <c r="AB300">
        <v>224</v>
      </c>
      <c r="AC300">
        <v>2</v>
      </c>
      <c r="AD300">
        <v>8</v>
      </c>
      <c r="AE300" s="16">
        <v>1703.33</v>
      </c>
      <c r="AF300" s="3">
        <v>9.4440000000000008</v>
      </c>
      <c r="AG300" s="1">
        <v>45321</v>
      </c>
      <c r="AH300" s="2">
        <v>0.32899305555555552</v>
      </c>
      <c r="AI300">
        <v>0</v>
      </c>
      <c r="AJ300">
        <v>0</v>
      </c>
      <c r="AK300">
        <v>0</v>
      </c>
      <c r="AL300">
        <v>0</v>
      </c>
      <c r="AM300">
        <v>0</v>
      </c>
      <c r="AN300">
        <v>0</v>
      </c>
      <c r="AO300">
        <v>0</v>
      </c>
      <c r="AP300">
        <v>0</v>
      </c>
      <c r="AQ300">
        <v>0</v>
      </c>
      <c r="AR300">
        <v>0</v>
      </c>
      <c r="AS300">
        <v>0</v>
      </c>
      <c r="AT300">
        <v>0</v>
      </c>
      <c r="AU300" s="3">
        <f>AU299</f>
        <v>9.4601800000000011</v>
      </c>
    </row>
    <row r="301" spans="1:47" x14ac:dyDescent="0.25">
      <c r="A301">
        <v>2</v>
      </c>
      <c r="B301" t="s">
        <v>1</v>
      </c>
      <c r="C301">
        <v>28896</v>
      </c>
      <c r="D301">
        <v>224</v>
      </c>
      <c r="E301">
        <v>2</v>
      </c>
      <c r="F301">
        <v>8</v>
      </c>
      <c r="G301" s="16">
        <v>1912.52</v>
      </c>
      <c r="H301" s="3">
        <v>8.4109999999999996</v>
      </c>
      <c r="I301" s="1">
        <v>45322</v>
      </c>
      <c r="J301" s="37">
        <v>0.76414351851851858</v>
      </c>
      <c r="K301">
        <v>0</v>
      </c>
      <c r="L301">
        <v>0</v>
      </c>
      <c r="M301">
        <v>0</v>
      </c>
      <c r="N301">
        <v>0</v>
      </c>
      <c r="O301">
        <v>0</v>
      </c>
      <c r="P301">
        <v>0</v>
      </c>
      <c r="Q301">
        <v>0</v>
      </c>
      <c r="R301">
        <v>0</v>
      </c>
      <c r="S301">
        <v>0</v>
      </c>
      <c r="T301">
        <v>0</v>
      </c>
      <c r="U301">
        <v>0</v>
      </c>
      <c r="V301">
        <v>0</v>
      </c>
      <c r="W301" s="3">
        <f>W300</f>
        <v>8.5911799999999996</v>
      </c>
      <c r="X301" s="30"/>
      <c r="Y301">
        <v>2</v>
      </c>
      <c r="Z301" t="s">
        <v>1</v>
      </c>
      <c r="AA301">
        <v>28896</v>
      </c>
      <c r="AB301">
        <v>224</v>
      </c>
      <c r="AC301">
        <v>2</v>
      </c>
      <c r="AD301">
        <v>8</v>
      </c>
      <c r="AE301" s="16">
        <v>1705.14</v>
      </c>
      <c r="AF301" s="3">
        <v>9.4339999999999993</v>
      </c>
      <c r="AG301" s="1">
        <v>45322</v>
      </c>
      <c r="AH301" s="2">
        <v>0.16296296296296295</v>
      </c>
      <c r="AI301">
        <v>0</v>
      </c>
      <c r="AJ301">
        <v>0</v>
      </c>
      <c r="AK301">
        <v>0</v>
      </c>
      <c r="AL301">
        <v>0</v>
      </c>
      <c r="AM301">
        <v>0</v>
      </c>
      <c r="AN301">
        <v>0</v>
      </c>
      <c r="AO301">
        <v>0</v>
      </c>
      <c r="AP301">
        <v>0</v>
      </c>
      <c r="AQ301">
        <v>0</v>
      </c>
      <c r="AR301">
        <v>0</v>
      </c>
      <c r="AS301">
        <v>0</v>
      </c>
      <c r="AT301">
        <v>0</v>
      </c>
      <c r="AU301" s="3">
        <f>AU300</f>
        <v>9.4601800000000011</v>
      </c>
    </row>
    <row r="302" spans="1:47" x14ac:dyDescent="0.25">
      <c r="A302">
        <v>3</v>
      </c>
      <c r="B302" t="s">
        <v>1</v>
      </c>
      <c r="C302">
        <v>28896</v>
      </c>
      <c r="D302">
        <v>224</v>
      </c>
      <c r="E302">
        <v>2</v>
      </c>
      <c r="F302">
        <v>8</v>
      </c>
      <c r="G302" s="16">
        <v>1912.5</v>
      </c>
      <c r="H302" s="3">
        <v>8.4110999999999994</v>
      </c>
      <c r="I302" s="1">
        <v>45323</v>
      </c>
      <c r="J302" s="37">
        <v>0.62103009259259256</v>
      </c>
      <c r="K302">
        <v>0</v>
      </c>
      <c r="L302">
        <v>0</v>
      </c>
      <c r="M302">
        <v>0</v>
      </c>
      <c r="N302">
        <v>0</v>
      </c>
      <c r="O302">
        <v>0</v>
      </c>
      <c r="P302">
        <v>0</v>
      </c>
      <c r="Q302">
        <v>0</v>
      </c>
      <c r="R302">
        <v>0</v>
      </c>
      <c r="S302">
        <v>0</v>
      </c>
      <c r="T302">
        <v>0</v>
      </c>
      <c r="U302">
        <v>0</v>
      </c>
      <c r="V302">
        <v>0</v>
      </c>
      <c r="W302" s="3">
        <f>W301</f>
        <v>8.5911799999999996</v>
      </c>
      <c r="X302" s="30"/>
      <c r="Y302">
        <v>3</v>
      </c>
      <c r="Z302" t="s">
        <v>1</v>
      </c>
      <c r="AA302">
        <v>28896</v>
      </c>
      <c r="AB302">
        <v>224</v>
      </c>
      <c r="AC302">
        <v>2</v>
      </c>
      <c r="AD302">
        <v>8</v>
      </c>
      <c r="AE302" s="16">
        <v>1698.64</v>
      </c>
      <c r="AF302" s="3">
        <v>9.4701000000000004</v>
      </c>
      <c r="AG302" s="1">
        <v>45322</v>
      </c>
      <c r="AH302" s="2">
        <v>0.99689814814814814</v>
      </c>
      <c r="AI302">
        <v>0</v>
      </c>
      <c r="AJ302">
        <v>0</v>
      </c>
      <c r="AK302">
        <v>0</v>
      </c>
      <c r="AL302">
        <v>0</v>
      </c>
      <c r="AM302">
        <v>0</v>
      </c>
      <c r="AN302">
        <v>0</v>
      </c>
      <c r="AO302">
        <v>0</v>
      </c>
      <c r="AP302">
        <v>0</v>
      </c>
      <c r="AQ302">
        <v>0</v>
      </c>
      <c r="AR302">
        <v>0</v>
      </c>
      <c r="AS302">
        <v>0</v>
      </c>
      <c r="AT302">
        <v>0</v>
      </c>
      <c r="AU302" s="3">
        <f>AU301</f>
        <v>9.4601800000000011</v>
      </c>
    </row>
    <row r="303" spans="1:47" x14ac:dyDescent="0.25">
      <c r="A303">
        <v>4</v>
      </c>
      <c r="B303" t="s">
        <v>1</v>
      </c>
      <c r="C303">
        <v>28896</v>
      </c>
      <c r="D303">
        <v>224</v>
      </c>
      <c r="E303">
        <v>2</v>
      </c>
      <c r="F303">
        <v>8</v>
      </c>
      <c r="G303" s="16">
        <v>1911.65</v>
      </c>
      <c r="H303" s="3">
        <v>8.4148999999999994</v>
      </c>
      <c r="I303" s="1">
        <v>45318</v>
      </c>
      <c r="J303" s="37">
        <v>0.72417824074074078</v>
      </c>
      <c r="K303">
        <v>0</v>
      </c>
      <c r="L303">
        <v>0</v>
      </c>
      <c r="M303">
        <v>0</v>
      </c>
      <c r="N303">
        <v>0</v>
      </c>
      <c r="O303">
        <v>0</v>
      </c>
      <c r="P303">
        <v>0</v>
      </c>
      <c r="Q303">
        <v>0</v>
      </c>
      <c r="R303">
        <v>0</v>
      </c>
      <c r="S303">
        <v>0</v>
      </c>
      <c r="T303">
        <v>0</v>
      </c>
      <c r="U303">
        <v>0</v>
      </c>
      <c r="V303">
        <v>0</v>
      </c>
      <c r="W303" s="3">
        <f>W302</f>
        <v>8.5911799999999996</v>
      </c>
      <c r="X303" s="30"/>
      <c r="Y303">
        <v>4</v>
      </c>
      <c r="Z303" t="s">
        <v>1</v>
      </c>
      <c r="AA303">
        <v>28896</v>
      </c>
      <c r="AB303">
        <v>224</v>
      </c>
      <c r="AC303">
        <v>2</v>
      </c>
      <c r="AD303">
        <v>8</v>
      </c>
      <c r="AE303" s="16">
        <v>1696.46</v>
      </c>
      <c r="AF303" s="3">
        <v>9.4823000000000004</v>
      </c>
      <c r="AG303" s="1">
        <v>45323</v>
      </c>
      <c r="AH303" s="2">
        <v>0.83135416666666673</v>
      </c>
      <c r="AI303">
        <v>0</v>
      </c>
      <c r="AJ303">
        <v>0</v>
      </c>
      <c r="AK303">
        <v>0</v>
      </c>
      <c r="AL303">
        <v>0</v>
      </c>
      <c r="AM303">
        <v>0</v>
      </c>
      <c r="AN303">
        <v>0</v>
      </c>
      <c r="AO303">
        <v>0</v>
      </c>
      <c r="AP303">
        <v>0</v>
      </c>
      <c r="AQ303">
        <v>0</v>
      </c>
      <c r="AR303">
        <v>0</v>
      </c>
      <c r="AS303">
        <v>0</v>
      </c>
      <c r="AT303">
        <v>0</v>
      </c>
      <c r="AU303" s="3">
        <f>AU302</f>
        <v>9.4601800000000011</v>
      </c>
    </row>
    <row r="304" spans="1:47" x14ac:dyDescent="0.25">
      <c r="A304">
        <v>0</v>
      </c>
      <c r="B304" t="s">
        <v>1</v>
      </c>
      <c r="C304">
        <v>25984</v>
      </c>
      <c r="D304">
        <v>224</v>
      </c>
      <c r="E304">
        <v>4</v>
      </c>
      <c r="F304">
        <v>4</v>
      </c>
      <c r="G304" s="16">
        <v>1373.6</v>
      </c>
      <c r="H304" s="3">
        <v>8.5153999999999996</v>
      </c>
      <c r="I304" s="1">
        <v>45320</v>
      </c>
      <c r="J304" s="37">
        <v>0.71069444444444452</v>
      </c>
      <c r="K304">
        <v>0</v>
      </c>
      <c r="L304">
        <v>0</v>
      </c>
      <c r="M304">
        <v>0</v>
      </c>
      <c r="N304">
        <v>0</v>
      </c>
      <c r="O304">
        <v>0</v>
      </c>
      <c r="P304">
        <v>0</v>
      </c>
      <c r="Q304">
        <v>0</v>
      </c>
      <c r="R304">
        <v>0</v>
      </c>
      <c r="S304">
        <v>0</v>
      </c>
      <c r="T304">
        <v>0</v>
      </c>
      <c r="U304">
        <v>0</v>
      </c>
      <c r="V304">
        <v>0</v>
      </c>
      <c r="W304" s="3">
        <f>AVERAGE(H259:H263)</f>
        <v>8.5875599999999999</v>
      </c>
      <c r="X304" s="30"/>
      <c r="Y304">
        <v>0</v>
      </c>
      <c r="Z304" t="s">
        <v>1</v>
      </c>
      <c r="AA304">
        <v>25984</v>
      </c>
      <c r="AB304">
        <v>224</v>
      </c>
      <c r="AC304">
        <v>4</v>
      </c>
      <c r="AD304">
        <v>4</v>
      </c>
      <c r="AE304" s="16">
        <v>1253.5999999999999</v>
      </c>
      <c r="AF304" s="3">
        <v>9.3305000000000007</v>
      </c>
      <c r="AG304" s="1">
        <v>45320</v>
      </c>
      <c r="AH304" s="2">
        <v>0.10187499999999999</v>
      </c>
      <c r="AI304">
        <v>0</v>
      </c>
      <c r="AJ304">
        <v>0</v>
      </c>
      <c r="AK304">
        <v>0</v>
      </c>
      <c r="AL304">
        <v>0</v>
      </c>
      <c r="AM304">
        <v>0</v>
      </c>
      <c r="AN304">
        <v>0</v>
      </c>
      <c r="AO304">
        <v>0</v>
      </c>
      <c r="AP304">
        <v>0</v>
      </c>
      <c r="AQ304">
        <v>0</v>
      </c>
      <c r="AR304">
        <v>0</v>
      </c>
      <c r="AS304">
        <v>0</v>
      </c>
      <c r="AT304">
        <v>0</v>
      </c>
      <c r="AU304" s="3">
        <f>AVERAGE(AF304:AF308)</f>
        <v>9.2549200000000003</v>
      </c>
    </row>
    <row r="305" spans="1:47" x14ac:dyDescent="0.25">
      <c r="A305">
        <v>1</v>
      </c>
      <c r="B305" t="s">
        <v>1</v>
      </c>
      <c r="C305">
        <v>25984</v>
      </c>
      <c r="D305">
        <v>224</v>
      </c>
      <c r="E305">
        <v>4</v>
      </c>
      <c r="F305">
        <v>4</v>
      </c>
      <c r="G305" s="16">
        <v>1373.24</v>
      </c>
      <c r="H305" s="3">
        <v>8.5175999999999998</v>
      </c>
      <c r="I305" s="1">
        <v>45321</v>
      </c>
      <c r="J305" s="37">
        <v>0.58054398148148145</v>
      </c>
      <c r="K305">
        <v>0</v>
      </c>
      <c r="L305">
        <v>0</v>
      </c>
      <c r="M305">
        <v>0</v>
      </c>
      <c r="N305">
        <v>0</v>
      </c>
      <c r="O305">
        <v>0</v>
      </c>
      <c r="P305">
        <v>0</v>
      </c>
      <c r="Q305">
        <v>0</v>
      </c>
      <c r="R305">
        <v>0</v>
      </c>
      <c r="S305">
        <v>0</v>
      </c>
      <c r="T305">
        <v>0</v>
      </c>
      <c r="U305">
        <v>0</v>
      </c>
      <c r="V305">
        <v>0</v>
      </c>
      <c r="W305" s="3">
        <f>W304</f>
        <v>8.5875599999999999</v>
      </c>
      <c r="X305" s="30"/>
      <c r="Y305">
        <v>1</v>
      </c>
      <c r="Z305" t="s">
        <v>1</v>
      </c>
      <c r="AA305">
        <v>25984</v>
      </c>
      <c r="AB305">
        <v>224</v>
      </c>
      <c r="AC305">
        <v>4</v>
      </c>
      <c r="AD305">
        <v>4</v>
      </c>
      <c r="AE305" s="16">
        <v>1256.46</v>
      </c>
      <c r="AF305" s="3">
        <v>9.3093000000000004</v>
      </c>
      <c r="AG305" s="1">
        <v>45321</v>
      </c>
      <c r="AH305" s="2">
        <v>2.9178240740740741E-2</v>
      </c>
      <c r="AI305">
        <v>0</v>
      </c>
      <c r="AJ305">
        <v>0</v>
      </c>
      <c r="AK305">
        <v>0</v>
      </c>
      <c r="AL305">
        <v>0</v>
      </c>
      <c r="AM305">
        <v>0</v>
      </c>
      <c r="AN305">
        <v>0</v>
      </c>
      <c r="AO305">
        <v>0</v>
      </c>
      <c r="AP305">
        <v>0</v>
      </c>
      <c r="AQ305">
        <v>0</v>
      </c>
      <c r="AR305">
        <v>0</v>
      </c>
      <c r="AS305">
        <v>0</v>
      </c>
      <c r="AT305">
        <v>0</v>
      </c>
      <c r="AU305" s="3">
        <f>AU304</f>
        <v>9.2549200000000003</v>
      </c>
    </row>
    <row r="306" spans="1:47" x14ac:dyDescent="0.25">
      <c r="A306">
        <v>2</v>
      </c>
      <c r="B306" t="s">
        <v>1</v>
      </c>
      <c r="C306">
        <v>25984</v>
      </c>
      <c r="D306">
        <v>224</v>
      </c>
      <c r="E306">
        <v>4</v>
      </c>
      <c r="F306">
        <v>4</v>
      </c>
      <c r="G306" s="16">
        <v>1373.42</v>
      </c>
      <c r="H306" s="3">
        <v>8.5165000000000006</v>
      </c>
      <c r="I306" s="1">
        <v>45322</v>
      </c>
      <c r="J306" s="37">
        <v>0.45039351851851855</v>
      </c>
      <c r="K306">
        <v>0</v>
      </c>
      <c r="L306">
        <v>0</v>
      </c>
      <c r="M306">
        <v>0</v>
      </c>
      <c r="N306">
        <v>0</v>
      </c>
      <c r="O306">
        <v>0</v>
      </c>
      <c r="P306">
        <v>0</v>
      </c>
      <c r="Q306">
        <v>0</v>
      </c>
      <c r="R306">
        <v>0</v>
      </c>
      <c r="S306">
        <v>0</v>
      </c>
      <c r="T306">
        <v>0</v>
      </c>
      <c r="U306">
        <v>0</v>
      </c>
      <c r="V306">
        <v>0</v>
      </c>
      <c r="W306" s="3">
        <f>W305</f>
        <v>8.5875599999999999</v>
      </c>
      <c r="X306" s="30"/>
      <c r="Y306">
        <v>2</v>
      </c>
      <c r="Z306" t="s">
        <v>1</v>
      </c>
      <c r="AA306">
        <v>25984</v>
      </c>
      <c r="AB306">
        <v>224</v>
      </c>
      <c r="AC306">
        <v>4</v>
      </c>
      <c r="AD306">
        <v>4</v>
      </c>
      <c r="AE306" s="16">
        <v>1259.7</v>
      </c>
      <c r="AF306" s="3">
        <v>9.2852999999999994</v>
      </c>
      <c r="AG306" s="1">
        <v>45321</v>
      </c>
      <c r="AH306" s="2">
        <v>0.86283564814814817</v>
      </c>
      <c r="AI306">
        <v>0</v>
      </c>
      <c r="AJ306">
        <v>0</v>
      </c>
      <c r="AK306">
        <v>0</v>
      </c>
      <c r="AL306">
        <v>0</v>
      </c>
      <c r="AM306">
        <v>0</v>
      </c>
      <c r="AN306">
        <v>0</v>
      </c>
      <c r="AO306">
        <v>0</v>
      </c>
      <c r="AP306">
        <v>0</v>
      </c>
      <c r="AQ306">
        <v>0</v>
      </c>
      <c r="AR306">
        <v>0</v>
      </c>
      <c r="AS306">
        <v>0</v>
      </c>
      <c r="AT306">
        <v>0</v>
      </c>
      <c r="AU306" s="3">
        <f>AU305</f>
        <v>9.2549200000000003</v>
      </c>
    </row>
    <row r="307" spans="1:47" x14ac:dyDescent="0.25">
      <c r="A307">
        <v>3</v>
      </c>
      <c r="B307" t="s">
        <v>1</v>
      </c>
      <c r="C307">
        <v>25984</v>
      </c>
      <c r="D307">
        <v>224</v>
      </c>
      <c r="E307">
        <v>4</v>
      </c>
      <c r="F307">
        <v>4</v>
      </c>
      <c r="G307" s="16">
        <v>1373.22</v>
      </c>
      <c r="H307" s="3">
        <v>8.5177999999999994</v>
      </c>
      <c r="I307" s="1">
        <v>45323</v>
      </c>
      <c r="J307" s="37">
        <v>0.30725694444444446</v>
      </c>
      <c r="K307">
        <v>0</v>
      </c>
      <c r="L307">
        <v>0</v>
      </c>
      <c r="M307">
        <v>0</v>
      </c>
      <c r="N307">
        <v>0</v>
      </c>
      <c r="O307">
        <v>0</v>
      </c>
      <c r="P307">
        <v>0</v>
      </c>
      <c r="Q307">
        <v>0</v>
      </c>
      <c r="R307">
        <v>0</v>
      </c>
      <c r="S307">
        <v>0</v>
      </c>
      <c r="T307">
        <v>0</v>
      </c>
      <c r="U307">
        <v>0</v>
      </c>
      <c r="V307">
        <v>0</v>
      </c>
      <c r="W307" s="3">
        <f>W306</f>
        <v>8.5875599999999999</v>
      </c>
      <c r="X307" s="30"/>
      <c r="Y307">
        <v>3</v>
      </c>
      <c r="Z307" t="s">
        <v>1</v>
      </c>
      <c r="AA307">
        <v>25984</v>
      </c>
      <c r="AB307">
        <v>224</v>
      </c>
      <c r="AC307">
        <v>4</v>
      </c>
      <c r="AD307">
        <v>4</v>
      </c>
      <c r="AE307" s="16">
        <v>1262.29</v>
      </c>
      <c r="AF307" s="3">
        <v>9.2661999999999995</v>
      </c>
      <c r="AG307" s="1">
        <v>45322</v>
      </c>
      <c r="AH307" s="2">
        <v>0.69690972222222225</v>
      </c>
      <c r="AI307">
        <v>0</v>
      </c>
      <c r="AJ307">
        <v>0</v>
      </c>
      <c r="AK307">
        <v>0</v>
      </c>
      <c r="AL307">
        <v>0</v>
      </c>
      <c r="AM307">
        <v>0</v>
      </c>
      <c r="AN307">
        <v>0</v>
      </c>
      <c r="AO307">
        <v>0</v>
      </c>
      <c r="AP307">
        <v>0</v>
      </c>
      <c r="AQ307">
        <v>0</v>
      </c>
      <c r="AR307">
        <v>0</v>
      </c>
      <c r="AS307">
        <v>0</v>
      </c>
      <c r="AT307">
        <v>0</v>
      </c>
      <c r="AU307" s="3">
        <f>AU306</f>
        <v>9.2549200000000003</v>
      </c>
    </row>
    <row r="308" spans="1:47" x14ac:dyDescent="0.25">
      <c r="A308">
        <v>4</v>
      </c>
      <c r="B308" t="s">
        <v>1</v>
      </c>
      <c r="C308">
        <v>25984</v>
      </c>
      <c r="D308">
        <v>224</v>
      </c>
      <c r="E308">
        <v>4</v>
      </c>
      <c r="F308">
        <v>4</v>
      </c>
      <c r="G308" s="16">
        <v>1373.56</v>
      </c>
      <c r="H308" s="3">
        <v>8.5155999999999992</v>
      </c>
      <c r="I308" s="1">
        <v>45318</v>
      </c>
      <c r="J308" s="37">
        <v>0.4105671296296296</v>
      </c>
      <c r="K308">
        <v>0</v>
      </c>
      <c r="L308">
        <v>0</v>
      </c>
      <c r="M308">
        <v>0</v>
      </c>
      <c r="N308">
        <v>0</v>
      </c>
      <c r="O308">
        <v>0</v>
      </c>
      <c r="P308">
        <v>0</v>
      </c>
      <c r="Q308">
        <v>0</v>
      </c>
      <c r="R308">
        <v>0</v>
      </c>
      <c r="S308">
        <v>0</v>
      </c>
      <c r="T308">
        <v>0</v>
      </c>
      <c r="U308">
        <v>0</v>
      </c>
      <c r="V308">
        <v>0</v>
      </c>
      <c r="W308" s="3">
        <f>W307</f>
        <v>8.5875599999999999</v>
      </c>
      <c r="X308" s="30"/>
      <c r="Y308">
        <v>4</v>
      </c>
      <c r="Z308" t="s">
        <v>1</v>
      </c>
      <c r="AA308">
        <v>25984</v>
      </c>
      <c r="AB308">
        <v>224</v>
      </c>
      <c r="AC308">
        <v>4</v>
      </c>
      <c r="AD308">
        <v>4</v>
      </c>
      <c r="AE308" s="16">
        <v>1287.71</v>
      </c>
      <c r="AF308" s="3">
        <v>9.0832999999999995</v>
      </c>
      <c r="AG308" s="1">
        <v>45323</v>
      </c>
      <c r="AH308" s="2">
        <v>0.53145833333333337</v>
      </c>
      <c r="AI308">
        <v>0</v>
      </c>
      <c r="AJ308">
        <v>0</v>
      </c>
      <c r="AK308">
        <v>0</v>
      </c>
      <c r="AL308">
        <v>0</v>
      </c>
      <c r="AM308">
        <v>0</v>
      </c>
      <c r="AN308">
        <v>0</v>
      </c>
      <c r="AO308">
        <v>0</v>
      </c>
      <c r="AP308">
        <v>0</v>
      </c>
      <c r="AQ308">
        <v>0</v>
      </c>
      <c r="AR308">
        <v>0</v>
      </c>
      <c r="AS308">
        <v>0</v>
      </c>
      <c r="AT308">
        <v>0</v>
      </c>
      <c r="AU308" s="3">
        <f>AU307</f>
        <v>9.2549200000000003</v>
      </c>
    </row>
    <row r="309" spans="1:47" x14ac:dyDescent="0.25">
      <c r="A309">
        <v>0</v>
      </c>
      <c r="B309" t="s">
        <v>1</v>
      </c>
      <c r="C309">
        <v>27328</v>
      </c>
      <c r="D309">
        <v>224</v>
      </c>
      <c r="E309">
        <v>4</v>
      </c>
      <c r="F309">
        <v>4</v>
      </c>
      <c r="G309" s="16">
        <v>1584.95</v>
      </c>
      <c r="H309" s="3">
        <v>8.5853000000000002</v>
      </c>
      <c r="I309" s="1">
        <v>45320</v>
      </c>
      <c r="J309" s="37">
        <v>0.46552083333333333</v>
      </c>
      <c r="K309">
        <v>0</v>
      </c>
      <c r="L309">
        <v>0</v>
      </c>
      <c r="M309">
        <v>0</v>
      </c>
      <c r="N309">
        <v>0</v>
      </c>
      <c r="O309">
        <v>0</v>
      </c>
      <c r="P309">
        <v>0</v>
      </c>
      <c r="Q309">
        <v>0</v>
      </c>
      <c r="R309">
        <v>0</v>
      </c>
      <c r="S309">
        <v>0</v>
      </c>
      <c r="T309">
        <v>0</v>
      </c>
      <c r="U309">
        <v>0</v>
      </c>
      <c r="V309">
        <v>0</v>
      </c>
      <c r="W309" s="3">
        <f>AVERAGE(H264:H268)</f>
        <v>8.5903400000000012</v>
      </c>
      <c r="X309" s="30"/>
      <c r="Y309">
        <v>0</v>
      </c>
      <c r="Z309" t="s">
        <v>1</v>
      </c>
      <c r="AA309">
        <v>27328</v>
      </c>
      <c r="AB309">
        <v>224</v>
      </c>
      <c r="AC309">
        <v>4</v>
      </c>
      <c r="AD309">
        <v>4</v>
      </c>
      <c r="AE309" s="16">
        <v>1442.58</v>
      </c>
      <c r="AF309" s="3">
        <v>9.4324999999999992</v>
      </c>
      <c r="AG309" s="1">
        <v>45319</v>
      </c>
      <c r="AH309" s="2">
        <v>0.86594907407407407</v>
      </c>
      <c r="AI309">
        <v>0</v>
      </c>
      <c r="AJ309">
        <v>0</v>
      </c>
      <c r="AK309">
        <v>0</v>
      </c>
      <c r="AL309">
        <v>0</v>
      </c>
      <c r="AM309">
        <v>0</v>
      </c>
      <c r="AN309">
        <v>0</v>
      </c>
      <c r="AO309">
        <v>0</v>
      </c>
      <c r="AP309">
        <v>0</v>
      </c>
      <c r="AQ309">
        <v>0</v>
      </c>
      <c r="AR309">
        <v>0</v>
      </c>
      <c r="AS309">
        <v>0</v>
      </c>
      <c r="AT309">
        <v>0</v>
      </c>
      <c r="AU309" s="3">
        <f>AVERAGE(AF309:AF313)</f>
        <v>9.4107599999999998</v>
      </c>
    </row>
    <row r="310" spans="1:47" x14ac:dyDescent="0.25">
      <c r="A310">
        <v>1</v>
      </c>
      <c r="B310" t="s">
        <v>1</v>
      </c>
      <c r="C310">
        <v>27328</v>
      </c>
      <c r="D310">
        <v>224</v>
      </c>
      <c r="E310">
        <v>4</v>
      </c>
      <c r="F310">
        <v>4</v>
      </c>
      <c r="G310" s="16">
        <v>1586.39</v>
      </c>
      <c r="H310" s="3">
        <v>8.5775000000000006</v>
      </c>
      <c r="I310" s="1">
        <v>45321</v>
      </c>
      <c r="J310" s="37">
        <v>0.33537037037037037</v>
      </c>
      <c r="K310">
        <v>0</v>
      </c>
      <c r="L310">
        <v>0</v>
      </c>
      <c r="M310">
        <v>0</v>
      </c>
      <c r="N310">
        <v>0</v>
      </c>
      <c r="O310">
        <v>0</v>
      </c>
      <c r="P310">
        <v>0</v>
      </c>
      <c r="Q310">
        <v>0</v>
      </c>
      <c r="R310">
        <v>0</v>
      </c>
      <c r="S310">
        <v>0</v>
      </c>
      <c r="T310">
        <v>0</v>
      </c>
      <c r="U310">
        <v>0</v>
      </c>
      <c r="V310">
        <v>0</v>
      </c>
      <c r="W310" s="3">
        <f>W309</f>
        <v>8.5903400000000012</v>
      </c>
      <c r="X310" s="30"/>
      <c r="Y310">
        <v>1</v>
      </c>
      <c r="Z310" t="s">
        <v>1</v>
      </c>
      <c r="AA310">
        <v>27328</v>
      </c>
      <c r="AB310">
        <v>224</v>
      </c>
      <c r="AC310">
        <v>4</v>
      </c>
      <c r="AD310">
        <v>4</v>
      </c>
      <c r="AE310" s="16">
        <v>1445.29</v>
      </c>
      <c r="AF310" s="3">
        <v>9.4147999999999996</v>
      </c>
      <c r="AG310" s="1">
        <v>45320</v>
      </c>
      <c r="AH310" s="2">
        <v>0.79304398148148147</v>
      </c>
      <c r="AI310">
        <v>0</v>
      </c>
      <c r="AJ310">
        <v>0</v>
      </c>
      <c r="AK310">
        <v>0</v>
      </c>
      <c r="AL310">
        <v>0</v>
      </c>
      <c r="AM310">
        <v>0</v>
      </c>
      <c r="AN310">
        <v>0</v>
      </c>
      <c r="AO310">
        <v>0</v>
      </c>
      <c r="AP310">
        <v>0</v>
      </c>
      <c r="AQ310">
        <v>0</v>
      </c>
      <c r="AR310">
        <v>0</v>
      </c>
      <c r="AS310">
        <v>0</v>
      </c>
      <c r="AT310">
        <v>0</v>
      </c>
      <c r="AU310" s="3">
        <f>AU309</f>
        <v>9.4107599999999998</v>
      </c>
    </row>
    <row r="311" spans="1:47" x14ac:dyDescent="0.25">
      <c r="A311">
        <v>2</v>
      </c>
      <c r="B311" t="s">
        <v>1</v>
      </c>
      <c r="C311">
        <v>27328</v>
      </c>
      <c r="D311">
        <v>224</v>
      </c>
      <c r="E311">
        <v>4</v>
      </c>
      <c r="F311">
        <v>4</v>
      </c>
      <c r="G311" s="16">
        <v>1585.63</v>
      </c>
      <c r="H311" s="3">
        <v>8.5815000000000001</v>
      </c>
      <c r="I311" s="1">
        <v>45322</v>
      </c>
      <c r="J311" s="37">
        <v>0.20523148148148149</v>
      </c>
      <c r="K311">
        <v>0</v>
      </c>
      <c r="L311">
        <v>0</v>
      </c>
      <c r="M311">
        <v>0</v>
      </c>
      <c r="N311">
        <v>0</v>
      </c>
      <c r="O311">
        <v>0</v>
      </c>
      <c r="P311">
        <v>0</v>
      </c>
      <c r="Q311">
        <v>0</v>
      </c>
      <c r="R311">
        <v>0</v>
      </c>
      <c r="S311">
        <v>0</v>
      </c>
      <c r="T311">
        <v>0</v>
      </c>
      <c r="U311">
        <v>0</v>
      </c>
      <c r="V311">
        <v>0</v>
      </c>
      <c r="W311" s="3">
        <f>W310</f>
        <v>8.5903400000000012</v>
      </c>
      <c r="X311" s="30"/>
      <c r="Y311">
        <v>2</v>
      </c>
      <c r="Z311" t="s">
        <v>1</v>
      </c>
      <c r="AA311">
        <v>27328</v>
      </c>
      <c r="AB311">
        <v>224</v>
      </c>
      <c r="AC311">
        <v>4</v>
      </c>
      <c r="AD311">
        <v>4</v>
      </c>
      <c r="AE311" s="16">
        <v>1442.89</v>
      </c>
      <c r="AF311" s="3">
        <v>9.4305000000000003</v>
      </c>
      <c r="AG311" s="1">
        <v>45321</v>
      </c>
      <c r="AH311" s="2">
        <v>0.62659722222222225</v>
      </c>
      <c r="AI311">
        <v>0</v>
      </c>
      <c r="AJ311">
        <v>0</v>
      </c>
      <c r="AK311">
        <v>0</v>
      </c>
      <c r="AL311">
        <v>0</v>
      </c>
      <c r="AM311">
        <v>0</v>
      </c>
      <c r="AN311">
        <v>0</v>
      </c>
      <c r="AO311">
        <v>0</v>
      </c>
      <c r="AP311">
        <v>0</v>
      </c>
      <c r="AQ311">
        <v>0</v>
      </c>
      <c r="AR311">
        <v>0</v>
      </c>
      <c r="AS311">
        <v>0</v>
      </c>
      <c r="AT311">
        <v>0</v>
      </c>
      <c r="AU311" s="3">
        <f>AU310</f>
        <v>9.4107599999999998</v>
      </c>
    </row>
    <row r="312" spans="1:47" x14ac:dyDescent="0.25">
      <c r="A312">
        <v>3</v>
      </c>
      <c r="B312" t="s">
        <v>1</v>
      </c>
      <c r="C312">
        <v>27328</v>
      </c>
      <c r="D312">
        <v>224</v>
      </c>
      <c r="E312">
        <v>4</v>
      </c>
      <c r="F312">
        <v>4</v>
      </c>
      <c r="G312" s="16">
        <v>1584.96</v>
      </c>
      <c r="H312" s="3">
        <v>8.5852000000000004</v>
      </c>
      <c r="I312" s="1">
        <v>45323</v>
      </c>
      <c r="J312" s="37">
        <v>7.5046296296296292E-2</v>
      </c>
      <c r="K312">
        <v>0</v>
      </c>
      <c r="L312">
        <v>0</v>
      </c>
      <c r="M312">
        <v>0</v>
      </c>
      <c r="N312">
        <v>0</v>
      </c>
      <c r="O312">
        <v>0</v>
      </c>
      <c r="P312">
        <v>0</v>
      </c>
      <c r="Q312">
        <v>0</v>
      </c>
      <c r="R312">
        <v>0</v>
      </c>
      <c r="S312">
        <v>0</v>
      </c>
      <c r="T312">
        <v>0</v>
      </c>
      <c r="U312">
        <v>0</v>
      </c>
      <c r="V312">
        <v>0</v>
      </c>
      <c r="W312" s="3">
        <f>W311</f>
        <v>8.5903400000000012</v>
      </c>
      <c r="X312" s="30"/>
      <c r="Y312">
        <v>3</v>
      </c>
      <c r="Z312" t="s">
        <v>1</v>
      </c>
      <c r="AA312">
        <v>27328</v>
      </c>
      <c r="AB312">
        <v>224</v>
      </c>
      <c r="AC312">
        <v>4</v>
      </c>
      <c r="AD312">
        <v>4</v>
      </c>
      <c r="AE312" s="16">
        <v>1449.87</v>
      </c>
      <c r="AF312" s="3">
        <v>9.3850999999999996</v>
      </c>
      <c r="AG312" s="1">
        <v>45322</v>
      </c>
      <c r="AH312" s="2">
        <v>0.46037037037037037</v>
      </c>
      <c r="AI312">
        <v>0</v>
      </c>
      <c r="AJ312">
        <v>0</v>
      </c>
      <c r="AK312">
        <v>0</v>
      </c>
      <c r="AL312">
        <v>0</v>
      </c>
      <c r="AM312">
        <v>0</v>
      </c>
      <c r="AN312">
        <v>0</v>
      </c>
      <c r="AO312">
        <v>0</v>
      </c>
      <c r="AP312">
        <v>0</v>
      </c>
      <c r="AQ312">
        <v>0</v>
      </c>
      <c r="AR312">
        <v>0</v>
      </c>
      <c r="AS312">
        <v>0</v>
      </c>
      <c r="AT312">
        <v>0</v>
      </c>
      <c r="AU312" s="3">
        <f>AU311</f>
        <v>9.4107599999999998</v>
      </c>
    </row>
    <row r="313" spans="1:47" x14ac:dyDescent="0.25">
      <c r="A313">
        <v>4</v>
      </c>
      <c r="B313" t="s">
        <v>1</v>
      </c>
      <c r="C313">
        <v>27328</v>
      </c>
      <c r="D313">
        <v>224</v>
      </c>
      <c r="E313">
        <v>4</v>
      </c>
      <c r="F313">
        <v>4</v>
      </c>
      <c r="G313" s="16">
        <v>1584.97</v>
      </c>
      <c r="H313" s="3">
        <v>8.5851000000000006</v>
      </c>
      <c r="I313" s="1">
        <v>45318</v>
      </c>
      <c r="J313" s="37">
        <v>0.16537037037037036</v>
      </c>
      <c r="K313">
        <v>0</v>
      </c>
      <c r="L313">
        <v>0</v>
      </c>
      <c r="M313">
        <v>0</v>
      </c>
      <c r="N313">
        <v>0</v>
      </c>
      <c r="O313">
        <v>0</v>
      </c>
      <c r="P313">
        <v>0</v>
      </c>
      <c r="Q313">
        <v>0</v>
      </c>
      <c r="R313">
        <v>0</v>
      </c>
      <c r="S313">
        <v>0</v>
      </c>
      <c r="T313">
        <v>0</v>
      </c>
      <c r="U313">
        <v>0</v>
      </c>
      <c r="V313">
        <v>0</v>
      </c>
      <c r="W313" s="3">
        <f>W312</f>
        <v>8.5903400000000012</v>
      </c>
      <c r="X313" s="30"/>
      <c r="Y313">
        <v>4</v>
      </c>
      <c r="Z313" t="s">
        <v>1</v>
      </c>
      <c r="AA313">
        <v>27328</v>
      </c>
      <c r="AB313">
        <v>224</v>
      </c>
      <c r="AC313">
        <v>4</v>
      </c>
      <c r="AD313">
        <v>4</v>
      </c>
      <c r="AE313" s="16">
        <v>1448.98</v>
      </c>
      <c r="AF313" s="3">
        <v>9.3909000000000002</v>
      </c>
      <c r="AG313" s="1">
        <v>45323</v>
      </c>
      <c r="AH313" s="2">
        <v>0.29457175925925927</v>
      </c>
      <c r="AI313">
        <v>0</v>
      </c>
      <c r="AJ313">
        <v>0</v>
      </c>
      <c r="AK313">
        <v>0</v>
      </c>
      <c r="AL313">
        <v>0</v>
      </c>
      <c r="AM313">
        <v>0</v>
      </c>
      <c r="AN313">
        <v>0</v>
      </c>
      <c r="AO313">
        <v>0</v>
      </c>
      <c r="AP313">
        <v>0</v>
      </c>
      <c r="AQ313">
        <v>0</v>
      </c>
      <c r="AR313">
        <v>0</v>
      </c>
      <c r="AS313">
        <v>0</v>
      </c>
      <c r="AT313">
        <v>0</v>
      </c>
      <c r="AU313" s="3">
        <f>AU312</f>
        <v>9.4107599999999998</v>
      </c>
    </row>
    <row r="314" spans="1:47" x14ac:dyDescent="0.25">
      <c r="A314">
        <v>0</v>
      </c>
      <c r="B314" t="s">
        <v>1</v>
      </c>
      <c r="C314">
        <v>28896</v>
      </c>
      <c r="D314">
        <v>224</v>
      </c>
      <c r="E314">
        <v>4</v>
      </c>
      <c r="F314">
        <v>4</v>
      </c>
      <c r="G314" s="16">
        <v>1884.29</v>
      </c>
      <c r="H314" s="3">
        <v>8.5371000000000006</v>
      </c>
      <c r="I314" s="1">
        <v>45321</v>
      </c>
      <c r="J314" s="37">
        <v>4.6620370370370368E-2</v>
      </c>
      <c r="K314">
        <v>0</v>
      </c>
      <c r="L314">
        <v>0</v>
      </c>
      <c r="M314">
        <v>0</v>
      </c>
      <c r="N314">
        <v>0</v>
      </c>
      <c r="O314">
        <v>0</v>
      </c>
      <c r="P314">
        <v>0</v>
      </c>
      <c r="Q314">
        <v>0</v>
      </c>
      <c r="R314">
        <v>0</v>
      </c>
      <c r="S314">
        <v>0</v>
      </c>
      <c r="T314">
        <v>0</v>
      </c>
      <c r="U314">
        <v>0</v>
      </c>
      <c r="V314">
        <v>0</v>
      </c>
      <c r="W314" s="3">
        <f>AVERAGE(H269:H273)</f>
        <v>8.7198799999999999</v>
      </c>
      <c r="X314" s="30"/>
      <c r="Y314">
        <v>0</v>
      </c>
      <c r="Z314" t="s">
        <v>1</v>
      </c>
      <c r="AA314">
        <v>28896</v>
      </c>
      <c r="AB314">
        <v>224</v>
      </c>
      <c r="AC314">
        <v>4</v>
      </c>
      <c r="AD314">
        <v>4</v>
      </c>
      <c r="AE314" s="16">
        <v>1693.78</v>
      </c>
      <c r="AF314" s="3">
        <v>9.4972999999999992</v>
      </c>
      <c r="AG314" s="1">
        <v>45320</v>
      </c>
      <c r="AH314" s="2">
        <v>0.4230902777777778</v>
      </c>
      <c r="AI314">
        <v>0</v>
      </c>
      <c r="AJ314">
        <v>0</v>
      </c>
      <c r="AK314">
        <v>0</v>
      </c>
      <c r="AL314">
        <v>0</v>
      </c>
      <c r="AM314">
        <v>0</v>
      </c>
      <c r="AN314">
        <v>0</v>
      </c>
      <c r="AO314">
        <v>0</v>
      </c>
      <c r="AP314">
        <v>0</v>
      </c>
      <c r="AQ314">
        <v>0</v>
      </c>
      <c r="AR314">
        <v>0</v>
      </c>
      <c r="AS314">
        <v>0</v>
      </c>
      <c r="AT314">
        <v>0</v>
      </c>
      <c r="AU314" s="3">
        <f>AVERAGE(AF314:AF318)</f>
        <v>9.4892399999999988</v>
      </c>
    </row>
    <row r="315" spans="1:47" x14ac:dyDescent="0.25">
      <c r="A315">
        <v>1</v>
      </c>
      <c r="B315" t="s">
        <v>1</v>
      </c>
      <c r="C315">
        <v>28896</v>
      </c>
      <c r="D315">
        <v>224</v>
      </c>
      <c r="E315">
        <v>4</v>
      </c>
      <c r="F315">
        <v>4</v>
      </c>
      <c r="G315" s="16">
        <v>1884.78</v>
      </c>
      <c r="H315" s="3">
        <v>8.5348000000000006</v>
      </c>
      <c r="I315" s="1">
        <v>45321</v>
      </c>
      <c r="J315" s="37">
        <v>0.91652777777777772</v>
      </c>
      <c r="K315">
        <v>0</v>
      </c>
      <c r="L315">
        <v>0</v>
      </c>
      <c r="M315">
        <v>0</v>
      </c>
      <c r="N315">
        <v>0</v>
      </c>
      <c r="O315">
        <v>0</v>
      </c>
      <c r="P315">
        <v>0</v>
      </c>
      <c r="Q315">
        <v>0</v>
      </c>
      <c r="R315">
        <v>0</v>
      </c>
      <c r="S315">
        <v>0</v>
      </c>
      <c r="T315">
        <v>0</v>
      </c>
      <c r="U315">
        <v>0</v>
      </c>
      <c r="V315">
        <v>0</v>
      </c>
      <c r="W315" s="3">
        <f>W314</f>
        <v>8.7198799999999999</v>
      </c>
      <c r="X315" s="30"/>
      <c r="Y315">
        <v>1</v>
      </c>
      <c r="Z315" t="s">
        <v>1</v>
      </c>
      <c r="AA315">
        <v>28896</v>
      </c>
      <c r="AB315">
        <v>224</v>
      </c>
      <c r="AC315">
        <v>4</v>
      </c>
      <c r="AD315">
        <v>4</v>
      </c>
      <c r="AE315" s="16">
        <v>1697.27</v>
      </c>
      <c r="AF315" s="3">
        <v>9.4778000000000002</v>
      </c>
      <c r="AG315" s="1">
        <v>45321</v>
      </c>
      <c r="AH315" s="2">
        <v>0.35033564814814816</v>
      </c>
      <c r="AI315">
        <v>0</v>
      </c>
      <c r="AJ315">
        <v>0</v>
      </c>
      <c r="AK315">
        <v>0</v>
      </c>
      <c r="AL315">
        <v>0</v>
      </c>
      <c r="AM315">
        <v>0</v>
      </c>
      <c r="AN315">
        <v>0</v>
      </c>
      <c r="AO315">
        <v>0</v>
      </c>
      <c r="AP315">
        <v>0</v>
      </c>
      <c r="AQ315">
        <v>0</v>
      </c>
      <c r="AR315">
        <v>0</v>
      </c>
      <c r="AS315">
        <v>0</v>
      </c>
      <c r="AT315">
        <v>0</v>
      </c>
      <c r="AU315" s="3">
        <f>AU314</f>
        <v>9.4892399999999988</v>
      </c>
    </row>
    <row r="316" spans="1:47" x14ac:dyDescent="0.25">
      <c r="A316">
        <v>2</v>
      </c>
      <c r="B316" t="s">
        <v>1</v>
      </c>
      <c r="C316">
        <v>28896</v>
      </c>
      <c r="D316">
        <v>224</v>
      </c>
      <c r="E316">
        <v>4</v>
      </c>
      <c r="F316">
        <v>4</v>
      </c>
      <c r="G316" s="16">
        <v>1883.84</v>
      </c>
      <c r="H316" s="3">
        <v>8.5390999999999995</v>
      </c>
      <c r="I316" s="1">
        <v>45322</v>
      </c>
      <c r="J316" s="37">
        <v>0.78631944444444446</v>
      </c>
      <c r="K316">
        <v>0</v>
      </c>
      <c r="L316">
        <v>0</v>
      </c>
      <c r="M316">
        <v>0</v>
      </c>
      <c r="N316">
        <v>0</v>
      </c>
      <c r="O316">
        <v>0</v>
      </c>
      <c r="P316">
        <v>0</v>
      </c>
      <c r="Q316">
        <v>0</v>
      </c>
      <c r="R316">
        <v>0</v>
      </c>
      <c r="S316">
        <v>0</v>
      </c>
      <c r="T316">
        <v>0</v>
      </c>
      <c r="U316">
        <v>0</v>
      </c>
      <c r="V316">
        <v>0</v>
      </c>
      <c r="W316" s="3">
        <f>W315</f>
        <v>8.7198799999999999</v>
      </c>
      <c r="X316" s="30"/>
      <c r="Y316">
        <v>2</v>
      </c>
      <c r="Z316" t="s">
        <v>1</v>
      </c>
      <c r="AA316">
        <v>28896</v>
      </c>
      <c r="AB316">
        <v>224</v>
      </c>
      <c r="AC316">
        <v>4</v>
      </c>
      <c r="AD316">
        <v>4</v>
      </c>
      <c r="AE316" s="16">
        <v>1693.76</v>
      </c>
      <c r="AF316" s="3">
        <v>9.4974000000000007</v>
      </c>
      <c r="AG316" s="1">
        <v>45322</v>
      </c>
      <c r="AH316" s="2">
        <v>0.18425925925925926</v>
      </c>
      <c r="AI316">
        <v>0</v>
      </c>
      <c r="AJ316">
        <v>0</v>
      </c>
      <c r="AK316">
        <v>0</v>
      </c>
      <c r="AL316">
        <v>0</v>
      </c>
      <c r="AM316">
        <v>0</v>
      </c>
      <c r="AN316">
        <v>0</v>
      </c>
      <c r="AO316">
        <v>0</v>
      </c>
      <c r="AP316">
        <v>0</v>
      </c>
      <c r="AQ316">
        <v>0</v>
      </c>
      <c r="AR316">
        <v>0</v>
      </c>
      <c r="AS316">
        <v>0</v>
      </c>
      <c r="AT316">
        <v>0</v>
      </c>
      <c r="AU316" s="3">
        <f>AU315</f>
        <v>9.4892399999999988</v>
      </c>
    </row>
    <row r="317" spans="1:47" x14ac:dyDescent="0.25">
      <c r="A317">
        <v>3</v>
      </c>
      <c r="B317" t="s">
        <v>1</v>
      </c>
      <c r="C317">
        <v>28896</v>
      </c>
      <c r="D317">
        <v>224</v>
      </c>
      <c r="E317">
        <v>4</v>
      </c>
      <c r="F317">
        <v>4</v>
      </c>
      <c r="G317" s="16">
        <v>1883.55</v>
      </c>
      <c r="H317" s="3">
        <v>8.5404</v>
      </c>
      <c r="I317" s="1">
        <v>45323</v>
      </c>
      <c r="J317" s="37">
        <v>0.64320601851851855</v>
      </c>
      <c r="K317">
        <v>0</v>
      </c>
      <c r="L317">
        <v>0</v>
      </c>
      <c r="M317">
        <v>0</v>
      </c>
      <c r="N317">
        <v>0</v>
      </c>
      <c r="O317">
        <v>0</v>
      </c>
      <c r="P317">
        <v>0</v>
      </c>
      <c r="Q317">
        <v>0</v>
      </c>
      <c r="R317">
        <v>0</v>
      </c>
      <c r="S317">
        <v>0</v>
      </c>
      <c r="T317">
        <v>0</v>
      </c>
      <c r="U317">
        <v>0</v>
      </c>
      <c r="V317">
        <v>0</v>
      </c>
      <c r="W317" s="3">
        <f>W316</f>
        <v>8.7198799999999999</v>
      </c>
      <c r="X317" s="30"/>
      <c r="Y317">
        <v>3</v>
      </c>
      <c r="Z317" t="s">
        <v>1</v>
      </c>
      <c r="AA317">
        <v>28896</v>
      </c>
      <c r="AB317">
        <v>224</v>
      </c>
      <c r="AC317">
        <v>4</v>
      </c>
      <c r="AD317">
        <v>4</v>
      </c>
      <c r="AE317" s="16">
        <v>1695.85</v>
      </c>
      <c r="AF317" s="3">
        <v>9.4856999999999996</v>
      </c>
      <c r="AG317" s="1">
        <v>45323</v>
      </c>
      <c r="AH317" s="2">
        <v>1.8217592592592594E-2</v>
      </c>
      <c r="AI317">
        <v>0</v>
      </c>
      <c r="AJ317">
        <v>0</v>
      </c>
      <c r="AK317">
        <v>0</v>
      </c>
      <c r="AL317">
        <v>0</v>
      </c>
      <c r="AM317">
        <v>0</v>
      </c>
      <c r="AN317">
        <v>0</v>
      </c>
      <c r="AO317">
        <v>0</v>
      </c>
      <c r="AP317">
        <v>0</v>
      </c>
      <c r="AQ317">
        <v>0</v>
      </c>
      <c r="AR317">
        <v>0</v>
      </c>
      <c r="AS317">
        <v>0</v>
      </c>
      <c r="AT317">
        <v>0</v>
      </c>
      <c r="AU317" s="3">
        <f>AU316</f>
        <v>9.4892399999999988</v>
      </c>
    </row>
    <row r="318" spans="1:47" x14ac:dyDescent="0.25">
      <c r="A318">
        <v>4</v>
      </c>
      <c r="B318" t="s">
        <v>1</v>
      </c>
      <c r="C318">
        <v>28896</v>
      </c>
      <c r="D318">
        <v>224</v>
      </c>
      <c r="E318">
        <v>4</v>
      </c>
      <c r="F318">
        <v>4</v>
      </c>
      <c r="G318" s="16">
        <v>1883.39</v>
      </c>
      <c r="H318" s="3">
        <v>8.5411000000000001</v>
      </c>
      <c r="I318" s="1">
        <v>45318</v>
      </c>
      <c r="J318" s="37">
        <v>0.74636574074074069</v>
      </c>
      <c r="K318">
        <v>0</v>
      </c>
      <c r="L318">
        <v>0</v>
      </c>
      <c r="M318">
        <v>0</v>
      </c>
      <c r="N318">
        <v>0</v>
      </c>
      <c r="O318">
        <v>0</v>
      </c>
      <c r="P318">
        <v>0</v>
      </c>
      <c r="Q318">
        <v>0</v>
      </c>
      <c r="R318">
        <v>0</v>
      </c>
      <c r="S318">
        <v>0</v>
      </c>
      <c r="T318">
        <v>0</v>
      </c>
      <c r="U318">
        <v>0</v>
      </c>
      <c r="V318">
        <v>0</v>
      </c>
      <c r="W318" s="3">
        <f>W317</f>
        <v>8.7198799999999999</v>
      </c>
      <c r="X318" s="30"/>
      <c r="Y318">
        <v>4</v>
      </c>
      <c r="Z318" t="s">
        <v>1</v>
      </c>
      <c r="AA318">
        <v>28896</v>
      </c>
      <c r="AB318">
        <v>224</v>
      </c>
      <c r="AC318">
        <v>4</v>
      </c>
      <c r="AD318">
        <v>4</v>
      </c>
      <c r="AE318" s="16">
        <v>1695.43</v>
      </c>
      <c r="AF318" s="3">
        <v>9.4879999999999995</v>
      </c>
      <c r="AG318" s="1">
        <v>45323</v>
      </c>
      <c r="AH318" s="2">
        <v>0.85268518518518521</v>
      </c>
      <c r="AI318">
        <v>0</v>
      </c>
      <c r="AJ318">
        <v>0</v>
      </c>
      <c r="AK318">
        <v>0</v>
      </c>
      <c r="AL318">
        <v>0</v>
      </c>
      <c r="AM318">
        <v>0</v>
      </c>
      <c r="AN318">
        <v>0</v>
      </c>
      <c r="AO318">
        <v>0</v>
      </c>
      <c r="AP318">
        <v>0</v>
      </c>
      <c r="AQ318">
        <v>0</v>
      </c>
      <c r="AR318">
        <v>0</v>
      </c>
      <c r="AS318">
        <v>0</v>
      </c>
      <c r="AT318">
        <v>0</v>
      </c>
      <c r="AU318" s="3">
        <f>AU317</f>
        <v>9.4892399999999988</v>
      </c>
    </row>
    <row r="319" spans="1:47" x14ac:dyDescent="0.25">
      <c r="A319">
        <v>0</v>
      </c>
      <c r="B319" t="s">
        <v>1</v>
      </c>
      <c r="C319">
        <v>25856</v>
      </c>
      <c r="D319">
        <v>256</v>
      </c>
      <c r="E319">
        <v>1</v>
      </c>
      <c r="F319">
        <v>16</v>
      </c>
      <c r="G319" s="16">
        <v>1544.5</v>
      </c>
      <c r="H319" s="24">
        <v>7.4618000000000002</v>
      </c>
      <c r="I319" s="1">
        <v>45482</v>
      </c>
      <c r="J319" s="37">
        <v>0.14777777777777779</v>
      </c>
      <c r="K319">
        <v>0</v>
      </c>
      <c r="L319">
        <v>0</v>
      </c>
      <c r="M319">
        <v>0</v>
      </c>
      <c r="N319">
        <v>0</v>
      </c>
      <c r="O319">
        <v>0</v>
      </c>
      <c r="P319">
        <v>0</v>
      </c>
      <c r="Q319">
        <v>0</v>
      </c>
      <c r="R319">
        <v>0</v>
      </c>
      <c r="S319">
        <v>0</v>
      </c>
      <c r="T319">
        <v>0</v>
      </c>
      <c r="U319">
        <v>0</v>
      </c>
      <c r="V319">
        <v>0</v>
      </c>
      <c r="W319" s="3">
        <f>AVERAGE(H274:H278)</f>
        <v>7.6833599999999986</v>
      </c>
      <c r="X319" s="30"/>
      <c r="Y319">
        <v>0</v>
      </c>
      <c r="Z319" t="s">
        <v>1</v>
      </c>
      <c r="AA319">
        <v>25856</v>
      </c>
      <c r="AB319">
        <v>256</v>
      </c>
      <c r="AC319">
        <v>1</v>
      </c>
      <c r="AD319">
        <v>16</v>
      </c>
      <c r="AE319" s="16">
        <v>1374.19</v>
      </c>
      <c r="AF319" s="24">
        <v>8.3864999999999998</v>
      </c>
      <c r="AG319" s="1">
        <v>45477</v>
      </c>
      <c r="AH319" s="2">
        <v>0.7258796296296296</v>
      </c>
      <c r="AI319">
        <v>0</v>
      </c>
      <c r="AJ319">
        <v>0</v>
      </c>
      <c r="AK319">
        <v>0</v>
      </c>
      <c r="AL319">
        <v>0</v>
      </c>
      <c r="AM319">
        <v>0</v>
      </c>
      <c r="AN319">
        <v>0</v>
      </c>
      <c r="AO319">
        <v>0</v>
      </c>
      <c r="AP319">
        <v>0</v>
      </c>
      <c r="AQ319">
        <v>0</v>
      </c>
      <c r="AR319">
        <v>0</v>
      </c>
      <c r="AS319">
        <v>0</v>
      </c>
      <c r="AT319">
        <v>0</v>
      </c>
      <c r="AU319" s="3">
        <f>AVERAGE(AF319:AF323)</f>
        <v>8.3831600000000002</v>
      </c>
    </row>
    <row r="320" spans="1:47" x14ac:dyDescent="0.25">
      <c r="A320">
        <v>1</v>
      </c>
      <c r="B320" t="s">
        <v>1</v>
      </c>
      <c r="C320">
        <v>25856</v>
      </c>
      <c r="D320">
        <v>256</v>
      </c>
      <c r="E320">
        <v>1</v>
      </c>
      <c r="F320">
        <v>16</v>
      </c>
      <c r="G320" s="16">
        <v>1544.92</v>
      </c>
      <c r="H320" s="24">
        <v>7.4596999999999998</v>
      </c>
      <c r="I320" s="1">
        <v>45482</v>
      </c>
      <c r="J320" s="37">
        <v>0.65694444444444444</v>
      </c>
      <c r="K320">
        <v>0</v>
      </c>
      <c r="L320">
        <v>0</v>
      </c>
      <c r="M320">
        <v>0</v>
      </c>
      <c r="N320">
        <v>0</v>
      </c>
      <c r="O320">
        <v>0</v>
      </c>
      <c r="P320">
        <v>0</v>
      </c>
      <c r="Q320">
        <v>0</v>
      </c>
      <c r="R320">
        <v>0</v>
      </c>
      <c r="S320">
        <v>0</v>
      </c>
      <c r="T320">
        <v>0</v>
      </c>
      <c r="U320">
        <v>0</v>
      </c>
      <c r="V320">
        <v>0</v>
      </c>
      <c r="W320" s="3">
        <f>W319</f>
        <v>7.6833599999999986</v>
      </c>
      <c r="X320" s="30"/>
      <c r="Y320">
        <v>1</v>
      </c>
      <c r="Z320" t="s">
        <v>1</v>
      </c>
      <c r="AA320">
        <v>25856</v>
      </c>
      <c r="AB320">
        <v>256</v>
      </c>
      <c r="AC320">
        <v>1</v>
      </c>
      <c r="AD320">
        <v>16</v>
      </c>
      <c r="AE320" s="16">
        <v>1373.58</v>
      </c>
      <c r="AF320" s="24">
        <v>8.3902999999999999</v>
      </c>
      <c r="AG320" s="1">
        <v>45478</v>
      </c>
      <c r="AH320" s="2">
        <v>0.2366087962962963</v>
      </c>
      <c r="AI320">
        <v>0</v>
      </c>
      <c r="AJ320">
        <v>0</v>
      </c>
      <c r="AK320">
        <v>0</v>
      </c>
      <c r="AL320">
        <v>0</v>
      </c>
      <c r="AM320">
        <v>0</v>
      </c>
      <c r="AN320">
        <v>0</v>
      </c>
      <c r="AO320">
        <v>0</v>
      </c>
      <c r="AP320">
        <v>0</v>
      </c>
      <c r="AQ320">
        <v>0</v>
      </c>
      <c r="AR320">
        <v>0</v>
      </c>
      <c r="AS320">
        <v>0</v>
      </c>
      <c r="AT320">
        <v>0</v>
      </c>
      <c r="AU320" s="3">
        <f>AU319</f>
        <v>8.3831600000000002</v>
      </c>
    </row>
    <row r="321" spans="1:47" x14ac:dyDescent="0.25">
      <c r="A321">
        <v>2</v>
      </c>
      <c r="B321" t="s">
        <v>1</v>
      </c>
      <c r="C321">
        <v>25856</v>
      </c>
      <c r="D321">
        <v>256</v>
      </c>
      <c r="E321">
        <v>1</v>
      </c>
      <c r="F321">
        <v>16</v>
      </c>
      <c r="G321" s="16">
        <v>1545.68</v>
      </c>
      <c r="H321" s="24">
        <v>7.4561000000000002</v>
      </c>
      <c r="I321" s="1">
        <v>45483</v>
      </c>
      <c r="J321" s="37">
        <v>0.21365740740740741</v>
      </c>
      <c r="K321">
        <v>0</v>
      </c>
      <c r="L321">
        <v>0</v>
      </c>
      <c r="M321">
        <v>0</v>
      </c>
      <c r="N321">
        <v>0</v>
      </c>
      <c r="O321">
        <v>0</v>
      </c>
      <c r="P321">
        <v>0</v>
      </c>
      <c r="Q321">
        <v>0</v>
      </c>
      <c r="R321">
        <v>0</v>
      </c>
      <c r="S321">
        <v>0</v>
      </c>
      <c r="T321">
        <v>0</v>
      </c>
      <c r="U321">
        <v>0</v>
      </c>
      <c r="V321">
        <v>0</v>
      </c>
      <c r="W321" s="3">
        <f>W320</f>
        <v>7.6833599999999986</v>
      </c>
      <c r="X321" s="30"/>
      <c r="Y321">
        <v>2</v>
      </c>
      <c r="Z321" t="s">
        <v>1</v>
      </c>
      <c r="AA321">
        <v>25856</v>
      </c>
      <c r="AB321">
        <v>256</v>
      </c>
      <c r="AC321">
        <v>1</v>
      </c>
      <c r="AD321">
        <v>16</v>
      </c>
      <c r="AE321" s="16">
        <v>1374.31</v>
      </c>
      <c r="AF321" s="24">
        <v>8.3857999999999997</v>
      </c>
      <c r="AG321" s="1">
        <v>45478</v>
      </c>
      <c r="AH321" s="2">
        <v>0.74738425925925922</v>
      </c>
      <c r="AI321">
        <v>0</v>
      </c>
      <c r="AJ321">
        <v>0</v>
      </c>
      <c r="AK321">
        <v>0</v>
      </c>
      <c r="AL321">
        <v>0</v>
      </c>
      <c r="AM321">
        <v>0</v>
      </c>
      <c r="AN321">
        <v>0</v>
      </c>
      <c r="AO321">
        <v>0</v>
      </c>
      <c r="AP321">
        <v>0</v>
      </c>
      <c r="AQ321">
        <v>0</v>
      </c>
      <c r="AR321">
        <v>0</v>
      </c>
      <c r="AS321">
        <v>0</v>
      </c>
      <c r="AT321">
        <v>0</v>
      </c>
      <c r="AU321" s="3">
        <f>AU320</f>
        <v>8.3831600000000002</v>
      </c>
    </row>
    <row r="322" spans="1:47" x14ac:dyDescent="0.25">
      <c r="A322">
        <v>3</v>
      </c>
      <c r="B322" t="s">
        <v>1</v>
      </c>
      <c r="C322">
        <v>25856</v>
      </c>
      <c r="D322">
        <v>256</v>
      </c>
      <c r="E322">
        <v>1</v>
      </c>
      <c r="F322">
        <v>16</v>
      </c>
      <c r="G322" s="16">
        <v>1545</v>
      </c>
      <c r="H322" s="24">
        <v>7.4592999999999998</v>
      </c>
      <c r="I322" s="1">
        <v>45477</v>
      </c>
      <c r="J322" s="37">
        <v>0.62862268518518516</v>
      </c>
      <c r="K322">
        <v>0</v>
      </c>
      <c r="L322">
        <v>0</v>
      </c>
      <c r="M322">
        <v>0</v>
      </c>
      <c r="N322">
        <v>0</v>
      </c>
      <c r="O322">
        <v>0</v>
      </c>
      <c r="P322">
        <v>0</v>
      </c>
      <c r="Q322">
        <v>0</v>
      </c>
      <c r="R322">
        <v>0</v>
      </c>
      <c r="S322">
        <v>0</v>
      </c>
      <c r="T322">
        <v>0</v>
      </c>
      <c r="U322">
        <v>0</v>
      </c>
      <c r="V322">
        <v>0</v>
      </c>
      <c r="W322" s="3">
        <f>W321</f>
        <v>7.6833599999999986</v>
      </c>
      <c r="X322" s="30"/>
      <c r="Y322">
        <v>3</v>
      </c>
      <c r="Z322" t="s">
        <v>1</v>
      </c>
      <c r="AA322">
        <v>25856</v>
      </c>
      <c r="AB322">
        <v>256</v>
      </c>
      <c r="AC322">
        <v>1</v>
      </c>
      <c r="AD322">
        <v>16</v>
      </c>
      <c r="AE322" s="16">
        <v>1377.14</v>
      </c>
      <c r="AF322" s="24">
        <v>8.3686000000000007</v>
      </c>
      <c r="AG322" s="1">
        <v>45479</v>
      </c>
      <c r="AH322" s="2">
        <v>0.25798611111111114</v>
      </c>
      <c r="AI322">
        <v>0</v>
      </c>
      <c r="AJ322">
        <v>0</v>
      </c>
      <c r="AK322">
        <v>0</v>
      </c>
      <c r="AL322">
        <v>0</v>
      </c>
      <c r="AM322">
        <v>0</v>
      </c>
      <c r="AN322">
        <v>0</v>
      </c>
      <c r="AO322">
        <v>0</v>
      </c>
      <c r="AP322">
        <v>0</v>
      </c>
      <c r="AQ322">
        <v>0</v>
      </c>
      <c r="AR322">
        <v>0</v>
      </c>
      <c r="AS322">
        <v>0</v>
      </c>
      <c r="AT322">
        <v>0</v>
      </c>
      <c r="AU322" s="3">
        <f>AU321</f>
        <v>8.3831600000000002</v>
      </c>
    </row>
    <row r="323" spans="1:47" x14ac:dyDescent="0.25">
      <c r="A323">
        <v>4</v>
      </c>
      <c r="B323" t="s">
        <v>1</v>
      </c>
      <c r="C323">
        <v>25856</v>
      </c>
      <c r="D323">
        <v>256</v>
      </c>
      <c r="E323">
        <v>1</v>
      </c>
      <c r="F323">
        <v>16</v>
      </c>
      <c r="G323" s="16">
        <v>1544.05</v>
      </c>
      <c r="H323" s="24">
        <v>7.4640000000000004</v>
      </c>
      <c r="I323" s="1">
        <v>45477</v>
      </c>
      <c r="J323" s="37">
        <v>0.51754629629629634</v>
      </c>
      <c r="K323">
        <v>0</v>
      </c>
      <c r="L323">
        <v>0</v>
      </c>
      <c r="M323">
        <v>0</v>
      </c>
      <c r="N323">
        <v>0</v>
      </c>
      <c r="O323">
        <v>0</v>
      </c>
      <c r="P323">
        <v>0</v>
      </c>
      <c r="Q323">
        <v>0</v>
      </c>
      <c r="R323">
        <v>0</v>
      </c>
      <c r="S323">
        <v>0</v>
      </c>
      <c r="T323">
        <v>0</v>
      </c>
      <c r="U323">
        <v>0</v>
      </c>
      <c r="V323">
        <v>0</v>
      </c>
      <c r="W323" s="3">
        <f>W322</f>
        <v>7.6833599999999986</v>
      </c>
      <c r="X323" s="30"/>
      <c r="Y323">
        <v>4</v>
      </c>
      <c r="Z323" t="s">
        <v>1</v>
      </c>
      <c r="AA323">
        <v>25856</v>
      </c>
      <c r="AB323">
        <v>256</v>
      </c>
      <c r="AC323">
        <v>1</v>
      </c>
      <c r="AD323">
        <v>16</v>
      </c>
      <c r="AE323" s="16">
        <v>1374.5</v>
      </c>
      <c r="AF323" s="24">
        <v>8.3846000000000007</v>
      </c>
      <c r="AG323" s="1">
        <v>45479</v>
      </c>
      <c r="AH323" s="2">
        <v>0.76872685185185186</v>
      </c>
      <c r="AI323">
        <v>0</v>
      </c>
      <c r="AJ323">
        <v>0</v>
      </c>
      <c r="AK323">
        <v>0</v>
      </c>
      <c r="AL323">
        <v>0</v>
      </c>
      <c r="AM323">
        <v>0</v>
      </c>
      <c r="AN323">
        <v>0</v>
      </c>
      <c r="AO323">
        <v>0</v>
      </c>
      <c r="AP323">
        <v>0</v>
      </c>
      <c r="AQ323">
        <v>0</v>
      </c>
      <c r="AR323">
        <v>0</v>
      </c>
      <c r="AS323">
        <v>0</v>
      </c>
      <c r="AT323">
        <v>0</v>
      </c>
      <c r="AU323" s="3">
        <f>AU322</f>
        <v>8.3831600000000002</v>
      </c>
    </row>
    <row r="324" spans="1:47" x14ac:dyDescent="0.25">
      <c r="A324">
        <v>0</v>
      </c>
      <c r="B324" t="s">
        <v>1</v>
      </c>
      <c r="C324">
        <v>27392</v>
      </c>
      <c r="D324">
        <v>256</v>
      </c>
      <c r="E324">
        <v>1</v>
      </c>
      <c r="F324">
        <v>16</v>
      </c>
      <c r="G324" s="16">
        <v>1820.89</v>
      </c>
      <c r="H324" s="24">
        <v>7.5254000000000003</v>
      </c>
      <c r="I324" s="1">
        <v>45481</v>
      </c>
      <c r="J324" s="37">
        <v>0.99429398148148151</v>
      </c>
      <c r="K324">
        <v>0</v>
      </c>
      <c r="L324">
        <v>0</v>
      </c>
      <c r="M324">
        <v>0</v>
      </c>
      <c r="N324">
        <v>0</v>
      </c>
      <c r="O324">
        <v>0</v>
      </c>
      <c r="P324">
        <v>0</v>
      </c>
      <c r="Q324">
        <v>0</v>
      </c>
      <c r="R324">
        <v>0</v>
      </c>
      <c r="S324">
        <v>0</v>
      </c>
      <c r="T324">
        <v>0</v>
      </c>
      <c r="U324">
        <v>0</v>
      </c>
      <c r="V324">
        <v>0</v>
      </c>
      <c r="W324" s="3">
        <f>AVERAGE(H279:H283)</f>
        <v>7.7597000000000005</v>
      </c>
      <c r="X324" s="30"/>
      <c r="Y324">
        <v>0</v>
      </c>
      <c r="Z324" t="s">
        <v>1</v>
      </c>
      <c r="AA324">
        <v>27392</v>
      </c>
      <c r="AB324">
        <v>256</v>
      </c>
      <c r="AC324">
        <v>1</v>
      </c>
      <c r="AD324">
        <v>16</v>
      </c>
      <c r="AE324" s="16">
        <v>1617.78</v>
      </c>
      <c r="AF324" s="24">
        <v>8.4702000000000002</v>
      </c>
      <c r="AG324" s="1">
        <v>45477</v>
      </c>
      <c r="AH324" s="2">
        <v>0.57556712962962964</v>
      </c>
      <c r="AI324">
        <v>0</v>
      </c>
      <c r="AJ324">
        <v>0</v>
      </c>
      <c r="AK324">
        <v>0</v>
      </c>
      <c r="AL324">
        <v>0</v>
      </c>
      <c r="AM324">
        <v>0</v>
      </c>
      <c r="AN324">
        <v>0</v>
      </c>
      <c r="AO324">
        <v>0</v>
      </c>
      <c r="AP324">
        <v>0</v>
      </c>
      <c r="AQ324">
        <v>0</v>
      </c>
      <c r="AR324">
        <v>0</v>
      </c>
      <c r="AS324">
        <v>0</v>
      </c>
      <c r="AT324">
        <v>0</v>
      </c>
      <c r="AU324" s="3">
        <f>AVERAGE(AF324:AF328)</f>
        <v>8.4752800000000015</v>
      </c>
    </row>
    <row r="325" spans="1:47" x14ac:dyDescent="0.25">
      <c r="A325">
        <v>1</v>
      </c>
      <c r="B325" t="s">
        <v>1</v>
      </c>
      <c r="C325">
        <v>27392</v>
      </c>
      <c r="D325">
        <v>256</v>
      </c>
      <c r="E325">
        <v>1</v>
      </c>
      <c r="F325">
        <v>16</v>
      </c>
      <c r="G325" s="16">
        <v>1819.26</v>
      </c>
      <c r="H325" s="24">
        <v>7.5321999999999996</v>
      </c>
      <c r="I325" s="1">
        <v>45482</v>
      </c>
      <c r="J325" s="37">
        <v>0.50344907407407402</v>
      </c>
      <c r="K325">
        <v>0</v>
      </c>
      <c r="L325">
        <v>0</v>
      </c>
      <c r="M325">
        <v>0</v>
      </c>
      <c r="N325">
        <v>0</v>
      </c>
      <c r="O325">
        <v>0</v>
      </c>
      <c r="P325">
        <v>0</v>
      </c>
      <c r="Q325">
        <v>0</v>
      </c>
      <c r="R325">
        <v>0</v>
      </c>
      <c r="S325">
        <v>0</v>
      </c>
      <c r="T325">
        <v>0</v>
      </c>
      <c r="U325">
        <v>0</v>
      </c>
      <c r="V325">
        <v>0</v>
      </c>
      <c r="W325" s="3">
        <f>W324</f>
        <v>7.7597000000000005</v>
      </c>
      <c r="X325" s="30"/>
      <c r="Y325">
        <v>1</v>
      </c>
      <c r="Z325" t="s">
        <v>1</v>
      </c>
      <c r="AA325">
        <v>27392</v>
      </c>
      <c r="AB325">
        <v>256</v>
      </c>
      <c r="AC325">
        <v>1</v>
      </c>
      <c r="AD325">
        <v>16</v>
      </c>
      <c r="AE325" s="16">
        <v>1616.17</v>
      </c>
      <c r="AF325" s="24">
        <v>8.4786999999999999</v>
      </c>
      <c r="AG325" s="1">
        <v>45478</v>
      </c>
      <c r="AH325" s="2">
        <v>8.6284722222222221E-2</v>
      </c>
      <c r="AI325">
        <v>0</v>
      </c>
      <c r="AJ325">
        <v>0</v>
      </c>
      <c r="AK325">
        <v>0</v>
      </c>
      <c r="AL325">
        <v>0</v>
      </c>
      <c r="AM325">
        <v>0</v>
      </c>
      <c r="AN325">
        <v>0</v>
      </c>
      <c r="AO325">
        <v>0</v>
      </c>
      <c r="AP325">
        <v>0</v>
      </c>
      <c r="AQ325">
        <v>0</v>
      </c>
      <c r="AR325">
        <v>0</v>
      </c>
      <c r="AS325">
        <v>0</v>
      </c>
      <c r="AT325">
        <v>0</v>
      </c>
      <c r="AU325" s="3">
        <f>AU324</f>
        <v>8.4752800000000015</v>
      </c>
    </row>
    <row r="326" spans="1:47" x14ac:dyDescent="0.25">
      <c r="A326">
        <v>2</v>
      </c>
      <c r="B326" t="s">
        <v>1</v>
      </c>
      <c r="C326">
        <v>27392</v>
      </c>
      <c r="D326">
        <v>256</v>
      </c>
      <c r="E326">
        <v>1</v>
      </c>
      <c r="F326">
        <v>16</v>
      </c>
      <c r="G326" s="16">
        <v>1818.81</v>
      </c>
      <c r="H326" s="24">
        <v>7.5340999999999996</v>
      </c>
      <c r="I326" s="1">
        <v>45483</v>
      </c>
      <c r="J326" s="37">
        <v>6.0150462962962961E-2</v>
      </c>
      <c r="K326">
        <v>0</v>
      </c>
      <c r="L326">
        <v>0</v>
      </c>
      <c r="M326">
        <v>0</v>
      </c>
      <c r="N326">
        <v>0</v>
      </c>
      <c r="O326">
        <v>0</v>
      </c>
      <c r="P326">
        <v>0</v>
      </c>
      <c r="Q326">
        <v>0</v>
      </c>
      <c r="R326">
        <v>0</v>
      </c>
      <c r="S326">
        <v>0</v>
      </c>
      <c r="T326">
        <v>0</v>
      </c>
      <c r="U326">
        <v>0</v>
      </c>
      <c r="V326">
        <v>0</v>
      </c>
      <c r="W326" s="3">
        <f>W325</f>
        <v>7.7597000000000005</v>
      </c>
      <c r="X326" s="30"/>
      <c r="Y326">
        <v>2</v>
      </c>
      <c r="Z326" t="s">
        <v>1</v>
      </c>
      <c r="AA326">
        <v>27392</v>
      </c>
      <c r="AB326">
        <v>256</v>
      </c>
      <c r="AC326">
        <v>1</v>
      </c>
      <c r="AD326">
        <v>16</v>
      </c>
      <c r="AE326" s="16">
        <v>1617.4</v>
      </c>
      <c r="AF326" s="24">
        <v>8.4723000000000006</v>
      </c>
      <c r="AG326" s="1">
        <v>45478</v>
      </c>
      <c r="AH326" s="2">
        <v>0.5969444444444445</v>
      </c>
      <c r="AI326">
        <v>0</v>
      </c>
      <c r="AJ326">
        <v>0</v>
      </c>
      <c r="AK326">
        <v>0</v>
      </c>
      <c r="AL326">
        <v>0</v>
      </c>
      <c r="AM326">
        <v>0</v>
      </c>
      <c r="AN326">
        <v>0</v>
      </c>
      <c r="AO326">
        <v>0</v>
      </c>
      <c r="AP326">
        <v>0</v>
      </c>
      <c r="AQ326">
        <v>0</v>
      </c>
      <c r="AR326">
        <v>0</v>
      </c>
      <c r="AS326">
        <v>0</v>
      </c>
      <c r="AT326">
        <v>0</v>
      </c>
      <c r="AU326" s="3">
        <f>AU325</f>
        <v>8.4752800000000015</v>
      </c>
    </row>
    <row r="327" spans="1:47" x14ac:dyDescent="0.25">
      <c r="A327">
        <v>3</v>
      </c>
      <c r="B327" t="s">
        <v>1</v>
      </c>
      <c r="C327">
        <v>27392</v>
      </c>
      <c r="D327">
        <v>256</v>
      </c>
      <c r="E327">
        <v>1</v>
      </c>
      <c r="F327">
        <v>16</v>
      </c>
      <c r="G327" s="16">
        <v>1818.91</v>
      </c>
      <c r="H327" s="24">
        <v>7.5335999999999999</v>
      </c>
      <c r="I327" s="1">
        <v>45477</v>
      </c>
      <c r="J327" s="37">
        <v>0.47518518518518521</v>
      </c>
      <c r="K327">
        <v>0</v>
      </c>
      <c r="L327">
        <v>0</v>
      </c>
      <c r="M327">
        <v>0</v>
      </c>
      <c r="N327">
        <v>0</v>
      </c>
      <c r="O327">
        <v>0</v>
      </c>
      <c r="P327">
        <v>0</v>
      </c>
      <c r="Q327">
        <v>0</v>
      </c>
      <c r="R327">
        <v>0</v>
      </c>
      <c r="S327">
        <v>0</v>
      </c>
      <c r="T327">
        <v>0</v>
      </c>
      <c r="U327">
        <v>0</v>
      </c>
      <c r="V327">
        <v>0</v>
      </c>
      <c r="W327" s="3">
        <f>W326</f>
        <v>7.7597000000000005</v>
      </c>
      <c r="X327" s="30"/>
      <c r="Y327">
        <v>3</v>
      </c>
      <c r="Z327" t="s">
        <v>1</v>
      </c>
      <c r="AA327">
        <v>27392</v>
      </c>
      <c r="AB327">
        <v>256</v>
      </c>
      <c r="AC327">
        <v>1</v>
      </c>
      <c r="AD327">
        <v>16</v>
      </c>
      <c r="AE327" s="16">
        <v>1616.72</v>
      </c>
      <c r="AF327" s="24">
        <v>8.4757999999999996</v>
      </c>
      <c r="AG327" s="1">
        <v>45479</v>
      </c>
      <c r="AH327" s="2">
        <v>0.10753472222222223</v>
      </c>
      <c r="AI327">
        <v>0</v>
      </c>
      <c r="AJ327">
        <v>0</v>
      </c>
      <c r="AK327">
        <v>0</v>
      </c>
      <c r="AL327">
        <v>0</v>
      </c>
      <c r="AM327">
        <v>0</v>
      </c>
      <c r="AN327">
        <v>0</v>
      </c>
      <c r="AO327">
        <v>0</v>
      </c>
      <c r="AP327">
        <v>0</v>
      </c>
      <c r="AQ327">
        <v>0</v>
      </c>
      <c r="AR327">
        <v>0</v>
      </c>
      <c r="AS327">
        <v>0</v>
      </c>
      <c r="AT327">
        <v>0</v>
      </c>
      <c r="AU327" s="3">
        <f>AU326</f>
        <v>8.4752800000000015</v>
      </c>
    </row>
    <row r="328" spans="1:47" x14ac:dyDescent="0.25">
      <c r="A328">
        <v>4</v>
      </c>
      <c r="B328" t="s">
        <v>1</v>
      </c>
      <c r="C328">
        <v>27392</v>
      </c>
      <c r="D328">
        <v>256</v>
      </c>
      <c r="E328">
        <v>1</v>
      </c>
      <c r="F328">
        <v>16</v>
      </c>
      <c r="G328" s="16">
        <v>1817.14</v>
      </c>
      <c r="H328" s="24">
        <v>7.5410000000000004</v>
      </c>
      <c r="I328" s="1">
        <v>45478</v>
      </c>
      <c r="J328" s="37">
        <v>3.4722222222222222E-5</v>
      </c>
      <c r="K328">
        <v>0</v>
      </c>
      <c r="L328">
        <v>0</v>
      </c>
      <c r="M328">
        <v>0</v>
      </c>
      <c r="N328">
        <v>0</v>
      </c>
      <c r="O328">
        <v>0</v>
      </c>
      <c r="P328">
        <v>0</v>
      </c>
      <c r="Q328">
        <v>0</v>
      </c>
      <c r="R328">
        <v>0</v>
      </c>
      <c r="S328">
        <v>0</v>
      </c>
      <c r="T328">
        <v>0</v>
      </c>
      <c r="U328">
        <v>0</v>
      </c>
      <c r="V328">
        <v>0</v>
      </c>
      <c r="W328" s="3">
        <f>W327</f>
        <v>7.7597000000000005</v>
      </c>
      <c r="X328" s="30"/>
      <c r="Y328">
        <v>4</v>
      </c>
      <c r="Z328" t="s">
        <v>1</v>
      </c>
      <c r="AA328">
        <v>27392</v>
      </c>
      <c r="AB328">
        <v>256</v>
      </c>
      <c r="AC328">
        <v>1</v>
      </c>
      <c r="AD328">
        <v>16</v>
      </c>
      <c r="AE328" s="16">
        <v>1616.03</v>
      </c>
      <c r="AF328" s="24">
        <v>8.4794</v>
      </c>
      <c r="AG328" s="1">
        <v>45479</v>
      </c>
      <c r="AH328" s="2">
        <v>0.61828703703703702</v>
      </c>
      <c r="AI328">
        <v>0</v>
      </c>
      <c r="AJ328">
        <v>0</v>
      </c>
      <c r="AK328">
        <v>0</v>
      </c>
      <c r="AL328">
        <v>0</v>
      </c>
      <c r="AM328">
        <v>0</v>
      </c>
      <c r="AN328">
        <v>0</v>
      </c>
      <c r="AO328">
        <v>0</v>
      </c>
      <c r="AP328">
        <v>0</v>
      </c>
      <c r="AQ328">
        <v>0</v>
      </c>
      <c r="AR328">
        <v>0</v>
      </c>
      <c r="AS328">
        <v>0</v>
      </c>
      <c r="AT328">
        <v>0</v>
      </c>
      <c r="AU328" s="3">
        <f>AU327</f>
        <v>8.4752800000000015</v>
      </c>
    </row>
    <row r="329" spans="1:47" x14ac:dyDescent="0.25">
      <c r="A329">
        <v>0</v>
      </c>
      <c r="B329" t="s">
        <v>1</v>
      </c>
      <c r="C329">
        <v>28928</v>
      </c>
      <c r="D329">
        <v>256</v>
      </c>
      <c r="E329">
        <v>1</v>
      </c>
      <c r="F329">
        <v>16</v>
      </c>
      <c r="G329" s="16">
        <v>2105.27</v>
      </c>
      <c r="H329" s="24">
        <v>7.6664000000000003</v>
      </c>
      <c r="I329" s="1">
        <v>45482</v>
      </c>
      <c r="J329" s="37">
        <v>0.33869212962962963</v>
      </c>
      <c r="K329">
        <v>0</v>
      </c>
      <c r="L329">
        <v>0</v>
      </c>
      <c r="M329">
        <v>0</v>
      </c>
      <c r="N329">
        <v>0</v>
      </c>
      <c r="O329">
        <v>0</v>
      </c>
      <c r="P329">
        <v>0</v>
      </c>
      <c r="Q329">
        <v>0</v>
      </c>
      <c r="R329">
        <v>0</v>
      </c>
      <c r="S329">
        <v>0</v>
      </c>
      <c r="T329">
        <v>0</v>
      </c>
      <c r="U329">
        <v>0</v>
      </c>
      <c r="V329">
        <v>0</v>
      </c>
      <c r="W329" s="3">
        <f>AVERAGE(H284:H288)</f>
        <v>7.8920199999999996</v>
      </c>
      <c r="X329" s="30"/>
      <c r="Y329">
        <v>0</v>
      </c>
      <c r="Z329" t="s">
        <v>1</v>
      </c>
      <c r="AA329">
        <v>28928</v>
      </c>
      <c r="AB329">
        <v>256</v>
      </c>
      <c r="AC329">
        <v>1</v>
      </c>
      <c r="AD329">
        <v>16</v>
      </c>
      <c r="AE329" s="16">
        <v>1874.09</v>
      </c>
      <c r="AF329" s="24">
        <v>8.6120999999999999</v>
      </c>
      <c r="AG329" s="1">
        <v>45477</v>
      </c>
      <c r="AH329" s="2">
        <v>0.91128472222222223</v>
      </c>
      <c r="AI329">
        <v>0</v>
      </c>
      <c r="AJ329">
        <v>0</v>
      </c>
      <c r="AK329">
        <v>0</v>
      </c>
      <c r="AL329">
        <v>0</v>
      </c>
      <c r="AM329">
        <v>0</v>
      </c>
      <c r="AN329">
        <v>0</v>
      </c>
      <c r="AO329">
        <v>0</v>
      </c>
      <c r="AP329">
        <v>0</v>
      </c>
      <c r="AQ329">
        <v>0</v>
      </c>
      <c r="AR329">
        <v>0</v>
      </c>
      <c r="AS329">
        <v>0</v>
      </c>
      <c r="AT329">
        <v>0</v>
      </c>
      <c r="AU329" s="3">
        <f>AVERAGE(AF329:AF333)</f>
        <v>8.6222000000000012</v>
      </c>
    </row>
    <row r="330" spans="1:47" x14ac:dyDescent="0.25">
      <c r="A330">
        <v>1</v>
      </c>
      <c r="B330" t="s">
        <v>1</v>
      </c>
      <c r="C330">
        <v>28928</v>
      </c>
      <c r="D330">
        <v>256</v>
      </c>
      <c r="E330">
        <v>1</v>
      </c>
      <c r="F330">
        <v>16</v>
      </c>
      <c r="G330" s="16">
        <v>2105.5500000000002</v>
      </c>
      <c r="H330" s="24">
        <v>7.6654</v>
      </c>
      <c r="I330" s="1">
        <v>45482</v>
      </c>
      <c r="J330" s="37">
        <v>0.87943287037037032</v>
      </c>
      <c r="K330">
        <v>0</v>
      </c>
      <c r="L330">
        <v>0</v>
      </c>
      <c r="M330">
        <v>0</v>
      </c>
      <c r="N330">
        <v>0</v>
      </c>
      <c r="O330">
        <v>0</v>
      </c>
      <c r="P330">
        <v>0</v>
      </c>
      <c r="Q330">
        <v>0</v>
      </c>
      <c r="R330">
        <v>0</v>
      </c>
      <c r="S330">
        <v>0</v>
      </c>
      <c r="T330">
        <v>0</v>
      </c>
      <c r="U330">
        <v>0</v>
      </c>
      <c r="V330">
        <v>0</v>
      </c>
      <c r="W330" s="3">
        <f>W329</f>
        <v>7.8920199999999996</v>
      </c>
      <c r="X330" s="30"/>
      <c r="Y330">
        <v>1</v>
      </c>
      <c r="Z330" t="s">
        <v>1</v>
      </c>
      <c r="AA330">
        <v>28928</v>
      </c>
      <c r="AB330">
        <v>256</v>
      </c>
      <c r="AC330">
        <v>1</v>
      </c>
      <c r="AD330">
        <v>16</v>
      </c>
      <c r="AE330" s="16">
        <v>1870.34</v>
      </c>
      <c r="AF330" s="24">
        <v>8.6293000000000006</v>
      </c>
      <c r="AG330" s="1">
        <v>45478</v>
      </c>
      <c r="AH330" s="2">
        <v>0.42188657407407409</v>
      </c>
      <c r="AI330">
        <v>0</v>
      </c>
      <c r="AJ330">
        <v>0</v>
      </c>
      <c r="AK330">
        <v>0</v>
      </c>
      <c r="AL330">
        <v>0</v>
      </c>
      <c r="AM330">
        <v>0</v>
      </c>
      <c r="AN330">
        <v>0</v>
      </c>
      <c r="AO330">
        <v>0</v>
      </c>
      <c r="AP330">
        <v>0</v>
      </c>
      <c r="AQ330">
        <v>0</v>
      </c>
      <c r="AR330">
        <v>0</v>
      </c>
      <c r="AS330">
        <v>0</v>
      </c>
      <c r="AT330">
        <v>0</v>
      </c>
      <c r="AU330" s="3">
        <f>AU329</f>
        <v>8.6222000000000012</v>
      </c>
    </row>
    <row r="331" spans="1:47" x14ac:dyDescent="0.25">
      <c r="A331">
        <v>2</v>
      </c>
      <c r="B331" t="s">
        <v>1</v>
      </c>
      <c r="C331">
        <v>28928</v>
      </c>
      <c r="D331">
        <v>256</v>
      </c>
      <c r="E331">
        <v>1</v>
      </c>
      <c r="F331">
        <v>16</v>
      </c>
      <c r="G331" s="16">
        <v>2104.3200000000002</v>
      </c>
      <c r="H331" s="24">
        <v>7.6698000000000004</v>
      </c>
      <c r="I331" s="1">
        <v>45483</v>
      </c>
      <c r="J331" s="37">
        <v>0.4045023148148148</v>
      </c>
      <c r="K331">
        <v>0</v>
      </c>
      <c r="L331">
        <v>0</v>
      </c>
      <c r="M331">
        <v>0</v>
      </c>
      <c r="N331">
        <v>0</v>
      </c>
      <c r="O331">
        <v>0</v>
      </c>
      <c r="P331">
        <v>0</v>
      </c>
      <c r="Q331">
        <v>0</v>
      </c>
      <c r="R331">
        <v>0</v>
      </c>
      <c r="S331">
        <v>0</v>
      </c>
      <c r="T331">
        <v>0</v>
      </c>
      <c r="U331">
        <v>0</v>
      </c>
      <c r="V331">
        <v>0</v>
      </c>
      <c r="W331" s="3">
        <f>W330</f>
        <v>7.8920199999999996</v>
      </c>
      <c r="X331" s="30"/>
      <c r="Y331">
        <v>2</v>
      </c>
      <c r="Z331" t="s">
        <v>1</v>
      </c>
      <c r="AA331">
        <v>28928</v>
      </c>
      <c r="AB331">
        <v>256</v>
      </c>
      <c r="AC331">
        <v>1</v>
      </c>
      <c r="AD331">
        <v>16</v>
      </c>
      <c r="AE331" s="16">
        <v>1870.48</v>
      </c>
      <c r="AF331" s="24">
        <v>8.6287000000000003</v>
      </c>
      <c r="AG331" s="1">
        <v>45478</v>
      </c>
      <c r="AH331" s="2">
        <v>0.93252314814814818</v>
      </c>
      <c r="AI331">
        <v>0</v>
      </c>
      <c r="AJ331">
        <v>0</v>
      </c>
      <c r="AK331">
        <v>0</v>
      </c>
      <c r="AL331">
        <v>0</v>
      </c>
      <c r="AM331">
        <v>0</v>
      </c>
      <c r="AN331">
        <v>0</v>
      </c>
      <c r="AO331">
        <v>0</v>
      </c>
      <c r="AP331">
        <v>0</v>
      </c>
      <c r="AQ331">
        <v>0</v>
      </c>
      <c r="AR331">
        <v>0</v>
      </c>
      <c r="AS331">
        <v>0</v>
      </c>
      <c r="AT331">
        <v>0</v>
      </c>
      <c r="AU331" s="3">
        <f>AU330</f>
        <v>8.6222000000000012</v>
      </c>
    </row>
    <row r="332" spans="1:47" x14ac:dyDescent="0.25">
      <c r="A332">
        <v>3</v>
      </c>
      <c r="B332" t="s">
        <v>1</v>
      </c>
      <c r="C332">
        <v>28928</v>
      </c>
      <c r="D332">
        <v>256</v>
      </c>
      <c r="E332">
        <v>1</v>
      </c>
      <c r="F332">
        <v>16</v>
      </c>
      <c r="G332" s="16">
        <v>2105.6799999999998</v>
      </c>
      <c r="H332" s="24">
        <v>7.6649000000000003</v>
      </c>
      <c r="I332" s="1">
        <v>45477</v>
      </c>
      <c r="J332" s="37">
        <v>0.81940972222222219</v>
      </c>
      <c r="K332">
        <v>0</v>
      </c>
      <c r="L332">
        <v>0</v>
      </c>
      <c r="M332">
        <v>0</v>
      </c>
      <c r="N332">
        <v>0</v>
      </c>
      <c r="O332">
        <v>0</v>
      </c>
      <c r="P332">
        <v>0</v>
      </c>
      <c r="Q332">
        <v>0</v>
      </c>
      <c r="R332">
        <v>0</v>
      </c>
      <c r="S332">
        <v>0</v>
      </c>
      <c r="T332">
        <v>0</v>
      </c>
      <c r="U332">
        <v>0</v>
      </c>
      <c r="V332">
        <v>0</v>
      </c>
      <c r="W332" s="3">
        <f>W331</f>
        <v>7.8920199999999996</v>
      </c>
      <c r="X332" s="30"/>
      <c r="Y332">
        <v>3</v>
      </c>
      <c r="Z332" t="s">
        <v>1</v>
      </c>
      <c r="AA332">
        <v>28928</v>
      </c>
      <c r="AB332">
        <v>256</v>
      </c>
      <c r="AC332">
        <v>1</v>
      </c>
      <c r="AD332">
        <v>16</v>
      </c>
      <c r="AE332" s="16">
        <v>1871.22</v>
      </c>
      <c r="AF332" s="24">
        <v>8.6252999999999993</v>
      </c>
      <c r="AG332" s="1">
        <v>45479</v>
      </c>
      <c r="AH332" s="2">
        <v>0.4432638888888889</v>
      </c>
      <c r="AI332">
        <v>0</v>
      </c>
      <c r="AJ332">
        <v>0</v>
      </c>
      <c r="AK332">
        <v>0</v>
      </c>
      <c r="AL332">
        <v>0</v>
      </c>
      <c r="AM332">
        <v>0</v>
      </c>
      <c r="AN332">
        <v>0</v>
      </c>
      <c r="AO332">
        <v>0</v>
      </c>
      <c r="AP332">
        <v>0</v>
      </c>
      <c r="AQ332">
        <v>0</v>
      </c>
      <c r="AR332">
        <v>0</v>
      </c>
      <c r="AS332">
        <v>0</v>
      </c>
      <c r="AT332">
        <v>0</v>
      </c>
      <c r="AU332" s="3">
        <f>AU331</f>
        <v>8.6222000000000012</v>
      </c>
    </row>
    <row r="333" spans="1:47" x14ac:dyDescent="0.25">
      <c r="A333">
        <v>4</v>
      </c>
      <c r="B333" t="s">
        <v>1</v>
      </c>
      <c r="C333">
        <v>28928</v>
      </c>
      <c r="D333">
        <v>256</v>
      </c>
      <c r="E333">
        <v>1</v>
      </c>
      <c r="F333">
        <v>16</v>
      </c>
      <c r="G333" s="16">
        <v>2103.5500000000002</v>
      </c>
      <c r="H333" s="24">
        <v>7.6726999999999999</v>
      </c>
      <c r="I333" s="1">
        <v>45477</v>
      </c>
      <c r="J333" s="37">
        <v>0.7082060185185185</v>
      </c>
      <c r="K333">
        <v>0</v>
      </c>
      <c r="L333">
        <v>0</v>
      </c>
      <c r="M333">
        <v>0</v>
      </c>
      <c r="N333">
        <v>0</v>
      </c>
      <c r="O333">
        <v>0</v>
      </c>
      <c r="P333">
        <v>0</v>
      </c>
      <c r="Q333">
        <v>0</v>
      </c>
      <c r="R333">
        <v>0</v>
      </c>
      <c r="S333">
        <v>0</v>
      </c>
      <c r="T333">
        <v>0</v>
      </c>
      <c r="U333">
        <v>0</v>
      </c>
      <c r="V333">
        <v>0</v>
      </c>
      <c r="W333" s="3">
        <f>W332</f>
        <v>7.8920199999999996</v>
      </c>
      <c r="X333" s="30"/>
      <c r="Y333">
        <v>4</v>
      </c>
      <c r="Z333" t="s">
        <v>1</v>
      </c>
      <c r="AA333">
        <v>28928</v>
      </c>
      <c r="AB333">
        <v>256</v>
      </c>
      <c r="AC333">
        <v>1</v>
      </c>
      <c r="AD333">
        <v>16</v>
      </c>
      <c r="AE333" s="16">
        <v>1873.32</v>
      </c>
      <c r="AF333" s="24">
        <v>8.6156000000000006</v>
      </c>
      <c r="AG333" s="1">
        <v>45479</v>
      </c>
      <c r="AH333" s="2">
        <v>0.95403935185185185</v>
      </c>
      <c r="AI333">
        <v>0</v>
      </c>
      <c r="AJ333">
        <v>0</v>
      </c>
      <c r="AK333">
        <v>0</v>
      </c>
      <c r="AL333">
        <v>0</v>
      </c>
      <c r="AM333">
        <v>0</v>
      </c>
      <c r="AN333">
        <v>0</v>
      </c>
      <c r="AO333">
        <v>0</v>
      </c>
      <c r="AP333">
        <v>0</v>
      </c>
      <c r="AQ333">
        <v>0</v>
      </c>
      <c r="AR333">
        <v>0</v>
      </c>
      <c r="AS333">
        <v>0</v>
      </c>
      <c r="AT333">
        <v>0</v>
      </c>
      <c r="AU333" s="3">
        <f>AU332</f>
        <v>8.6222000000000012</v>
      </c>
    </row>
    <row r="334" spans="1:47" x14ac:dyDescent="0.25">
      <c r="A334">
        <v>0</v>
      </c>
      <c r="B334" t="s">
        <v>1</v>
      </c>
      <c r="C334">
        <v>25856</v>
      </c>
      <c r="D334">
        <v>256</v>
      </c>
      <c r="E334">
        <v>2</v>
      </c>
      <c r="F334">
        <v>8</v>
      </c>
      <c r="G334" s="16">
        <v>1417.72</v>
      </c>
      <c r="H334" s="24">
        <v>8.1290999999999993</v>
      </c>
      <c r="I334" s="1">
        <v>45482</v>
      </c>
      <c r="J334" s="37">
        <v>0.16450231481481481</v>
      </c>
      <c r="K334">
        <v>0</v>
      </c>
      <c r="L334">
        <v>0</v>
      </c>
      <c r="M334">
        <v>0</v>
      </c>
      <c r="N334">
        <v>0</v>
      </c>
      <c r="O334">
        <v>0</v>
      </c>
      <c r="P334">
        <v>0</v>
      </c>
      <c r="Q334">
        <v>0</v>
      </c>
      <c r="R334">
        <v>0</v>
      </c>
      <c r="S334">
        <v>0</v>
      </c>
      <c r="T334">
        <v>0</v>
      </c>
      <c r="U334">
        <v>0</v>
      </c>
      <c r="V334">
        <v>0</v>
      </c>
      <c r="W334" s="3">
        <f>AVERAGE(H289:H293)</f>
        <v>8.3378999999999994</v>
      </c>
      <c r="X334" s="30"/>
      <c r="Y334">
        <v>0</v>
      </c>
      <c r="Z334" t="s">
        <v>1</v>
      </c>
      <c r="AA334">
        <v>25856</v>
      </c>
      <c r="AB334">
        <v>256</v>
      </c>
      <c r="AC334">
        <v>2</v>
      </c>
      <c r="AD334">
        <v>8</v>
      </c>
      <c r="AE334" s="16">
        <v>1264.48</v>
      </c>
      <c r="AF334" s="24">
        <v>9.1142000000000003</v>
      </c>
      <c r="AG334" s="1">
        <v>45477</v>
      </c>
      <c r="AH334" s="2">
        <v>0.74187499999999995</v>
      </c>
      <c r="AI334">
        <v>0</v>
      </c>
      <c r="AJ334">
        <v>0</v>
      </c>
      <c r="AK334">
        <v>0</v>
      </c>
      <c r="AL334">
        <v>0</v>
      </c>
      <c r="AM334">
        <v>0</v>
      </c>
      <c r="AN334">
        <v>0</v>
      </c>
      <c r="AO334">
        <v>0</v>
      </c>
      <c r="AP334">
        <v>0</v>
      </c>
      <c r="AQ334">
        <v>0</v>
      </c>
      <c r="AR334">
        <v>0</v>
      </c>
      <c r="AS334">
        <v>0</v>
      </c>
      <c r="AT334">
        <v>0</v>
      </c>
      <c r="AU334" s="3">
        <f>AVERAGE(AF334:AF338)</f>
        <v>9.1105000000000018</v>
      </c>
    </row>
    <row r="335" spans="1:47" x14ac:dyDescent="0.25">
      <c r="A335">
        <v>1</v>
      </c>
      <c r="B335" t="s">
        <v>1</v>
      </c>
      <c r="C335">
        <v>25856</v>
      </c>
      <c r="D335">
        <v>256</v>
      </c>
      <c r="E335">
        <v>2</v>
      </c>
      <c r="F335">
        <v>8</v>
      </c>
      <c r="G335" s="16">
        <v>1419.57</v>
      </c>
      <c r="H335" s="24">
        <v>8.1183999999999994</v>
      </c>
      <c r="I335" s="1">
        <v>45482</v>
      </c>
      <c r="J335" s="37">
        <v>0.70532407407407405</v>
      </c>
      <c r="K335">
        <v>0</v>
      </c>
      <c r="L335">
        <v>0</v>
      </c>
      <c r="M335">
        <v>0</v>
      </c>
      <c r="N335">
        <v>0</v>
      </c>
      <c r="O335">
        <v>0</v>
      </c>
      <c r="P335">
        <v>0</v>
      </c>
      <c r="Q335">
        <v>0</v>
      </c>
      <c r="R335">
        <v>0</v>
      </c>
      <c r="S335">
        <v>0</v>
      </c>
      <c r="T335">
        <v>0</v>
      </c>
      <c r="U335">
        <v>0</v>
      </c>
      <c r="V335">
        <v>0</v>
      </c>
      <c r="W335" s="3">
        <f>W334</f>
        <v>8.3378999999999994</v>
      </c>
      <c r="X335" s="30"/>
      <c r="Y335">
        <v>1</v>
      </c>
      <c r="Z335" t="s">
        <v>1</v>
      </c>
      <c r="AA335">
        <v>25856</v>
      </c>
      <c r="AB335">
        <v>256</v>
      </c>
      <c r="AC335">
        <v>2</v>
      </c>
      <c r="AD335">
        <v>8</v>
      </c>
      <c r="AE335" s="16">
        <v>1265.1500000000001</v>
      </c>
      <c r="AF335" s="24">
        <v>9.1094000000000008</v>
      </c>
      <c r="AG335" s="1">
        <v>45478</v>
      </c>
      <c r="AH335" s="2">
        <v>0.25261574074074072</v>
      </c>
      <c r="AI335">
        <v>0</v>
      </c>
      <c r="AJ335">
        <v>0</v>
      </c>
      <c r="AK335">
        <v>0</v>
      </c>
      <c r="AL335">
        <v>0</v>
      </c>
      <c r="AM335">
        <v>0</v>
      </c>
      <c r="AN335">
        <v>0</v>
      </c>
      <c r="AO335">
        <v>0</v>
      </c>
      <c r="AP335">
        <v>0</v>
      </c>
      <c r="AQ335">
        <v>0</v>
      </c>
      <c r="AR335">
        <v>0</v>
      </c>
      <c r="AS335">
        <v>0</v>
      </c>
      <c r="AT335">
        <v>0</v>
      </c>
      <c r="AU335" s="3">
        <f>AU334</f>
        <v>9.1105000000000018</v>
      </c>
    </row>
    <row r="336" spans="1:47" x14ac:dyDescent="0.25">
      <c r="A336">
        <v>2</v>
      </c>
      <c r="B336" t="s">
        <v>1</v>
      </c>
      <c r="C336">
        <v>25856</v>
      </c>
      <c r="D336">
        <v>256</v>
      </c>
      <c r="E336">
        <v>2</v>
      </c>
      <c r="F336">
        <v>8</v>
      </c>
      <c r="G336" s="16">
        <v>1419.26</v>
      </c>
      <c r="H336" s="24">
        <v>8.1202000000000005</v>
      </c>
      <c r="I336" s="1">
        <v>45483</v>
      </c>
      <c r="J336" s="37">
        <v>0.23040509259259259</v>
      </c>
      <c r="K336">
        <v>0</v>
      </c>
      <c r="L336">
        <v>0</v>
      </c>
      <c r="M336">
        <v>0</v>
      </c>
      <c r="N336">
        <v>0</v>
      </c>
      <c r="O336">
        <v>0</v>
      </c>
      <c r="P336">
        <v>0</v>
      </c>
      <c r="Q336">
        <v>0</v>
      </c>
      <c r="R336">
        <v>0</v>
      </c>
      <c r="S336">
        <v>0</v>
      </c>
      <c r="T336">
        <v>0</v>
      </c>
      <c r="U336">
        <v>0</v>
      </c>
      <c r="V336">
        <v>0</v>
      </c>
      <c r="W336" s="3">
        <f>W335</f>
        <v>8.3378999999999994</v>
      </c>
      <c r="X336" s="30"/>
      <c r="Y336">
        <v>2</v>
      </c>
      <c r="Z336" t="s">
        <v>1</v>
      </c>
      <c r="AA336">
        <v>25856</v>
      </c>
      <c r="AB336">
        <v>256</v>
      </c>
      <c r="AC336">
        <v>2</v>
      </c>
      <c r="AD336">
        <v>8</v>
      </c>
      <c r="AE336" s="16">
        <v>1264.05</v>
      </c>
      <c r="AF336" s="24">
        <v>9.1173000000000002</v>
      </c>
      <c r="AG336" s="1">
        <v>45478</v>
      </c>
      <c r="AH336" s="2">
        <v>0.76337962962962957</v>
      </c>
      <c r="AI336">
        <v>0</v>
      </c>
      <c r="AJ336">
        <v>0</v>
      </c>
      <c r="AK336">
        <v>0</v>
      </c>
      <c r="AL336">
        <v>0</v>
      </c>
      <c r="AM336">
        <v>0</v>
      </c>
      <c r="AN336">
        <v>0</v>
      </c>
      <c r="AO336">
        <v>0</v>
      </c>
      <c r="AP336">
        <v>0</v>
      </c>
      <c r="AQ336">
        <v>0</v>
      </c>
      <c r="AR336">
        <v>0</v>
      </c>
      <c r="AS336">
        <v>0</v>
      </c>
      <c r="AT336">
        <v>0</v>
      </c>
      <c r="AU336" s="3">
        <f>AU335</f>
        <v>9.1105000000000018</v>
      </c>
    </row>
    <row r="337" spans="1:47" x14ac:dyDescent="0.25">
      <c r="A337">
        <v>3</v>
      </c>
      <c r="B337" t="s">
        <v>1</v>
      </c>
      <c r="C337">
        <v>25856</v>
      </c>
      <c r="D337">
        <v>256</v>
      </c>
      <c r="E337">
        <v>2</v>
      </c>
      <c r="F337">
        <v>8</v>
      </c>
      <c r="G337" s="16">
        <v>1418.37</v>
      </c>
      <c r="H337" s="24">
        <v>8.1252999999999993</v>
      </c>
      <c r="I337" s="1">
        <v>45477</v>
      </c>
      <c r="J337" s="37">
        <v>0.64535879629629633</v>
      </c>
      <c r="K337">
        <v>0</v>
      </c>
      <c r="L337">
        <v>0</v>
      </c>
      <c r="M337">
        <v>0</v>
      </c>
      <c r="N337">
        <v>0</v>
      </c>
      <c r="O337">
        <v>0</v>
      </c>
      <c r="P337">
        <v>0</v>
      </c>
      <c r="Q337">
        <v>0</v>
      </c>
      <c r="R337">
        <v>0</v>
      </c>
      <c r="S337">
        <v>0</v>
      </c>
      <c r="T337">
        <v>0</v>
      </c>
      <c r="U337">
        <v>0</v>
      </c>
      <c r="V337">
        <v>0</v>
      </c>
      <c r="W337" s="3">
        <f>W336</f>
        <v>8.3378999999999994</v>
      </c>
      <c r="X337" s="30"/>
      <c r="Y337">
        <v>3</v>
      </c>
      <c r="Z337" t="s">
        <v>1</v>
      </c>
      <c r="AA337">
        <v>25856</v>
      </c>
      <c r="AB337">
        <v>256</v>
      </c>
      <c r="AC337">
        <v>2</v>
      </c>
      <c r="AD337">
        <v>8</v>
      </c>
      <c r="AE337" s="16">
        <v>1264.8800000000001</v>
      </c>
      <c r="AF337" s="24">
        <v>9.1113</v>
      </c>
      <c r="AG337" s="1">
        <v>45479</v>
      </c>
      <c r="AH337" s="2">
        <v>0.27399305555555553</v>
      </c>
      <c r="AI337">
        <v>0</v>
      </c>
      <c r="AJ337">
        <v>0</v>
      </c>
      <c r="AK337">
        <v>0</v>
      </c>
      <c r="AL337">
        <v>0</v>
      </c>
      <c r="AM337">
        <v>0</v>
      </c>
      <c r="AN337">
        <v>0</v>
      </c>
      <c r="AO337">
        <v>0</v>
      </c>
      <c r="AP337">
        <v>0</v>
      </c>
      <c r="AQ337">
        <v>0</v>
      </c>
      <c r="AR337">
        <v>0</v>
      </c>
      <c r="AS337">
        <v>0</v>
      </c>
      <c r="AT337">
        <v>0</v>
      </c>
      <c r="AU337" s="3">
        <f>AU336</f>
        <v>9.1105000000000018</v>
      </c>
    </row>
    <row r="338" spans="1:47" x14ac:dyDescent="0.25">
      <c r="A338">
        <v>4</v>
      </c>
      <c r="B338" t="s">
        <v>1</v>
      </c>
      <c r="C338">
        <v>25856</v>
      </c>
      <c r="D338">
        <v>256</v>
      </c>
      <c r="E338">
        <v>2</v>
      </c>
      <c r="F338">
        <v>8</v>
      </c>
      <c r="G338" s="16">
        <v>1417.5</v>
      </c>
      <c r="H338" s="24">
        <v>8.1303000000000001</v>
      </c>
      <c r="I338" s="1">
        <v>45477</v>
      </c>
      <c r="J338" s="37">
        <v>0.5342824074074074</v>
      </c>
      <c r="K338">
        <v>0</v>
      </c>
      <c r="L338">
        <v>0</v>
      </c>
      <c r="M338">
        <v>0</v>
      </c>
      <c r="N338">
        <v>0</v>
      </c>
      <c r="O338">
        <v>0</v>
      </c>
      <c r="P338">
        <v>0</v>
      </c>
      <c r="Q338">
        <v>0</v>
      </c>
      <c r="R338">
        <v>0</v>
      </c>
      <c r="S338">
        <v>0</v>
      </c>
      <c r="T338">
        <v>0</v>
      </c>
      <c r="U338">
        <v>0</v>
      </c>
      <c r="V338">
        <v>0</v>
      </c>
      <c r="W338" s="3">
        <f>W337</f>
        <v>8.3378999999999994</v>
      </c>
      <c r="X338" s="30"/>
      <c r="Y338">
        <v>4</v>
      </c>
      <c r="Z338" t="s">
        <v>1</v>
      </c>
      <c r="AA338">
        <v>25856</v>
      </c>
      <c r="AB338">
        <v>256</v>
      </c>
      <c r="AC338">
        <v>2</v>
      </c>
      <c r="AD338">
        <v>8</v>
      </c>
      <c r="AE338" s="16">
        <v>1266.4100000000001</v>
      </c>
      <c r="AF338" s="24">
        <v>9.1003000000000007</v>
      </c>
      <c r="AG338" s="1">
        <v>45479</v>
      </c>
      <c r="AH338" s="2">
        <v>0.7847453703703704</v>
      </c>
      <c r="AI338">
        <v>0</v>
      </c>
      <c r="AJ338">
        <v>0</v>
      </c>
      <c r="AK338">
        <v>0</v>
      </c>
      <c r="AL338">
        <v>0</v>
      </c>
      <c r="AM338">
        <v>0</v>
      </c>
      <c r="AN338">
        <v>0</v>
      </c>
      <c r="AO338">
        <v>0</v>
      </c>
      <c r="AP338">
        <v>0</v>
      </c>
      <c r="AQ338">
        <v>0</v>
      </c>
      <c r="AR338">
        <v>0</v>
      </c>
      <c r="AS338">
        <v>0</v>
      </c>
      <c r="AT338">
        <v>0</v>
      </c>
      <c r="AU338" s="3">
        <f>AU337</f>
        <v>9.1105000000000018</v>
      </c>
    </row>
    <row r="339" spans="1:47" x14ac:dyDescent="0.25">
      <c r="A339">
        <v>0</v>
      </c>
      <c r="B339" t="s">
        <v>1</v>
      </c>
      <c r="C339">
        <v>27392</v>
      </c>
      <c r="D339">
        <v>256</v>
      </c>
      <c r="E339">
        <v>2</v>
      </c>
      <c r="F339">
        <v>8</v>
      </c>
      <c r="G339" s="16">
        <v>1682.71</v>
      </c>
      <c r="H339" s="24">
        <v>8.1433999999999997</v>
      </c>
      <c r="I339" s="1">
        <v>45482</v>
      </c>
      <c r="J339" s="37">
        <v>1.4131944444444445E-2</v>
      </c>
      <c r="K339">
        <v>0</v>
      </c>
      <c r="L339">
        <v>0</v>
      </c>
      <c r="M339">
        <v>0</v>
      </c>
      <c r="N339">
        <v>0</v>
      </c>
      <c r="O339">
        <v>0</v>
      </c>
      <c r="P339">
        <v>0</v>
      </c>
      <c r="Q339">
        <v>0</v>
      </c>
      <c r="R339">
        <v>0</v>
      </c>
      <c r="S339">
        <v>0</v>
      </c>
      <c r="T339">
        <v>0</v>
      </c>
      <c r="U339">
        <v>0</v>
      </c>
      <c r="V339">
        <v>0</v>
      </c>
      <c r="W339" s="3">
        <f>AVERAGE(H294:H298)</f>
        <v>8.4084199999999996</v>
      </c>
      <c r="X339" s="30"/>
      <c r="Y339">
        <v>0</v>
      </c>
      <c r="Z339" t="s">
        <v>1</v>
      </c>
      <c r="AA339">
        <v>27392</v>
      </c>
      <c r="AB339">
        <v>256</v>
      </c>
      <c r="AC339">
        <v>2</v>
      </c>
      <c r="AD339">
        <v>8</v>
      </c>
      <c r="AE339" s="16">
        <v>1492.04</v>
      </c>
      <c r="AF339" s="24">
        <v>9.1841000000000008</v>
      </c>
      <c r="AG339" s="1">
        <v>45477</v>
      </c>
      <c r="AH339" s="2">
        <v>0.59438657407407403</v>
      </c>
      <c r="AI339">
        <v>0</v>
      </c>
      <c r="AJ339">
        <v>0</v>
      </c>
      <c r="AK339">
        <v>0</v>
      </c>
      <c r="AL339">
        <v>0</v>
      </c>
      <c r="AM339">
        <v>0</v>
      </c>
      <c r="AN339">
        <v>0</v>
      </c>
      <c r="AO339">
        <v>0</v>
      </c>
      <c r="AP339">
        <v>0</v>
      </c>
      <c r="AQ339">
        <v>0</v>
      </c>
      <c r="AR339">
        <v>0</v>
      </c>
      <c r="AS339">
        <v>0</v>
      </c>
      <c r="AT339">
        <v>0</v>
      </c>
      <c r="AU339" s="3">
        <f>AVERAGE(AF339:AF343)</f>
        <v>9.1799599999999995</v>
      </c>
    </row>
    <row r="340" spans="1:47" x14ac:dyDescent="0.25">
      <c r="A340">
        <v>1</v>
      </c>
      <c r="B340" t="s">
        <v>1</v>
      </c>
      <c r="C340">
        <v>27392</v>
      </c>
      <c r="D340">
        <v>256</v>
      </c>
      <c r="E340">
        <v>2</v>
      </c>
      <c r="F340">
        <v>8</v>
      </c>
      <c r="G340" s="16">
        <v>1684.47</v>
      </c>
      <c r="H340" s="24">
        <v>8.1349</v>
      </c>
      <c r="I340" s="1">
        <v>45482</v>
      </c>
      <c r="J340" s="37">
        <v>0.52331018518518524</v>
      </c>
      <c r="K340">
        <v>0</v>
      </c>
      <c r="L340">
        <v>0</v>
      </c>
      <c r="M340">
        <v>0</v>
      </c>
      <c r="N340">
        <v>0</v>
      </c>
      <c r="O340">
        <v>0</v>
      </c>
      <c r="P340">
        <v>0</v>
      </c>
      <c r="Q340">
        <v>0</v>
      </c>
      <c r="R340">
        <v>0</v>
      </c>
      <c r="S340">
        <v>0</v>
      </c>
      <c r="T340">
        <v>0</v>
      </c>
      <c r="U340">
        <v>0</v>
      </c>
      <c r="V340">
        <v>0</v>
      </c>
      <c r="W340" s="3">
        <f>W339</f>
        <v>8.4084199999999996</v>
      </c>
      <c r="X340" s="30"/>
      <c r="Y340">
        <v>1</v>
      </c>
      <c r="Z340" t="s">
        <v>1</v>
      </c>
      <c r="AA340">
        <v>27392</v>
      </c>
      <c r="AB340">
        <v>256</v>
      </c>
      <c r="AC340">
        <v>2</v>
      </c>
      <c r="AD340">
        <v>8</v>
      </c>
      <c r="AE340" s="16">
        <v>1490.76</v>
      </c>
      <c r="AF340" s="24">
        <v>9.1920000000000002</v>
      </c>
      <c r="AG340" s="1">
        <v>45478</v>
      </c>
      <c r="AH340" s="2">
        <v>0.10508101851851852</v>
      </c>
      <c r="AI340">
        <v>0</v>
      </c>
      <c r="AJ340">
        <v>0</v>
      </c>
      <c r="AK340">
        <v>0</v>
      </c>
      <c r="AL340">
        <v>0</v>
      </c>
      <c r="AM340">
        <v>0</v>
      </c>
      <c r="AN340">
        <v>0</v>
      </c>
      <c r="AO340">
        <v>0</v>
      </c>
      <c r="AP340">
        <v>0</v>
      </c>
      <c r="AQ340">
        <v>0</v>
      </c>
      <c r="AR340">
        <v>0</v>
      </c>
      <c r="AS340">
        <v>0</v>
      </c>
      <c r="AT340">
        <v>0</v>
      </c>
      <c r="AU340" s="3">
        <f>AU339</f>
        <v>9.1799599999999995</v>
      </c>
    </row>
    <row r="341" spans="1:47" x14ac:dyDescent="0.25">
      <c r="A341">
        <v>2</v>
      </c>
      <c r="B341" t="s">
        <v>1</v>
      </c>
      <c r="C341">
        <v>27392</v>
      </c>
      <c r="D341">
        <v>256</v>
      </c>
      <c r="E341">
        <v>2</v>
      </c>
      <c r="F341">
        <v>8</v>
      </c>
      <c r="G341" s="16">
        <v>1682.51</v>
      </c>
      <c r="H341" s="24">
        <v>8.1443999999999992</v>
      </c>
      <c r="I341" s="1">
        <v>45483</v>
      </c>
      <c r="J341" s="37">
        <v>7.9976851851851855E-2</v>
      </c>
      <c r="K341">
        <v>0</v>
      </c>
      <c r="L341">
        <v>0</v>
      </c>
      <c r="M341">
        <v>0</v>
      </c>
      <c r="N341">
        <v>0</v>
      </c>
      <c r="O341">
        <v>0</v>
      </c>
      <c r="P341">
        <v>0</v>
      </c>
      <c r="Q341">
        <v>0</v>
      </c>
      <c r="R341">
        <v>0</v>
      </c>
      <c r="S341">
        <v>0</v>
      </c>
      <c r="T341">
        <v>0</v>
      </c>
      <c r="U341">
        <v>0</v>
      </c>
      <c r="V341">
        <v>0</v>
      </c>
      <c r="W341" s="3">
        <f>W340</f>
        <v>8.4084199999999996</v>
      </c>
      <c r="X341" s="30"/>
      <c r="Y341">
        <v>2</v>
      </c>
      <c r="Z341" t="s">
        <v>1</v>
      </c>
      <c r="AA341">
        <v>27392</v>
      </c>
      <c r="AB341">
        <v>256</v>
      </c>
      <c r="AC341">
        <v>2</v>
      </c>
      <c r="AD341">
        <v>8</v>
      </c>
      <c r="AE341" s="16">
        <v>1494.68</v>
      </c>
      <c r="AF341" s="24">
        <v>9.1677999999999997</v>
      </c>
      <c r="AG341" s="1">
        <v>45478</v>
      </c>
      <c r="AH341" s="2">
        <v>0.61578703703703708</v>
      </c>
      <c r="AI341">
        <v>0</v>
      </c>
      <c r="AJ341">
        <v>0</v>
      </c>
      <c r="AK341">
        <v>0</v>
      </c>
      <c r="AL341">
        <v>0</v>
      </c>
      <c r="AM341">
        <v>0</v>
      </c>
      <c r="AN341">
        <v>0</v>
      </c>
      <c r="AO341">
        <v>0</v>
      </c>
      <c r="AP341">
        <v>0</v>
      </c>
      <c r="AQ341">
        <v>0</v>
      </c>
      <c r="AR341">
        <v>0</v>
      </c>
      <c r="AS341">
        <v>0</v>
      </c>
      <c r="AT341">
        <v>0</v>
      </c>
      <c r="AU341" s="3">
        <f>AU340</f>
        <v>9.1799599999999995</v>
      </c>
    </row>
    <row r="342" spans="1:47" x14ac:dyDescent="0.25">
      <c r="A342">
        <v>3</v>
      </c>
      <c r="B342" t="s">
        <v>1</v>
      </c>
      <c r="C342">
        <v>27392</v>
      </c>
      <c r="D342">
        <v>256</v>
      </c>
      <c r="E342">
        <v>2</v>
      </c>
      <c r="F342">
        <v>8</v>
      </c>
      <c r="G342" s="16">
        <v>1683.25</v>
      </c>
      <c r="H342" s="24">
        <v>8.1408000000000005</v>
      </c>
      <c r="I342" s="1">
        <v>45477</v>
      </c>
      <c r="J342" s="37">
        <v>0.49502314814814813</v>
      </c>
      <c r="K342">
        <v>0</v>
      </c>
      <c r="L342">
        <v>0</v>
      </c>
      <c r="M342">
        <v>0</v>
      </c>
      <c r="N342">
        <v>0</v>
      </c>
      <c r="O342">
        <v>0</v>
      </c>
      <c r="P342">
        <v>0</v>
      </c>
      <c r="Q342">
        <v>0</v>
      </c>
      <c r="R342">
        <v>0</v>
      </c>
      <c r="S342">
        <v>0</v>
      </c>
      <c r="T342">
        <v>0</v>
      </c>
      <c r="U342">
        <v>0</v>
      </c>
      <c r="V342">
        <v>0</v>
      </c>
      <c r="W342" s="3">
        <f>W341</f>
        <v>8.4084199999999996</v>
      </c>
      <c r="X342" s="30"/>
      <c r="Y342">
        <v>3</v>
      </c>
      <c r="Z342" t="s">
        <v>1</v>
      </c>
      <c r="AA342">
        <v>27392</v>
      </c>
      <c r="AB342">
        <v>256</v>
      </c>
      <c r="AC342">
        <v>2</v>
      </c>
      <c r="AD342">
        <v>8</v>
      </c>
      <c r="AE342" s="16">
        <v>1492.66</v>
      </c>
      <c r="AF342" s="24">
        <v>9.1803000000000008</v>
      </c>
      <c r="AG342" s="1">
        <v>45479</v>
      </c>
      <c r="AH342" s="2">
        <v>0.12636574074074075</v>
      </c>
      <c r="AI342">
        <v>0</v>
      </c>
      <c r="AJ342">
        <v>0</v>
      </c>
      <c r="AK342">
        <v>0</v>
      </c>
      <c r="AL342">
        <v>0</v>
      </c>
      <c r="AM342">
        <v>0</v>
      </c>
      <c r="AN342">
        <v>0</v>
      </c>
      <c r="AO342">
        <v>0</v>
      </c>
      <c r="AP342">
        <v>0</v>
      </c>
      <c r="AQ342">
        <v>0</v>
      </c>
      <c r="AR342">
        <v>0</v>
      </c>
      <c r="AS342">
        <v>0</v>
      </c>
      <c r="AT342">
        <v>0</v>
      </c>
      <c r="AU342" s="3">
        <f>AU341</f>
        <v>9.1799599999999995</v>
      </c>
    </row>
    <row r="343" spans="1:47" x14ac:dyDescent="0.25">
      <c r="A343">
        <v>4</v>
      </c>
      <c r="B343" t="s">
        <v>1</v>
      </c>
      <c r="C343">
        <v>27392</v>
      </c>
      <c r="D343">
        <v>256</v>
      </c>
      <c r="E343">
        <v>2</v>
      </c>
      <c r="F343">
        <v>8</v>
      </c>
      <c r="G343" s="16">
        <v>1682.25</v>
      </c>
      <c r="H343" s="24">
        <v>8.1456</v>
      </c>
      <c r="I343" s="1">
        <v>45478</v>
      </c>
      <c r="J343" s="37">
        <v>1.9861111111111111E-2</v>
      </c>
      <c r="K343">
        <v>0</v>
      </c>
      <c r="L343">
        <v>0</v>
      </c>
      <c r="M343">
        <v>0</v>
      </c>
      <c r="N343">
        <v>0</v>
      </c>
      <c r="O343">
        <v>0</v>
      </c>
      <c r="P343">
        <v>0</v>
      </c>
      <c r="Q343">
        <v>0</v>
      </c>
      <c r="R343">
        <v>0</v>
      </c>
      <c r="S343">
        <v>0</v>
      </c>
      <c r="T343">
        <v>0</v>
      </c>
      <c r="U343">
        <v>0</v>
      </c>
      <c r="V343">
        <v>0</v>
      </c>
      <c r="W343" s="3">
        <f>W342</f>
        <v>8.4084199999999996</v>
      </c>
      <c r="X343" s="30"/>
      <c r="Y343">
        <v>4</v>
      </c>
      <c r="Z343" t="s">
        <v>1</v>
      </c>
      <c r="AA343">
        <v>27392</v>
      </c>
      <c r="AB343">
        <v>256</v>
      </c>
      <c r="AC343">
        <v>2</v>
      </c>
      <c r="AD343">
        <v>8</v>
      </c>
      <c r="AE343" s="16">
        <v>1493.42</v>
      </c>
      <c r="AF343" s="24">
        <v>9.1755999999999993</v>
      </c>
      <c r="AG343" s="1">
        <v>45479</v>
      </c>
      <c r="AH343" s="2">
        <v>0.63711805555555556</v>
      </c>
      <c r="AI343">
        <v>0</v>
      </c>
      <c r="AJ343">
        <v>0</v>
      </c>
      <c r="AK343">
        <v>0</v>
      </c>
      <c r="AL343">
        <v>0</v>
      </c>
      <c r="AM343">
        <v>0</v>
      </c>
      <c r="AN343">
        <v>0</v>
      </c>
      <c r="AO343">
        <v>0</v>
      </c>
      <c r="AP343">
        <v>0</v>
      </c>
      <c r="AQ343">
        <v>0</v>
      </c>
      <c r="AR343">
        <v>0</v>
      </c>
      <c r="AS343">
        <v>0</v>
      </c>
      <c r="AT343">
        <v>0</v>
      </c>
      <c r="AU343" s="3">
        <f>AU342</f>
        <v>9.1799599999999995</v>
      </c>
    </row>
    <row r="344" spans="1:47" x14ac:dyDescent="0.25">
      <c r="A344">
        <v>0</v>
      </c>
      <c r="B344" t="s">
        <v>1</v>
      </c>
      <c r="C344">
        <v>28928</v>
      </c>
      <c r="D344">
        <v>256</v>
      </c>
      <c r="E344">
        <v>2</v>
      </c>
      <c r="F344">
        <v>8</v>
      </c>
      <c r="G344" s="16">
        <v>1946.75</v>
      </c>
      <c r="H344" s="24">
        <v>8.2905999999999995</v>
      </c>
      <c r="I344" s="1">
        <v>45482</v>
      </c>
      <c r="J344" s="37">
        <v>0.36163194444444446</v>
      </c>
      <c r="K344">
        <v>0</v>
      </c>
      <c r="L344">
        <v>0</v>
      </c>
      <c r="M344">
        <v>0</v>
      </c>
      <c r="N344">
        <v>0</v>
      </c>
      <c r="O344">
        <v>0</v>
      </c>
      <c r="P344">
        <v>0</v>
      </c>
      <c r="Q344">
        <v>0</v>
      </c>
      <c r="R344">
        <v>0</v>
      </c>
      <c r="S344">
        <v>0</v>
      </c>
      <c r="T344">
        <v>0</v>
      </c>
      <c r="U344">
        <v>0</v>
      </c>
      <c r="V344">
        <v>0</v>
      </c>
      <c r="W344" s="3">
        <f>AVERAGE(H299:H303)</f>
        <v>8.4124599999999994</v>
      </c>
      <c r="X344" s="30"/>
      <c r="Y344">
        <v>0</v>
      </c>
      <c r="Z344" t="s">
        <v>1</v>
      </c>
      <c r="AA344">
        <v>28928</v>
      </c>
      <c r="AB344">
        <v>256</v>
      </c>
      <c r="AC344">
        <v>2</v>
      </c>
      <c r="AD344">
        <v>8</v>
      </c>
      <c r="AE344" s="16">
        <v>1734.27</v>
      </c>
      <c r="AF344" s="24">
        <v>9.3064</v>
      </c>
      <c r="AG344" s="1">
        <v>45477</v>
      </c>
      <c r="AH344" s="2">
        <v>0.9331018518518519</v>
      </c>
      <c r="AI344">
        <v>0</v>
      </c>
      <c r="AJ344">
        <v>0</v>
      </c>
      <c r="AK344">
        <v>0</v>
      </c>
      <c r="AL344">
        <v>0</v>
      </c>
      <c r="AM344">
        <v>0</v>
      </c>
      <c r="AN344">
        <v>0</v>
      </c>
      <c r="AO344">
        <v>0</v>
      </c>
      <c r="AP344">
        <v>0</v>
      </c>
      <c r="AQ344">
        <v>0</v>
      </c>
      <c r="AR344">
        <v>0</v>
      </c>
      <c r="AS344">
        <v>0</v>
      </c>
      <c r="AT344">
        <v>0</v>
      </c>
      <c r="AU344" s="3">
        <f>AVERAGE(AF344:AF348)</f>
        <v>9.2994999999999983</v>
      </c>
    </row>
    <row r="345" spans="1:47" x14ac:dyDescent="0.25">
      <c r="A345">
        <v>1</v>
      </c>
      <c r="B345" t="s">
        <v>1</v>
      </c>
      <c r="C345">
        <v>28928</v>
      </c>
      <c r="D345">
        <v>256</v>
      </c>
      <c r="E345">
        <v>2</v>
      </c>
      <c r="F345">
        <v>8</v>
      </c>
      <c r="G345" s="16">
        <v>1946.16</v>
      </c>
      <c r="H345" s="24">
        <v>8.2931000000000008</v>
      </c>
      <c r="I345" s="1">
        <v>45482</v>
      </c>
      <c r="J345" s="37">
        <v>0.90236111111111106</v>
      </c>
      <c r="K345">
        <v>0</v>
      </c>
      <c r="L345">
        <v>0</v>
      </c>
      <c r="M345">
        <v>0</v>
      </c>
      <c r="N345">
        <v>0</v>
      </c>
      <c r="O345">
        <v>0</v>
      </c>
      <c r="P345">
        <v>0</v>
      </c>
      <c r="Q345">
        <v>0</v>
      </c>
      <c r="R345">
        <v>0</v>
      </c>
      <c r="S345">
        <v>0</v>
      </c>
      <c r="T345">
        <v>0</v>
      </c>
      <c r="U345">
        <v>0</v>
      </c>
      <c r="V345">
        <v>0</v>
      </c>
      <c r="W345" s="3">
        <f>W344</f>
        <v>8.4124599999999994</v>
      </c>
      <c r="X345" s="30"/>
      <c r="Y345">
        <v>1</v>
      </c>
      <c r="Z345" t="s">
        <v>1</v>
      </c>
      <c r="AA345">
        <v>28928</v>
      </c>
      <c r="AB345">
        <v>256</v>
      </c>
      <c r="AC345">
        <v>2</v>
      </c>
      <c r="AD345">
        <v>8</v>
      </c>
      <c r="AE345" s="16">
        <v>1734.43</v>
      </c>
      <c r="AF345" s="24">
        <v>9.3055000000000003</v>
      </c>
      <c r="AG345" s="1">
        <v>45478</v>
      </c>
      <c r="AH345" s="2">
        <v>0.44371527777777775</v>
      </c>
      <c r="AI345">
        <v>0</v>
      </c>
      <c r="AJ345">
        <v>0</v>
      </c>
      <c r="AK345">
        <v>0</v>
      </c>
      <c r="AL345">
        <v>0</v>
      </c>
      <c r="AM345">
        <v>0</v>
      </c>
      <c r="AN345">
        <v>0</v>
      </c>
      <c r="AO345">
        <v>0</v>
      </c>
      <c r="AP345">
        <v>0</v>
      </c>
      <c r="AQ345">
        <v>0</v>
      </c>
      <c r="AR345">
        <v>0</v>
      </c>
      <c r="AS345">
        <v>0</v>
      </c>
      <c r="AT345">
        <v>0</v>
      </c>
      <c r="AU345" s="3">
        <f>AU344</f>
        <v>9.2994999999999983</v>
      </c>
    </row>
    <row r="346" spans="1:47" x14ac:dyDescent="0.25">
      <c r="A346">
        <v>2</v>
      </c>
      <c r="B346" t="s">
        <v>1</v>
      </c>
      <c r="C346">
        <v>28928</v>
      </c>
      <c r="D346">
        <v>256</v>
      </c>
      <c r="E346">
        <v>2</v>
      </c>
      <c r="F346">
        <v>8</v>
      </c>
      <c r="G346" s="16">
        <v>1944.53</v>
      </c>
      <c r="H346" s="24">
        <v>8.3001000000000005</v>
      </c>
      <c r="I346" s="1">
        <v>45483</v>
      </c>
      <c r="J346" s="37">
        <v>0.4274189814814815</v>
      </c>
      <c r="K346">
        <v>0</v>
      </c>
      <c r="L346">
        <v>0</v>
      </c>
      <c r="M346">
        <v>0</v>
      </c>
      <c r="N346">
        <v>0</v>
      </c>
      <c r="O346">
        <v>0</v>
      </c>
      <c r="P346">
        <v>0</v>
      </c>
      <c r="Q346">
        <v>0</v>
      </c>
      <c r="R346">
        <v>0</v>
      </c>
      <c r="S346">
        <v>0</v>
      </c>
      <c r="T346">
        <v>0</v>
      </c>
      <c r="U346">
        <v>0</v>
      </c>
      <c r="V346">
        <v>0</v>
      </c>
      <c r="W346" s="3">
        <f>W345</f>
        <v>8.4124599999999994</v>
      </c>
      <c r="X346" s="30"/>
      <c r="Y346">
        <v>2</v>
      </c>
      <c r="Z346" t="s">
        <v>1</v>
      </c>
      <c r="AA346">
        <v>28928</v>
      </c>
      <c r="AB346">
        <v>256</v>
      </c>
      <c r="AC346">
        <v>2</v>
      </c>
      <c r="AD346">
        <v>8</v>
      </c>
      <c r="AE346" s="16">
        <v>1735.71</v>
      </c>
      <c r="AF346" s="24">
        <v>9.2987000000000002</v>
      </c>
      <c r="AG346" s="1">
        <v>45478</v>
      </c>
      <c r="AH346" s="2">
        <v>0.95436342592592593</v>
      </c>
      <c r="AI346">
        <v>0</v>
      </c>
      <c r="AJ346">
        <v>0</v>
      </c>
      <c r="AK346">
        <v>0</v>
      </c>
      <c r="AL346">
        <v>0</v>
      </c>
      <c r="AM346">
        <v>0</v>
      </c>
      <c r="AN346">
        <v>0</v>
      </c>
      <c r="AO346">
        <v>0</v>
      </c>
      <c r="AP346">
        <v>0</v>
      </c>
      <c r="AQ346">
        <v>0</v>
      </c>
      <c r="AR346">
        <v>0</v>
      </c>
      <c r="AS346">
        <v>0</v>
      </c>
      <c r="AT346">
        <v>0</v>
      </c>
      <c r="AU346" s="3">
        <f>AU345</f>
        <v>9.2994999999999983</v>
      </c>
    </row>
    <row r="347" spans="1:47" x14ac:dyDescent="0.25">
      <c r="A347">
        <v>3</v>
      </c>
      <c r="B347" t="s">
        <v>1</v>
      </c>
      <c r="C347">
        <v>28928</v>
      </c>
      <c r="D347">
        <v>256</v>
      </c>
      <c r="E347">
        <v>2</v>
      </c>
      <c r="F347">
        <v>8</v>
      </c>
      <c r="G347" s="16">
        <v>1945.6</v>
      </c>
      <c r="H347" s="24">
        <v>8.2955000000000005</v>
      </c>
      <c r="I347" s="1">
        <v>45477</v>
      </c>
      <c r="J347" s="37">
        <v>0.84233796296296293</v>
      </c>
      <c r="K347">
        <v>0</v>
      </c>
      <c r="L347">
        <v>0</v>
      </c>
      <c r="M347">
        <v>0</v>
      </c>
      <c r="N347">
        <v>0</v>
      </c>
      <c r="O347">
        <v>0</v>
      </c>
      <c r="P347">
        <v>0</v>
      </c>
      <c r="Q347">
        <v>0</v>
      </c>
      <c r="R347">
        <v>0</v>
      </c>
      <c r="S347">
        <v>0</v>
      </c>
      <c r="T347">
        <v>0</v>
      </c>
      <c r="U347">
        <v>0</v>
      </c>
      <c r="V347">
        <v>0</v>
      </c>
      <c r="W347" s="3">
        <f>W346</f>
        <v>8.4124599999999994</v>
      </c>
      <c r="X347" s="30"/>
      <c r="Y347">
        <v>3</v>
      </c>
      <c r="Z347" t="s">
        <v>1</v>
      </c>
      <c r="AA347">
        <v>28928</v>
      </c>
      <c r="AB347">
        <v>256</v>
      </c>
      <c r="AC347">
        <v>2</v>
      </c>
      <c r="AD347">
        <v>8</v>
      </c>
      <c r="AE347" s="16">
        <v>1738.44</v>
      </c>
      <c r="AF347" s="24">
        <v>9.2841000000000005</v>
      </c>
      <c r="AG347" s="1">
        <v>45479</v>
      </c>
      <c r="AH347" s="2">
        <v>0.46512731481481484</v>
      </c>
      <c r="AI347">
        <v>0</v>
      </c>
      <c r="AJ347">
        <v>0</v>
      </c>
      <c r="AK347">
        <v>0</v>
      </c>
      <c r="AL347">
        <v>0</v>
      </c>
      <c r="AM347">
        <v>0</v>
      </c>
      <c r="AN347">
        <v>0</v>
      </c>
      <c r="AO347">
        <v>0</v>
      </c>
      <c r="AP347">
        <v>0</v>
      </c>
      <c r="AQ347">
        <v>0</v>
      </c>
      <c r="AR347">
        <v>0</v>
      </c>
      <c r="AS347">
        <v>0</v>
      </c>
      <c r="AT347">
        <v>0</v>
      </c>
      <c r="AU347" s="3">
        <f>AU346</f>
        <v>9.2994999999999983</v>
      </c>
    </row>
    <row r="348" spans="1:47" x14ac:dyDescent="0.25">
      <c r="A348">
        <v>4</v>
      </c>
      <c r="B348" t="s">
        <v>1</v>
      </c>
      <c r="C348">
        <v>28928</v>
      </c>
      <c r="D348">
        <v>256</v>
      </c>
      <c r="E348">
        <v>2</v>
      </c>
      <c r="F348">
        <v>8</v>
      </c>
      <c r="G348" s="16">
        <v>1944.72</v>
      </c>
      <c r="H348" s="24">
        <v>8.2993000000000006</v>
      </c>
      <c r="I348" s="1">
        <v>45477</v>
      </c>
      <c r="J348" s="37">
        <v>0.73112268518518519</v>
      </c>
      <c r="K348">
        <v>0</v>
      </c>
      <c r="L348">
        <v>0</v>
      </c>
      <c r="M348">
        <v>0</v>
      </c>
      <c r="N348">
        <v>0</v>
      </c>
      <c r="O348">
        <v>0</v>
      </c>
      <c r="P348">
        <v>0</v>
      </c>
      <c r="Q348">
        <v>0</v>
      </c>
      <c r="R348">
        <v>0</v>
      </c>
      <c r="S348">
        <v>0</v>
      </c>
      <c r="T348">
        <v>0</v>
      </c>
      <c r="U348">
        <v>0</v>
      </c>
      <c r="V348">
        <v>0</v>
      </c>
      <c r="W348" s="3">
        <f>W347</f>
        <v>8.4124599999999994</v>
      </c>
      <c r="X348" s="30"/>
      <c r="Y348">
        <v>4</v>
      </c>
      <c r="Z348" t="s">
        <v>1</v>
      </c>
      <c r="AA348">
        <v>28928</v>
      </c>
      <c r="AB348">
        <v>256</v>
      </c>
      <c r="AC348">
        <v>2</v>
      </c>
      <c r="AD348">
        <v>8</v>
      </c>
      <c r="AE348" s="16">
        <v>1734.93</v>
      </c>
      <c r="AF348" s="24">
        <v>9.3027999999999995</v>
      </c>
      <c r="AG348" s="1">
        <v>45479</v>
      </c>
      <c r="AH348" s="2">
        <v>0.97585648148148152</v>
      </c>
      <c r="AI348">
        <v>0</v>
      </c>
      <c r="AJ348">
        <v>0</v>
      </c>
      <c r="AK348">
        <v>0</v>
      </c>
      <c r="AL348">
        <v>0</v>
      </c>
      <c r="AM348">
        <v>0</v>
      </c>
      <c r="AN348">
        <v>0</v>
      </c>
      <c r="AO348">
        <v>0</v>
      </c>
      <c r="AP348">
        <v>0</v>
      </c>
      <c r="AQ348">
        <v>0</v>
      </c>
      <c r="AR348">
        <v>0</v>
      </c>
      <c r="AS348">
        <v>0</v>
      </c>
      <c r="AT348">
        <v>0</v>
      </c>
      <c r="AU348" s="3">
        <f>AU347</f>
        <v>9.2994999999999983</v>
      </c>
    </row>
    <row r="349" spans="1:47" x14ac:dyDescent="0.25">
      <c r="A349">
        <v>0</v>
      </c>
      <c r="B349" t="s">
        <v>1</v>
      </c>
      <c r="C349">
        <v>25856</v>
      </c>
      <c r="D349">
        <v>256</v>
      </c>
      <c r="E349">
        <v>4</v>
      </c>
      <c r="F349">
        <v>4</v>
      </c>
      <c r="G349" s="16">
        <v>1388.45</v>
      </c>
      <c r="H349" s="24">
        <v>8.3003999999999998</v>
      </c>
      <c r="I349" s="1">
        <v>45482</v>
      </c>
      <c r="J349" s="37">
        <v>0.18089120370370371</v>
      </c>
      <c r="K349">
        <v>0</v>
      </c>
      <c r="L349">
        <v>0</v>
      </c>
      <c r="M349">
        <v>0</v>
      </c>
      <c r="N349">
        <v>0</v>
      </c>
      <c r="O349">
        <v>0</v>
      </c>
      <c r="P349">
        <v>0</v>
      </c>
      <c r="Q349">
        <v>0</v>
      </c>
      <c r="R349">
        <v>0</v>
      </c>
      <c r="S349">
        <v>0</v>
      </c>
      <c r="T349">
        <v>0</v>
      </c>
      <c r="U349">
        <v>0</v>
      </c>
      <c r="V349">
        <v>0</v>
      </c>
      <c r="W349" s="3">
        <f>AVERAGE(H304:H308)</f>
        <v>8.5165800000000011</v>
      </c>
      <c r="X349" s="30"/>
      <c r="Y349">
        <v>0</v>
      </c>
      <c r="Z349" t="s">
        <v>1</v>
      </c>
      <c r="AA349">
        <v>25856</v>
      </c>
      <c r="AB349">
        <v>256</v>
      </c>
      <c r="AC349">
        <v>4</v>
      </c>
      <c r="AD349">
        <v>4</v>
      </c>
      <c r="AE349" s="16">
        <v>1254.9000000000001</v>
      </c>
      <c r="AF349" s="24">
        <v>9.1837999999999997</v>
      </c>
      <c r="AG349" s="1">
        <v>45477</v>
      </c>
      <c r="AH349" s="2">
        <v>0.75778935185185181</v>
      </c>
      <c r="AI349">
        <v>0</v>
      </c>
      <c r="AJ349">
        <v>0</v>
      </c>
      <c r="AK349">
        <v>0</v>
      </c>
      <c r="AL349">
        <v>0</v>
      </c>
      <c r="AM349">
        <v>0</v>
      </c>
      <c r="AN349">
        <v>0</v>
      </c>
      <c r="AO349">
        <v>0</v>
      </c>
      <c r="AP349">
        <v>0</v>
      </c>
      <c r="AQ349">
        <v>0</v>
      </c>
      <c r="AR349">
        <v>0</v>
      </c>
      <c r="AS349">
        <v>0</v>
      </c>
      <c r="AT349">
        <v>0</v>
      </c>
      <c r="AU349" s="3">
        <f>AVERAGE(AF349:AF353)</f>
        <v>9.1932800000000015</v>
      </c>
    </row>
    <row r="350" spans="1:47" x14ac:dyDescent="0.25">
      <c r="A350">
        <v>1</v>
      </c>
      <c r="B350" t="s">
        <v>1</v>
      </c>
      <c r="C350">
        <v>25856</v>
      </c>
      <c r="D350">
        <v>256</v>
      </c>
      <c r="E350">
        <v>4</v>
      </c>
      <c r="F350">
        <v>4</v>
      </c>
      <c r="G350" s="16">
        <v>1387.15</v>
      </c>
      <c r="H350" s="24">
        <v>8.3081999999999994</v>
      </c>
      <c r="I350" s="1">
        <v>45482</v>
      </c>
      <c r="J350" s="37">
        <v>0.72170138888888891</v>
      </c>
      <c r="K350">
        <v>0</v>
      </c>
      <c r="L350">
        <v>0</v>
      </c>
      <c r="M350">
        <v>0</v>
      </c>
      <c r="N350">
        <v>0</v>
      </c>
      <c r="O350">
        <v>0</v>
      </c>
      <c r="P350">
        <v>0</v>
      </c>
      <c r="Q350">
        <v>0</v>
      </c>
      <c r="R350">
        <v>0</v>
      </c>
      <c r="S350">
        <v>0</v>
      </c>
      <c r="T350">
        <v>0</v>
      </c>
      <c r="U350">
        <v>0</v>
      </c>
      <c r="V350">
        <v>0</v>
      </c>
      <c r="W350" s="3">
        <f>W349</f>
        <v>8.5165800000000011</v>
      </c>
      <c r="X350" s="30"/>
      <c r="Y350">
        <v>1</v>
      </c>
      <c r="Z350" t="s">
        <v>1</v>
      </c>
      <c r="AA350">
        <v>25856</v>
      </c>
      <c r="AB350">
        <v>256</v>
      </c>
      <c r="AC350">
        <v>4</v>
      </c>
      <c r="AD350">
        <v>4</v>
      </c>
      <c r="AE350" s="16">
        <v>1253.8800000000001</v>
      </c>
      <c r="AF350" s="24">
        <v>9.1912000000000003</v>
      </c>
      <c r="AG350" s="1">
        <v>45478</v>
      </c>
      <c r="AH350" s="2">
        <v>0.26851851851851855</v>
      </c>
      <c r="AI350">
        <v>0</v>
      </c>
      <c r="AJ350">
        <v>0</v>
      </c>
      <c r="AK350">
        <v>0</v>
      </c>
      <c r="AL350">
        <v>0</v>
      </c>
      <c r="AM350">
        <v>0</v>
      </c>
      <c r="AN350">
        <v>0</v>
      </c>
      <c r="AO350">
        <v>0</v>
      </c>
      <c r="AP350">
        <v>0</v>
      </c>
      <c r="AQ350">
        <v>0</v>
      </c>
      <c r="AR350">
        <v>0</v>
      </c>
      <c r="AS350">
        <v>0</v>
      </c>
      <c r="AT350">
        <v>0</v>
      </c>
      <c r="AU350" s="3">
        <f>AU349</f>
        <v>9.1932800000000015</v>
      </c>
    </row>
    <row r="351" spans="1:47" x14ac:dyDescent="0.25">
      <c r="A351">
        <v>2</v>
      </c>
      <c r="B351" t="s">
        <v>1</v>
      </c>
      <c r="C351">
        <v>25856</v>
      </c>
      <c r="D351">
        <v>256</v>
      </c>
      <c r="E351">
        <v>4</v>
      </c>
      <c r="F351">
        <v>4</v>
      </c>
      <c r="G351" s="16">
        <v>1388.27</v>
      </c>
      <c r="H351" s="24">
        <v>8.3015000000000008</v>
      </c>
      <c r="I351" s="1">
        <v>45483</v>
      </c>
      <c r="J351" s="37">
        <v>0.24679398148148149</v>
      </c>
      <c r="K351">
        <v>0</v>
      </c>
      <c r="L351">
        <v>0</v>
      </c>
      <c r="M351">
        <v>0</v>
      </c>
      <c r="N351">
        <v>0</v>
      </c>
      <c r="O351">
        <v>0</v>
      </c>
      <c r="P351">
        <v>0</v>
      </c>
      <c r="Q351">
        <v>0</v>
      </c>
      <c r="R351">
        <v>0</v>
      </c>
      <c r="S351">
        <v>0</v>
      </c>
      <c r="T351">
        <v>0</v>
      </c>
      <c r="U351">
        <v>0</v>
      </c>
      <c r="V351">
        <v>0</v>
      </c>
      <c r="W351" s="3">
        <f>W350</f>
        <v>8.5165800000000011</v>
      </c>
      <c r="X351" s="30"/>
      <c r="Y351">
        <v>2</v>
      </c>
      <c r="Z351" t="s">
        <v>1</v>
      </c>
      <c r="AA351">
        <v>25856</v>
      </c>
      <c r="AB351">
        <v>256</v>
      </c>
      <c r="AC351">
        <v>4</v>
      </c>
      <c r="AD351">
        <v>4</v>
      </c>
      <c r="AE351" s="16">
        <v>1251.77</v>
      </c>
      <c r="AF351" s="24">
        <v>9.2067999999999994</v>
      </c>
      <c r="AG351" s="1">
        <v>45478</v>
      </c>
      <c r="AH351" s="2">
        <v>0.77924768518518517</v>
      </c>
      <c r="AI351">
        <v>0</v>
      </c>
      <c r="AJ351">
        <v>0</v>
      </c>
      <c r="AK351">
        <v>0</v>
      </c>
      <c r="AL351">
        <v>0</v>
      </c>
      <c r="AM351">
        <v>0</v>
      </c>
      <c r="AN351">
        <v>0</v>
      </c>
      <c r="AO351">
        <v>0</v>
      </c>
      <c r="AP351">
        <v>0</v>
      </c>
      <c r="AQ351">
        <v>0</v>
      </c>
      <c r="AR351">
        <v>0</v>
      </c>
      <c r="AS351">
        <v>0</v>
      </c>
      <c r="AT351">
        <v>0</v>
      </c>
      <c r="AU351" s="3">
        <f>AU350</f>
        <v>9.1932800000000015</v>
      </c>
    </row>
    <row r="352" spans="1:47" x14ac:dyDescent="0.25">
      <c r="A352">
        <v>3</v>
      </c>
      <c r="B352" t="s">
        <v>1</v>
      </c>
      <c r="C352">
        <v>25856</v>
      </c>
      <c r="D352">
        <v>256</v>
      </c>
      <c r="E352">
        <v>4</v>
      </c>
      <c r="F352">
        <v>4</v>
      </c>
      <c r="G352" s="16">
        <v>1388.12</v>
      </c>
      <c r="H352" s="24">
        <v>8.3024000000000004</v>
      </c>
      <c r="I352" s="1">
        <v>45477</v>
      </c>
      <c r="J352" s="37">
        <v>0.66173611111111108</v>
      </c>
      <c r="K352">
        <v>0</v>
      </c>
      <c r="L352">
        <v>0</v>
      </c>
      <c r="M352">
        <v>0</v>
      </c>
      <c r="N352">
        <v>0</v>
      </c>
      <c r="O352">
        <v>0</v>
      </c>
      <c r="P352">
        <v>0</v>
      </c>
      <c r="Q352">
        <v>0</v>
      </c>
      <c r="R352">
        <v>0</v>
      </c>
      <c r="S352">
        <v>0</v>
      </c>
      <c r="T352">
        <v>0</v>
      </c>
      <c r="U352">
        <v>0</v>
      </c>
      <c r="V352">
        <v>0</v>
      </c>
      <c r="W352" s="3">
        <f>W351</f>
        <v>8.5165800000000011</v>
      </c>
      <c r="X352" s="30"/>
      <c r="Y352">
        <v>3</v>
      </c>
      <c r="Z352" t="s">
        <v>1</v>
      </c>
      <c r="AA352">
        <v>25856</v>
      </c>
      <c r="AB352">
        <v>256</v>
      </c>
      <c r="AC352">
        <v>4</v>
      </c>
      <c r="AD352">
        <v>4</v>
      </c>
      <c r="AE352" s="16">
        <v>1255.1500000000001</v>
      </c>
      <c r="AF352" s="24">
        <v>9.1820000000000004</v>
      </c>
      <c r="AG352" s="1">
        <v>45479</v>
      </c>
      <c r="AH352" s="2">
        <v>0.28990740740740739</v>
      </c>
      <c r="AI352">
        <v>0</v>
      </c>
      <c r="AJ352">
        <v>0</v>
      </c>
      <c r="AK352">
        <v>0</v>
      </c>
      <c r="AL352">
        <v>0</v>
      </c>
      <c r="AM352">
        <v>0</v>
      </c>
      <c r="AN352">
        <v>0</v>
      </c>
      <c r="AO352">
        <v>0</v>
      </c>
      <c r="AP352">
        <v>0</v>
      </c>
      <c r="AQ352">
        <v>0</v>
      </c>
      <c r="AR352">
        <v>0</v>
      </c>
      <c r="AS352">
        <v>0</v>
      </c>
      <c r="AT352">
        <v>0</v>
      </c>
      <c r="AU352" s="3">
        <f>AU351</f>
        <v>9.1932800000000015</v>
      </c>
    </row>
    <row r="353" spans="1:47" x14ac:dyDescent="0.25">
      <c r="A353">
        <v>4</v>
      </c>
      <c r="B353" t="s">
        <v>1</v>
      </c>
      <c r="C353">
        <v>25856</v>
      </c>
      <c r="D353">
        <v>256</v>
      </c>
      <c r="E353">
        <v>4</v>
      </c>
      <c r="F353">
        <v>4</v>
      </c>
      <c r="G353" s="16">
        <v>1387.68</v>
      </c>
      <c r="H353" s="24">
        <v>8.3049999999999997</v>
      </c>
      <c r="I353" s="1">
        <v>45477</v>
      </c>
      <c r="J353" s="37">
        <v>0.55065972222222226</v>
      </c>
      <c r="K353">
        <v>0</v>
      </c>
      <c r="L353">
        <v>0</v>
      </c>
      <c r="M353">
        <v>0</v>
      </c>
      <c r="N353">
        <v>0</v>
      </c>
      <c r="O353">
        <v>0</v>
      </c>
      <c r="P353">
        <v>0</v>
      </c>
      <c r="Q353">
        <v>0</v>
      </c>
      <c r="R353">
        <v>0</v>
      </c>
      <c r="S353">
        <v>0</v>
      </c>
      <c r="T353">
        <v>0</v>
      </c>
      <c r="U353">
        <v>0</v>
      </c>
      <c r="V353">
        <v>0</v>
      </c>
      <c r="W353" s="3">
        <f>W352</f>
        <v>8.5165800000000011</v>
      </c>
      <c r="X353" s="30"/>
      <c r="Y353">
        <v>4</v>
      </c>
      <c r="Z353" t="s">
        <v>1</v>
      </c>
      <c r="AA353">
        <v>25856</v>
      </c>
      <c r="AB353">
        <v>256</v>
      </c>
      <c r="AC353">
        <v>4</v>
      </c>
      <c r="AD353">
        <v>4</v>
      </c>
      <c r="AE353" s="16">
        <v>1252.3399999999999</v>
      </c>
      <c r="AF353" s="24">
        <v>9.2026000000000003</v>
      </c>
      <c r="AG353" s="1">
        <v>45479</v>
      </c>
      <c r="AH353" s="2">
        <v>0.80062500000000003</v>
      </c>
      <c r="AI353">
        <v>0</v>
      </c>
      <c r="AJ353">
        <v>0</v>
      </c>
      <c r="AK353">
        <v>0</v>
      </c>
      <c r="AL353">
        <v>0</v>
      </c>
      <c r="AM353">
        <v>0</v>
      </c>
      <c r="AN353">
        <v>0</v>
      </c>
      <c r="AO353">
        <v>0</v>
      </c>
      <c r="AP353">
        <v>0</v>
      </c>
      <c r="AQ353">
        <v>0</v>
      </c>
      <c r="AR353">
        <v>0</v>
      </c>
      <c r="AS353">
        <v>0</v>
      </c>
      <c r="AT353">
        <v>0</v>
      </c>
      <c r="AU353" s="3">
        <f>AU352</f>
        <v>9.1932800000000015</v>
      </c>
    </row>
    <row r="354" spans="1:47" x14ac:dyDescent="0.25">
      <c r="A354">
        <v>0</v>
      </c>
      <c r="B354" t="s">
        <v>1</v>
      </c>
      <c r="C354">
        <v>27392</v>
      </c>
      <c r="D354">
        <v>256</v>
      </c>
      <c r="E354">
        <v>4</v>
      </c>
      <c r="F354">
        <v>4</v>
      </c>
      <c r="G354" s="16">
        <v>1636.04</v>
      </c>
      <c r="H354" s="24">
        <v>8.3757000000000001</v>
      </c>
      <c r="I354" s="1">
        <v>45482</v>
      </c>
      <c r="J354" s="37">
        <v>3.3414351851851855E-2</v>
      </c>
      <c r="K354">
        <v>0</v>
      </c>
      <c r="L354">
        <v>0</v>
      </c>
      <c r="M354">
        <v>0</v>
      </c>
      <c r="N354">
        <v>0</v>
      </c>
      <c r="O354">
        <v>0</v>
      </c>
      <c r="P354">
        <v>0</v>
      </c>
      <c r="Q354">
        <v>0</v>
      </c>
      <c r="R354">
        <v>0</v>
      </c>
      <c r="S354">
        <v>0</v>
      </c>
      <c r="T354">
        <v>0</v>
      </c>
      <c r="U354">
        <v>0</v>
      </c>
      <c r="V354">
        <v>0</v>
      </c>
      <c r="W354" s="3">
        <f>AVERAGE(H309:H313)</f>
        <v>8.5829200000000014</v>
      </c>
      <c r="X354" s="30"/>
      <c r="Y354">
        <v>0</v>
      </c>
      <c r="Z354" t="s">
        <v>1</v>
      </c>
      <c r="AA354">
        <v>27392</v>
      </c>
      <c r="AB354">
        <v>256</v>
      </c>
      <c r="AC354">
        <v>4</v>
      </c>
      <c r="AD354">
        <v>4</v>
      </c>
      <c r="AE354" s="16">
        <v>1476.25</v>
      </c>
      <c r="AF354" s="24">
        <v>9.2822999999999993</v>
      </c>
      <c r="AG354" s="1">
        <v>45477</v>
      </c>
      <c r="AH354" s="2">
        <v>0.61296296296296293</v>
      </c>
      <c r="AI354">
        <v>0</v>
      </c>
      <c r="AJ354">
        <v>0</v>
      </c>
      <c r="AK354">
        <v>0</v>
      </c>
      <c r="AL354">
        <v>0</v>
      </c>
      <c r="AM354">
        <v>0</v>
      </c>
      <c r="AN354">
        <v>0</v>
      </c>
      <c r="AO354">
        <v>0</v>
      </c>
      <c r="AP354">
        <v>0</v>
      </c>
      <c r="AQ354">
        <v>0</v>
      </c>
      <c r="AR354">
        <v>0</v>
      </c>
      <c r="AS354">
        <v>0</v>
      </c>
      <c r="AT354">
        <v>0</v>
      </c>
      <c r="AU354" s="3">
        <f>AVERAGE(AF354:AF358)</f>
        <v>9.28904</v>
      </c>
    </row>
    <row r="355" spans="1:47" x14ac:dyDescent="0.25">
      <c r="A355">
        <v>1</v>
      </c>
      <c r="B355" t="s">
        <v>1</v>
      </c>
      <c r="C355">
        <v>27392</v>
      </c>
      <c r="D355">
        <v>256</v>
      </c>
      <c r="E355">
        <v>4</v>
      </c>
      <c r="F355">
        <v>4</v>
      </c>
      <c r="G355" s="16">
        <v>1636.46</v>
      </c>
      <c r="H355" s="24">
        <v>8.3735999999999997</v>
      </c>
      <c r="I355" s="1">
        <v>45482</v>
      </c>
      <c r="J355" s="37">
        <v>0.54259259259259263</v>
      </c>
      <c r="K355">
        <v>0</v>
      </c>
      <c r="L355">
        <v>0</v>
      </c>
      <c r="M355">
        <v>0</v>
      </c>
      <c r="N355">
        <v>0</v>
      </c>
      <c r="O355">
        <v>0</v>
      </c>
      <c r="P355">
        <v>0</v>
      </c>
      <c r="Q355">
        <v>0</v>
      </c>
      <c r="R355">
        <v>0</v>
      </c>
      <c r="S355">
        <v>0</v>
      </c>
      <c r="T355">
        <v>0</v>
      </c>
      <c r="U355">
        <v>0</v>
      </c>
      <c r="V355">
        <v>0</v>
      </c>
      <c r="W355" s="3">
        <f>W354</f>
        <v>8.5829200000000014</v>
      </c>
      <c r="X355" s="30"/>
      <c r="Y355">
        <v>1</v>
      </c>
      <c r="Z355" t="s">
        <v>1</v>
      </c>
      <c r="AA355">
        <v>27392</v>
      </c>
      <c r="AB355">
        <v>256</v>
      </c>
      <c r="AC355">
        <v>4</v>
      </c>
      <c r="AD355">
        <v>4</v>
      </c>
      <c r="AE355" s="16">
        <v>1474.37</v>
      </c>
      <c r="AF355" s="24">
        <v>9.2941000000000003</v>
      </c>
      <c r="AG355" s="1">
        <v>45478</v>
      </c>
      <c r="AH355" s="2">
        <v>0.12363425925925926</v>
      </c>
      <c r="AI355">
        <v>0</v>
      </c>
      <c r="AJ355">
        <v>0</v>
      </c>
      <c r="AK355">
        <v>0</v>
      </c>
      <c r="AL355">
        <v>0</v>
      </c>
      <c r="AM355">
        <v>0</v>
      </c>
      <c r="AN355">
        <v>0</v>
      </c>
      <c r="AO355">
        <v>0</v>
      </c>
      <c r="AP355">
        <v>0</v>
      </c>
      <c r="AQ355">
        <v>0</v>
      </c>
      <c r="AR355">
        <v>0</v>
      </c>
      <c r="AS355">
        <v>0</v>
      </c>
      <c r="AT355">
        <v>0</v>
      </c>
      <c r="AU355" s="3">
        <f>AU354</f>
        <v>9.28904</v>
      </c>
    </row>
    <row r="356" spans="1:47" x14ac:dyDescent="0.25">
      <c r="A356">
        <v>2</v>
      </c>
      <c r="B356" t="s">
        <v>1</v>
      </c>
      <c r="C356">
        <v>27392</v>
      </c>
      <c r="D356">
        <v>256</v>
      </c>
      <c r="E356">
        <v>4</v>
      </c>
      <c r="F356">
        <v>4</v>
      </c>
      <c r="G356" s="16">
        <v>1635.67</v>
      </c>
      <c r="H356" s="24">
        <v>8.3775999999999993</v>
      </c>
      <c r="I356" s="1">
        <v>45483</v>
      </c>
      <c r="J356" s="37">
        <v>9.9259259259259255E-2</v>
      </c>
      <c r="K356">
        <v>0</v>
      </c>
      <c r="L356">
        <v>0</v>
      </c>
      <c r="M356">
        <v>0</v>
      </c>
      <c r="N356">
        <v>0</v>
      </c>
      <c r="O356">
        <v>0</v>
      </c>
      <c r="P356">
        <v>0</v>
      </c>
      <c r="Q356">
        <v>0</v>
      </c>
      <c r="R356">
        <v>0</v>
      </c>
      <c r="S356">
        <v>0</v>
      </c>
      <c r="T356">
        <v>0</v>
      </c>
      <c r="U356">
        <v>0</v>
      </c>
      <c r="V356">
        <v>0</v>
      </c>
      <c r="W356" s="3">
        <f>W355</f>
        <v>8.5829200000000014</v>
      </c>
      <c r="X356" s="30"/>
      <c r="Y356">
        <v>2</v>
      </c>
      <c r="Z356" t="s">
        <v>1</v>
      </c>
      <c r="AA356">
        <v>27392</v>
      </c>
      <c r="AB356">
        <v>256</v>
      </c>
      <c r="AC356">
        <v>4</v>
      </c>
      <c r="AD356">
        <v>4</v>
      </c>
      <c r="AE356" s="16">
        <v>1475.71</v>
      </c>
      <c r="AF356" s="24">
        <v>9.2857000000000003</v>
      </c>
      <c r="AG356" s="1">
        <v>45478</v>
      </c>
      <c r="AH356" s="2">
        <v>0.63436342592592587</v>
      </c>
      <c r="AI356">
        <v>0</v>
      </c>
      <c r="AJ356">
        <v>0</v>
      </c>
      <c r="AK356">
        <v>0</v>
      </c>
      <c r="AL356">
        <v>0</v>
      </c>
      <c r="AM356">
        <v>0</v>
      </c>
      <c r="AN356">
        <v>0</v>
      </c>
      <c r="AO356">
        <v>0</v>
      </c>
      <c r="AP356">
        <v>0</v>
      </c>
      <c r="AQ356">
        <v>0</v>
      </c>
      <c r="AR356">
        <v>0</v>
      </c>
      <c r="AS356">
        <v>0</v>
      </c>
      <c r="AT356">
        <v>0</v>
      </c>
      <c r="AU356" s="3">
        <f>AU355</f>
        <v>9.28904</v>
      </c>
    </row>
    <row r="357" spans="1:47" x14ac:dyDescent="0.25">
      <c r="A357">
        <v>3</v>
      </c>
      <c r="B357" t="s">
        <v>1</v>
      </c>
      <c r="C357">
        <v>27392</v>
      </c>
      <c r="D357">
        <v>256</v>
      </c>
      <c r="E357">
        <v>4</v>
      </c>
      <c r="F357">
        <v>4</v>
      </c>
      <c r="G357" s="16">
        <v>1635.91</v>
      </c>
      <c r="H357" s="24">
        <v>8.3764000000000003</v>
      </c>
      <c r="I357" s="1">
        <v>45477</v>
      </c>
      <c r="J357" s="37">
        <v>0.51430555555555557</v>
      </c>
      <c r="K357">
        <v>0</v>
      </c>
      <c r="L357">
        <v>0</v>
      </c>
      <c r="M357">
        <v>0</v>
      </c>
      <c r="N357">
        <v>0</v>
      </c>
      <c r="O357">
        <v>0</v>
      </c>
      <c r="P357">
        <v>0</v>
      </c>
      <c r="Q357">
        <v>0</v>
      </c>
      <c r="R357">
        <v>0</v>
      </c>
      <c r="S357">
        <v>0</v>
      </c>
      <c r="T357">
        <v>0</v>
      </c>
      <c r="U357">
        <v>0</v>
      </c>
      <c r="V357">
        <v>0</v>
      </c>
      <c r="W357" s="3">
        <f>W356</f>
        <v>8.5829200000000014</v>
      </c>
      <c r="X357" s="30"/>
      <c r="Y357">
        <v>3</v>
      </c>
      <c r="Z357" t="s">
        <v>1</v>
      </c>
      <c r="AA357">
        <v>27392</v>
      </c>
      <c r="AB357">
        <v>256</v>
      </c>
      <c r="AC357">
        <v>4</v>
      </c>
      <c r="AD357">
        <v>4</v>
      </c>
      <c r="AE357" s="16">
        <v>1474.2</v>
      </c>
      <c r="AF357" s="24">
        <v>9.2951999999999995</v>
      </c>
      <c r="AG357" s="1">
        <v>45479</v>
      </c>
      <c r="AH357" s="2">
        <v>0.1449074074074074</v>
      </c>
      <c r="AI357">
        <v>0</v>
      </c>
      <c r="AJ357">
        <v>0</v>
      </c>
      <c r="AK357">
        <v>0</v>
      </c>
      <c r="AL357">
        <v>0</v>
      </c>
      <c r="AM357">
        <v>0</v>
      </c>
      <c r="AN357">
        <v>0</v>
      </c>
      <c r="AO357">
        <v>0</v>
      </c>
      <c r="AP357">
        <v>0</v>
      </c>
      <c r="AQ357">
        <v>0</v>
      </c>
      <c r="AR357">
        <v>0</v>
      </c>
      <c r="AS357">
        <v>0</v>
      </c>
      <c r="AT357">
        <v>0</v>
      </c>
      <c r="AU357" s="3">
        <f>AU356</f>
        <v>9.28904</v>
      </c>
    </row>
    <row r="358" spans="1:47" x14ac:dyDescent="0.25">
      <c r="A358">
        <v>4</v>
      </c>
      <c r="B358" t="s">
        <v>1</v>
      </c>
      <c r="C358">
        <v>27392</v>
      </c>
      <c r="D358">
        <v>256</v>
      </c>
      <c r="E358">
        <v>4</v>
      </c>
      <c r="F358">
        <v>4</v>
      </c>
      <c r="G358" s="16">
        <v>1633.9</v>
      </c>
      <c r="H358" s="24">
        <v>8.3866999999999994</v>
      </c>
      <c r="I358" s="1">
        <v>45478</v>
      </c>
      <c r="J358" s="37">
        <v>3.9120370370370368E-2</v>
      </c>
      <c r="K358">
        <v>0</v>
      </c>
      <c r="L358">
        <v>0</v>
      </c>
      <c r="M358">
        <v>0</v>
      </c>
      <c r="N358">
        <v>0</v>
      </c>
      <c r="O358">
        <v>0</v>
      </c>
      <c r="P358">
        <v>0</v>
      </c>
      <c r="Q358">
        <v>0</v>
      </c>
      <c r="R358">
        <v>0</v>
      </c>
      <c r="S358">
        <v>0</v>
      </c>
      <c r="T358">
        <v>0</v>
      </c>
      <c r="U358">
        <v>0</v>
      </c>
      <c r="V358">
        <v>0</v>
      </c>
      <c r="W358" s="3">
        <f>W357</f>
        <v>8.5829200000000014</v>
      </c>
      <c r="X358" s="30"/>
      <c r="Y358">
        <v>4</v>
      </c>
      <c r="Z358" t="s">
        <v>1</v>
      </c>
      <c r="AA358">
        <v>27392</v>
      </c>
      <c r="AB358">
        <v>256</v>
      </c>
      <c r="AC358">
        <v>4</v>
      </c>
      <c r="AD358">
        <v>4</v>
      </c>
      <c r="AE358" s="16">
        <v>1475.36</v>
      </c>
      <c r="AF358" s="24">
        <v>9.2879000000000005</v>
      </c>
      <c r="AG358" s="1">
        <v>45479</v>
      </c>
      <c r="AH358" s="2">
        <v>0.65568287037037032</v>
      </c>
      <c r="AI358">
        <v>0</v>
      </c>
      <c r="AJ358">
        <v>0</v>
      </c>
      <c r="AK358">
        <v>0</v>
      </c>
      <c r="AL358">
        <v>0</v>
      </c>
      <c r="AM358">
        <v>0</v>
      </c>
      <c r="AN358">
        <v>0</v>
      </c>
      <c r="AO358">
        <v>0</v>
      </c>
      <c r="AP358">
        <v>0</v>
      </c>
      <c r="AQ358">
        <v>0</v>
      </c>
      <c r="AR358">
        <v>0</v>
      </c>
      <c r="AS358">
        <v>0</v>
      </c>
      <c r="AT358">
        <v>0</v>
      </c>
      <c r="AU358" s="3">
        <f>AU357</f>
        <v>9.28904</v>
      </c>
    </row>
    <row r="359" spans="1:47" x14ac:dyDescent="0.25">
      <c r="A359">
        <v>0</v>
      </c>
      <c r="B359" t="s">
        <v>1</v>
      </c>
      <c r="C359">
        <v>28928</v>
      </c>
      <c r="D359">
        <v>256</v>
      </c>
      <c r="E359">
        <v>4</v>
      </c>
      <c r="F359">
        <v>4</v>
      </c>
      <c r="G359" s="16">
        <v>1910.96</v>
      </c>
      <c r="H359" s="24">
        <v>8.4459</v>
      </c>
      <c r="I359" s="1">
        <v>45482</v>
      </c>
      <c r="J359" s="37">
        <v>0.38414351851851852</v>
      </c>
      <c r="K359">
        <v>0</v>
      </c>
      <c r="L359">
        <v>0</v>
      </c>
      <c r="M359">
        <v>0</v>
      </c>
      <c r="N359">
        <v>0</v>
      </c>
      <c r="O359">
        <v>0</v>
      </c>
      <c r="P359">
        <v>0</v>
      </c>
      <c r="Q359">
        <v>0</v>
      </c>
      <c r="R359">
        <v>0</v>
      </c>
      <c r="S359">
        <v>0</v>
      </c>
      <c r="T359">
        <v>0</v>
      </c>
      <c r="U359">
        <v>0</v>
      </c>
      <c r="V359">
        <v>0</v>
      </c>
      <c r="W359" s="3">
        <f>AVERAGE(H314:H318)</f>
        <v>8.5384999999999991</v>
      </c>
      <c r="X359" s="30"/>
      <c r="Y359">
        <v>0</v>
      </c>
      <c r="Z359" t="s">
        <v>1</v>
      </c>
      <c r="AA359">
        <v>28928</v>
      </c>
      <c r="AB359">
        <v>256</v>
      </c>
      <c r="AC359">
        <v>4</v>
      </c>
      <c r="AD359">
        <v>4</v>
      </c>
      <c r="AE359" s="16">
        <v>1720.51</v>
      </c>
      <c r="AF359" s="24">
        <v>9.3808000000000007</v>
      </c>
      <c r="AG359" s="1">
        <v>45477</v>
      </c>
      <c r="AH359" s="2">
        <v>0.95472222222222225</v>
      </c>
      <c r="AI359">
        <v>0</v>
      </c>
      <c r="AJ359">
        <v>0</v>
      </c>
      <c r="AK359">
        <v>0</v>
      </c>
      <c r="AL359">
        <v>0</v>
      </c>
      <c r="AM359">
        <v>0</v>
      </c>
      <c r="AN359">
        <v>0</v>
      </c>
      <c r="AO359">
        <v>0</v>
      </c>
      <c r="AP359">
        <v>0</v>
      </c>
      <c r="AQ359">
        <v>0</v>
      </c>
      <c r="AR359">
        <v>0</v>
      </c>
      <c r="AS359">
        <v>0</v>
      </c>
      <c r="AT359">
        <v>0</v>
      </c>
      <c r="AU359" s="3">
        <f>AVERAGE(AF359:AF363)</f>
        <v>9.3642800000000008</v>
      </c>
    </row>
    <row r="360" spans="1:47" x14ac:dyDescent="0.25">
      <c r="A360">
        <v>1</v>
      </c>
      <c r="B360" t="s">
        <v>1</v>
      </c>
      <c r="C360">
        <v>28928</v>
      </c>
      <c r="D360">
        <v>256</v>
      </c>
      <c r="E360">
        <v>4</v>
      </c>
      <c r="F360">
        <v>4</v>
      </c>
      <c r="G360" s="16">
        <v>1910.59</v>
      </c>
      <c r="H360" s="24">
        <v>8.4474999999999998</v>
      </c>
      <c r="I360" s="1">
        <v>45482</v>
      </c>
      <c r="J360" s="37">
        <v>0.92487268518518517</v>
      </c>
      <c r="K360">
        <v>0</v>
      </c>
      <c r="L360">
        <v>0</v>
      </c>
      <c r="M360">
        <v>0</v>
      </c>
      <c r="N360">
        <v>0</v>
      </c>
      <c r="O360">
        <v>0</v>
      </c>
      <c r="P360">
        <v>0</v>
      </c>
      <c r="Q360">
        <v>0</v>
      </c>
      <c r="R360">
        <v>0</v>
      </c>
      <c r="S360">
        <v>0</v>
      </c>
      <c r="T360">
        <v>0</v>
      </c>
      <c r="U360">
        <v>0</v>
      </c>
      <c r="V360">
        <v>0</v>
      </c>
      <c r="W360" s="3">
        <f>W359</f>
        <v>8.5384999999999991</v>
      </c>
      <c r="X360" s="30"/>
      <c r="Y360">
        <v>1</v>
      </c>
      <c r="Z360" t="s">
        <v>1</v>
      </c>
      <c r="AA360">
        <v>28928</v>
      </c>
      <c r="AB360">
        <v>256</v>
      </c>
      <c r="AC360">
        <v>4</v>
      </c>
      <c r="AD360">
        <v>4</v>
      </c>
      <c r="AE360" s="16">
        <v>1726.61</v>
      </c>
      <c r="AF360" s="24">
        <v>9.3476999999999997</v>
      </c>
      <c r="AG360" s="1">
        <v>45478</v>
      </c>
      <c r="AH360" s="2">
        <v>0.46540509259259261</v>
      </c>
      <c r="AI360">
        <v>0</v>
      </c>
      <c r="AJ360">
        <v>0</v>
      </c>
      <c r="AK360">
        <v>0</v>
      </c>
      <c r="AL360">
        <v>0</v>
      </c>
      <c r="AM360">
        <v>0</v>
      </c>
      <c r="AN360">
        <v>0</v>
      </c>
      <c r="AO360">
        <v>0</v>
      </c>
      <c r="AP360">
        <v>0</v>
      </c>
      <c r="AQ360">
        <v>0</v>
      </c>
      <c r="AR360">
        <v>0</v>
      </c>
      <c r="AS360">
        <v>0</v>
      </c>
      <c r="AT360">
        <v>0</v>
      </c>
      <c r="AU360" s="3">
        <f>AU359</f>
        <v>9.3642800000000008</v>
      </c>
    </row>
    <row r="361" spans="1:47" x14ac:dyDescent="0.25">
      <c r="A361">
        <v>2</v>
      </c>
      <c r="B361" t="s">
        <v>1</v>
      </c>
      <c r="C361">
        <v>28928</v>
      </c>
      <c r="D361">
        <v>256</v>
      </c>
      <c r="E361">
        <v>4</v>
      </c>
      <c r="F361">
        <v>4</v>
      </c>
      <c r="G361" s="16">
        <v>1911.97</v>
      </c>
      <c r="H361" s="24">
        <v>8.4413999999999998</v>
      </c>
      <c r="I361" s="1">
        <v>45483</v>
      </c>
      <c r="J361" s="37">
        <v>0.44994212962962965</v>
      </c>
      <c r="K361">
        <v>0</v>
      </c>
      <c r="L361">
        <v>0</v>
      </c>
      <c r="M361">
        <v>0</v>
      </c>
      <c r="N361">
        <v>0</v>
      </c>
      <c r="O361">
        <v>0</v>
      </c>
      <c r="P361">
        <v>0</v>
      </c>
      <c r="Q361">
        <v>0</v>
      </c>
      <c r="R361">
        <v>0</v>
      </c>
      <c r="S361">
        <v>0</v>
      </c>
      <c r="T361">
        <v>0</v>
      </c>
      <c r="U361">
        <v>0</v>
      </c>
      <c r="V361">
        <v>0</v>
      </c>
      <c r="W361" s="3">
        <f>W360</f>
        <v>8.5384999999999991</v>
      </c>
      <c r="X361" s="30"/>
      <c r="Y361">
        <v>2</v>
      </c>
      <c r="Z361" t="s">
        <v>1</v>
      </c>
      <c r="AA361">
        <v>28928</v>
      </c>
      <c r="AB361">
        <v>256</v>
      </c>
      <c r="AC361">
        <v>4</v>
      </c>
      <c r="AD361">
        <v>4</v>
      </c>
      <c r="AE361" s="16">
        <v>1721.95</v>
      </c>
      <c r="AF361" s="24">
        <v>9.3729999999999993</v>
      </c>
      <c r="AG361" s="1">
        <v>45478</v>
      </c>
      <c r="AH361" s="2">
        <v>0.97600694444444447</v>
      </c>
      <c r="AI361">
        <v>0</v>
      </c>
      <c r="AJ361">
        <v>0</v>
      </c>
      <c r="AK361">
        <v>0</v>
      </c>
      <c r="AL361">
        <v>0</v>
      </c>
      <c r="AM361">
        <v>0</v>
      </c>
      <c r="AN361">
        <v>0</v>
      </c>
      <c r="AO361">
        <v>0</v>
      </c>
      <c r="AP361">
        <v>0</v>
      </c>
      <c r="AQ361">
        <v>0</v>
      </c>
      <c r="AR361">
        <v>0</v>
      </c>
      <c r="AS361">
        <v>0</v>
      </c>
      <c r="AT361">
        <v>0</v>
      </c>
      <c r="AU361" s="3">
        <f>AU360</f>
        <v>9.3642800000000008</v>
      </c>
    </row>
    <row r="362" spans="1:47" x14ac:dyDescent="0.25">
      <c r="A362">
        <v>3</v>
      </c>
      <c r="B362" t="s">
        <v>1</v>
      </c>
      <c r="C362">
        <v>28928</v>
      </c>
      <c r="D362">
        <v>256</v>
      </c>
      <c r="E362">
        <v>4</v>
      </c>
      <c r="F362">
        <v>4</v>
      </c>
      <c r="G362" s="16">
        <v>1911.71</v>
      </c>
      <c r="H362" s="24">
        <v>8.4426000000000005</v>
      </c>
      <c r="I362" s="1">
        <v>45477</v>
      </c>
      <c r="J362" s="37">
        <v>0.86484953703703704</v>
      </c>
      <c r="K362">
        <v>0</v>
      </c>
      <c r="L362">
        <v>0</v>
      </c>
      <c r="M362">
        <v>0</v>
      </c>
      <c r="N362">
        <v>0</v>
      </c>
      <c r="O362">
        <v>0</v>
      </c>
      <c r="P362">
        <v>0</v>
      </c>
      <c r="Q362">
        <v>0</v>
      </c>
      <c r="R362">
        <v>0</v>
      </c>
      <c r="S362">
        <v>0</v>
      </c>
      <c r="T362">
        <v>0</v>
      </c>
      <c r="U362">
        <v>0</v>
      </c>
      <c r="V362">
        <v>0</v>
      </c>
      <c r="W362" s="3">
        <f>W361</f>
        <v>8.5384999999999991</v>
      </c>
      <c r="X362" s="30"/>
      <c r="Y362">
        <v>3</v>
      </c>
      <c r="Z362" t="s">
        <v>1</v>
      </c>
      <c r="AA362">
        <v>28928</v>
      </c>
      <c r="AB362">
        <v>256</v>
      </c>
      <c r="AC362">
        <v>4</v>
      </c>
      <c r="AD362">
        <v>4</v>
      </c>
      <c r="AE362" s="16">
        <v>1725.27</v>
      </c>
      <c r="AF362" s="24">
        <v>9.3549000000000007</v>
      </c>
      <c r="AG362" s="1">
        <v>45479</v>
      </c>
      <c r="AH362" s="2">
        <v>0.48680555555555555</v>
      </c>
      <c r="AI362">
        <v>0</v>
      </c>
      <c r="AJ362">
        <v>0</v>
      </c>
      <c r="AK362">
        <v>0</v>
      </c>
      <c r="AL362">
        <v>0</v>
      </c>
      <c r="AM362">
        <v>0</v>
      </c>
      <c r="AN362">
        <v>0</v>
      </c>
      <c r="AO362">
        <v>0</v>
      </c>
      <c r="AP362">
        <v>0</v>
      </c>
      <c r="AQ362">
        <v>0</v>
      </c>
      <c r="AR362">
        <v>0</v>
      </c>
      <c r="AS362">
        <v>0</v>
      </c>
      <c r="AT362">
        <v>0</v>
      </c>
      <c r="AU362" s="3">
        <f>AU361</f>
        <v>9.3642800000000008</v>
      </c>
    </row>
    <row r="363" spans="1:47" x14ac:dyDescent="0.25">
      <c r="A363">
        <v>4</v>
      </c>
      <c r="B363" t="s">
        <v>1</v>
      </c>
      <c r="C363">
        <v>28928</v>
      </c>
      <c r="D363">
        <v>256</v>
      </c>
      <c r="E363">
        <v>4</v>
      </c>
      <c r="F363">
        <v>4</v>
      </c>
      <c r="G363" s="16">
        <v>1911.46</v>
      </c>
      <c r="H363" s="24">
        <v>8.4436999999999998</v>
      </c>
      <c r="I363" s="1">
        <v>45477</v>
      </c>
      <c r="J363" s="37">
        <v>0.75363425925925931</v>
      </c>
      <c r="K363">
        <v>0</v>
      </c>
      <c r="L363">
        <v>0</v>
      </c>
      <c r="M363">
        <v>0</v>
      </c>
      <c r="N363">
        <v>0</v>
      </c>
      <c r="O363">
        <v>0</v>
      </c>
      <c r="P363">
        <v>0</v>
      </c>
      <c r="Q363">
        <v>0</v>
      </c>
      <c r="R363">
        <v>0</v>
      </c>
      <c r="S363">
        <v>0</v>
      </c>
      <c r="T363">
        <v>0</v>
      </c>
      <c r="U363">
        <v>0</v>
      </c>
      <c r="V363">
        <v>0</v>
      </c>
      <c r="W363" s="3">
        <f>W362</f>
        <v>8.5384999999999991</v>
      </c>
      <c r="X363" s="30"/>
      <c r="Y363">
        <v>4</v>
      </c>
      <c r="Z363" t="s">
        <v>1</v>
      </c>
      <c r="AA363">
        <v>28928</v>
      </c>
      <c r="AB363">
        <v>256</v>
      </c>
      <c r="AC363">
        <v>4</v>
      </c>
      <c r="AD363">
        <v>4</v>
      </c>
      <c r="AE363" s="16">
        <v>1723.42</v>
      </c>
      <c r="AF363" s="24">
        <v>9.3650000000000002</v>
      </c>
      <c r="AG363" s="1">
        <v>45479</v>
      </c>
      <c r="AH363" s="2">
        <v>0.99752314814814813</v>
      </c>
      <c r="AI363">
        <v>0</v>
      </c>
      <c r="AJ363">
        <v>0</v>
      </c>
      <c r="AK363">
        <v>0</v>
      </c>
      <c r="AL363">
        <v>0</v>
      </c>
      <c r="AM363">
        <v>0</v>
      </c>
      <c r="AN363">
        <v>0</v>
      </c>
      <c r="AO363">
        <v>0</v>
      </c>
      <c r="AP363">
        <v>0</v>
      </c>
      <c r="AQ363">
        <v>0</v>
      </c>
      <c r="AR363">
        <v>0</v>
      </c>
      <c r="AS363">
        <v>0</v>
      </c>
      <c r="AT363">
        <v>0</v>
      </c>
      <c r="AU363" s="3">
        <f>AU362</f>
        <v>9.3642800000000008</v>
      </c>
    </row>
    <row r="364" spans="1:47" x14ac:dyDescent="0.25">
      <c r="A364" s="45">
        <v>0</v>
      </c>
      <c r="B364" s="45" t="s">
        <v>1</v>
      </c>
      <c r="C364" s="45">
        <v>29016</v>
      </c>
      <c r="D364" s="45">
        <v>72</v>
      </c>
      <c r="E364" s="45">
        <v>4</v>
      </c>
      <c r="F364" s="45">
        <v>4</v>
      </c>
      <c r="G364" s="72">
        <v>1822.58</v>
      </c>
      <c r="H364" s="49">
        <v>8.9365000000000006</v>
      </c>
      <c r="I364" s="47">
        <v>45318</v>
      </c>
      <c r="J364" s="74">
        <v>1.636574074074074E-2</v>
      </c>
      <c r="K364" s="45">
        <v>0</v>
      </c>
      <c r="L364" s="45">
        <v>0</v>
      </c>
      <c r="M364" s="45">
        <v>0</v>
      </c>
      <c r="N364" s="45">
        <v>0</v>
      </c>
      <c r="O364" s="45">
        <v>0</v>
      </c>
      <c r="P364" s="45">
        <v>0</v>
      </c>
      <c r="Q364" s="45">
        <v>0</v>
      </c>
      <c r="R364" s="45">
        <v>0</v>
      </c>
      <c r="S364" s="45">
        <v>0</v>
      </c>
      <c r="T364" s="45">
        <v>0</v>
      </c>
      <c r="U364" s="45">
        <v>0</v>
      </c>
      <c r="V364" s="45">
        <v>0</v>
      </c>
      <c r="W364" s="3">
        <f>AVERAGE(H319:H323)</f>
        <v>7.4601799999999994</v>
      </c>
      <c r="X364" s="30"/>
      <c r="Y364" s="59">
        <v>0</v>
      </c>
      <c r="Z364" s="59" t="s">
        <v>1</v>
      </c>
      <c r="AA364" s="59">
        <v>29040</v>
      </c>
      <c r="AB364" s="59">
        <v>60</v>
      </c>
      <c r="AC364" s="59">
        <v>2</v>
      </c>
      <c r="AD364" s="59">
        <v>8</v>
      </c>
      <c r="AE364" s="62">
        <v>1640.8</v>
      </c>
      <c r="AF364" s="69">
        <v>9.9512</v>
      </c>
      <c r="AG364" s="75">
        <v>45318</v>
      </c>
      <c r="AH364" s="76">
        <v>3.2141203703703707E-2</v>
      </c>
      <c r="AI364" s="59">
        <v>0</v>
      </c>
      <c r="AJ364" s="59">
        <v>0</v>
      </c>
      <c r="AK364" s="59">
        <v>0</v>
      </c>
      <c r="AL364" s="59">
        <v>0</v>
      </c>
      <c r="AM364" s="59">
        <v>0</v>
      </c>
      <c r="AN364" s="59">
        <v>0</v>
      </c>
      <c r="AO364" s="59">
        <v>0</v>
      </c>
      <c r="AP364" s="59">
        <v>0</v>
      </c>
      <c r="AQ364" s="59">
        <v>0</v>
      </c>
      <c r="AR364" s="59">
        <v>0</v>
      </c>
      <c r="AS364" s="59">
        <v>0</v>
      </c>
      <c r="AT364" s="59">
        <v>0</v>
      </c>
      <c r="AU364" s="3">
        <f t="shared" ref="AU364:AU404" si="1">AVERAGE(AF364:AF368)</f>
        <v>9.9490400000000001</v>
      </c>
    </row>
    <row r="365" spans="1:47" x14ac:dyDescent="0.25">
      <c r="A365" s="45">
        <v>1</v>
      </c>
      <c r="B365" s="45" t="s">
        <v>1</v>
      </c>
      <c r="C365" s="45">
        <v>29016</v>
      </c>
      <c r="D365" s="45">
        <v>72</v>
      </c>
      <c r="E365" s="45">
        <v>4</v>
      </c>
      <c r="F365" s="45">
        <v>4</v>
      </c>
      <c r="G365" s="72">
        <v>1822.36</v>
      </c>
      <c r="H365" s="49">
        <v>8.9375999999999998</v>
      </c>
      <c r="I365" s="47">
        <v>45318</v>
      </c>
      <c r="J365" s="74">
        <v>8.0752314814814818E-2</v>
      </c>
      <c r="K365" s="45">
        <v>0</v>
      </c>
      <c r="L365" s="45">
        <v>0</v>
      </c>
      <c r="M365" s="45">
        <v>0</v>
      </c>
      <c r="N365" s="45">
        <v>0</v>
      </c>
      <c r="O365" s="45">
        <v>0</v>
      </c>
      <c r="P365" s="45">
        <v>0</v>
      </c>
      <c r="Q365" s="45">
        <v>0</v>
      </c>
      <c r="R365" s="45">
        <v>0</v>
      </c>
      <c r="S365" s="45">
        <v>0</v>
      </c>
      <c r="T365" s="45">
        <v>0</v>
      </c>
      <c r="U365" s="45">
        <v>0</v>
      </c>
      <c r="V365" s="45">
        <v>0</v>
      </c>
      <c r="W365" s="3">
        <f>W364</f>
        <v>7.4601799999999994</v>
      </c>
      <c r="Y365" s="59">
        <v>1</v>
      </c>
      <c r="Z365" s="59" t="s">
        <v>1</v>
      </c>
      <c r="AA365" s="59">
        <v>29040</v>
      </c>
      <c r="AB365" s="59">
        <v>60</v>
      </c>
      <c r="AC365" s="59">
        <v>2</v>
      </c>
      <c r="AD365" s="59">
        <v>8</v>
      </c>
      <c r="AE365" s="62">
        <v>1640.28</v>
      </c>
      <c r="AF365" s="69">
        <v>9.9543999999999997</v>
      </c>
      <c r="AG365" s="75">
        <v>45318</v>
      </c>
      <c r="AH365" s="76">
        <v>0.11445601851851851</v>
      </c>
      <c r="AI365" s="59">
        <v>0</v>
      </c>
      <c r="AJ365" s="59">
        <v>0</v>
      </c>
      <c r="AK365" s="59">
        <v>0</v>
      </c>
      <c r="AL365" s="59">
        <v>0</v>
      </c>
      <c r="AM365" s="59">
        <v>0</v>
      </c>
      <c r="AN365" s="59">
        <v>0</v>
      </c>
      <c r="AO365" s="59">
        <v>0</v>
      </c>
      <c r="AP365" s="59">
        <v>0</v>
      </c>
      <c r="AQ365" s="59">
        <v>0</v>
      </c>
      <c r="AR365" s="59">
        <v>0</v>
      </c>
      <c r="AS365" s="59">
        <v>0</v>
      </c>
      <c r="AT365" s="59">
        <v>0</v>
      </c>
      <c r="AU365" s="3">
        <f t="shared" ref="AU365:AU408" si="2">AU364</f>
        <v>9.9490400000000001</v>
      </c>
    </row>
    <row r="366" spans="1:47" x14ac:dyDescent="0.25">
      <c r="A366" s="45">
        <v>2</v>
      </c>
      <c r="B366" s="45" t="s">
        <v>1</v>
      </c>
      <c r="C366" s="45">
        <v>29016</v>
      </c>
      <c r="D366" s="45">
        <v>72</v>
      </c>
      <c r="E366" s="45">
        <v>4</v>
      </c>
      <c r="F366" s="45">
        <v>4</v>
      </c>
      <c r="G366" s="72">
        <v>1822.6</v>
      </c>
      <c r="H366" s="49">
        <v>8.9364000000000008</v>
      </c>
      <c r="I366" s="47">
        <v>45318</v>
      </c>
      <c r="J366" s="74">
        <v>0.1451388888888889</v>
      </c>
      <c r="K366" s="45">
        <v>0</v>
      </c>
      <c r="L366" s="45">
        <v>0</v>
      </c>
      <c r="M366" s="45">
        <v>0</v>
      </c>
      <c r="N366" s="45">
        <v>0</v>
      </c>
      <c r="O366" s="45">
        <v>0</v>
      </c>
      <c r="P366" s="45">
        <v>0</v>
      </c>
      <c r="Q366" s="45">
        <v>0</v>
      </c>
      <c r="R366" s="45">
        <v>0</v>
      </c>
      <c r="S366" s="45">
        <v>0</v>
      </c>
      <c r="T366" s="45">
        <v>0</v>
      </c>
      <c r="U366" s="45">
        <v>0</v>
      </c>
      <c r="V366" s="45">
        <v>0</v>
      </c>
      <c r="W366" s="3">
        <f>W365</f>
        <v>7.4601799999999994</v>
      </c>
      <c r="Y366" s="59">
        <v>2</v>
      </c>
      <c r="Z366" s="59" t="s">
        <v>1</v>
      </c>
      <c r="AA366" s="59">
        <v>29040</v>
      </c>
      <c r="AB366" s="59">
        <v>60</v>
      </c>
      <c r="AC366" s="59">
        <v>2</v>
      </c>
      <c r="AD366" s="59">
        <v>8</v>
      </c>
      <c r="AE366" s="62">
        <v>1641.84</v>
      </c>
      <c r="AF366" s="69">
        <v>9.9449000000000005</v>
      </c>
      <c r="AG366" s="75">
        <v>45318</v>
      </c>
      <c r="AH366" s="76">
        <v>0.19680555555555557</v>
      </c>
      <c r="AI366" s="59">
        <v>0</v>
      </c>
      <c r="AJ366" s="59">
        <v>0</v>
      </c>
      <c r="AK366" s="59">
        <v>0</v>
      </c>
      <c r="AL366" s="59">
        <v>0</v>
      </c>
      <c r="AM366" s="59">
        <v>0</v>
      </c>
      <c r="AN366" s="59">
        <v>0</v>
      </c>
      <c r="AO366" s="59">
        <v>0</v>
      </c>
      <c r="AP366" s="59">
        <v>0</v>
      </c>
      <c r="AQ366" s="59">
        <v>0</v>
      </c>
      <c r="AR366" s="59">
        <v>0</v>
      </c>
      <c r="AS366" s="59">
        <v>0</v>
      </c>
      <c r="AT366" s="59">
        <v>0</v>
      </c>
      <c r="AU366" s="3">
        <f t="shared" si="2"/>
        <v>9.9490400000000001</v>
      </c>
    </row>
    <row r="367" spans="1:47" x14ac:dyDescent="0.25">
      <c r="A367" s="45">
        <v>3</v>
      </c>
      <c r="B367" s="45" t="s">
        <v>1</v>
      </c>
      <c r="C367" s="45">
        <v>29016</v>
      </c>
      <c r="D367" s="45">
        <v>72</v>
      </c>
      <c r="E367" s="45">
        <v>4</v>
      </c>
      <c r="F367" s="45">
        <v>4</v>
      </c>
      <c r="G367" s="72">
        <v>1823.13</v>
      </c>
      <c r="H367" s="49">
        <v>8.9337999999999997</v>
      </c>
      <c r="I367" s="47">
        <v>45318</v>
      </c>
      <c r="J367" s="74">
        <v>0.20954861111111112</v>
      </c>
      <c r="K367" s="45">
        <v>0</v>
      </c>
      <c r="L367" s="45">
        <v>0</v>
      </c>
      <c r="M367" s="45">
        <v>0</v>
      </c>
      <c r="N367" s="45">
        <v>0</v>
      </c>
      <c r="O367" s="45">
        <v>0</v>
      </c>
      <c r="P367" s="45">
        <v>0</v>
      </c>
      <c r="Q367" s="45">
        <v>0</v>
      </c>
      <c r="R367" s="45">
        <v>0</v>
      </c>
      <c r="S367" s="45">
        <v>0</v>
      </c>
      <c r="T367" s="45">
        <v>0</v>
      </c>
      <c r="U367" s="45">
        <v>0</v>
      </c>
      <c r="V367" s="45">
        <v>0</v>
      </c>
      <c r="W367" s="3">
        <f>W366</f>
        <v>7.4601799999999994</v>
      </c>
      <c r="Y367" s="59">
        <v>3</v>
      </c>
      <c r="Z367" s="59" t="s">
        <v>1</v>
      </c>
      <c r="AA367" s="59">
        <v>29040</v>
      </c>
      <c r="AB367" s="59">
        <v>60</v>
      </c>
      <c r="AC367" s="59">
        <v>2</v>
      </c>
      <c r="AD367" s="59">
        <v>8</v>
      </c>
      <c r="AE367" s="62">
        <v>1641.02</v>
      </c>
      <c r="AF367" s="69">
        <v>9.9498999999999995</v>
      </c>
      <c r="AG367" s="75">
        <v>45318</v>
      </c>
      <c r="AH367" s="76">
        <v>0.27917824074074077</v>
      </c>
      <c r="AI367" s="59">
        <v>0</v>
      </c>
      <c r="AJ367" s="59">
        <v>0</v>
      </c>
      <c r="AK367" s="59">
        <v>0</v>
      </c>
      <c r="AL367" s="59">
        <v>0</v>
      </c>
      <c r="AM367" s="59">
        <v>0</v>
      </c>
      <c r="AN367" s="59">
        <v>0</v>
      </c>
      <c r="AO367" s="59">
        <v>0</v>
      </c>
      <c r="AP367" s="59">
        <v>0</v>
      </c>
      <c r="AQ367" s="59">
        <v>0</v>
      </c>
      <c r="AR367" s="59">
        <v>0</v>
      </c>
      <c r="AS367" s="59">
        <v>0</v>
      </c>
      <c r="AT367" s="59">
        <v>0</v>
      </c>
      <c r="AU367" s="3">
        <f t="shared" si="2"/>
        <v>9.9490400000000001</v>
      </c>
    </row>
    <row r="368" spans="1:47" x14ac:dyDescent="0.25">
      <c r="A368" s="45">
        <v>4</v>
      </c>
      <c r="B368" s="45" t="s">
        <v>1</v>
      </c>
      <c r="C368" s="45">
        <v>29016</v>
      </c>
      <c r="D368" s="45">
        <v>72</v>
      </c>
      <c r="E368" s="45">
        <v>4</v>
      </c>
      <c r="F368" s="45">
        <v>4</v>
      </c>
      <c r="G368" s="72">
        <v>1823.31</v>
      </c>
      <c r="H368" s="49">
        <v>8.9329000000000001</v>
      </c>
      <c r="I368" s="47">
        <v>45318</v>
      </c>
      <c r="J368" s="74">
        <v>0.27395833333333336</v>
      </c>
      <c r="K368" s="45">
        <v>0</v>
      </c>
      <c r="L368" s="45">
        <v>0</v>
      </c>
      <c r="M368" s="45">
        <v>0</v>
      </c>
      <c r="N368" s="45">
        <v>0</v>
      </c>
      <c r="O368" s="45">
        <v>0</v>
      </c>
      <c r="P368" s="45">
        <v>0</v>
      </c>
      <c r="Q368" s="45">
        <v>0</v>
      </c>
      <c r="R368" s="45">
        <v>0</v>
      </c>
      <c r="S368" s="45">
        <v>0</v>
      </c>
      <c r="T368" s="45">
        <v>0</v>
      </c>
      <c r="U368" s="45">
        <v>0</v>
      </c>
      <c r="V368" s="45">
        <v>0</v>
      </c>
      <c r="W368" s="3">
        <f>W367</f>
        <v>7.4601799999999994</v>
      </c>
      <c r="Y368" s="59">
        <v>4</v>
      </c>
      <c r="Z368" s="59" t="s">
        <v>1</v>
      </c>
      <c r="AA368" s="59">
        <v>29040</v>
      </c>
      <c r="AB368" s="59">
        <v>60</v>
      </c>
      <c r="AC368" s="59">
        <v>2</v>
      </c>
      <c r="AD368" s="59">
        <v>8</v>
      </c>
      <c r="AE368" s="62">
        <v>1641.86</v>
      </c>
      <c r="AF368" s="69">
        <v>9.9448000000000008</v>
      </c>
      <c r="AG368" s="75">
        <v>45318</v>
      </c>
      <c r="AH368" s="76">
        <v>0.36151620370370369</v>
      </c>
      <c r="AI368" s="59">
        <v>0</v>
      </c>
      <c r="AJ368" s="59">
        <v>0</v>
      </c>
      <c r="AK368" s="59">
        <v>0</v>
      </c>
      <c r="AL368" s="59">
        <v>0</v>
      </c>
      <c r="AM368" s="59">
        <v>0</v>
      </c>
      <c r="AN368" s="59">
        <v>0</v>
      </c>
      <c r="AO368" s="59">
        <v>0</v>
      </c>
      <c r="AP368" s="59">
        <v>0</v>
      </c>
      <c r="AQ368" s="59">
        <v>0</v>
      </c>
      <c r="AR368" s="59">
        <v>0</v>
      </c>
      <c r="AS368" s="59">
        <v>0</v>
      </c>
      <c r="AT368" s="59">
        <v>0</v>
      </c>
      <c r="AU368" s="3">
        <f t="shared" si="2"/>
        <v>9.9490400000000001</v>
      </c>
    </row>
    <row r="369" spans="1:47" x14ac:dyDescent="0.25">
      <c r="A369" s="45">
        <v>0</v>
      </c>
      <c r="B369" s="45" t="s">
        <v>1</v>
      </c>
      <c r="C369" s="45">
        <v>29040</v>
      </c>
      <c r="D369" s="45">
        <v>80</v>
      </c>
      <c r="E369" s="45">
        <v>4</v>
      </c>
      <c r="F369" s="45">
        <v>4</v>
      </c>
      <c r="G369" s="72">
        <v>1828.89</v>
      </c>
      <c r="H369" s="49">
        <v>8.9277999999999995</v>
      </c>
      <c r="I369" s="47">
        <v>45318</v>
      </c>
      <c r="J369" s="74">
        <v>3.7905092592592594E-2</v>
      </c>
      <c r="K369" s="45">
        <v>0</v>
      </c>
      <c r="L369" s="45">
        <v>0</v>
      </c>
      <c r="M369" s="45">
        <v>0</v>
      </c>
      <c r="N369" s="45">
        <v>0</v>
      </c>
      <c r="O369" s="45">
        <v>0</v>
      </c>
      <c r="P369" s="45">
        <v>0</v>
      </c>
      <c r="Q369" s="45">
        <v>0</v>
      </c>
      <c r="R369" s="45">
        <v>0</v>
      </c>
      <c r="S369" s="45">
        <v>0</v>
      </c>
      <c r="T369" s="45">
        <v>0</v>
      </c>
      <c r="U369" s="45">
        <v>0</v>
      </c>
      <c r="V369" s="45">
        <v>0</v>
      </c>
      <c r="W369" s="3">
        <f>AVERAGE(H324:H328)</f>
        <v>7.5332600000000003</v>
      </c>
      <c r="Y369" s="59">
        <v>0</v>
      </c>
      <c r="Z369" s="59" t="s">
        <v>1</v>
      </c>
      <c r="AA369" s="59">
        <v>29056</v>
      </c>
      <c r="AB369" s="59">
        <v>64</v>
      </c>
      <c r="AC369" s="59">
        <v>2</v>
      </c>
      <c r="AD369" s="59">
        <v>8</v>
      </c>
      <c r="AE369" s="62">
        <v>1628.31</v>
      </c>
      <c r="AF369" s="69">
        <v>10.044</v>
      </c>
      <c r="AG369" s="75">
        <v>45318</v>
      </c>
      <c r="AH369" s="76">
        <v>5.2662037037037035E-2</v>
      </c>
      <c r="AI369" s="59">
        <v>0</v>
      </c>
      <c r="AJ369" s="59">
        <v>0</v>
      </c>
      <c r="AK369" s="59">
        <v>0</v>
      </c>
      <c r="AL369" s="59">
        <v>0</v>
      </c>
      <c r="AM369" s="59">
        <v>0</v>
      </c>
      <c r="AN369" s="59">
        <v>0</v>
      </c>
      <c r="AO369" s="59">
        <v>0</v>
      </c>
      <c r="AP369" s="59">
        <v>0</v>
      </c>
      <c r="AQ369" s="59">
        <v>0</v>
      </c>
      <c r="AR369" s="59">
        <v>0</v>
      </c>
      <c r="AS369" s="59">
        <v>0</v>
      </c>
      <c r="AT369" s="59">
        <v>0</v>
      </c>
      <c r="AU369" s="3">
        <f t="shared" si="1"/>
        <v>10.039</v>
      </c>
    </row>
    <row r="370" spans="1:47" x14ac:dyDescent="0.25">
      <c r="A370" s="45">
        <v>1</v>
      </c>
      <c r="B370" s="45" t="s">
        <v>1</v>
      </c>
      <c r="C370" s="45">
        <v>29040</v>
      </c>
      <c r="D370" s="45">
        <v>80</v>
      </c>
      <c r="E370" s="45">
        <v>4</v>
      </c>
      <c r="F370" s="45">
        <v>4</v>
      </c>
      <c r="G370" s="72">
        <v>1829.38</v>
      </c>
      <c r="H370" s="49">
        <v>8.9253999999999998</v>
      </c>
      <c r="I370" s="47">
        <v>45318</v>
      </c>
      <c r="J370" s="74">
        <v>0.10230324074074075</v>
      </c>
      <c r="K370" s="45">
        <v>0</v>
      </c>
      <c r="L370" s="45">
        <v>0</v>
      </c>
      <c r="M370" s="45">
        <v>0</v>
      </c>
      <c r="N370" s="45">
        <v>0</v>
      </c>
      <c r="O370" s="45">
        <v>0</v>
      </c>
      <c r="P370" s="45">
        <v>0</v>
      </c>
      <c r="Q370" s="45">
        <v>0</v>
      </c>
      <c r="R370" s="45">
        <v>0</v>
      </c>
      <c r="S370" s="45">
        <v>0</v>
      </c>
      <c r="T370" s="45">
        <v>0</v>
      </c>
      <c r="U370" s="45">
        <v>0</v>
      </c>
      <c r="V370" s="45">
        <v>0</v>
      </c>
      <c r="W370" s="3">
        <f>W369</f>
        <v>7.5332600000000003</v>
      </c>
      <c r="Y370" s="59">
        <v>1</v>
      </c>
      <c r="Z370" s="59" t="s">
        <v>1</v>
      </c>
      <c r="AA370" s="59">
        <v>29056</v>
      </c>
      <c r="AB370" s="59">
        <v>64</v>
      </c>
      <c r="AC370" s="59">
        <v>2</v>
      </c>
      <c r="AD370" s="59">
        <v>8</v>
      </c>
      <c r="AE370" s="62">
        <v>1629.02</v>
      </c>
      <c r="AF370" s="69">
        <v>10.039999999999999</v>
      </c>
      <c r="AG370" s="75">
        <v>45318</v>
      </c>
      <c r="AH370" s="76">
        <v>0.13497685185185185</v>
      </c>
      <c r="AI370" s="59">
        <v>0</v>
      </c>
      <c r="AJ370" s="59">
        <v>0</v>
      </c>
      <c r="AK370" s="59">
        <v>0</v>
      </c>
      <c r="AL370" s="59">
        <v>0</v>
      </c>
      <c r="AM370" s="59">
        <v>0</v>
      </c>
      <c r="AN370" s="59">
        <v>0</v>
      </c>
      <c r="AO370" s="59">
        <v>0</v>
      </c>
      <c r="AP370" s="59">
        <v>0</v>
      </c>
      <c r="AQ370" s="59">
        <v>0</v>
      </c>
      <c r="AR370" s="59">
        <v>0</v>
      </c>
      <c r="AS370" s="59">
        <v>0</v>
      </c>
      <c r="AT370" s="59">
        <v>0</v>
      </c>
      <c r="AU370" s="3">
        <f t="shared" si="2"/>
        <v>10.039</v>
      </c>
    </row>
    <row r="371" spans="1:47" x14ac:dyDescent="0.25">
      <c r="A371" s="45">
        <v>2</v>
      </c>
      <c r="B371" s="45" t="s">
        <v>1</v>
      </c>
      <c r="C371" s="45">
        <v>29040</v>
      </c>
      <c r="D371" s="45">
        <v>80</v>
      </c>
      <c r="E371" s="45">
        <v>4</v>
      </c>
      <c r="F371" s="45">
        <v>4</v>
      </c>
      <c r="G371" s="72">
        <v>1828.88</v>
      </c>
      <c r="H371" s="49">
        <v>8.9278999999999993</v>
      </c>
      <c r="I371" s="47">
        <v>45318</v>
      </c>
      <c r="J371" s="74">
        <v>0.16668981481481482</v>
      </c>
      <c r="K371" s="45">
        <v>0</v>
      </c>
      <c r="L371" s="45">
        <v>0</v>
      </c>
      <c r="M371" s="45">
        <v>0</v>
      </c>
      <c r="N371" s="45">
        <v>0</v>
      </c>
      <c r="O371" s="45">
        <v>0</v>
      </c>
      <c r="P371" s="45">
        <v>0</v>
      </c>
      <c r="Q371" s="45">
        <v>0</v>
      </c>
      <c r="R371" s="45">
        <v>0</v>
      </c>
      <c r="S371" s="45">
        <v>0</v>
      </c>
      <c r="T371" s="45">
        <v>0</v>
      </c>
      <c r="U371" s="45">
        <v>0</v>
      </c>
      <c r="V371" s="45">
        <v>0</v>
      </c>
      <c r="W371" s="3">
        <f>W370</f>
        <v>7.5332600000000003</v>
      </c>
      <c r="Y371" s="59">
        <v>2</v>
      </c>
      <c r="Z371" s="59" t="s">
        <v>1</v>
      </c>
      <c r="AA371" s="59">
        <v>29056</v>
      </c>
      <c r="AB371" s="59">
        <v>64</v>
      </c>
      <c r="AC371" s="59">
        <v>2</v>
      </c>
      <c r="AD371" s="59">
        <v>8</v>
      </c>
      <c r="AE371" s="62">
        <v>1630.5</v>
      </c>
      <c r="AF371" s="69">
        <v>10.031000000000001</v>
      </c>
      <c r="AG371" s="75">
        <v>45318</v>
      </c>
      <c r="AH371" s="76">
        <v>0.21733796296296296</v>
      </c>
      <c r="AI371" s="59">
        <v>0</v>
      </c>
      <c r="AJ371" s="59">
        <v>0</v>
      </c>
      <c r="AK371" s="59">
        <v>0</v>
      </c>
      <c r="AL371" s="59">
        <v>0</v>
      </c>
      <c r="AM371" s="59">
        <v>0</v>
      </c>
      <c r="AN371" s="59">
        <v>0</v>
      </c>
      <c r="AO371" s="59">
        <v>0</v>
      </c>
      <c r="AP371" s="59">
        <v>0</v>
      </c>
      <c r="AQ371" s="59">
        <v>0</v>
      </c>
      <c r="AR371" s="59">
        <v>0</v>
      </c>
      <c r="AS371" s="59">
        <v>0</v>
      </c>
      <c r="AT371" s="59">
        <v>0</v>
      </c>
      <c r="AU371" s="3">
        <f t="shared" si="2"/>
        <v>10.039</v>
      </c>
    </row>
    <row r="372" spans="1:47" x14ac:dyDescent="0.25">
      <c r="A372" s="45">
        <v>3</v>
      </c>
      <c r="B372" s="45" t="s">
        <v>1</v>
      </c>
      <c r="C372" s="45">
        <v>29040</v>
      </c>
      <c r="D372" s="45">
        <v>80</v>
      </c>
      <c r="E372" s="45">
        <v>4</v>
      </c>
      <c r="F372" s="45">
        <v>4</v>
      </c>
      <c r="G372" s="72">
        <v>1829.29</v>
      </c>
      <c r="H372" s="49">
        <v>8.9258000000000006</v>
      </c>
      <c r="I372" s="47">
        <v>45318</v>
      </c>
      <c r="J372" s="74">
        <v>0.23109953703703703</v>
      </c>
      <c r="K372" s="45">
        <v>0</v>
      </c>
      <c r="L372" s="45">
        <v>0</v>
      </c>
      <c r="M372" s="45">
        <v>0</v>
      </c>
      <c r="N372" s="45">
        <v>0</v>
      </c>
      <c r="O372" s="45">
        <v>0</v>
      </c>
      <c r="P372" s="45">
        <v>0</v>
      </c>
      <c r="Q372" s="45">
        <v>0</v>
      </c>
      <c r="R372" s="45">
        <v>0</v>
      </c>
      <c r="S372" s="45">
        <v>0</v>
      </c>
      <c r="T372" s="45">
        <v>0</v>
      </c>
      <c r="U372" s="45">
        <v>0</v>
      </c>
      <c r="V372" s="45">
        <v>0</v>
      </c>
      <c r="W372" s="3">
        <f>W371</f>
        <v>7.5332600000000003</v>
      </c>
      <c r="Y372" s="59">
        <v>3</v>
      </c>
      <c r="Z372" s="59" t="s">
        <v>1</v>
      </c>
      <c r="AA372" s="59">
        <v>29056</v>
      </c>
      <c r="AB372" s="59">
        <v>64</v>
      </c>
      <c r="AC372" s="59">
        <v>2</v>
      </c>
      <c r="AD372" s="59">
        <v>8</v>
      </c>
      <c r="AE372" s="62">
        <v>1629</v>
      </c>
      <c r="AF372" s="69">
        <v>10.039999999999999</v>
      </c>
      <c r="AG372" s="75">
        <v>45318</v>
      </c>
      <c r="AH372" s="76">
        <v>0.29969907407407409</v>
      </c>
      <c r="AI372" s="59">
        <v>0</v>
      </c>
      <c r="AJ372" s="59">
        <v>0</v>
      </c>
      <c r="AK372" s="59">
        <v>0</v>
      </c>
      <c r="AL372" s="59">
        <v>0</v>
      </c>
      <c r="AM372" s="59">
        <v>0</v>
      </c>
      <c r="AN372" s="59">
        <v>0</v>
      </c>
      <c r="AO372" s="59">
        <v>0</v>
      </c>
      <c r="AP372" s="59">
        <v>0</v>
      </c>
      <c r="AQ372" s="59">
        <v>0</v>
      </c>
      <c r="AR372" s="59">
        <v>0</v>
      </c>
      <c r="AS372" s="59">
        <v>0</v>
      </c>
      <c r="AT372" s="59">
        <v>0</v>
      </c>
      <c r="AU372" s="3">
        <f t="shared" si="2"/>
        <v>10.039</v>
      </c>
    </row>
    <row r="373" spans="1:47" x14ac:dyDescent="0.25">
      <c r="A373" s="45">
        <v>4</v>
      </c>
      <c r="B373" s="45" t="s">
        <v>1</v>
      </c>
      <c r="C373" s="45">
        <v>29040</v>
      </c>
      <c r="D373" s="45">
        <v>80</v>
      </c>
      <c r="E373" s="45">
        <v>4</v>
      </c>
      <c r="F373" s="45">
        <v>4</v>
      </c>
      <c r="G373" s="72">
        <v>1829.54</v>
      </c>
      <c r="H373" s="49">
        <v>8.9245999999999999</v>
      </c>
      <c r="I373" s="47">
        <v>45318</v>
      </c>
      <c r="J373" s="74">
        <v>0.29550925925925925</v>
      </c>
      <c r="K373" s="45">
        <v>0</v>
      </c>
      <c r="L373" s="45">
        <v>0</v>
      </c>
      <c r="M373" s="45">
        <v>0</v>
      </c>
      <c r="N373" s="45">
        <v>0</v>
      </c>
      <c r="O373" s="45">
        <v>0</v>
      </c>
      <c r="P373" s="45">
        <v>0</v>
      </c>
      <c r="Q373" s="45">
        <v>0</v>
      </c>
      <c r="R373" s="45">
        <v>0</v>
      </c>
      <c r="S373" s="45">
        <v>0</v>
      </c>
      <c r="T373" s="45">
        <v>0</v>
      </c>
      <c r="U373" s="45">
        <v>0</v>
      </c>
      <c r="V373" s="45">
        <v>0</v>
      </c>
      <c r="W373" s="3">
        <f>W372</f>
        <v>7.5332600000000003</v>
      </c>
      <c r="Y373" s="59">
        <v>4</v>
      </c>
      <c r="Z373" s="59" t="s">
        <v>1</v>
      </c>
      <c r="AA373" s="59">
        <v>29056</v>
      </c>
      <c r="AB373" s="59">
        <v>64</v>
      </c>
      <c r="AC373" s="59">
        <v>2</v>
      </c>
      <c r="AD373" s="59">
        <v>8</v>
      </c>
      <c r="AE373" s="62">
        <v>1629.01</v>
      </c>
      <c r="AF373" s="69">
        <v>10.039999999999999</v>
      </c>
      <c r="AG373" s="75">
        <v>45318</v>
      </c>
      <c r="AH373" s="76">
        <v>0.38203703703703701</v>
      </c>
      <c r="AI373" s="59">
        <v>0</v>
      </c>
      <c r="AJ373" s="59">
        <v>0</v>
      </c>
      <c r="AK373" s="59">
        <v>0</v>
      </c>
      <c r="AL373" s="59">
        <v>0</v>
      </c>
      <c r="AM373" s="59">
        <v>0</v>
      </c>
      <c r="AN373" s="59">
        <v>0</v>
      </c>
      <c r="AO373" s="59">
        <v>0</v>
      </c>
      <c r="AP373" s="59">
        <v>0</v>
      </c>
      <c r="AQ373" s="59">
        <v>0</v>
      </c>
      <c r="AR373" s="59">
        <v>0</v>
      </c>
      <c r="AS373" s="59">
        <v>0</v>
      </c>
      <c r="AT373" s="59">
        <v>0</v>
      </c>
      <c r="AU373" s="3">
        <f t="shared" si="2"/>
        <v>10.039</v>
      </c>
    </row>
    <row r="374" spans="1:47" x14ac:dyDescent="0.25">
      <c r="A374" s="45">
        <v>0</v>
      </c>
      <c r="B374" s="45" t="s">
        <v>1</v>
      </c>
      <c r="C374" s="45">
        <v>29304</v>
      </c>
      <c r="D374" s="45">
        <v>88</v>
      </c>
      <c r="E374" s="45">
        <v>1</v>
      </c>
      <c r="F374" s="45">
        <v>16</v>
      </c>
      <c r="G374" s="72">
        <v>1977.75</v>
      </c>
      <c r="H374" s="49">
        <v>8.4830000000000005</v>
      </c>
      <c r="I374" s="47">
        <v>45420</v>
      </c>
      <c r="J374" s="74">
        <v>3.048611111111111E-2</v>
      </c>
      <c r="K374" s="45">
        <v>0</v>
      </c>
      <c r="L374" s="45">
        <v>0</v>
      </c>
      <c r="M374" s="45">
        <v>0</v>
      </c>
      <c r="N374" s="45">
        <v>0</v>
      </c>
      <c r="O374" s="45">
        <v>0</v>
      </c>
      <c r="P374" s="45">
        <v>0</v>
      </c>
      <c r="Q374" s="45">
        <v>0</v>
      </c>
      <c r="R374" s="45">
        <v>0</v>
      </c>
      <c r="S374" s="45">
        <v>0</v>
      </c>
      <c r="T374" s="45">
        <v>0</v>
      </c>
      <c r="U374" s="45">
        <v>0</v>
      </c>
      <c r="V374" s="45">
        <v>0</v>
      </c>
      <c r="W374" s="3">
        <f>AVERAGE(H329:H333)</f>
        <v>7.6678400000000009</v>
      </c>
      <c r="Y374" s="59">
        <v>0</v>
      </c>
      <c r="Z374" s="59" t="s">
        <v>1</v>
      </c>
      <c r="AA374" s="59">
        <v>29036</v>
      </c>
      <c r="AB374" s="59">
        <v>68</v>
      </c>
      <c r="AC374" s="59">
        <v>2</v>
      </c>
      <c r="AD374" s="59">
        <v>8</v>
      </c>
      <c r="AE374" s="62">
        <v>1634.17</v>
      </c>
      <c r="AF374" s="69">
        <v>9.9875000000000007</v>
      </c>
      <c r="AG374" s="75">
        <v>45318</v>
      </c>
      <c r="AH374" s="76">
        <v>7.3252314814814812E-2</v>
      </c>
      <c r="AI374" s="59">
        <v>0</v>
      </c>
      <c r="AJ374" s="59">
        <v>0</v>
      </c>
      <c r="AK374" s="59">
        <v>0</v>
      </c>
      <c r="AL374" s="59">
        <v>0</v>
      </c>
      <c r="AM374" s="59">
        <v>0</v>
      </c>
      <c r="AN374" s="59">
        <v>0</v>
      </c>
      <c r="AO374" s="59">
        <v>0</v>
      </c>
      <c r="AP374" s="59">
        <v>0</v>
      </c>
      <c r="AQ374" s="59">
        <v>0</v>
      </c>
      <c r="AR374" s="59">
        <v>0</v>
      </c>
      <c r="AS374" s="59">
        <v>0</v>
      </c>
      <c r="AT374" s="59">
        <v>0</v>
      </c>
      <c r="AU374" s="3">
        <f t="shared" si="1"/>
        <v>9.9882799999999996</v>
      </c>
    </row>
    <row r="375" spans="1:47" x14ac:dyDescent="0.25">
      <c r="A375" s="45">
        <v>1</v>
      </c>
      <c r="B375" s="45" t="s">
        <v>1</v>
      </c>
      <c r="C375" s="45">
        <v>29304</v>
      </c>
      <c r="D375" s="45">
        <v>88</v>
      </c>
      <c r="E375" s="45">
        <v>1</v>
      </c>
      <c r="F375" s="45">
        <v>16</v>
      </c>
      <c r="G375" s="72">
        <v>1977.91</v>
      </c>
      <c r="H375" s="49">
        <v>8.4823000000000004</v>
      </c>
      <c r="I375" s="47">
        <v>45420</v>
      </c>
      <c r="J375" s="74">
        <v>0.57925925925925925</v>
      </c>
      <c r="K375" s="45">
        <v>0</v>
      </c>
      <c r="L375" s="45">
        <v>0</v>
      </c>
      <c r="M375" s="45">
        <v>0</v>
      </c>
      <c r="N375" s="45">
        <v>0</v>
      </c>
      <c r="O375" s="45">
        <v>0</v>
      </c>
      <c r="P375" s="45">
        <v>0</v>
      </c>
      <c r="Q375" s="45">
        <v>0</v>
      </c>
      <c r="R375" s="45">
        <v>0</v>
      </c>
      <c r="S375" s="45">
        <v>0</v>
      </c>
      <c r="T375" s="45">
        <v>0</v>
      </c>
      <c r="U375" s="45">
        <v>0</v>
      </c>
      <c r="V375" s="45">
        <v>0</v>
      </c>
      <c r="W375" s="3">
        <f>W374</f>
        <v>7.6678400000000009</v>
      </c>
      <c r="Y375" s="59">
        <v>1</v>
      </c>
      <c r="Z375" s="59" t="s">
        <v>1</v>
      </c>
      <c r="AA375" s="59">
        <v>29036</v>
      </c>
      <c r="AB375" s="59">
        <v>68</v>
      </c>
      <c r="AC375" s="59">
        <v>2</v>
      </c>
      <c r="AD375" s="59">
        <v>8</v>
      </c>
      <c r="AE375" s="62">
        <v>1634.18</v>
      </c>
      <c r="AF375" s="69">
        <v>9.9873999999999992</v>
      </c>
      <c r="AG375" s="75">
        <v>45318</v>
      </c>
      <c r="AH375" s="76">
        <v>0.15556712962962962</v>
      </c>
      <c r="AI375" s="59">
        <v>0</v>
      </c>
      <c r="AJ375" s="59">
        <v>0</v>
      </c>
      <c r="AK375" s="59">
        <v>0</v>
      </c>
      <c r="AL375" s="59">
        <v>0</v>
      </c>
      <c r="AM375" s="59">
        <v>0</v>
      </c>
      <c r="AN375" s="59">
        <v>0</v>
      </c>
      <c r="AO375" s="59">
        <v>0</v>
      </c>
      <c r="AP375" s="59">
        <v>0</v>
      </c>
      <c r="AQ375" s="59">
        <v>0</v>
      </c>
      <c r="AR375" s="59">
        <v>0</v>
      </c>
      <c r="AS375" s="59">
        <v>0</v>
      </c>
      <c r="AT375" s="59">
        <v>0</v>
      </c>
      <c r="AU375" s="3">
        <f t="shared" si="2"/>
        <v>9.9882799999999996</v>
      </c>
    </row>
    <row r="376" spans="1:47" x14ac:dyDescent="0.25">
      <c r="A376" s="45">
        <v>2</v>
      </c>
      <c r="B376" s="45" t="s">
        <v>1</v>
      </c>
      <c r="C376" s="45">
        <v>29304</v>
      </c>
      <c r="D376" s="45">
        <v>88</v>
      </c>
      <c r="E376" s="45">
        <v>1</v>
      </c>
      <c r="F376" s="45">
        <v>16</v>
      </c>
      <c r="G376" s="72">
        <v>1978.97</v>
      </c>
      <c r="H376" s="49">
        <v>8.4778000000000002</v>
      </c>
      <c r="I376" s="47">
        <v>45421</v>
      </c>
      <c r="J376" s="74">
        <v>0.13186342592592593</v>
      </c>
      <c r="K376" s="45">
        <v>0</v>
      </c>
      <c r="L376" s="45">
        <v>0</v>
      </c>
      <c r="M376" s="45">
        <v>0</v>
      </c>
      <c r="N376" s="45">
        <v>0</v>
      </c>
      <c r="O376" s="45">
        <v>0</v>
      </c>
      <c r="P376" s="45">
        <v>0</v>
      </c>
      <c r="Q376" s="45">
        <v>0</v>
      </c>
      <c r="R376" s="45">
        <v>0</v>
      </c>
      <c r="S376" s="45">
        <v>0</v>
      </c>
      <c r="T376" s="45">
        <v>0</v>
      </c>
      <c r="U376" s="45">
        <v>0</v>
      </c>
      <c r="V376" s="45">
        <v>0</v>
      </c>
      <c r="W376" s="3">
        <f>W375</f>
        <v>7.6678400000000009</v>
      </c>
      <c r="Y376" s="59">
        <v>2</v>
      </c>
      <c r="Z376" s="59" t="s">
        <v>1</v>
      </c>
      <c r="AA376" s="59">
        <v>29036</v>
      </c>
      <c r="AB376" s="59">
        <v>68</v>
      </c>
      <c r="AC376" s="59">
        <v>2</v>
      </c>
      <c r="AD376" s="59">
        <v>8</v>
      </c>
      <c r="AE376" s="62">
        <v>1633.74</v>
      </c>
      <c r="AF376" s="69">
        <v>9.9901</v>
      </c>
      <c r="AG376" s="75">
        <v>45318</v>
      </c>
      <c r="AH376" s="76">
        <v>0.23792824074074073</v>
      </c>
      <c r="AI376" s="59">
        <v>0</v>
      </c>
      <c r="AJ376" s="59">
        <v>0</v>
      </c>
      <c r="AK376" s="59">
        <v>0</v>
      </c>
      <c r="AL376" s="59">
        <v>0</v>
      </c>
      <c r="AM376" s="59">
        <v>0</v>
      </c>
      <c r="AN376" s="59">
        <v>0</v>
      </c>
      <c r="AO376" s="59">
        <v>0</v>
      </c>
      <c r="AP376" s="59">
        <v>0</v>
      </c>
      <c r="AQ376" s="59">
        <v>0</v>
      </c>
      <c r="AR376" s="59">
        <v>0</v>
      </c>
      <c r="AS376" s="59">
        <v>0</v>
      </c>
      <c r="AT376" s="59">
        <v>0</v>
      </c>
      <c r="AU376" s="3">
        <f t="shared" si="2"/>
        <v>9.9882799999999996</v>
      </c>
    </row>
    <row r="377" spans="1:47" x14ac:dyDescent="0.25">
      <c r="A377" s="45">
        <v>3</v>
      </c>
      <c r="B377" s="45" t="s">
        <v>1</v>
      </c>
      <c r="C377" s="45">
        <v>29304</v>
      </c>
      <c r="D377" s="45">
        <v>88</v>
      </c>
      <c r="E377" s="45">
        <v>1</v>
      </c>
      <c r="F377" s="45">
        <v>16</v>
      </c>
      <c r="G377" s="72">
        <v>1977.69</v>
      </c>
      <c r="H377" s="49">
        <v>8.4832999999999998</v>
      </c>
      <c r="I377" s="47">
        <v>45421</v>
      </c>
      <c r="J377" s="74">
        <v>0.68069444444444449</v>
      </c>
      <c r="K377" s="45">
        <v>0</v>
      </c>
      <c r="L377" s="45">
        <v>0</v>
      </c>
      <c r="M377" s="45">
        <v>0</v>
      </c>
      <c r="N377" s="45">
        <v>0</v>
      </c>
      <c r="O377" s="45">
        <v>0</v>
      </c>
      <c r="P377" s="45">
        <v>0</v>
      </c>
      <c r="Q377" s="45">
        <v>0</v>
      </c>
      <c r="R377" s="45">
        <v>0</v>
      </c>
      <c r="S377" s="45">
        <v>0</v>
      </c>
      <c r="T377" s="45">
        <v>0</v>
      </c>
      <c r="U377" s="45">
        <v>0</v>
      </c>
      <c r="V377" s="45">
        <v>0</v>
      </c>
      <c r="W377" s="3">
        <f>W376</f>
        <v>7.6678400000000009</v>
      </c>
      <c r="Y377" s="59">
        <v>3</v>
      </c>
      <c r="Z377" s="59" t="s">
        <v>1</v>
      </c>
      <c r="AA377" s="59">
        <v>29036</v>
      </c>
      <c r="AB377" s="59">
        <v>68</v>
      </c>
      <c r="AC377" s="59">
        <v>2</v>
      </c>
      <c r="AD377" s="59">
        <v>8</v>
      </c>
      <c r="AE377" s="62">
        <v>1634</v>
      </c>
      <c r="AF377" s="69">
        <v>9.9885000000000002</v>
      </c>
      <c r="AG377" s="75">
        <v>45318</v>
      </c>
      <c r="AH377" s="76">
        <v>0.32028935185185187</v>
      </c>
      <c r="AI377" s="59">
        <v>0</v>
      </c>
      <c r="AJ377" s="59">
        <v>0</v>
      </c>
      <c r="AK377" s="59">
        <v>0</v>
      </c>
      <c r="AL377" s="59">
        <v>0</v>
      </c>
      <c r="AM377" s="59">
        <v>0</v>
      </c>
      <c r="AN377" s="59">
        <v>0</v>
      </c>
      <c r="AO377" s="59">
        <v>0</v>
      </c>
      <c r="AP377" s="59">
        <v>0</v>
      </c>
      <c r="AQ377" s="59">
        <v>0</v>
      </c>
      <c r="AR377" s="59">
        <v>0</v>
      </c>
      <c r="AS377" s="59">
        <v>0</v>
      </c>
      <c r="AT377" s="59">
        <v>0</v>
      </c>
      <c r="AU377" s="3">
        <f t="shared" si="2"/>
        <v>9.9882799999999996</v>
      </c>
    </row>
    <row r="378" spans="1:47" x14ac:dyDescent="0.25">
      <c r="A378" s="45">
        <v>4</v>
      </c>
      <c r="B378" s="45" t="s">
        <v>1</v>
      </c>
      <c r="C378" s="45">
        <v>29304</v>
      </c>
      <c r="D378" s="45">
        <v>88</v>
      </c>
      <c r="E378" s="45">
        <v>1</v>
      </c>
      <c r="F378" s="45">
        <v>16</v>
      </c>
      <c r="G378" s="72">
        <v>1977.71</v>
      </c>
      <c r="H378" s="49">
        <v>8.4832000000000001</v>
      </c>
      <c r="I378" s="47">
        <v>45422</v>
      </c>
      <c r="J378" s="74">
        <v>0.22957175925925927</v>
      </c>
      <c r="K378" s="45">
        <v>0</v>
      </c>
      <c r="L378" s="45">
        <v>0</v>
      </c>
      <c r="M378" s="45">
        <v>0</v>
      </c>
      <c r="N378" s="45">
        <v>0</v>
      </c>
      <c r="O378" s="45">
        <v>0</v>
      </c>
      <c r="P378" s="45">
        <v>0</v>
      </c>
      <c r="Q378" s="45">
        <v>0</v>
      </c>
      <c r="R378" s="45">
        <v>0</v>
      </c>
      <c r="S378" s="45">
        <v>0</v>
      </c>
      <c r="T378" s="45">
        <v>0</v>
      </c>
      <c r="U378" s="45">
        <v>0</v>
      </c>
      <c r="V378" s="45">
        <v>0</v>
      </c>
      <c r="W378" s="3">
        <f>W377</f>
        <v>7.6678400000000009</v>
      </c>
      <c r="Y378" s="59">
        <v>4</v>
      </c>
      <c r="Z378" s="59" t="s">
        <v>1</v>
      </c>
      <c r="AA378" s="59">
        <v>29036</v>
      </c>
      <c r="AB378" s="59">
        <v>68</v>
      </c>
      <c r="AC378" s="59">
        <v>2</v>
      </c>
      <c r="AD378" s="59">
        <v>8</v>
      </c>
      <c r="AE378" s="62">
        <v>1634.09</v>
      </c>
      <c r="AF378" s="69">
        <v>9.9878999999999998</v>
      </c>
      <c r="AG378" s="75">
        <v>45318</v>
      </c>
      <c r="AH378" s="76">
        <v>0.40262731481481479</v>
      </c>
      <c r="AI378" s="59">
        <v>0</v>
      </c>
      <c r="AJ378" s="59">
        <v>0</v>
      </c>
      <c r="AK378" s="59">
        <v>0</v>
      </c>
      <c r="AL378" s="59">
        <v>0</v>
      </c>
      <c r="AM378" s="59">
        <v>0</v>
      </c>
      <c r="AN378" s="59">
        <v>0</v>
      </c>
      <c r="AO378" s="59">
        <v>0</v>
      </c>
      <c r="AP378" s="59">
        <v>0</v>
      </c>
      <c r="AQ378" s="59">
        <v>0</v>
      </c>
      <c r="AR378" s="59">
        <v>0</v>
      </c>
      <c r="AS378" s="59">
        <v>0</v>
      </c>
      <c r="AT378" s="59">
        <v>0</v>
      </c>
      <c r="AU378" s="3">
        <f t="shared" si="2"/>
        <v>9.9882799999999996</v>
      </c>
    </row>
    <row r="379" spans="1:47" x14ac:dyDescent="0.25">
      <c r="A379" s="45">
        <v>0</v>
      </c>
      <c r="B379" s="45" t="s">
        <v>1</v>
      </c>
      <c r="C379" s="45">
        <v>29304</v>
      </c>
      <c r="D379" s="45">
        <v>88</v>
      </c>
      <c r="E379" s="45">
        <v>2</v>
      </c>
      <c r="F379" s="45">
        <v>8</v>
      </c>
      <c r="G379" s="72">
        <v>1910.26</v>
      </c>
      <c r="H379" s="49">
        <v>8.7827000000000002</v>
      </c>
      <c r="I379" s="47">
        <v>45420</v>
      </c>
      <c r="J379" s="74">
        <v>5.2974537037037035E-2</v>
      </c>
      <c r="K379" s="45">
        <v>0</v>
      </c>
      <c r="L379" s="45">
        <v>0</v>
      </c>
      <c r="M379" s="45">
        <v>0</v>
      </c>
      <c r="N379" s="45">
        <v>0</v>
      </c>
      <c r="O379" s="45">
        <v>0</v>
      </c>
      <c r="P379" s="45">
        <v>0</v>
      </c>
      <c r="Q379" s="45">
        <v>0</v>
      </c>
      <c r="R379" s="45">
        <v>0</v>
      </c>
      <c r="S379" s="45">
        <v>0</v>
      </c>
      <c r="T379" s="45">
        <v>0</v>
      </c>
      <c r="U379" s="45">
        <v>0</v>
      </c>
      <c r="V379" s="45">
        <v>0</v>
      </c>
      <c r="W379" s="3">
        <f>AVERAGE(H334:H338)</f>
        <v>8.1246599999999987</v>
      </c>
      <c r="Y379" s="59">
        <v>0</v>
      </c>
      <c r="Z379" s="59" t="s">
        <v>1</v>
      </c>
      <c r="AA379" s="59">
        <v>29016</v>
      </c>
      <c r="AB379" s="59">
        <v>72</v>
      </c>
      <c r="AC379" s="59">
        <v>2</v>
      </c>
      <c r="AD379" s="59">
        <v>8</v>
      </c>
      <c r="AE379" s="62">
        <v>1630.01</v>
      </c>
      <c r="AF379" s="69">
        <v>9.9923000000000002</v>
      </c>
      <c r="AG379" s="75">
        <v>45324</v>
      </c>
      <c r="AH379" s="76">
        <v>0.52003472222222225</v>
      </c>
      <c r="AI379" s="59">
        <v>0</v>
      </c>
      <c r="AJ379" s="59">
        <v>0</v>
      </c>
      <c r="AK379" s="59">
        <v>0</v>
      </c>
      <c r="AL379" s="59">
        <v>0</v>
      </c>
      <c r="AM379" s="59">
        <v>0</v>
      </c>
      <c r="AN379" s="59">
        <v>0</v>
      </c>
      <c r="AO379" s="59">
        <v>0</v>
      </c>
      <c r="AP379" s="59">
        <v>0</v>
      </c>
      <c r="AQ379" s="59">
        <v>0</v>
      </c>
      <c r="AR379" s="59">
        <v>0</v>
      </c>
      <c r="AS379" s="59">
        <v>0</v>
      </c>
      <c r="AT379" s="59">
        <v>0</v>
      </c>
      <c r="AU379" s="3">
        <f t="shared" si="1"/>
        <v>10.032860000000001</v>
      </c>
    </row>
    <row r="380" spans="1:47" x14ac:dyDescent="0.25">
      <c r="A380" s="45">
        <v>1</v>
      </c>
      <c r="B380" s="45" t="s">
        <v>1</v>
      </c>
      <c r="C380" s="45">
        <v>29304</v>
      </c>
      <c r="D380" s="45">
        <v>88</v>
      </c>
      <c r="E380" s="45">
        <v>2</v>
      </c>
      <c r="F380" s="45">
        <v>8</v>
      </c>
      <c r="G380" s="72">
        <v>1910.18</v>
      </c>
      <c r="H380" s="49">
        <v>8.7830999999999992</v>
      </c>
      <c r="I380" s="47">
        <v>45420</v>
      </c>
      <c r="J380" s="74">
        <v>0.60175925925925922</v>
      </c>
      <c r="K380" s="45">
        <v>0</v>
      </c>
      <c r="L380" s="45">
        <v>0</v>
      </c>
      <c r="M380" s="45">
        <v>0</v>
      </c>
      <c r="N380" s="45">
        <v>0</v>
      </c>
      <c r="O380" s="45">
        <v>0</v>
      </c>
      <c r="P380" s="45">
        <v>0</v>
      </c>
      <c r="Q380" s="45">
        <v>0</v>
      </c>
      <c r="R380" s="45">
        <v>0</v>
      </c>
      <c r="S380" s="45">
        <v>0</v>
      </c>
      <c r="T380" s="45">
        <v>0</v>
      </c>
      <c r="U380" s="45">
        <v>0</v>
      </c>
      <c r="V380" s="45">
        <v>0</v>
      </c>
      <c r="W380" s="3">
        <f>W379</f>
        <v>8.1246599999999987</v>
      </c>
      <c r="Y380" s="59">
        <v>1</v>
      </c>
      <c r="Z380" s="59" t="s">
        <v>1</v>
      </c>
      <c r="AA380" s="59">
        <v>29016</v>
      </c>
      <c r="AB380" s="59">
        <v>72</v>
      </c>
      <c r="AC380" s="59">
        <v>2</v>
      </c>
      <c r="AD380" s="59">
        <v>8</v>
      </c>
      <c r="AE380" s="62">
        <v>1621.89</v>
      </c>
      <c r="AF380" s="69">
        <v>10.042</v>
      </c>
      <c r="AG380" s="75">
        <v>45324</v>
      </c>
      <c r="AH380" s="76">
        <v>0.62305555555555558</v>
      </c>
      <c r="AI380" s="59">
        <v>0</v>
      </c>
      <c r="AJ380" s="59">
        <v>0</v>
      </c>
      <c r="AK380" s="59">
        <v>0</v>
      </c>
      <c r="AL380" s="59">
        <v>0</v>
      </c>
      <c r="AM380" s="59">
        <v>0</v>
      </c>
      <c r="AN380" s="59">
        <v>0</v>
      </c>
      <c r="AO380" s="59">
        <v>0</v>
      </c>
      <c r="AP380" s="59">
        <v>0</v>
      </c>
      <c r="AQ380" s="59">
        <v>0</v>
      </c>
      <c r="AR380" s="59">
        <v>0</v>
      </c>
      <c r="AS380" s="59">
        <v>0</v>
      </c>
      <c r="AT380" s="59">
        <v>0</v>
      </c>
      <c r="AU380" s="3">
        <f t="shared" si="2"/>
        <v>10.032860000000001</v>
      </c>
    </row>
    <row r="381" spans="1:47" x14ac:dyDescent="0.25">
      <c r="A381" s="45">
        <v>2</v>
      </c>
      <c r="B381" s="45" t="s">
        <v>1</v>
      </c>
      <c r="C381" s="45">
        <v>29304</v>
      </c>
      <c r="D381" s="45">
        <v>88</v>
      </c>
      <c r="E381" s="45">
        <v>2</v>
      </c>
      <c r="F381" s="45">
        <v>8</v>
      </c>
      <c r="G381" s="72">
        <v>1908.93</v>
      </c>
      <c r="H381" s="49">
        <v>8.7888000000000002</v>
      </c>
      <c r="I381" s="47">
        <v>45421</v>
      </c>
      <c r="J381" s="74">
        <v>0.15435185185185185</v>
      </c>
      <c r="K381" s="45">
        <v>0</v>
      </c>
      <c r="L381" s="45">
        <v>0</v>
      </c>
      <c r="M381" s="45">
        <v>0</v>
      </c>
      <c r="N381" s="45">
        <v>0</v>
      </c>
      <c r="O381" s="45">
        <v>0</v>
      </c>
      <c r="P381" s="45">
        <v>0</v>
      </c>
      <c r="Q381" s="45">
        <v>0</v>
      </c>
      <c r="R381" s="45">
        <v>0</v>
      </c>
      <c r="S381" s="45">
        <v>0</v>
      </c>
      <c r="T381" s="45">
        <v>0</v>
      </c>
      <c r="U381" s="45">
        <v>0</v>
      </c>
      <c r="V381" s="45">
        <v>0</v>
      </c>
      <c r="W381" s="3">
        <f>W380</f>
        <v>8.1246599999999987</v>
      </c>
      <c r="Y381" s="59">
        <v>2</v>
      </c>
      <c r="Z381" s="59" t="s">
        <v>1</v>
      </c>
      <c r="AA381" s="59">
        <v>29016</v>
      </c>
      <c r="AB381" s="59">
        <v>72</v>
      </c>
      <c r="AC381" s="59">
        <v>2</v>
      </c>
      <c r="AD381" s="59">
        <v>8</v>
      </c>
      <c r="AE381" s="62">
        <v>1622.13</v>
      </c>
      <c r="AF381" s="69">
        <v>10.041</v>
      </c>
      <c r="AG381" s="75">
        <v>45324</v>
      </c>
      <c r="AH381" s="76">
        <v>0.72600694444444447</v>
      </c>
      <c r="AI381" s="59">
        <v>0</v>
      </c>
      <c r="AJ381" s="59">
        <v>0</v>
      </c>
      <c r="AK381" s="59">
        <v>0</v>
      </c>
      <c r="AL381" s="59">
        <v>0</v>
      </c>
      <c r="AM381" s="59">
        <v>0</v>
      </c>
      <c r="AN381" s="59">
        <v>0</v>
      </c>
      <c r="AO381" s="59">
        <v>0</v>
      </c>
      <c r="AP381" s="59">
        <v>0</v>
      </c>
      <c r="AQ381" s="59">
        <v>0</v>
      </c>
      <c r="AR381" s="59">
        <v>0</v>
      </c>
      <c r="AS381" s="59">
        <v>0</v>
      </c>
      <c r="AT381" s="59">
        <v>0</v>
      </c>
      <c r="AU381" s="3">
        <f t="shared" si="2"/>
        <v>10.032860000000001</v>
      </c>
    </row>
    <row r="382" spans="1:47" x14ac:dyDescent="0.25">
      <c r="A382" s="45">
        <v>3</v>
      </c>
      <c r="B382" s="45" t="s">
        <v>1</v>
      </c>
      <c r="C382" s="45">
        <v>29304</v>
      </c>
      <c r="D382" s="45">
        <v>88</v>
      </c>
      <c r="E382" s="45">
        <v>2</v>
      </c>
      <c r="F382" s="45">
        <v>8</v>
      </c>
      <c r="G382" s="72">
        <v>1908.8</v>
      </c>
      <c r="H382" s="49">
        <v>8.7895000000000003</v>
      </c>
      <c r="I382" s="47">
        <v>45421</v>
      </c>
      <c r="J382" s="74">
        <v>0.70317129629629627</v>
      </c>
      <c r="K382" s="45">
        <v>0</v>
      </c>
      <c r="L382" s="45">
        <v>0</v>
      </c>
      <c r="M382" s="45">
        <v>0</v>
      </c>
      <c r="N382" s="45">
        <v>0</v>
      </c>
      <c r="O382" s="45">
        <v>0</v>
      </c>
      <c r="P382" s="45">
        <v>0</v>
      </c>
      <c r="Q382" s="45">
        <v>0</v>
      </c>
      <c r="R382" s="45">
        <v>0</v>
      </c>
      <c r="S382" s="45">
        <v>0</v>
      </c>
      <c r="T382" s="45">
        <v>0</v>
      </c>
      <c r="U382" s="45">
        <v>0</v>
      </c>
      <c r="V382" s="45">
        <v>0</v>
      </c>
      <c r="W382" s="3">
        <f>W381</f>
        <v>8.1246599999999987</v>
      </c>
      <c r="Y382" s="59">
        <v>3</v>
      </c>
      <c r="Z382" s="59" t="s">
        <v>1</v>
      </c>
      <c r="AA382" s="59">
        <v>29016</v>
      </c>
      <c r="AB382" s="59">
        <v>72</v>
      </c>
      <c r="AC382" s="59">
        <v>2</v>
      </c>
      <c r="AD382" s="59">
        <v>8</v>
      </c>
      <c r="AE382" s="62">
        <v>1621.69</v>
      </c>
      <c r="AF382" s="69">
        <v>10.044</v>
      </c>
      <c r="AG382" s="75">
        <v>45324</v>
      </c>
      <c r="AH382" s="76">
        <v>0.82896990740740739</v>
      </c>
      <c r="AI382" s="59">
        <v>0</v>
      </c>
      <c r="AJ382" s="59">
        <v>0</v>
      </c>
      <c r="AK382" s="59">
        <v>0</v>
      </c>
      <c r="AL382" s="59">
        <v>0</v>
      </c>
      <c r="AM382" s="59">
        <v>0</v>
      </c>
      <c r="AN382" s="59">
        <v>0</v>
      </c>
      <c r="AO382" s="59">
        <v>0</v>
      </c>
      <c r="AP382" s="59">
        <v>0</v>
      </c>
      <c r="AQ382" s="59">
        <v>0</v>
      </c>
      <c r="AR382" s="59">
        <v>0</v>
      </c>
      <c r="AS382" s="59">
        <v>0</v>
      </c>
      <c r="AT382" s="59">
        <v>0</v>
      </c>
      <c r="AU382" s="3">
        <f t="shared" si="2"/>
        <v>10.032860000000001</v>
      </c>
    </row>
    <row r="383" spans="1:47" x14ac:dyDescent="0.25">
      <c r="A383" s="45">
        <v>4</v>
      </c>
      <c r="B383" s="45" t="s">
        <v>1</v>
      </c>
      <c r="C383" s="45">
        <v>29304</v>
      </c>
      <c r="D383" s="45">
        <v>88</v>
      </c>
      <c r="E383" s="45">
        <v>2</v>
      </c>
      <c r="F383" s="45">
        <v>8</v>
      </c>
      <c r="G383" s="72">
        <v>1909.62</v>
      </c>
      <c r="H383" s="49">
        <v>8.7857000000000003</v>
      </c>
      <c r="I383" s="47">
        <v>45422</v>
      </c>
      <c r="J383" s="74">
        <v>0.25206018518518519</v>
      </c>
      <c r="K383" s="45">
        <v>0</v>
      </c>
      <c r="L383" s="45">
        <v>0</v>
      </c>
      <c r="M383" s="45">
        <v>0</v>
      </c>
      <c r="N383" s="45">
        <v>0</v>
      </c>
      <c r="O383" s="45">
        <v>0</v>
      </c>
      <c r="P383" s="45">
        <v>0</v>
      </c>
      <c r="Q383" s="45">
        <v>0</v>
      </c>
      <c r="R383" s="45">
        <v>0</v>
      </c>
      <c r="S383" s="45">
        <v>0</v>
      </c>
      <c r="T383" s="45">
        <v>0</v>
      </c>
      <c r="U383" s="45">
        <v>0</v>
      </c>
      <c r="V383" s="45">
        <v>0</v>
      </c>
      <c r="W383" s="3">
        <f>W382</f>
        <v>8.1246599999999987</v>
      </c>
      <c r="Y383" s="59">
        <v>4</v>
      </c>
      <c r="Z383" s="59" t="s">
        <v>1</v>
      </c>
      <c r="AA383" s="59">
        <v>29016</v>
      </c>
      <c r="AB383" s="59">
        <v>72</v>
      </c>
      <c r="AC383" s="59">
        <v>2</v>
      </c>
      <c r="AD383" s="59">
        <v>8</v>
      </c>
      <c r="AE383" s="62">
        <v>1621.41</v>
      </c>
      <c r="AF383" s="69">
        <v>10.045</v>
      </c>
      <c r="AG383" s="75">
        <v>45324</v>
      </c>
      <c r="AH383" s="76">
        <v>0.9318749999999999</v>
      </c>
      <c r="AI383" s="59">
        <v>0</v>
      </c>
      <c r="AJ383" s="59">
        <v>0</v>
      </c>
      <c r="AK383" s="59">
        <v>0</v>
      </c>
      <c r="AL383" s="59">
        <v>0</v>
      </c>
      <c r="AM383" s="59">
        <v>0</v>
      </c>
      <c r="AN383" s="59">
        <v>0</v>
      </c>
      <c r="AO383" s="59">
        <v>0</v>
      </c>
      <c r="AP383" s="59">
        <v>0</v>
      </c>
      <c r="AQ383" s="59">
        <v>0</v>
      </c>
      <c r="AR383" s="59">
        <v>0</v>
      </c>
      <c r="AS383" s="59">
        <v>0</v>
      </c>
      <c r="AT383" s="59">
        <v>0</v>
      </c>
      <c r="AU383" s="3">
        <f t="shared" si="2"/>
        <v>10.032860000000001</v>
      </c>
    </row>
    <row r="384" spans="1:47" x14ac:dyDescent="0.25">
      <c r="A384" s="45">
        <v>0</v>
      </c>
      <c r="B384" s="45" t="s">
        <v>1</v>
      </c>
      <c r="C384" s="45">
        <v>29040</v>
      </c>
      <c r="D384" s="45">
        <v>88</v>
      </c>
      <c r="E384" s="45">
        <v>4</v>
      </c>
      <c r="F384" s="45">
        <v>4</v>
      </c>
      <c r="G384" s="72">
        <v>1814.47</v>
      </c>
      <c r="H384" s="49">
        <v>8.9986999999999995</v>
      </c>
      <c r="I384" s="47">
        <v>45318</v>
      </c>
      <c r="J384" s="74">
        <v>5.9282407407407402E-2</v>
      </c>
      <c r="K384" s="45">
        <v>0</v>
      </c>
      <c r="L384" s="45">
        <v>0</v>
      </c>
      <c r="M384" s="45">
        <v>0</v>
      </c>
      <c r="N384" s="45">
        <v>0</v>
      </c>
      <c r="O384" s="45">
        <v>0</v>
      </c>
      <c r="P384" s="45">
        <v>0</v>
      </c>
      <c r="Q384" s="45">
        <v>0</v>
      </c>
      <c r="R384" s="45">
        <v>0</v>
      </c>
      <c r="S384" s="45">
        <v>0</v>
      </c>
      <c r="T384" s="45">
        <v>0</v>
      </c>
      <c r="U384" s="45">
        <v>0</v>
      </c>
      <c r="V384" s="45">
        <v>0</v>
      </c>
      <c r="W384" s="3">
        <f>AVERAGE(H339:H343)</f>
        <v>8.1418199999999992</v>
      </c>
      <c r="Y384" s="59">
        <v>0</v>
      </c>
      <c r="Z384" s="59" t="s">
        <v>1</v>
      </c>
      <c r="AA384" s="59">
        <v>29032</v>
      </c>
      <c r="AB384" s="59">
        <v>76</v>
      </c>
      <c r="AC384" s="59">
        <v>2</v>
      </c>
      <c r="AD384" s="59">
        <v>8</v>
      </c>
      <c r="AE384" s="62">
        <v>1631.86</v>
      </c>
      <c r="AF384" s="69">
        <v>9.9975000000000005</v>
      </c>
      <c r="AG384" s="75">
        <v>45318</v>
      </c>
      <c r="AH384" s="76">
        <v>9.3796296296296308E-2</v>
      </c>
      <c r="AI384" s="59">
        <v>0</v>
      </c>
      <c r="AJ384" s="59">
        <v>0</v>
      </c>
      <c r="AK384" s="59">
        <v>0</v>
      </c>
      <c r="AL384" s="59">
        <v>0</v>
      </c>
      <c r="AM384" s="59">
        <v>0</v>
      </c>
      <c r="AN384" s="59">
        <v>0</v>
      </c>
      <c r="AO384" s="59">
        <v>0</v>
      </c>
      <c r="AP384" s="59">
        <v>0</v>
      </c>
      <c r="AQ384" s="59">
        <v>0</v>
      </c>
      <c r="AR384" s="59">
        <v>0</v>
      </c>
      <c r="AS384" s="59">
        <v>0</v>
      </c>
      <c r="AT384" s="59">
        <v>0</v>
      </c>
      <c r="AU384" s="3">
        <f t="shared" si="1"/>
        <v>9.9887800000000002</v>
      </c>
    </row>
    <row r="385" spans="1:47" x14ac:dyDescent="0.25">
      <c r="A385" s="45">
        <v>1</v>
      </c>
      <c r="B385" s="45" t="s">
        <v>1</v>
      </c>
      <c r="C385" s="45">
        <v>29040</v>
      </c>
      <c r="D385" s="45">
        <v>88</v>
      </c>
      <c r="E385" s="45">
        <v>4</v>
      </c>
      <c r="F385" s="45">
        <v>4</v>
      </c>
      <c r="G385" s="72">
        <v>1814.29</v>
      </c>
      <c r="H385" s="49">
        <v>8.9995999999999992</v>
      </c>
      <c r="I385" s="47">
        <v>45318</v>
      </c>
      <c r="J385" s="74">
        <v>0.12366898148148148</v>
      </c>
      <c r="K385" s="45">
        <v>0</v>
      </c>
      <c r="L385" s="45">
        <v>0</v>
      </c>
      <c r="M385" s="45">
        <v>0</v>
      </c>
      <c r="N385" s="45">
        <v>0</v>
      </c>
      <c r="O385" s="45">
        <v>0</v>
      </c>
      <c r="P385" s="45">
        <v>0</v>
      </c>
      <c r="Q385" s="45">
        <v>0</v>
      </c>
      <c r="R385" s="45">
        <v>0</v>
      </c>
      <c r="S385" s="45">
        <v>0</v>
      </c>
      <c r="T385" s="45">
        <v>0</v>
      </c>
      <c r="U385" s="45">
        <v>0</v>
      </c>
      <c r="V385" s="45">
        <v>0</v>
      </c>
      <c r="W385" s="3">
        <f>W384</f>
        <v>8.1418199999999992</v>
      </c>
      <c r="Y385" s="59">
        <v>1</v>
      </c>
      <c r="Z385" s="59" t="s">
        <v>1</v>
      </c>
      <c r="AA385" s="59">
        <v>29032</v>
      </c>
      <c r="AB385" s="59">
        <v>76</v>
      </c>
      <c r="AC385" s="59">
        <v>2</v>
      </c>
      <c r="AD385" s="59">
        <v>8</v>
      </c>
      <c r="AE385" s="62">
        <v>1633.37</v>
      </c>
      <c r="AF385" s="69">
        <v>9.9882000000000009</v>
      </c>
      <c r="AG385" s="75">
        <v>45318</v>
      </c>
      <c r="AH385" s="76">
        <v>0.17613425925925927</v>
      </c>
      <c r="AI385" s="59">
        <v>0</v>
      </c>
      <c r="AJ385" s="59">
        <v>0</v>
      </c>
      <c r="AK385" s="59">
        <v>0</v>
      </c>
      <c r="AL385" s="59">
        <v>0</v>
      </c>
      <c r="AM385" s="59">
        <v>0</v>
      </c>
      <c r="AN385" s="59">
        <v>0</v>
      </c>
      <c r="AO385" s="59">
        <v>0</v>
      </c>
      <c r="AP385" s="59">
        <v>0</v>
      </c>
      <c r="AQ385" s="59">
        <v>0</v>
      </c>
      <c r="AR385" s="59">
        <v>0</v>
      </c>
      <c r="AS385" s="59">
        <v>0</v>
      </c>
      <c r="AT385" s="59">
        <v>0</v>
      </c>
      <c r="AU385" s="3">
        <f t="shared" si="2"/>
        <v>9.9887800000000002</v>
      </c>
    </row>
    <row r="386" spans="1:47" x14ac:dyDescent="0.25">
      <c r="A386" s="45">
        <v>2</v>
      </c>
      <c r="B386" s="45" t="s">
        <v>1</v>
      </c>
      <c r="C386" s="45">
        <v>29040</v>
      </c>
      <c r="D386" s="45">
        <v>88</v>
      </c>
      <c r="E386" s="45">
        <v>4</v>
      </c>
      <c r="F386" s="45">
        <v>4</v>
      </c>
      <c r="G386" s="72">
        <v>1815.07</v>
      </c>
      <c r="H386" s="49">
        <v>8.9957999999999991</v>
      </c>
      <c r="I386" s="47">
        <v>45318</v>
      </c>
      <c r="J386" s="74">
        <v>0.18806712962962965</v>
      </c>
      <c r="K386" s="45">
        <v>0</v>
      </c>
      <c r="L386" s="45">
        <v>0</v>
      </c>
      <c r="M386" s="45">
        <v>0</v>
      </c>
      <c r="N386" s="45">
        <v>0</v>
      </c>
      <c r="O386" s="45">
        <v>0</v>
      </c>
      <c r="P386" s="45">
        <v>0</v>
      </c>
      <c r="Q386" s="45">
        <v>0</v>
      </c>
      <c r="R386" s="45">
        <v>0</v>
      </c>
      <c r="S386" s="45">
        <v>0</v>
      </c>
      <c r="T386" s="45">
        <v>0</v>
      </c>
      <c r="U386" s="45">
        <v>0</v>
      </c>
      <c r="V386" s="45">
        <v>0</v>
      </c>
      <c r="W386" s="3">
        <f>W385</f>
        <v>8.1418199999999992</v>
      </c>
      <c r="Y386" s="59">
        <v>2</v>
      </c>
      <c r="Z386" s="59" t="s">
        <v>1</v>
      </c>
      <c r="AA386" s="59">
        <v>29032</v>
      </c>
      <c r="AB386" s="59">
        <v>76</v>
      </c>
      <c r="AC386" s="59">
        <v>2</v>
      </c>
      <c r="AD386" s="59">
        <v>8</v>
      </c>
      <c r="AE386" s="62">
        <v>1634.9</v>
      </c>
      <c r="AF386" s="69">
        <v>9.9788999999999994</v>
      </c>
      <c r="AG386" s="75">
        <v>45318</v>
      </c>
      <c r="AH386" s="76">
        <v>0.25851851851851854</v>
      </c>
      <c r="AI386" s="59">
        <v>0</v>
      </c>
      <c r="AJ386" s="59">
        <v>0</v>
      </c>
      <c r="AK386" s="59">
        <v>0</v>
      </c>
      <c r="AL386" s="59">
        <v>0</v>
      </c>
      <c r="AM386" s="59">
        <v>0</v>
      </c>
      <c r="AN386" s="59">
        <v>0</v>
      </c>
      <c r="AO386" s="59">
        <v>0</v>
      </c>
      <c r="AP386" s="59">
        <v>0</v>
      </c>
      <c r="AQ386" s="59">
        <v>0</v>
      </c>
      <c r="AR386" s="59">
        <v>0</v>
      </c>
      <c r="AS386" s="59">
        <v>0</v>
      </c>
      <c r="AT386" s="59">
        <v>0</v>
      </c>
      <c r="AU386" s="3">
        <f t="shared" si="2"/>
        <v>9.9887800000000002</v>
      </c>
    </row>
    <row r="387" spans="1:47" x14ac:dyDescent="0.25">
      <c r="A387" s="45">
        <v>3</v>
      </c>
      <c r="B387" s="45" t="s">
        <v>1</v>
      </c>
      <c r="C387" s="45">
        <v>29040</v>
      </c>
      <c r="D387" s="45">
        <v>88</v>
      </c>
      <c r="E387" s="45">
        <v>4</v>
      </c>
      <c r="F387" s="45">
        <v>4</v>
      </c>
      <c r="G387" s="72">
        <v>1815.26</v>
      </c>
      <c r="H387" s="49">
        <v>8.9947999999999997</v>
      </c>
      <c r="I387" s="47">
        <v>45318</v>
      </c>
      <c r="J387" s="74">
        <v>0.25247685185185187</v>
      </c>
      <c r="K387" s="45">
        <v>0</v>
      </c>
      <c r="L387" s="45">
        <v>0</v>
      </c>
      <c r="M387" s="45">
        <v>0</v>
      </c>
      <c r="N387" s="45">
        <v>0</v>
      </c>
      <c r="O387" s="45">
        <v>0</v>
      </c>
      <c r="P387" s="45">
        <v>0</v>
      </c>
      <c r="Q387" s="45">
        <v>0</v>
      </c>
      <c r="R387" s="45">
        <v>0</v>
      </c>
      <c r="S387" s="45">
        <v>0</v>
      </c>
      <c r="T387" s="45">
        <v>0</v>
      </c>
      <c r="U387" s="45">
        <v>0</v>
      </c>
      <c r="V387" s="45">
        <v>0</v>
      </c>
      <c r="W387" s="3">
        <f>W386</f>
        <v>8.1418199999999992</v>
      </c>
      <c r="Y387" s="59">
        <v>3</v>
      </c>
      <c r="Z387" s="59" t="s">
        <v>1</v>
      </c>
      <c r="AA387" s="59">
        <v>29032</v>
      </c>
      <c r="AB387" s="59">
        <v>76</v>
      </c>
      <c r="AC387" s="59">
        <v>2</v>
      </c>
      <c r="AD387" s="59">
        <v>8</v>
      </c>
      <c r="AE387" s="62">
        <v>1632.2</v>
      </c>
      <c r="AF387" s="69">
        <v>9.9954000000000001</v>
      </c>
      <c r="AG387" s="75">
        <v>45318</v>
      </c>
      <c r="AH387" s="76">
        <v>0.34084490740740742</v>
      </c>
      <c r="AI387" s="59">
        <v>0</v>
      </c>
      <c r="AJ387" s="59">
        <v>0</v>
      </c>
      <c r="AK387" s="59">
        <v>0</v>
      </c>
      <c r="AL387" s="59">
        <v>0</v>
      </c>
      <c r="AM387" s="59">
        <v>0</v>
      </c>
      <c r="AN387" s="59">
        <v>0</v>
      </c>
      <c r="AO387" s="59">
        <v>0</v>
      </c>
      <c r="AP387" s="59">
        <v>0</v>
      </c>
      <c r="AQ387" s="59">
        <v>0</v>
      </c>
      <c r="AR387" s="59">
        <v>0</v>
      </c>
      <c r="AS387" s="59">
        <v>0</v>
      </c>
      <c r="AT387" s="59">
        <v>0</v>
      </c>
      <c r="AU387" s="3">
        <f t="shared" si="2"/>
        <v>9.9887800000000002</v>
      </c>
    </row>
    <row r="388" spans="1:47" x14ac:dyDescent="0.25">
      <c r="A388" s="45">
        <v>4</v>
      </c>
      <c r="B388" s="45" t="s">
        <v>1</v>
      </c>
      <c r="C388" s="45">
        <v>29040</v>
      </c>
      <c r="D388" s="45">
        <v>88</v>
      </c>
      <c r="E388" s="45">
        <v>4</v>
      </c>
      <c r="F388" s="45">
        <v>4</v>
      </c>
      <c r="G388" s="72">
        <v>1814.45</v>
      </c>
      <c r="H388" s="49">
        <v>8.9989000000000008</v>
      </c>
      <c r="I388" s="47">
        <v>45318</v>
      </c>
      <c r="J388" s="74">
        <v>0.31688657407407406</v>
      </c>
      <c r="K388" s="45">
        <v>0</v>
      </c>
      <c r="L388" s="45">
        <v>0</v>
      </c>
      <c r="M388" s="45">
        <v>0</v>
      </c>
      <c r="N388" s="45">
        <v>0</v>
      </c>
      <c r="O388" s="45">
        <v>0</v>
      </c>
      <c r="P388" s="45">
        <v>0</v>
      </c>
      <c r="Q388" s="45">
        <v>0</v>
      </c>
      <c r="R388" s="45">
        <v>0</v>
      </c>
      <c r="S388" s="45">
        <v>0</v>
      </c>
      <c r="T388" s="45">
        <v>0</v>
      </c>
      <c r="U388" s="45">
        <v>0</v>
      </c>
      <c r="V388" s="45">
        <v>0</v>
      </c>
      <c r="W388" s="3">
        <f>W387</f>
        <v>8.1418199999999992</v>
      </c>
      <c r="Y388" s="59">
        <v>4</v>
      </c>
      <c r="Z388" s="59" t="s">
        <v>1</v>
      </c>
      <c r="AA388" s="59">
        <v>29032</v>
      </c>
      <c r="AB388" s="59">
        <v>76</v>
      </c>
      <c r="AC388" s="59">
        <v>2</v>
      </c>
      <c r="AD388" s="59">
        <v>8</v>
      </c>
      <c r="AE388" s="62">
        <v>1634.09</v>
      </c>
      <c r="AF388" s="69">
        <v>9.9839000000000002</v>
      </c>
      <c r="AG388" s="75">
        <v>45318</v>
      </c>
      <c r="AH388" s="76">
        <v>0.42319444444444443</v>
      </c>
      <c r="AI388" s="59">
        <v>0</v>
      </c>
      <c r="AJ388" s="59">
        <v>0</v>
      </c>
      <c r="AK388" s="59">
        <v>0</v>
      </c>
      <c r="AL388" s="59">
        <v>0</v>
      </c>
      <c r="AM388" s="59">
        <v>0</v>
      </c>
      <c r="AN388" s="59">
        <v>0</v>
      </c>
      <c r="AO388" s="59">
        <v>0</v>
      </c>
      <c r="AP388" s="59">
        <v>0</v>
      </c>
      <c r="AQ388" s="59">
        <v>0</v>
      </c>
      <c r="AR388" s="59">
        <v>0</v>
      </c>
      <c r="AS388" s="59">
        <v>0</v>
      </c>
      <c r="AT388" s="59">
        <v>0</v>
      </c>
      <c r="AU388" s="3">
        <f t="shared" si="2"/>
        <v>9.9887800000000002</v>
      </c>
    </row>
    <row r="389" spans="1:47" x14ac:dyDescent="0.25">
      <c r="A389" s="45">
        <v>0</v>
      </c>
      <c r="B389" s="45" t="s">
        <v>1</v>
      </c>
      <c r="C389" s="45">
        <v>29304</v>
      </c>
      <c r="D389" s="45">
        <v>88</v>
      </c>
      <c r="E389" s="45">
        <v>4</v>
      </c>
      <c r="F389" s="45">
        <v>4</v>
      </c>
      <c r="G389" s="72">
        <v>1859.16</v>
      </c>
      <c r="H389" s="49">
        <v>9.0241000000000007</v>
      </c>
      <c r="I389" s="47">
        <v>45420</v>
      </c>
      <c r="J389" s="74">
        <v>7.4884259259259262E-2</v>
      </c>
      <c r="K389" s="45">
        <v>0</v>
      </c>
      <c r="L389" s="45">
        <v>0</v>
      </c>
      <c r="M389" s="45">
        <v>0</v>
      </c>
      <c r="N389" s="45">
        <v>0</v>
      </c>
      <c r="O389" s="45">
        <v>0</v>
      </c>
      <c r="P389" s="45">
        <v>0</v>
      </c>
      <c r="Q389" s="45">
        <v>0</v>
      </c>
      <c r="R389" s="45">
        <v>0</v>
      </c>
      <c r="S389" s="45">
        <v>0</v>
      </c>
      <c r="T389" s="45">
        <v>0</v>
      </c>
      <c r="U389" s="45">
        <v>0</v>
      </c>
      <c r="V389" s="45">
        <v>0</v>
      </c>
      <c r="W389" s="3">
        <f>AVERAGE(H344:H348)</f>
        <v>8.2957199999999993</v>
      </c>
      <c r="Y389" s="59">
        <v>0</v>
      </c>
      <c r="Z389" s="59" t="s">
        <v>1</v>
      </c>
      <c r="AA389" s="59">
        <v>29040</v>
      </c>
      <c r="AB389" s="59">
        <v>80</v>
      </c>
      <c r="AC389" s="59">
        <v>2</v>
      </c>
      <c r="AD389" s="59">
        <v>8</v>
      </c>
      <c r="AE389" s="62">
        <v>1628.95</v>
      </c>
      <c r="AF389" s="69">
        <v>10.023999999999999</v>
      </c>
      <c r="AG389" s="75">
        <v>45324</v>
      </c>
      <c r="AH389" s="76">
        <v>0.54056712962962961</v>
      </c>
      <c r="AI389" s="59">
        <v>0</v>
      </c>
      <c r="AJ389" s="59">
        <v>0</v>
      </c>
      <c r="AK389" s="59">
        <v>0</v>
      </c>
      <c r="AL389" s="59">
        <v>0</v>
      </c>
      <c r="AM389" s="59">
        <v>0</v>
      </c>
      <c r="AN389" s="59">
        <v>0</v>
      </c>
      <c r="AO389" s="59">
        <v>0</v>
      </c>
      <c r="AP389" s="59">
        <v>0</v>
      </c>
      <c r="AQ389" s="59">
        <v>0</v>
      </c>
      <c r="AR389" s="59">
        <v>0</v>
      </c>
      <c r="AS389" s="59">
        <v>0</v>
      </c>
      <c r="AT389" s="59">
        <v>0</v>
      </c>
      <c r="AU389" s="3">
        <f t="shared" si="1"/>
        <v>10.032399999999999</v>
      </c>
    </row>
    <row r="390" spans="1:47" x14ac:dyDescent="0.25">
      <c r="A390" s="45">
        <v>1</v>
      </c>
      <c r="B390" s="45" t="s">
        <v>1</v>
      </c>
      <c r="C390" s="45">
        <v>29304</v>
      </c>
      <c r="D390" s="45">
        <v>88</v>
      </c>
      <c r="E390" s="45">
        <v>4</v>
      </c>
      <c r="F390" s="45">
        <v>4</v>
      </c>
      <c r="G390" s="72">
        <v>1861.45</v>
      </c>
      <c r="H390" s="49">
        <v>9.0130999999999997</v>
      </c>
      <c r="I390" s="47">
        <v>45420</v>
      </c>
      <c r="J390" s="74">
        <v>0.62368055555555557</v>
      </c>
      <c r="K390" s="45">
        <v>0</v>
      </c>
      <c r="L390" s="45">
        <v>0</v>
      </c>
      <c r="M390" s="45">
        <v>0</v>
      </c>
      <c r="N390" s="45">
        <v>0</v>
      </c>
      <c r="O390" s="45">
        <v>0</v>
      </c>
      <c r="P390" s="45">
        <v>0</v>
      </c>
      <c r="Q390" s="45">
        <v>0</v>
      </c>
      <c r="R390" s="45">
        <v>0</v>
      </c>
      <c r="S390" s="45">
        <v>0</v>
      </c>
      <c r="T390" s="45">
        <v>0</v>
      </c>
      <c r="U390" s="45">
        <v>0</v>
      </c>
      <c r="V390" s="45">
        <v>0</v>
      </c>
      <c r="W390" s="3">
        <f>W389</f>
        <v>8.2957199999999993</v>
      </c>
      <c r="Y390" s="59">
        <v>1</v>
      </c>
      <c r="Z390" s="59" t="s">
        <v>1</v>
      </c>
      <c r="AA390" s="59">
        <v>29040</v>
      </c>
      <c r="AB390" s="59">
        <v>80</v>
      </c>
      <c r="AC390" s="59">
        <v>2</v>
      </c>
      <c r="AD390" s="59">
        <v>8</v>
      </c>
      <c r="AE390" s="62">
        <v>1626.69</v>
      </c>
      <c r="AF390" s="69">
        <v>10.038</v>
      </c>
      <c r="AG390" s="75">
        <v>45324</v>
      </c>
      <c r="AH390" s="76">
        <v>0.64356481481481487</v>
      </c>
      <c r="AI390" s="59">
        <v>0</v>
      </c>
      <c r="AJ390" s="59">
        <v>0</v>
      </c>
      <c r="AK390" s="59">
        <v>0</v>
      </c>
      <c r="AL390" s="59">
        <v>0</v>
      </c>
      <c r="AM390" s="59">
        <v>0</v>
      </c>
      <c r="AN390" s="59">
        <v>0</v>
      </c>
      <c r="AO390" s="59">
        <v>0</v>
      </c>
      <c r="AP390" s="59">
        <v>0</v>
      </c>
      <c r="AQ390" s="59">
        <v>0</v>
      </c>
      <c r="AR390" s="59">
        <v>0</v>
      </c>
      <c r="AS390" s="59">
        <v>0</v>
      </c>
      <c r="AT390" s="59">
        <v>0</v>
      </c>
      <c r="AU390" s="3">
        <f t="shared" si="2"/>
        <v>10.032399999999999</v>
      </c>
    </row>
    <row r="391" spans="1:47" x14ac:dyDescent="0.25">
      <c r="A391" s="45">
        <v>2</v>
      </c>
      <c r="B391" s="45" t="s">
        <v>1</v>
      </c>
      <c r="C391" s="45">
        <v>29304</v>
      </c>
      <c r="D391" s="45">
        <v>88</v>
      </c>
      <c r="E391" s="45">
        <v>4</v>
      </c>
      <c r="F391" s="45">
        <v>4</v>
      </c>
      <c r="G391" s="72">
        <v>1859.93</v>
      </c>
      <c r="H391" s="49">
        <v>9.0204000000000004</v>
      </c>
      <c r="I391" s="47">
        <v>45421</v>
      </c>
      <c r="J391" s="74">
        <v>0.17626157407407408</v>
      </c>
      <c r="K391" s="45">
        <v>0</v>
      </c>
      <c r="L391" s="45">
        <v>0</v>
      </c>
      <c r="M391" s="45">
        <v>0</v>
      </c>
      <c r="N391" s="45">
        <v>0</v>
      </c>
      <c r="O391" s="45">
        <v>0</v>
      </c>
      <c r="P391" s="45">
        <v>0</v>
      </c>
      <c r="Q391" s="45">
        <v>0</v>
      </c>
      <c r="R391" s="45">
        <v>0</v>
      </c>
      <c r="S391" s="45">
        <v>0</v>
      </c>
      <c r="T391" s="45">
        <v>0</v>
      </c>
      <c r="U391" s="45">
        <v>0</v>
      </c>
      <c r="V391" s="45">
        <v>0</v>
      </c>
      <c r="W391" s="3">
        <f>W390</f>
        <v>8.2957199999999993</v>
      </c>
      <c r="Y391" s="59">
        <v>2</v>
      </c>
      <c r="Z391" s="59" t="s">
        <v>1</v>
      </c>
      <c r="AA391" s="59">
        <v>29040</v>
      </c>
      <c r="AB391" s="59">
        <v>80</v>
      </c>
      <c r="AC391" s="59">
        <v>2</v>
      </c>
      <c r="AD391" s="59">
        <v>8</v>
      </c>
      <c r="AE391" s="62">
        <v>1627.93</v>
      </c>
      <c r="AF391" s="69">
        <v>10.029999999999999</v>
      </c>
      <c r="AG391" s="75">
        <v>45324</v>
      </c>
      <c r="AH391" s="76">
        <v>0.74652777777777779</v>
      </c>
      <c r="AI391" s="59">
        <v>0</v>
      </c>
      <c r="AJ391" s="59">
        <v>0</v>
      </c>
      <c r="AK391" s="59">
        <v>0</v>
      </c>
      <c r="AL391" s="59">
        <v>0</v>
      </c>
      <c r="AM391" s="59">
        <v>0</v>
      </c>
      <c r="AN391" s="59">
        <v>0</v>
      </c>
      <c r="AO391" s="59">
        <v>0</v>
      </c>
      <c r="AP391" s="59">
        <v>0</v>
      </c>
      <c r="AQ391" s="59">
        <v>0</v>
      </c>
      <c r="AR391" s="59">
        <v>0</v>
      </c>
      <c r="AS391" s="59">
        <v>0</v>
      </c>
      <c r="AT391" s="59">
        <v>0</v>
      </c>
      <c r="AU391" s="3">
        <f t="shared" si="2"/>
        <v>10.032399999999999</v>
      </c>
    </row>
    <row r="392" spans="1:47" x14ac:dyDescent="0.25">
      <c r="A392" s="45">
        <v>3</v>
      </c>
      <c r="B392" s="45" t="s">
        <v>1</v>
      </c>
      <c r="C392" s="45">
        <v>29304</v>
      </c>
      <c r="D392" s="45">
        <v>88</v>
      </c>
      <c r="E392" s="45">
        <v>4</v>
      </c>
      <c r="F392" s="45">
        <v>4</v>
      </c>
      <c r="G392" s="72">
        <v>1859.07</v>
      </c>
      <c r="H392" s="49">
        <v>9.0245999999999995</v>
      </c>
      <c r="I392" s="47">
        <v>45421</v>
      </c>
      <c r="J392" s="74">
        <v>0.72506944444444443</v>
      </c>
      <c r="K392" s="45">
        <v>0</v>
      </c>
      <c r="L392" s="45">
        <v>0</v>
      </c>
      <c r="M392" s="45">
        <v>0</v>
      </c>
      <c r="N392" s="45">
        <v>0</v>
      </c>
      <c r="O392" s="45">
        <v>0</v>
      </c>
      <c r="P392" s="45">
        <v>0</v>
      </c>
      <c r="Q392" s="45">
        <v>0</v>
      </c>
      <c r="R392" s="45">
        <v>0</v>
      </c>
      <c r="S392" s="45">
        <v>0</v>
      </c>
      <c r="T392" s="45">
        <v>0</v>
      </c>
      <c r="U392" s="45">
        <v>0</v>
      </c>
      <c r="V392" s="45">
        <v>0</v>
      </c>
      <c r="W392" s="3">
        <f>W391</f>
        <v>8.2957199999999993</v>
      </c>
      <c r="Y392" s="59">
        <v>3</v>
      </c>
      <c r="Z392" s="59" t="s">
        <v>1</v>
      </c>
      <c r="AA392" s="59">
        <v>29040</v>
      </c>
      <c r="AB392" s="59">
        <v>80</v>
      </c>
      <c r="AC392" s="59">
        <v>2</v>
      </c>
      <c r="AD392" s="59">
        <v>8</v>
      </c>
      <c r="AE392" s="62">
        <v>1626.41</v>
      </c>
      <c r="AF392" s="69">
        <v>10.039</v>
      </c>
      <c r="AG392" s="75">
        <v>45324</v>
      </c>
      <c r="AH392" s="76">
        <v>0.84947916666666667</v>
      </c>
      <c r="AI392" s="59">
        <v>0</v>
      </c>
      <c r="AJ392" s="59">
        <v>0</v>
      </c>
      <c r="AK392" s="59">
        <v>0</v>
      </c>
      <c r="AL392" s="59">
        <v>0</v>
      </c>
      <c r="AM392" s="59">
        <v>0</v>
      </c>
      <c r="AN392" s="59">
        <v>0</v>
      </c>
      <c r="AO392" s="59">
        <v>0</v>
      </c>
      <c r="AP392" s="59">
        <v>0</v>
      </c>
      <c r="AQ392" s="59">
        <v>0</v>
      </c>
      <c r="AR392" s="59">
        <v>0</v>
      </c>
      <c r="AS392" s="59">
        <v>0</v>
      </c>
      <c r="AT392" s="59">
        <v>0</v>
      </c>
      <c r="AU392" s="3">
        <f t="shared" si="2"/>
        <v>10.032399999999999</v>
      </c>
    </row>
    <row r="393" spans="1:47" x14ac:dyDescent="0.25">
      <c r="A393" s="45">
        <v>4</v>
      </c>
      <c r="B393" s="45" t="s">
        <v>1</v>
      </c>
      <c r="C393" s="45">
        <v>29304</v>
      </c>
      <c r="D393" s="45">
        <v>88</v>
      </c>
      <c r="E393" s="45">
        <v>4</v>
      </c>
      <c r="F393" s="45">
        <v>4</v>
      </c>
      <c r="G393" s="72">
        <v>1859.21</v>
      </c>
      <c r="H393" s="49">
        <v>9.0238999999999994</v>
      </c>
      <c r="I393" s="47">
        <v>45422</v>
      </c>
      <c r="J393" s="74">
        <v>0.2739699074074074</v>
      </c>
      <c r="K393" s="45">
        <v>0</v>
      </c>
      <c r="L393" s="45">
        <v>0</v>
      </c>
      <c r="M393" s="45">
        <v>0</v>
      </c>
      <c r="N393" s="45">
        <v>0</v>
      </c>
      <c r="O393" s="45">
        <v>0</v>
      </c>
      <c r="P393" s="45">
        <v>0</v>
      </c>
      <c r="Q393" s="45">
        <v>0</v>
      </c>
      <c r="R393" s="45">
        <v>0</v>
      </c>
      <c r="S393" s="45">
        <v>0</v>
      </c>
      <c r="T393" s="45">
        <v>0</v>
      </c>
      <c r="U393" s="45">
        <v>0</v>
      </c>
      <c r="V393" s="45">
        <v>0</v>
      </c>
      <c r="W393" s="3">
        <f>W392</f>
        <v>8.2957199999999993</v>
      </c>
      <c r="Y393" s="59">
        <v>4</v>
      </c>
      <c r="Z393" s="59" t="s">
        <v>1</v>
      </c>
      <c r="AA393" s="59">
        <v>29040</v>
      </c>
      <c r="AB393" s="59">
        <v>80</v>
      </c>
      <c r="AC393" s="59">
        <v>2</v>
      </c>
      <c r="AD393" s="59">
        <v>8</v>
      </c>
      <c r="AE393" s="62">
        <v>1627.7</v>
      </c>
      <c r="AF393" s="69">
        <v>10.031000000000001</v>
      </c>
      <c r="AG393" s="75">
        <v>45324</v>
      </c>
      <c r="AH393" s="76">
        <v>0.95239583333333344</v>
      </c>
      <c r="AI393" s="59">
        <v>0</v>
      </c>
      <c r="AJ393" s="59">
        <v>0</v>
      </c>
      <c r="AK393" s="59">
        <v>0</v>
      </c>
      <c r="AL393" s="59">
        <v>0</v>
      </c>
      <c r="AM393" s="59">
        <v>0</v>
      </c>
      <c r="AN393" s="59">
        <v>0</v>
      </c>
      <c r="AO393" s="59">
        <v>0</v>
      </c>
      <c r="AP393" s="59">
        <v>0</v>
      </c>
      <c r="AQ393" s="59">
        <v>0</v>
      </c>
      <c r="AR393" s="59">
        <v>0</v>
      </c>
      <c r="AS393" s="59">
        <v>0</v>
      </c>
      <c r="AT393" s="59">
        <v>0</v>
      </c>
      <c r="AU393" s="3">
        <f t="shared" si="2"/>
        <v>10.032399999999999</v>
      </c>
    </row>
    <row r="394" spans="1:47" x14ac:dyDescent="0.25">
      <c r="A394" s="45">
        <v>0</v>
      </c>
      <c r="B394" s="45" t="s">
        <v>1</v>
      </c>
      <c r="C394" s="45">
        <v>29224</v>
      </c>
      <c r="D394" s="45">
        <v>104</v>
      </c>
      <c r="E394" s="45">
        <v>1</v>
      </c>
      <c r="F394" s="45">
        <v>16</v>
      </c>
      <c r="G394" s="72">
        <v>1977.9</v>
      </c>
      <c r="H394" s="49">
        <v>8.4131</v>
      </c>
      <c r="I394" s="47">
        <v>45420</v>
      </c>
      <c r="J394" s="74">
        <v>9.8171296296296298E-2</v>
      </c>
      <c r="K394" s="45">
        <v>0</v>
      </c>
      <c r="L394" s="45">
        <v>0</v>
      </c>
      <c r="M394" s="45">
        <v>0</v>
      </c>
      <c r="N394" s="45">
        <v>0</v>
      </c>
      <c r="O394" s="45">
        <v>0</v>
      </c>
      <c r="P394" s="45">
        <v>0</v>
      </c>
      <c r="Q394" s="45">
        <v>0</v>
      </c>
      <c r="R394" s="45">
        <v>0</v>
      </c>
      <c r="S394" s="45">
        <v>0</v>
      </c>
      <c r="T394" s="45">
        <v>0</v>
      </c>
      <c r="U394" s="45">
        <v>0</v>
      </c>
      <c r="V394" s="45">
        <v>0</v>
      </c>
      <c r="W394" s="3">
        <f>AVERAGE(H349:H353)</f>
        <v>8.3034999999999997</v>
      </c>
      <c r="Y394" s="59">
        <v>0</v>
      </c>
      <c r="Z394" s="59" t="s">
        <v>1</v>
      </c>
      <c r="AA394" s="59">
        <v>29040</v>
      </c>
      <c r="AB394" s="59">
        <v>88</v>
      </c>
      <c r="AC394" s="59">
        <v>2</v>
      </c>
      <c r="AD394" s="59">
        <v>8</v>
      </c>
      <c r="AE394" s="62">
        <v>1633.82</v>
      </c>
      <c r="AF394" s="69">
        <v>9.9937000000000005</v>
      </c>
      <c r="AG394" s="75">
        <v>45324</v>
      </c>
      <c r="AH394" s="76">
        <v>0.56115740740740738</v>
      </c>
      <c r="AI394" s="59">
        <v>0</v>
      </c>
      <c r="AJ394" s="59">
        <v>0</v>
      </c>
      <c r="AK394" s="59">
        <v>0</v>
      </c>
      <c r="AL394" s="59">
        <v>0</v>
      </c>
      <c r="AM394" s="59">
        <v>0</v>
      </c>
      <c r="AN394" s="59">
        <v>0</v>
      </c>
      <c r="AO394" s="59">
        <v>0</v>
      </c>
      <c r="AP394" s="59">
        <v>0</v>
      </c>
      <c r="AQ394" s="59">
        <v>0</v>
      </c>
      <c r="AR394" s="59">
        <v>0</v>
      </c>
      <c r="AS394" s="59">
        <v>0</v>
      </c>
      <c r="AT394" s="59">
        <v>0</v>
      </c>
      <c r="AU394" s="3">
        <f t="shared" si="1"/>
        <v>10.007480000000001</v>
      </c>
    </row>
    <row r="395" spans="1:47" x14ac:dyDescent="0.25">
      <c r="A395" s="45">
        <v>1</v>
      </c>
      <c r="B395" s="45" t="s">
        <v>1</v>
      </c>
      <c r="C395" s="45">
        <v>29224</v>
      </c>
      <c r="D395" s="45">
        <v>104</v>
      </c>
      <c r="E395" s="45">
        <v>1</v>
      </c>
      <c r="F395" s="45">
        <v>16</v>
      </c>
      <c r="G395" s="72">
        <v>1978.43</v>
      </c>
      <c r="H395" s="49">
        <v>8.4108999999999998</v>
      </c>
      <c r="I395" s="47">
        <v>45420</v>
      </c>
      <c r="J395" s="74">
        <v>0.64697916666666666</v>
      </c>
      <c r="K395" s="45">
        <v>0</v>
      </c>
      <c r="L395" s="45">
        <v>0</v>
      </c>
      <c r="M395" s="45">
        <v>0</v>
      </c>
      <c r="N395" s="45">
        <v>0</v>
      </c>
      <c r="O395" s="45">
        <v>0</v>
      </c>
      <c r="P395" s="45">
        <v>0</v>
      </c>
      <c r="Q395" s="45">
        <v>0</v>
      </c>
      <c r="R395" s="45">
        <v>0</v>
      </c>
      <c r="S395" s="45">
        <v>0</v>
      </c>
      <c r="T395" s="45">
        <v>0</v>
      </c>
      <c r="U395" s="45">
        <v>0</v>
      </c>
      <c r="V395" s="45">
        <v>0</v>
      </c>
      <c r="W395" s="3">
        <f>W394</f>
        <v>8.3034999999999997</v>
      </c>
      <c r="Y395" s="59">
        <v>1</v>
      </c>
      <c r="Z395" s="59" t="s">
        <v>1</v>
      </c>
      <c r="AA395" s="59">
        <v>29040</v>
      </c>
      <c r="AB395" s="59">
        <v>88</v>
      </c>
      <c r="AC395" s="59">
        <v>2</v>
      </c>
      <c r="AD395" s="59">
        <v>8</v>
      </c>
      <c r="AE395" s="62">
        <v>1633.83</v>
      </c>
      <c r="AF395" s="69">
        <v>9.9937000000000005</v>
      </c>
      <c r="AG395" s="75">
        <v>45324</v>
      </c>
      <c r="AH395" s="76">
        <v>0.66415509259259264</v>
      </c>
      <c r="AI395" s="59">
        <v>0</v>
      </c>
      <c r="AJ395" s="59">
        <v>0</v>
      </c>
      <c r="AK395" s="59">
        <v>0</v>
      </c>
      <c r="AL395" s="59">
        <v>0</v>
      </c>
      <c r="AM395" s="59">
        <v>0</v>
      </c>
      <c r="AN395" s="59">
        <v>0</v>
      </c>
      <c r="AO395" s="59">
        <v>0</v>
      </c>
      <c r="AP395" s="59">
        <v>0</v>
      </c>
      <c r="AQ395" s="59">
        <v>0</v>
      </c>
      <c r="AR395" s="59">
        <v>0</v>
      </c>
      <c r="AS395" s="59">
        <v>0</v>
      </c>
      <c r="AT395" s="59">
        <v>0</v>
      </c>
      <c r="AU395" s="3">
        <f t="shared" si="2"/>
        <v>10.007480000000001</v>
      </c>
    </row>
    <row r="396" spans="1:47" x14ac:dyDescent="0.25">
      <c r="A396" s="45">
        <v>2</v>
      </c>
      <c r="B396" s="45" t="s">
        <v>1</v>
      </c>
      <c r="C396" s="45">
        <v>29224</v>
      </c>
      <c r="D396" s="45">
        <v>104</v>
      </c>
      <c r="E396" s="45">
        <v>1</v>
      </c>
      <c r="F396" s="45">
        <v>16</v>
      </c>
      <c r="G396" s="72">
        <v>1977.41</v>
      </c>
      <c r="H396" s="49">
        <v>8.4152000000000005</v>
      </c>
      <c r="I396" s="47">
        <v>45421</v>
      </c>
      <c r="J396" s="74">
        <v>0.19953703703703704</v>
      </c>
      <c r="K396" s="45">
        <v>0</v>
      </c>
      <c r="L396" s="45">
        <v>0</v>
      </c>
      <c r="M396" s="45">
        <v>0</v>
      </c>
      <c r="N396" s="45">
        <v>0</v>
      </c>
      <c r="O396" s="45">
        <v>0</v>
      </c>
      <c r="P396" s="45">
        <v>0</v>
      </c>
      <c r="Q396" s="45">
        <v>0</v>
      </c>
      <c r="R396" s="45">
        <v>0</v>
      </c>
      <c r="S396" s="45">
        <v>0</v>
      </c>
      <c r="T396" s="45">
        <v>0</v>
      </c>
      <c r="U396" s="45">
        <v>0</v>
      </c>
      <c r="V396" s="45">
        <v>0</v>
      </c>
      <c r="W396" s="3">
        <f>W395</f>
        <v>8.3034999999999997</v>
      </c>
      <c r="Y396" s="59">
        <v>2</v>
      </c>
      <c r="Z396" s="59" t="s">
        <v>1</v>
      </c>
      <c r="AA396" s="59">
        <v>29040</v>
      </c>
      <c r="AB396" s="59">
        <v>88</v>
      </c>
      <c r="AC396" s="59">
        <v>2</v>
      </c>
      <c r="AD396" s="59">
        <v>8</v>
      </c>
      <c r="AE396" s="62">
        <v>1629.79</v>
      </c>
      <c r="AF396" s="69">
        <v>10.018000000000001</v>
      </c>
      <c r="AG396" s="75">
        <v>45324</v>
      </c>
      <c r="AH396" s="76">
        <v>0.76708333333333334</v>
      </c>
      <c r="AI396" s="59">
        <v>0</v>
      </c>
      <c r="AJ396" s="59">
        <v>0</v>
      </c>
      <c r="AK396" s="59">
        <v>0</v>
      </c>
      <c r="AL396" s="59">
        <v>0</v>
      </c>
      <c r="AM396" s="59">
        <v>0</v>
      </c>
      <c r="AN396" s="59">
        <v>0</v>
      </c>
      <c r="AO396" s="59">
        <v>0</v>
      </c>
      <c r="AP396" s="59">
        <v>0</v>
      </c>
      <c r="AQ396" s="59">
        <v>0</v>
      </c>
      <c r="AR396" s="59">
        <v>0</v>
      </c>
      <c r="AS396" s="59">
        <v>0</v>
      </c>
      <c r="AT396" s="59">
        <v>0</v>
      </c>
      <c r="AU396" s="3">
        <f t="shared" si="2"/>
        <v>10.007480000000001</v>
      </c>
    </row>
    <row r="397" spans="1:47" x14ac:dyDescent="0.25">
      <c r="A397" s="45">
        <v>3</v>
      </c>
      <c r="B397" s="45" t="s">
        <v>1</v>
      </c>
      <c r="C397" s="45">
        <v>29224</v>
      </c>
      <c r="D397" s="45">
        <v>104</v>
      </c>
      <c r="E397" s="45">
        <v>1</v>
      </c>
      <c r="F397" s="45">
        <v>16</v>
      </c>
      <c r="G397" s="72">
        <v>1978.45</v>
      </c>
      <c r="H397" s="49">
        <v>8.4108000000000001</v>
      </c>
      <c r="I397" s="47">
        <v>45421</v>
      </c>
      <c r="J397" s="74">
        <v>0.74836805555555552</v>
      </c>
      <c r="K397" s="45">
        <v>0</v>
      </c>
      <c r="L397" s="45">
        <v>0</v>
      </c>
      <c r="M397" s="45">
        <v>0</v>
      </c>
      <c r="N397" s="45">
        <v>0</v>
      </c>
      <c r="O397" s="45">
        <v>0</v>
      </c>
      <c r="P397" s="45">
        <v>0</v>
      </c>
      <c r="Q397" s="45">
        <v>0</v>
      </c>
      <c r="R397" s="45">
        <v>0</v>
      </c>
      <c r="S397" s="45">
        <v>0</v>
      </c>
      <c r="T397" s="45">
        <v>0</v>
      </c>
      <c r="U397" s="45">
        <v>0</v>
      </c>
      <c r="V397" s="45">
        <v>0</v>
      </c>
      <c r="W397" s="3">
        <f>W396</f>
        <v>8.3034999999999997</v>
      </c>
      <c r="Y397" s="59">
        <v>3</v>
      </c>
      <c r="Z397" s="59" t="s">
        <v>1</v>
      </c>
      <c r="AA397" s="59">
        <v>29040</v>
      </c>
      <c r="AB397" s="59">
        <v>88</v>
      </c>
      <c r="AC397" s="59">
        <v>2</v>
      </c>
      <c r="AD397" s="59">
        <v>8</v>
      </c>
      <c r="AE397" s="62">
        <v>1630.27</v>
      </c>
      <c r="AF397" s="69">
        <v>10.015000000000001</v>
      </c>
      <c r="AG397" s="75">
        <v>45324</v>
      </c>
      <c r="AH397" s="76">
        <v>0.87002314814814818</v>
      </c>
      <c r="AI397" s="59">
        <v>0</v>
      </c>
      <c r="AJ397" s="59">
        <v>0</v>
      </c>
      <c r="AK397" s="59">
        <v>0</v>
      </c>
      <c r="AL397" s="59">
        <v>0</v>
      </c>
      <c r="AM397" s="59">
        <v>0</v>
      </c>
      <c r="AN397" s="59">
        <v>0</v>
      </c>
      <c r="AO397" s="59">
        <v>0</v>
      </c>
      <c r="AP397" s="59">
        <v>0</v>
      </c>
      <c r="AQ397" s="59">
        <v>0</v>
      </c>
      <c r="AR397" s="59">
        <v>0</v>
      </c>
      <c r="AS397" s="59">
        <v>0</v>
      </c>
      <c r="AT397" s="59">
        <v>0</v>
      </c>
      <c r="AU397" s="3">
        <f t="shared" si="2"/>
        <v>10.007480000000001</v>
      </c>
    </row>
    <row r="398" spans="1:47" x14ac:dyDescent="0.25">
      <c r="A398" s="45">
        <v>4</v>
      </c>
      <c r="B398" s="45" t="s">
        <v>1</v>
      </c>
      <c r="C398" s="45">
        <v>29224</v>
      </c>
      <c r="D398" s="45">
        <v>104</v>
      </c>
      <c r="E398" s="45">
        <v>1</v>
      </c>
      <c r="F398" s="45">
        <v>16</v>
      </c>
      <c r="G398" s="72">
        <v>1978.58</v>
      </c>
      <c r="H398" s="49">
        <v>8.4101999999999997</v>
      </c>
      <c r="I398" s="47">
        <v>45422</v>
      </c>
      <c r="J398" s="74">
        <v>0.29729166666666668</v>
      </c>
      <c r="K398" s="45">
        <v>0</v>
      </c>
      <c r="L398" s="45">
        <v>0</v>
      </c>
      <c r="M398" s="45">
        <v>0</v>
      </c>
      <c r="N398" s="45">
        <v>0</v>
      </c>
      <c r="O398" s="45">
        <v>0</v>
      </c>
      <c r="P398" s="45">
        <v>0</v>
      </c>
      <c r="Q398" s="45">
        <v>0</v>
      </c>
      <c r="R398" s="45">
        <v>0</v>
      </c>
      <c r="S398" s="45">
        <v>0</v>
      </c>
      <c r="T398" s="45">
        <v>0</v>
      </c>
      <c r="U398" s="45">
        <v>0</v>
      </c>
      <c r="V398" s="45">
        <v>0</v>
      </c>
      <c r="W398" s="3">
        <f>W397</f>
        <v>8.3034999999999997</v>
      </c>
      <c r="Y398" s="59">
        <v>4</v>
      </c>
      <c r="Z398" s="59" t="s">
        <v>1</v>
      </c>
      <c r="AA398" s="59">
        <v>29040</v>
      </c>
      <c r="AB398" s="59">
        <v>88</v>
      </c>
      <c r="AC398" s="59">
        <v>2</v>
      </c>
      <c r="AD398" s="59">
        <v>8</v>
      </c>
      <c r="AE398" s="62">
        <v>1630.11</v>
      </c>
      <c r="AF398" s="69">
        <v>10.016999999999999</v>
      </c>
      <c r="AG398" s="75">
        <v>45324</v>
      </c>
      <c r="AH398" s="76">
        <v>0.97293981481481484</v>
      </c>
      <c r="AI398" s="59">
        <v>0</v>
      </c>
      <c r="AJ398" s="59">
        <v>0</v>
      </c>
      <c r="AK398" s="59">
        <v>0</v>
      </c>
      <c r="AL398" s="59">
        <v>0</v>
      </c>
      <c r="AM398" s="59">
        <v>0</v>
      </c>
      <c r="AN398" s="59">
        <v>0</v>
      </c>
      <c r="AO398" s="59">
        <v>0</v>
      </c>
      <c r="AP398" s="59">
        <v>0</v>
      </c>
      <c r="AQ398" s="59">
        <v>0</v>
      </c>
      <c r="AR398" s="59">
        <v>0</v>
      </c>
      <c r="AS398" s="59">
        <v>0</v>
      </c>
      <c r="AT398" s="59">
        <v>0</v>
      </c>
      <c r="AU398" s="3">
        <f t="shared" si="2"/>
        <v>10.007480000000001</v>
      </c>
    </row>
    <row r="399" spans="1:47" x14ac:dyDescent="0.25">
      <c r="A399" s="45">
        <v>0</v>
      </c>
      <c r="B399" s="45" t="s">
        <v>1</v>
      </c>
      <c r="C399" s="45">
        <v>29224</v>
      </c>
      <c r="D399" s="45">
        <v>104</v>
      </c>
      <c r="E399" s="45">
        <v>2</v>
      </c>
      <c r="F399" s="45">
        <v>8</v>
      </c>
      <c r="G399" s="72">
        <v>1898.21</v>
      </c>
      <c r="H399" s="49">
        <v>8.7662999999999993</v>
      </c>
      <c r="I399" s="47">
        <v>45420</v>
      </c>
      <c r="J399" s="74">
        <v>0.12053240740740741</v>
      </c>
      <c r="K399" s="45">
        <v>0</v>
      </c>
      <c r="L399" s="45">
        <v>0</v>
      </c>
      <c r="M399" s="45">
        <v>0</v>
      </c>
      <c r="N399" s="45">
        <v>0</v>
      </c>
      <c r="O399" s="45">
        <v>0</v>
      </c>
      <c r="P399" s="45">
        <v>0</v>
      </c>
      <c r="Q399" s="45">
        <v>0</v>
      </c>
      <c r="R399" s="45">
        <v>0</v>
      </c>
      <c r="S399" s="45">
        <v>0</v>
      </c>
      <c r="T399" s="45">
        <v>0</v>
      </c>
      <c r="U399" s="45">
        <v>0</v>
      </c>
      <c r="V399" s="45">
        <v>0</v>
      </c>
      <c r="W399" s="3">
        <f>AVERAGE(H354:H358)</f>
        <v>8.3779999999999983</v>
      </c>
      <c r="Y399" s="59">
        <v>0</v>
      </c>
      <c r="Z399" s="59" t="s">
        <v>1</v>
      </c>
      <c r="AA399" s="59">
        <v>29016</v>
      </c>
      <c r="AB399" s="59">
        <v>104</v>
      </c>
      <c r="AC399" s="59">
        <v>2</v>
      </c>
      <c r="AD399" s="59">
        <v>8</v>
      </c>
      <c r="AE399" s="62">
        <v>1645.11</v>
      </c>
      <c r="AF399" s="69">
        <v>9.9006000000000007</v>
      </c>
      <c r="AG399" s="75">
        <v>45324</v>
      </c>
      <c r="AH399" s="76">
        <v>0.58186342592592599</v>
      </c>
      <c r="AI399" s="59">
        <v>0</v>
      </c>
      <c r="AJ399" s="59">
        <v>0</v>
      </c>
      <c r="AK399" s="59">
        <v>0</v>
      </c>
      <c r="AL399" s="59">
        <v>0</v>
      </c>
      <c r="AM399" s="59">
        <v>0</v>
      </c>
      <c r="AN399" s="59">
        <v>0</v>
      </c>
      <c r="AO399" s="59">
        <v>0</v>
      </c>
      <c r="AP399" s="59">
        <v>0</v>
      </c>
      <c r="AQ399" s="59">
        <v>0</v>
      </c>
      <c r="AR399" s="59">
        <v>0</v>
      </c>
      <c r="AS399" s="59">
        <v>0</v>
      </c>
      <c r="AT399" s="59">
        <v>0</v>
      </c>
      <c r="AU399" s="3">
        <f t="shared" si="1"/>
        <v>9.9265399999999993</v>
      </c>
    </row>
    <row r="400" spans="1:47" x14ac:dyDescent="0.25">
      <c r="A400" s="45">
        <v>1</v>
      </c>
      <c r="B400" s="45" t="s">
        <v>1</v>
      </c>
      <c r="C400" s="45">
        <v>29224</v>
      </c>
      <c r="D400" s="45">
        <v>104</v>
      </c>
      <c r="E400" s="45">
        <v>2</v>
      </c>
      <c r="F400" s="45">
        <v>8</v>
      </c>
      <c r="G400" s="72">
        <v>1900.96</v>
      </c>
      <c r="H400" s="49">
        <v>8.7536000000000005</v>
      </c>
      <c r="I400" s="47">
        <v>45420</v>
      </c>
      <c r="J400" s="74">
        <v>0.66937500000000005</v>
      </c>
      <c r="K400" s="45">
        <v>0</v>
      </c>
      <c r="L400" s="45">
        <v>0</v>
      </c>
      <c r="M400" s="45">
        <v>0</v>
      </c>
      <c r="N400" s="45">
        <v>0</v>
      </c>
      <c r="O400" s="45">
        <v>0</v>
      </c>
      <c r="P400" s="45">
        <v>0</v>
      </c>
      <c r="Q400" s="45">
        <v>0</v>
      </c>
      <c r="R400" s="45">
        <v>0</v>
      </c>
      <c r="S400" s="45">
        <v>0</v>
      </c>
      <c r="T400" s="45">
        <v>0</v>
      </c>
      <c r="U400" s="45">
        <v>0</v>
      </c>
      <c r="V400" s="45">
        <v>0</v>
      </c>
      <c r="W400" s="3">
        <f>W399</f>
        <v>8.3779999999999983</v>
      </c>
      <c r="Y400" s="59">
        <v>1</v>
      </c>
      <c r="Z400" s="59" t="s">
        <v>1</v>
      </c>
      <c r="AA400" s="59">
        <v>29016</v>
      </c>
      <c r="AB400" s="59">
        <v>104</v>
      </c>
      <c r="AC400" s="59">
        <v>2</v>
      </c>
      <c r="AD400" s="59">
        <v>8</v>
      </c>
      <c r="AE400" s="62">
        <v>1638.92</v>
      </c>
      <c r="AF400" s="69">
        <v>9.9380000000000006</v>
      </c>
      <c r="AG400" s="75">
        <v>45324</v>
      </c>
      <c r="AH400" s="76">
        <v>0.68478009259259265</v>
      </c>
      <c r="AI400" s="59">
        <v>0</v>
      </c>
      <c r="AJ400" s="59">
        <v>0</v>
      </c>
      <c r="AK400" s="59">
        <v>0</v>
      </c>
      <c r="AL400" s="59">
        <v>0</v>
      </c>
      <c r="AM400" s="59">
        <v>0</v>
      </c>
      <c r="AN400" s="59">
        <v>0</v>
      </c>
      <c r="AO400" s="59">
        <v>0</v>
      </c>
      <c r="AP400" s="59">
        <v>0</v>
      </c>
      <c r="AQ400" s="59">
        <v>0</v>
      </c>
      <c r="AR400" s="59">
        <v>0</v>
      </c>
      <c r="AS400" s="59">
        <v>0</v>
      </c>
      <c r="AT400" s="59">
        <v>0</v>
      </c>
      <c r="AU400" s="3">
        <f t="shared" si="2"/>
        <v>9.9265399999999993</v>
      </c>
    </row>
    <row r="401" spans="1:47" x14ac:dyDescent="0.25">
      <c r="A401" s="45">
        <v>2</v>
      </c>
      <c r="B401" s="45" t="s">
        <v>1</v>
      </c>
      <c r="C401" s="45">
        <v>29224</v>
      </c>
      <c r="D401" s="45">
        <v>104</v>
      </c>
      <c r="E401" s="45">
        <v>2</v>
      </c>
      <c r="F401" s="45">
        <v>8</v>
      </c>
      <c r="G401" s="72">
        <v>1899.4</v>
      </c>
      <c r="H401" s="49">
        <v>8.7607999999999997</v>
      </c>
      <c r="I401" s="47">
        <v>45421</v>
      </c>
      <c r="J401" s="74">
        <v>0.22192129629629628</v>
      </c>
      <c r="K401" s="45">
        <v>0</v>
      </c>
      <c r="L401" s="45">
        <v>0</v>
      </c>
      <c r="M401" s="45">
        <v>0</v>
      </c>
      <c r="N401" s="45">
        <v>0</v>
      </c>
      <c r="O401" s="45">
        <v>0</v>
      </c>
      <c r="P401" s="45">
        <v>0</v>
      </c>
      <c r="Q401" s="45">
        <v>0</v>
      </c>
      <c r="R401" s="45">
        <v>0</v>
      </c>
      <c r="S401" s="45">
        <v>0</v>
      </c>
      <c r="T401" s="45">
        <v>0</v>
      </c>
      <c r="U401" s="45">
        <v>0</v>
      </c>
      <c r="V401" s="45">
        <v>0</v>
      </c>
      <c r="W401" s="3">
        <f>W400</f>
        <v>8.3779999999999983</v>
      </c>
      <c r="Y401" s="59">
        <v>2</v>
      </c>
      <c r="Z401" s="59" t="s">
        <v>1</v>
      </c>
      <c r="AA401" s="59">
        <v>29016</v>
      </c>
      <c r="AB401" s="59">
        <v>104</v>
      </c>
      <c r="AC401" s="59">
        <v>2</v>
      </c>
      <c r="AD401" s="59">
        <v>8</v>
      </c>
      <c r="AE401" s="62">
        <v>1640.99</v>
      </c>
      <c r="AF401" s="69">
        <v>9.9253999999999998</v>
      </c>
      <c r="AG401" s="75">
        <v>45324</v>
      </c>
      <c r="AH401" s="76">
        <v>0.78773148148148142</v>
      </c>
      <c r="AI401" s="59">
        <v>0</v>
      </c>
      <c r="AJ401" s="59">
        <v>0</v>
      </c>
      <c r="AK401" s="59">
        <v>0</v>
      </c>
      <c r="AL401" s="59">
        <v>0</v>
      </c>
      <c r="AM401" s="59">
        <v>0</v>
      </c>
      <c r="AN401" s="59">
        <v>0</v>
      </c>
      <c r="AO401" s="59">
        <v>0</v>
      </c>
      <c r="AP401" s="59">
        <v>0</v>
      </c>
      <c r="AQ401" s="59">
        <v>0</v>
      </c>
      <c r="AR401" s="59">
        <v>0</v>
      </c>
      <c r="AS401" s="59">
        <v>0</v>
      </c>
      <c r="AT401" s="59">
        <v>0</v>
      </c>
      <c r="AU401" s="3">
        <f t="shared" si="2"/>
        <v>9.9265399999999993</v>
      </c>
    </row>
    <row r="402" spans="1:47" x14ac:dyDescent="0.25">
      <c r="A402" s="45">
        <v>3</v>
      </c>
      <c r="B402" s="45" t="s">
        <v>1</v>
      </c>
      <c r="C402" s="45">
        <v>29224</v>
      </c>
      <c r="D402" s="45">
        <v>104</v>
      </c>
      <c r="E402" s="45">
        <v>2</v>
      </c>
      <c r="F402" s="45">
        <v>8</v>
      </c>
      <c r="G402" s="72">
        <v>1898.93</v>
      </c>
      <c r="H402" s="49">
        <v>8.7629999999999999</v>
      </c>
      <c r="I402" s="47">
        <v>45421</v>
      </c>
      <c r="J402" s="74">
        <v>0.77072916666666669</v>
      </c>
      <c r="K402" s="45">
        <v>0</v>
      </c>
      <c r="L402" s="45">
        <v>0</v>
      </c>
      <c r="M402" s="45">
        <v>0</v>
      </c>
      <c r="N402" s="45">
        <v>0</v>
      </c>
      <c r="O402" s="45">
        <v>0</v>
      </c>
      <c r="P402" s="45">
        <v>0</v>
      </c>
      <c r="Q402" s="45">
        <v>0</v>
      </c>
      <c r="R402" s="45">
        <v>0</v>
      </c>
      <c r="S402" s="45">
        <v>0</v>
      </c>
      <c r="T402" s="45">
        <v>0</v>
      </c>
      <c r="U402" s="45">
        <v>0</v>
      </c>
      <c r="V402" s="45">
        <v>0</v>
      </c>
      <c r="W402" s="3">
        <f>W401</f>
        <v>8.3779999999999983</v>
      </c>
      <c r="Y402" s="59">
        <v>3</v>
      </c>
      <c r="Z402" s="59" t="s">
        <v>1</v>
      </c>
      <c r="AA402" s="59">
        <v>29016</v>
      </c>
      <c r="AB402" s="59">
        <v>104</v>
      </c>
      <c r="AC402" s="59">
        <v>2</v>
      </c>
      <c r="AD402" s="59">
        <v>8</v>
      </c>
      <c r="AE402" s="62">
        <v>1639.88</v>
      </c>
      <c r="AF402" s="69">
        <v>9.9321000000000002</v>
      </c>
      <c r="AG402" s="75">
        <v>45324</v>
      </c>
      <c r="AH402" s="76">
        <v>0.89065972222222223</v>
      </c>
      <c r="AI402" s="59">
        <v>0</v>
      </c>
      <c r="AJ402" s="59">
        <v>0</v>
      </c>
      <c r="AK402" s="59">
        <v>0</v>
      </c>
      <c r="AL402" s="59">
        <v>0</v>
      </c>
      <c r="AM402" s="59">
        <v>0</v>
      </c>
      <c r="AN402" s="59">
        <v>0</v>
      </c>
      <c r="AO402" s="59">
        <v>0</v>
      </c>
      <c r="AP402" s="59">
        <v>0</v>
      </c>
      <c r="AQ402" s="59">
        <v>0</v>
      </c>
      <c r="AR402" s="59">
        <v>0</v>
      </c>
      <c r="AS402" s="59">
        <v>0</v>
      </c>
      <c r="AT402" s="59">
        <v>0</v>
      </c>
      <c r="AU402" s="3">
        <f t="shared" si="2"/>
        <v>9.9265399999999993</v>
      </c>
    </row>
    <row r="403" spans="1:47" x14ac:dyDescent="0.25">
      <c r="A403" s="45">
        <v>4</v>
      </c>
      <c r="B403" s="45" t="s">
        <v>1</v>
      </c>
      <c r="C403" s="45">
        <v>29224</v>
      </c>
      <c r="D403" s="45">
        <v>104</v>
      </c>
      <c r="E403" s="45">
        <v>2</v>
      </c>
      <c r="F403" s="45">
        <v>8</v>
      </c>
      <c r="G403" s="72">
        <v>1899.27</v>
      </c>
      <c r="H403" s="49">
        <v>8.7614000000000001</v>
      </c>
      <c r="I403" s="47">
        <v>45422</v>
      </c>
      <c r="J403" s="74">
        <v>0.31965277777777779</v>
      </c>
      <c r="K403" s="45">
        <v>0</v>
      </c>
      <c r="L403" s="45">
        <v>0</v>
      </c>
      <c r="M403" s="45">
        <v>0</v>
      </c>
      <c r="N403" s="45">
        <v>0</v>
      </c>
      <c r="O403" s="45">
        <v>0</v>
      </c>
      <c r="P403" s="45">
        <v>0</v>
      </c>
      <c r="Q403" s="45">
        <v>0</v>
      </c>
      <c r="R403" s="45">
        <v>0</v>
      </c>
      <c r="S403" s="45">
        <v>0</v>
      </c>
      <c r="T403" s="45">
        <v>0</v>
      </c>
      <c r="U403" s="45">
        <v>0</v>
      </c>
      <c r="V403" s="45">
        <v>0</v>
      </c>
      <c r="W403" s="3">
        <f>W402</f>
        <v>8.3779999999999983</v>
      </c>
      <c r="Y403" s="59">
        <v>4</v>
      </c>
      <c r="Z403" s="59" t="s">
        <v>1</v>
      </c>
      <c r="AA403" s="59">
        <v>29016</v>
      </c>
      <c r="AB403" s="59">
        <v>104</v>
      </c>
      <c r="AC403" s="59">
        <v>2</v>
      </c>
      <c r="AD403" s="59">
        <v>8</v>
      </c>
      <c r="AE403" s="62">
        <v>1639.15</v>
      </c>
      <c r="AF403" s="69">
        <v>9.9366000000000003</v>
      </c>
      <c r="AG403" s="75">
        <v>45324</v>
      </c>
      <c r="AH403" s="76">
        <v>0.99356481481481485</v>
      </c>
      <c r="AI403" s="59">
        <v>0</v>
      </c>
      <c r="AJ403" s="59">
        <v>0</v>
      </c>
      <c r="AK403" s="59">
        <v>0</v>
      </c>
      <c r="AL403" s="59">
        <v>0</v>
      </c>
      <c r="AM403" s="59">
        <v>0</v>
      </c>
      <c r="AN403" s="59">
        <v>0</v>
      </c>
      <c r="AO403" s="59">
        <v>0</v>
      </c>
      <c r="AP403" s="59">
        <v>0</v>
      </c>
      <c r="AQ403" s="59">
        <v>0</v>
      </c>
      <c r="AR403" s="59">
        <v>0</v>
      </c>
      <c r="AS403" s="59">
        <v>0</v>
      </c>
      <c r="AT403" s="59">
        <v>0</v>
      </c>
      <c r="AU403" s="3">
        <f t="shared" si="2"/>
        <v>9.9265399999999993</v>
      </c>
    </row>
    <row r="404" spans="1:47" x14ac:dyDescent="0.25">
      <c r="A404" s="45">
        <v>0</v>
      </c>
      <c r="B404" s="45" t="s">
        <v>1</v>
      </c>
      <c r="C404" s="45">
        <v>29224</v>
      </c>
      <c r="D404" s="45">
        <v>104</v>
      </c>
      <c r="E404" s="45">
        <v>4</v>
      </c>
      <c r="F404" s="45">
        <v>4</v>
      </c>
      <c r="G404" s="72">
        <v>1854.77</v>
      </c>
      <c r="H404" s="49">
        <v>8.9716000000000005</v>
      </c>
      <c r="I404" s="47">
        <v>45420</v>
      </c>
      <c r="J404" s="74">
        <v>0.14238425925925927</v>
      </c>
      <c r="K404" s="45">
        <v>0</v>
      </c>
      <c r="L404" s="45">
        <v>0</v>
      </c>
      <c r="M404" s="45">
        <v>0</v>
      </c>
      <c r="N404" s="45">
        <v>0</v>
      </c>
      <c r="O404" s="45">
        <v>0</v>
      </c>
      <c r="P404" s="45">
        <v>0</v>
      </c>
      <c r="Q404" s="45">
        <v>0</v>
      </c>
      <c r="R404" s="45">
        <v>0</v>
      </c>
      <c r="S404" s="45">
        <v>0</v>
      </c>
      <c r="T404" s="45">
        <v>0</v>
      </c>
      <c r="U404" s="45">
        <v>0</v>
      </c>
      <c r="V404" s="45">
        <v>0</v>
      </c>
      <c r="W404" s="3">
        <f>AVERAGE(H359:H363)</f>
        <v>8.4442199999999996</v>
      </c>
      <c r="Y404" s="59">
        <v>0</v>
      </c>
      <c r="Z404" s="59" t="s">
        <v>1</v>
      </c>
      <c r="AA404" s="59">
        <v>29008</v>
      </c>
      <c r="AB404" s="59">
        <v>112</v>
      </c>
      <c r="AC404" s="59">
        <v>2</v>
      </c>
      <c r="AD404" s="59">
        <v>8</v>
      </c>
      <c r="AE404" s="62">
        <v>1647.01</v>
      </c>
      <c r="AF404" s="69">
        <v>9.8810000000000002</v>
      </c>
      <c r="AG404" s="75">
        <v>45324</v>
      </c>
      <c r="AH404" s="76">
        <v>0.60260416666666672</v>
      </c>
      <c r="AI404" s="59">
        <v>0</v>
      </c>
      <c r="AJ404" s="59">
        <v>0</v>
      </c>
      <c r="AK404" s="59">
        <v>0</v>
      </c>
      <c r="AL404" s="59">
        <v>0</v>
      </c>
      <c r="AM404" s="59">
        <v>0</v>
      </c>
      <c r="AN404" s="59">
        <v>0</v>
      </c>
      <c r="AO404" s="59">
        <v>0</v>
      </c>
      <c r="AP404" s="59">
        <v>0</v>
      </c>
      <c r="AQ404" s="59">
        <v>0</v>
      </c>
      <c r="AR404" s="59">
        <v>0</v>
      </c>
      <c r="AS404" s="59">
        <v>0</v>
      </c>
      <c r="AT404" s="59">
        <v>0</v>
      </c>
      <c r="AU404" s="3">
        <f t="shared" si="1"/>
        <v>9.8692600000000006</v>
      </c>
    </row>
    <row r="405" spans="1:47" x14ac:dyDescent="0.25">
      <c r="A405" s="45">
        <v>1</v>
      </c>
      <c r="B405" s="45" t="s">
        <v>1</v>
      </c>
      <c r="C405" s="45">
        <v>29224</v>
      </c>
      <c r="D405" s="45">
        <v>104</v>
      </c>
      <c r="E405" s="45">
        <v>4</v>
      </c>
      <c r="F405" s="45">
        <v>4</v>
      </c>
      <c r="G405" s="72">
        <v>1857.41</v>
      </c>
      <c r="H405" s="49">
        <v>8.9588999999999999</v>
      </c>
      <c r="I405" s="47">
        <v>45420</v>
      </c>
      <c r="J405" s="74">
        <v>0.69125000000000003</v>
      </c>
      <c r="K405" s="45">
        <v>0</v>
      </c>
      <c r="L405" s="45">
        <v>0</v>
      </c>
      <c r="M405" s="45">
        <v>0</v>
      </c>
      <c r="N405" s="45">
        <v>0</v>
      </c>
      <c r="O405" s="45">
        <v>0</v>
      </c>
      <c r="P405" s="45">
        <v>0</v>
      </c>
      <c r="Q405" s="45">
        <v>0</v>
      </c>
      <c r="R405" s="45">
        <v>0</v>
      </c>
      <c r="S405" s="45">
        <v>0</v>
      </c>
      <c r="T405" s="45">
        <v>0</v>
      </c>
      <c r="U405" s="45">
        <v>0</v>
      </c>
      <c r="V405" s="45">
        <v>0</v>
      </c>
      <c r="W405" s="3">
        <f>W404</f>
        <v>8.4442199999999996</v>
      </c>
      <c r="Y405" s="59">
        <v>1</v>
      </c>
      <c r="Z405" s="59" t="s">
        <v>1</v>
      </c>
      <c r="AA405" s="59">
        <v>29008</v>
      </c>
      <c r="AB405" s="59">
        <v>112</v>
      </c>
      <c r="AC405" s="59">
        <v>2</v>
      </c>
      <c r="AD405" s="59">
        <v>8</v>
      </c>
      <c r="AE405" s="62">
        <v>1649.37</v>
      </c>
      <c r="AF405" s="69">
        <v>9.8667999999999996</v>
      </c>
      <c r="AG405" s="75">
        <v>45324</v>
      </c>
      <c r="AH405" s="76">
        <v>0.7055555555555556</v>
      </c>
      <c r="AI405" s="59">
        <v>0</v>
      </c>
      <c r="AJ405" s="59">
        <v>0</v>
      </c>
      <c r="AK405" s="59">
        <v>0</v>
      </c>
      <c r="AL405" s="59">
        <v>0</v>
      </c>
      <c r="AM405" s="59">
        <v>0</v>
      </c>
      <c r="AN405" s="59">
        <v>0</v>
      </c>
      <c r="AO405" s="59">
        <v>0</v>
      </c>
      <c r="AP405" s="59">
        <v>0</v>
      </c>
      <c r="AQ405" s="59">
        <v>0</v>
      </c>
      <c r="AR405" s="59">
        <v>0</v>
      </c>
      <c r="AS405" s="59">
        <v>0</v>
      </c>
      <c r="AT405" s="59">
        <v>0</v>
      </c>
      <c r="AU405" s="3">
        <f t="shared" si="2"/>
        <v>9.8692600000000006</v>
      </c>
    </row>
    <row r="406" spans="1:47" x14ac:dyDescent="0.25">
      <c r="A406" s="45">
        <v>2</v>
      </c>
      <c r="B406" s="45" t="s">
        <v>1</v>
      </c>
      <c r="C406" s="45">
        <v>29224</v>
      </c>
      <c r="D406" s="45">
        <v>104</v>
      </c>
      <c r="E406" s="45">
        <v>4</v>
      </c>
      <c r="F406" s="45">
        <v>4</v>
      </c>
      <c r="G406" s="72">
        <v>1855.01</v>
      </c>
      <c r="H406" s="49">
        <v>8.9704999999999995</v>
      </c>
      <c r="I406" s="47">
        <v>45421</v>
      </c>
      <c r="J406" s="74">
        <v>0.24377314814814816</v>
      </c>
      <c r="K406" s="45">
        <v>0</v>
      </c>
      <c r="L406" s="45">
        <v>0</v>
      </c>
      <c r="M406" s="45">
        <v>0</v>
      </c>
      <c r="N406" s="45">
        <v>0</v>
      </c>
      <c r="O406" s="45">
        <v>0</v>
      </c>
      <c r="P406" s="45">
        <v>0</v>
      </c>
      <c r="Q406" s="45">
        <v>0</v>
      </c>
      <c r="R406" s="45">
        <v>0</v>
      </c>
      <c r="S406" s="45">
        <v>0</v>
      </c>
      <c r="T406" s="45">
        <v>0</v>
      </c>
      <c r="U406" s="45">
        <v>0</v>
      </c>
      <c r="V406" s="45">
        <v>0</v>
      </c>
      <c r="W406" s="3">
        <f>W405</f>
        <v>8.4442199999999996</v>
      </c>
      <c r="Y406" s="59">
        <v>2</v>
      </c>
      <c r="Z406" s="59" t="s">
        <v>1</v>
      </c>
      <c r="AA406" s="59">
        <v>29008</v>
      </c>
      <c r="AB406" s="59">
        <v>112</v>
      </c>
      <c r="AC406" s="59">
        <v>2</v>
      </c>
      <c r="AD406" s="59">
        <v>8</v>
      </c>
      <c r="AE406" s="62">
        <v>1651.07</v>
      </c>
      <c r="AF406" s="69">
        <v>9.8567</v>
      </c>
      <c r="AG406" s="75">
        <v>45324</v>
      </c>
      <c r="AH406" s="76">
        <v>0.80851851851851853</v>
      </c>
      <c r="AI406" s="59">
        <v>0</v>
      </c>
      <c r="AJ406" s="59">
        <v>0</v>
      </c>
      <c r="AK406" s="59">
        <v>0</v>
      </c>
      <c r="AL406" s="59">
        <v>0</v>
      </c>
      <c r="AM406" s="59">
        <v>0</v>
      </c>
      <c r="AN406" s="59">
        <v>0</v>
      </c>
      <c r="AO406" s="59">
        <v>0</v>
      </c>
      <c r="AP406" s="59">
        <v>0</v>
      </c>
      <c r="AQ406" s="59">
        <v>0</v>
      </c>
      <c r="AR406" s="59">
        <v>0</v>
      </c>
      <c r="AS406" s="59">
        <v>0</v>
      </c>
      <c r="AT406" s="59">
        <v>0</v>
      </c>
      <c r="AU406" s="3">
        <f t="shared" si="2"/>
        <v>9.8692600000000006</v>
      </c>
    </row>
    <row r="407" spans="1:47" x14ac:dyDescent="0.25">
      <c r="A407" s="45">
        <v>3</v>
      </c>
      <c r="B407" s="45" t="s">
        <v>1</v>
      </c>
      <c r="C407" s="45">
        <v>29224</v>
      </c>
      <c r="D407" s="45">
        <v>104</v>
      </c>
      <c r="E407" s="45">
        <v>4</v>
      </c>
      <c r="F407" s="45">
        <v>4</v>
      </c>
      <c r="G407" s="72">
        <v>1855.05</v>
      </c>
      <c r="H407" s="49">
        <v>8.9702999999999999</v>
      </c>
      <c r="I407" s="47">
        <v>45421</v>
      </c>
      <c r="J407" s="74">
        <v>0.79259259259259263</v>
      </c>
      <c r="K407" s="45">
        <v>0</v>
      </c>
      <c r="L407" s="45">
        <v>0</v>
      </c>
      <c r="M407" s="45">
        <v>0</v>
      </c>
      <c r="N407" s="45">
        <v>0</v>
      </c>
      <c r="O407" s="45">
        <v>0</v>
      </c>
      <c r="P407" s="45">
        <v>0</v>
      </c>
      <c r="Q407" s="45">
        <v>0</v>
      </c>
      <c r="R407" s="45">
        <v>0</v>
      </c>
      <c r="S407" s="45">
        <v>0</v>
      </c>
      <c r="T407" s="45">
        <v>0</v>
      </c>
      <c r="U407" s="45">
        <v>0</v>
      </c>
      <c r="V407" s="45">
        <v>0</v>
      </c>
      <c r="W407" s="3">
        <f>W406</f>
        <v>8.4442199999999996</v>
      </c>
      <c r="Y407" s="59">
        <v>3</v>
      </c>
      <c r="Z407" s="59" t="s">
        <v>1</v>
      </c>
      <c r="AA407" s="59">
        <v>29008</v>
      </c>
      <c r="AB407" s="59">
        <v>112</v>
      </c>
      <c r="AC407" s="59">
        <v>2</v>
      </c>
      <c r="AD407" s="59">
        <v>8</v>
      </c>
      <c r="AE407" s="62">
        <v>1649.58</v>
      </c>
      <c r="AF407" s="69">
        <v>9.8656000000000006</v>
      </c>
      <c r="AG407" s="75">
        <v>45324</v>
      </c>
      <c r="AH407" s="76">
        <v>0.91143518518518529</v>
      </c>
      <c r="AI407" s="59">
        <v>0</v>
      </c>
      <c r="AJ407" s="59">
        <v>0</v>
      </c>
      <c r="AK407" s="59">
        <v>0</v>
      </c>
      <c r="AL407" s="59">
        <v>0</v>
      </c>
      <c r="AM407" s="59">
        <v>0</v>
      </c>
      <c r="AN407" s="59">
        <v>0</v>
      </c>
      <c r="AO407" s="59">
        <v>0</v>
      </c>
      <c r="AP407" s="59">
        <v>0</v>
      </c>
      <c r="AQ407" s="59">
        <v>0</v>
      </c>
      <c r="AR407" s="59">
        <v>0</v>
      </c>
      <c r="AS407" s="59">
        <v>0</v>
      </c>
      <c r="AT407" s="59">
        <v>0</v>
      </c>
      <c r="AU407" s="3">
        <f t="shared" si="2"/>
        <v>9.8692600000000006</v>
      </c>
    </row>
    <row r="408" spans="1:47" x14ac:dyDescent="0.25">
      <c r="A408" s="45">
        <v>4</v>
      </c>
      <c r="B408" s="45" t="s">
        <v>1</v>
      </c>
      <c r="C408" s="45">
        <v>29224</v>
      </c>
      <c r="D408" s="45">
        <v>104</v>
      </c>
      <c r="E408" s="45">
        <v>4</v>
      </c>
      <c r="F408" s="45">
        <v>4</v>
      </c>
      <c r="G408" s="72">
        <v>1856.04</v>
      </c>
      <c r="H408" s="49">
        <v>8.9655000000000005</v>
      </c>
      <c r="I408" s="47">
        <v>45422</v>
      </c>
      <c r="J408" s="74">
        <v>0.34152777777777776</v>
      </c>
      <c r="K408" s="45">
        <v>0</v>
      </c>
      <c r="L408" s="45">
        <v>0</v>
      </c>
      <c r="M408" s="45">
        <v>0</v>
      </c>
      <c r="N408" s="45">
        <v>0</v>
      </c>
      <c r="O408" s="45">
        <v>0</v>
      </c>
      <c r="P408" s="45">
        <v>0</v>
      </c>
      <c r="Q408" s="45">
        <v>0</v>
      </c>
      <c r="R408" s="45">
        <v>0</v>
      </c>
      <c r="S408" s="45">
        <v>0</v>
      </c>
      <c r="T408" s="45">
        <v>0</v>
      </c>
      <c r="U408" s="45">
        <v>0</v>
      </c>
      <c r="V408" s="45">
        <v>0</v>
      </c>
      <c r="W408" s="3">
        <f>W407</f>
        <v>8.4442199999999996</v>
      </c>
      <c r="Y408" s="59">
        <v>4</v>
      </c>
      <c r="Z408" s="59" t="s">
        <v>1</v>
      </c>
      <c r="AA408" s="59">
        <v>29008</v>
      </c>
      <c r="AB408" s="59">
        <v>112</v>
      </c>
      <c r="AC408" s="59">
        <v>2</v>
      </c>
      <c r="AD408" s="59">
        <v>8</v>
      </c>
      <c r="AE408" s="62">
        <v>1647.8</v>
      </c>
      <c r="AF408" s="69">
        <v>9.8762000000000008</v>
      </c>
      <c r="AG408" s="75">
        <v>45325</v>
      </c>
      <c r="AH408" s="76">
        <v>1.4317129629629631E-2</v>
      </c>
      <c r="AI408" s="59">
        <v>0</v>
      </c>
      <c r="AJ408" s="59">
        <v>0</v>
      </c>
      <c r="AK408" s="59">
        <v>0</v>
      </c>
      <c r="AL408" s="59">
        <v>0</v>
      </c>
      <c r="AM408" s="59">
        <v>0</v>
      </c>
      <c r="AN408" s="59">
        <v>0</v>
      </c>
      <c r="AO408" s="59">
        <v>0</v>
      </c>
      <c r="AP408" s="59">
        <v>0</v>
      </c>
      <c r="AQ408" s="59">
        <v>0</v>
      </c>
      <c r="AR408" s="59">
        <v>0</v>
      </c>
      <c r="AS408" s="59">
        <v>0</v>
      </c>
      <c r="AT408" s="59">
        <v>0</v>
      </c>
      <c r="AU408" s="3">
        <f t="shared" si="2"/>
        <v>9.8692600000000006</v>
      </c>
    </row>
    <row r="409" spans="1:47" x14ac:dyDescent="0.25">
      <c r="H409" s="24"/>
      <c r="AU409" s="3"/>
    </row>
    <row r="410" spans="1:47" x14ac:dyDescent="0.25">
      <c r="H410" s="24"/>
    </row>
    <row r="411" spans="1:47" x14ac:dyDescent="0.25">
      <c r="H411" s="24"/>
    </row>
    <row r="412" spans="1:47" x14ac:dyDescent="0.25">
      <c r="H412" s="24"/>
    </row>
    <row r="413" spans="1:47" x14ac:dyDescent="0.25">
      <c r="H413" s="24"/>
    </row>
    <row r="414" spans="1:47" x14ac:dyDescent="0.25">
      <c r="H414" s="24"/>
    </row>
    <row r="415" spans="1:47" x14ac:dyDescent="0.25">
      <c r="H415" s="24"/>
    </row>
    <row r="416" spans="1:47" x14ac:dyDescent="0.25">
      <c r="H416" s="24"/>
    </row>
    <row r="417" spans="8:8" x14ac:dyDescent="0.25">
      <c r="H417" s="24"/>
    </row>
    <row r="418" spans="8:8" x14ac:dyDescent="0.25">
      <c r="H418" s="24"/>
    </row>
    <row r="419" spans="8:8" x14ac:dyDescent="0.25">
      <c r="H419" s="24"/>
    </row>
    <row r="420" spans="8:8" x14ac:dyDescent="0.25">
      <c r="H420" s="24"/>
    </row>
    <row r="421" spans="8:8" x14ac:dyDescent="0.25">
      <c r="H421" s="24"/>
    </row>
    <row r="422" spans="8:8" x14ac:dyDescent="0.25">
      <c r="H422" s="24"/>
    </row>
    <row r="423" spans="8:8" x14ac:dyDescent="0.25">
      <c r="H423" s="24"/>
    </row>
    <row r="424" spans="8:8" x14ac:dyDescent="0.25">
      <c r="H424" s="24"/>
    </row>
    <row r="425" spans="8:8" x14ac:dyDescent="0.25">
      <c r="H425" s="24"/>
    </row>
    <row r="426" spans="8:8" x14ac:dyDescent="0.25">
      <c r="H426" s="24"/>
    </row>
    <row r="427" spans="8:8" x14ac:dyDescent="0.25">
      <c r="H427" s="24"/>
    </row>
    <row r="428" spans="8:8" x14ac:dyDescent="0.25">
      <c r="H428" s="24"/>
    </row>
    <row r="429" spans="8:8" x14ac:dyDescent="0.25">
      <c r="H429" s="24"/>
    </row>
    <row r="430" spans="8:8" x14ac:dyDescent="0.25">
      <c r="H430" s="24"/>
    </row>
    <row r="431" spans="8:8" x14ac:dyDescent="0.25">
      <c r="H431" s="24"/>
    </row>
    <row r="432" spans="8:8" x14ac:dyDescent="0.25">
      <c r="H432" s="24"/>
    </row>
    <row r="433" spans="8:8" x14ac:dyDescent="0.25">
      <c r="H433" s="24"/>
    </row>
    <row r="434" spans="8:8" x14ac:dyDescent="0.25">
      <c r="H434" s="24"/>
    </row>
    <row r="435" spans="8:8" x14ac:dyDescent="0.25">
      <c r="H435" s="24"/>
    </row>
    <row r="436" spans="8:8" x14ac:dyDescent="0.25">
      <c r="H436" s="24"/>
    </row>
    <row r="437" spans="8:8" x14ac:dyDescent="0.25">
      <c r="H437" s="24"/>
    </row>
    <row r="438" spans="8:8" x14ac:dyDescent="0.25">
      <c r="H438" s="24"/>
    </row>
    <row r="439" spans="8:8" x14ac:dyDescent="0.25">
      <c r="H439" s="24"/>
    </row>
    <row r="440" spans="8:8" x14ac:dyDescent="0.25">
      <c r="H440" s="24"/>
    </row>
    <row r="441" spans="8:8" x14ac:dyDescent="0.25">
      <c r="H441" s="24"/>
    </row>
    <row r="442" spans="8:8" x14ac:dyDescent="0.25">
      <c r="H442" s="24"/>
    </row>
    <row r="443" spans="8:8" x14ac:dyDescent="0.25">
      <c r="H443" s="24"/>
    </row>
    <row r="444" spans="8:8" x14ac:dyDescent="0.25">
      <c r="H444" s="24"/>
    </row>
    <row r="445" spans="8:8" x14ac:dyDescent="0.25">
      <c r="H445" s="24"/>
    </row>
    <row r="446" spans="8:8" x14ac:dyDescent="0.25">
      <c r="H446" s="24"/>
    </row>
    <row r="447" spans="8:8" x14ac:dyDescent="0.25">
      <c r="H447" s="24"/>
    </row>
    <row r="448" spans="8:8" x14ac:dyDescent="0.25">
      <c r="H448" s="24"/>
    </row>
    <row r="449" spans="8:8" x14ac:dyDescent="0.25">
      <c r="H449" s="24"/>
    </row>
    <row r="450" spans="8:8" x14ac:dyDescent="0.25">
      <c r="H450" s="24"/>
    </row>
    <row r="451" spans="8:8" x14ac:dyDescent="0.25">
      <c r="H451" s="24"/>
    </row>
    <row r="452" spans="8:8" x14ac:dyDescent="0.25">
      <c r="H452" s="24"/>
    </row>
    <row r="453" spans="8:8" x14ac:dyDescent="0.25">
      <c r="H453" s="24"/>
    </row>
    <row r="454" spans="8:8" x14ac:dyDescent="0.25">
      <c r="H454" s="24"/>
    </row>
    <row r="455" spans="8:8" x14ac:dyDescent="0.25">
      <c r="H455" s="24"/>
    </row>
    <row r="456" spans="8:8" x14ac:dyDescent="0.25">
      <c r="H456" s="24"/>
    </row>
    <row r="457" spans="8:8" x14ac:dyDescent="0.25">
      <c r="H457" s="24"/>
    </row>
    <row r="458" spans="8:8" x14ac:dyDescent="0.25">
      <c r="H458" s="24"/>
    </row>
    <row r="459" spans="8:8" x14ac:dyDescent="0.25">
      <c r="H459" s="24"/>
    </row>
    <row r="460" spans="8:8" x14ac:dyDescent="0.25">
      <c r="H460" s="24"/>
    </row>
    <row r="461" spans="8:8" x14ac:dyDescent="0.25">
      <c r="H461" s="24"/>
    </row>
    <row r="462" spans="8:8" x14ac:dyDescent="0.25">
      <c r="H462" s="24"/>
    </row>
    <row r="463" spans="8:8" x14ac:dyDescent="0.25">
      <c r="H463" s="24"/>
    </row>
    <row r="464" spans="8:8" x14ac:dyDescent="0.25">
      <c r="H464" s="24"/>
    </row>
    <row r="465" spans="8:8" x14ac:dyDescent="0.25">
      <c r="H465" s="24"/>
    </row>
    <row r="466" spans="8:8" x14ac:dyDescent="0.25">
      <c r="H466" s="24"/>
    </row>
    <row r="467" spans="8:8" x14ac:dyDescent="0.25">
      <c r="H467" s="24"/>
    </row>
    <row r="468" spans="8:8" x14ac:dyDescent="0.25">
      <c r="H468" s="24"/>
    </row>
    <row r="469" spans="8:8" x14ac:dyDescent="0.25">
      <c r="H469" s="24"/>
    </row>
    <row r="470" spans="8:8" x14ac:dyDescent="0.25">
      <c r="H470" s="24"/>
    </row>
    <row r="471" spans="8:8" x14ac:dyDescent="0.25">
      <c r="H471" s="24"/>
    </row>
    <row r="472" spans="8:8" x14ac:dyDescent="0.25">
      <c r="H472" s="24"/>
    </row>
    <row r="473" spans="8:8" x14ac:dyDescent="0.25">
      <c r="H473" s="24"/>
    </row>
    <row r="474" spans="8:8" x14ac:dyDescent="0.25">
      <c r="H474" s="24"/>
    </row>
    <row r="475" spans="8:8" x14ac:dyDescent="0.25">
      <c r="H475" s="24"/>
    </row>
    <row r="476" spans="8:8" x14ac:dyDescent="0.25">
      <c r="H476" s="24"/>
    </row>
    <row r="477" spans="8:8" x14ac:dyDescent="0.25">
      <c r="H477" s="24"/>
    </row>
    <row r="478" spans="8:8" x14ac:dyDescent="0.25">
      <c r="H478" s="24"/>
    </row>
    <row r="479" spans="8:8" x14ac:dyDescent="0.25">
      <c r="H479" s="24"/>
    </row>
    <row r="480" spans="8:8" x14ac:dyDescent="0.25">
      <c r="H480" s="24"/>
    </row>
    <row r="481" spans="8:8" x14ac:dyDescent="0.25">
      <c r="H481" s="24"/>
    </row>
    <row r="482" spans="8:8" x14ac:dyDescent="0.25">
      <c r="H482" s="24"/>
    </row>
    <row r="483" spans="8:8" x14ac:dyDescent="0.25">
      <c r="H483" s="24"/>
    </row>
    <row r="484" spans="8:8" x14ac:dyDescent="0.25">
      <c r="H484" s="24"/>
    </row>
    <row r="485" spans="8:8" x14ac:dyDescent="0.25">
      <c r="H485" s="24"/>
    </row>
    <row r="486" spans="8:8" x14ac:dyDescent="0.25">
      <c r="H486" s="24"/>
    </row>
    <row r="487" spans="8:8" x14ac:dyDescent="0.25">
      <c r="H487" s="24"/>
    </row>
    <row r="488" spans="8:8" x14ac:dyDescent="0.25">
      <c r="H488" s="24"/>
    </row>
    <row r="489" spans="8:8" x14ac:dyDescent="0.25">
      <c r="H489" s="24"/>
    </row>
    <row r="490" spans="8:8" x14ac:dyDescent="0.25">
      <c r="H490" s="24"/>
    </row>
    <row r="491" spans="8:8" x14ac:dyDescent="0.25">
      <c r="H491" s="24"/>
    </row>
    <row r="492" spans="8:8" x14ac:dyDescent="0.25">
      <c r="H492" s="24"/>
    </row>
    <row r="493" spans="8:8" x14ac:dyDescent="0.25">
      <c r="H493" s="24"/>
    </row>
    <row r="494" spans="8:8" x14ac:dyDescent="0.25">
      <c r="H494" s="24"/>
    </row>
  </sheetData>
  <sortState xmlns:xlrd2="http://schemas.microsoft.com/office/spreadsheetml/2017/richdata2" ref="Y4:AU363">
    <sortCondition ref="AB4:AB363"/>
    <sortCondition ref="AC4:AC363"/>
    <sortCondition ref="AA4:AA363"/>
    <sortCondition ref="Y4:Y363"/>
  </sortState>
  <mergeCells count="14">
    <mergeCell ref="L1:U1"/>
    <mergeCell ref="Y1:AB1"/>
    <mergeCell ref="AJ1:AT1"/>
    <mergeCell ref="A1:D1"/>
    <mergeCell ref="A2:B2"/>
    <mergeCell ref="K2:M2"/>
    <mergeCell ref="N2:P2"/>
    <mergeCell ref="Q2:S2"/>
    <mergeCell ref="T2:V2"/>
    <mergeCell ref="AI2:AK2"/>
    <mergeCell ref="AL2:AN2"/>
    <mergeCell ref="AO2:AQ2"/>
    <mergeCell ref="AR2:AT2"/>
    <mergeCell ref="Y2:Z2"/>
  </mergeCells>
  <conditionalFormatting sqref="W1:X13 X14:X364 W14:W408">
    <cfRule type="colorScale" priority="1435">
      <colorScale>
        <cfvo type="min"/>
        <cfvo type="percentile" val="50"/>
        <cfvo type="max"/>
        <color rgb="FFF8696B"/>
        <color rgb="FFFFEB84"/>
        <color rgb="FF63BE7B"/>
      </colorScale>
    </cfRule>
  </conditionalFormatting>
  <conditionalFormatting sqref="AU446:AU449 AU585:AU1048576 AU2:AU4 AU9 AU14 AU19 AU24 AU29 AU34 AU39 AU44 AU49 AU54 AU59 AU64 AU69 AU74 AU79 AU84 AU89 AU94 AU99 AU104 AU109 AU114 AU119 AU124 AU129 AU134 AU139 AU144 AU149 AU154 AU159 AU164 AU169 AU174 AU179 AU184 AU189 AU194 AU199 AU204 AU209 AU214 AU219 AU224 AU229 AU234 AU239 AU244 AU249 AU254 AU259 AU264 AU269 AU274 AU279 AU284 AU289 AU294 AU299 AU304 AU309 AU314 AU319 AU324 AU329 AU334 AU339 AU344 AU349 AU354 AU359 AU364 AU369 AU374 AU379 AU384 AU389 AU394 AU399 AU404">
    <cfRule type="colorScale" priority="6">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3563-40EB-4461-BA9E-B4598D8B2D1C}">
  <dimension ref="A1:M176"/>
  <sheetViews>
    <sheetView workbookViewId="0">
      <selection activeCell="Q27" sqref="Q27"/>
    </sheetView>
  </sheetViews>
  <sheetFormatPr defaultColWidth="8.85546875" defaultRowHeight="15" x14ac:dyDescent="0.25"/>
  <cols>
    <col min="1" max="1" width="9.140625"/>
    <col min="2" max="5" width="9.140625" style="18"/>
    <col min="6" max="6" width="9.140625" style="3"/>
    <col min="9" max="12" width="9.140625" style="18"/>
    <col min="13" max="13" width="9.140625" style="3"/>
  </cols>
  <sheetData>
    <row r="1" spans="1:13" x14ac:dyDescent="0.25">
      <c r="B1" s="84" t="s">
        <v>52</v>
      </c>
      <c r="C1" s="84"/>
      <c r="D1" s="84"/>
      <c r="E1" s="84"/>
      <c r="F1" s="84"/>
      <c r="I1" s="84" t="s">
        <v>32</v>
      </c>
      <c r="J1" s="84"/>
      <c r="K1" s="84"/>
      <c r="L1" s="84"/>
      <c r="M1" s="84"/>
    </row>
    <row r="2" spans="1:13" x14ac:dyDescent="0.25">
      <c r="B2" s="21">
        <f>INDEX(B4:B500,MATCH(MAX(F4:F500),F4:F500,0))</f>
        <v>28992</v>
      </c>
      <c r="C2" s="21">
        <f>INDEX(C4:C500,MATCH(MAX(F4:F500),F4:F500,0))</f>
        <v>96</v>
      </c>
      <c r="D2" s="21">
        <f>INDEX(D4:D500,MATCH(MAX(F4:F500),F4:F500,0))</f>
        <v>2</v>
      </c>
      <c r="E2" s="21">
        <f>INDEX(E4:E500,MATCH(MAX(F4:F500),F4:F500,0))</f>
        <v>8</v>
      </c>
      <c r="F2" s="5">
        <f>MAX(F4:F500)</f>
        <v>9.0212199999999996</v>
      </c>
      <c r="I2" s="21">
        <f>INDEX(I4:I500,MATCH(MAX(M4:M500),M4:M500,0))</f>
        <v>29056</v>
      </c>
      <c r="J2" s="21">
        <f>INDEX(J4:J500,MATCH(MAX(M4:M500),M4:M500,0))</f>
        <v>64</v>
      </c>
      <c r="K2" s="21">
        <f>INDEX(K4:K500,MATCH(MAX(M4:M500),M4:M500,0))</f>
        <v>2</v>
      </c>
      <c r="L2" s="21">
        <f>INDEX(L4:L500,MATCH(MAX(M4:M500),M4:M500,0))</f>
        <v>8</v>
      </c>
      <c r="M2" s="5">
        <f>MAX(M4:M500)</f>
        <v>10.039</v>
      </c>
    </row>
    <row r="3" spans="1:13" x14ac:dyDescent="0.25">
      <c r="A3" t="s">
        <v>54</v>
      </c>
      <c r="B3" s="21" t="s">
        <v>12</v>
      </c>
      <c r="C3" s="21" t="s">
        <v>13</v>
      </c>
      <c r="D3" s="21" t="s">
        <v>14</v>
      </c>
      <c r="E3" s="21" t="s">
        <v>15</v>
      </c>
      <c r="F3" s="10" t="s">
        <v>51</v>
      </c>
      <c r="H3" s="77" t="s">
        <v>54</v>
      </c>
      <c r="I3" s="21" t="s">
        <v>12</v>
      </c>
      <c r="J3" s="21" t="s">
        <v>13</v>
      </c>
      <c r="K3" s="21" t="s">
        <v>14</v>
      </c>
      <c r="L3" s="21" t="s">
        <v>15</v>
      </c>
      <c r="M3" s="10" t="s">
        <v>51</v>
      </c>
    </row>
    <row r="4" spans="1:13" x14ac:dyDescent="0.25">
      <c r="A4" s="78">
        <f>CHOOSE(IF(ABS(B4-25984) &lt;= ABS(B4-27520),IF(ABS(B4-25984) &lt;= ABS(B4-29056),1,3),IF(ABS(B4-27520) &lt;= ABS(B4-29056),2,3)),25984,27520,29056)</f>
        <v>25984</v>
      </c>
      <c r="B4" s="18" cm="1">
        <f t="array" ref="B4:F86">_xlfn.CHOOSECOLS(_xlfn._xlws.FILTER('933 params, RAW'!A4:W410,'933 params, RAW'!A4:A410=0),3,4,5,6,23)</f>
        <v>25984</v>
      </c>
      <c r="C4" s="18">
        <v>32</v>
      </c>
      <c r="D4" s="18">
        <v>1</v>
      </c>
      <c r="E4" s="18">
        <v>16</v>
      </c>
      <c r="F4" s="3">
        <v>8.5776399999999988</v>
      </c>
      <c r="H4" s="78">
        <f>CHOOSE(IF(ABS(I4-25984) &lt;= ABS(I4-27520),IF(ABS(I4-25984) &lt;= ABS(I4-29056),1,3),IF(ABS(I4-27520) &lt;= ABS(I4-29056),2,3)),25984,27520,29056)</f>
        <v>25984</v>
      </c>
      <c r="I4" s="18" cm="1">
        <f t="array" ref="I4:M176">_xlfn.CHOOSECOLS(_xlfn._xlws.FILTER('933 params, RAW'!Y4:AU500,'933 params, RAW'!Y4:Y500=0),3,4,5,6,23)</f>
        <v>25984</v>
      </c>
      <c r="J4" s="18">
        <v>32</v>
      </c>
      <c r="K4" s="18">
        <v>1</v>
      </c>
      <c r="L4" s="18">
        <v>16</v>
      </c>
      <c r="M4" s="3">
        <v>9.5150800000000011</v>
      </c>
    </row>
    <row r="5" spans="1:13" x14ac:dyDescent="0.25">
      <c r="A5" s="78">
        <f t="shared" ref="A5:A68" si="0">CHOOSE(IF(ABS(B5-25984) &lt;= ABS(B5-27520),IF(ABS(B5-25984) &lt;= ABS(B5-29056),1,3),IF(ABS(B5-27520) &lt;= ABS(B5-29056),2,3)),25984,27520,29056)</f>
        <v>27520</v>
      </c>
      <c r="B5" s="18">
        <v>27520</v>
      </c>
      <c r="C5" s="18">
        <v>32</v>
      </c>
      <c r="D5" s="18">
        <v>1</v>
      </c>
      <c r="E5" s="18">
        <v>16</v>
      </c>
      <c r="F5" s="3">
        <v>8.5820799999999995</v>
      </c>
      <c r="H5" s="78">
        <f t="shared" ref="H5:H68" si="1">CHOOSE(IF(ABS(I5-25984) &lt;= ABS(I5-27520),IF(ABS(I5-25984) &lt;= ABS(I5-29056),1,3),IF(ABS(I5-27520) &lt;= ABS(I5-29056),2,3)),25984,27520,29056)</f>
        <v>27520</v>
      </c>
      <c r="I5" s="18">
        <v>27520</v>
      </c>
      <c r="J5" s="18">
        <v>32</v>
      </c>
      <c r="K5" s="18">
        <v>1</v>
      </c>
      <c r="L5" s="18">
        <v>16</v>
      </c>
      <c r="M5" s="3">
        <v>9.542860000000001</v>
      </c>
    </row>
    <row r="6" spans="1:13" x14ac:dyDescent="0.25">
      <c r="A6" s="78">
        <f t="shared" si="0"/>
        <v>29056</v>
      </c>
      <c r="B6" s="18">
        <v>29056</v>
      </c>
      <c r="C6" s="18">
        <v>32</v>
      </c>
      <c r="D6" s="18">
        <v>1</v>
      </c>
      <c r="E6" s="18">
        <v>16</v>
      </c>
      <c r="F6" s="3">
        <v>8.6498600000000003</v>
      </c>
      <c r="H6" s="78">
        <f t="shared" si="1"/>
        <v>29056</v>
      </c>
      <c r="I6" s="18">
        <v>29056</v>
      </c>
      <c r="J6" s="18">
        <v>32</v>
      </c>
      <c r="K6" s="18">
        <v>1</v>
      </c>
      <c r="L6" s="18">
        <v>16</v>
      </c>
      <c r="M6" s="3">
        <v>9.5888399999999994</v>
      </c>
    </row>
    <row r="7" spans="1:13" x14ac:dyDescent="0.25">
      <c r="A7" s="78">
        <f t="shared" si="0"/>
        <v>25984</v>
      </c>
      <c r="B7" s="18">
        <v>25984</v>
      </c>
      <c r="C7" s="18">
        <v>32</v>
      </c>
      <c r="D7" s="18">
        <v>2</v>
      </c>
      <c r="E7" s="18">
        <v>8</v>
      </c>
      <c r="F7" s="3">
        <v>8.7267600000000023</v>
      </c>
      <c r="H7" s="78">
        <f t="shared" si="1"/>
        <v>25984</v>
      </c>
      <c r="I7" s="18">
        <v>25984</v>
      </c>
      <c r="J7" s="18">
        <v>32</v>
      </c>
      <c r="K7" s="18">
        <v>2</v>
      </c>
      <c r="L7" s="18">
        <v>8</v>
      </c>
      <c r="M7" s="3">
        <v>9.5702600000000011</v>
      </c>
    </row>
    <row r="8" spans="1:13" x14ac:dyDescent="0.25">
      <c r="A8" s="78">
        <f t="shared" si="0"/>
        <v>27520</v>
      </c>
      <c r="B8" s="18">
        <v>27520</v>
      </c>
      <c r="C8" s="18">
        <v>32</v>
      </c>
      <c r="D8" s="18">
        <v>2</v>
      </c>
      <c r="E8" s="18">
        <v>8</v>
      </c>
      <c r="F8" s="3">
        <v>8.748899999999999</v>
      </c>
      <c r="H8" s="78">
        <f t="shared" si="1"/>
        <v>27520</v>
      </c>
      <c r="I8" s="18">
        <v>27520</v>
      </c>
      <c r="J8" s="18">
        <v>32</v>
      </c>
      <c r="K8" s="18">
        <v>2</v>
      </c>
      <c r="L8" s="18">
        <v>8</v>
      </c>
      <c r="M8" s="3">
        <v>9.6196200000000012</v>
      </c>
    </row>
    <row r="9" spans="1:13" x14ac:dyDescent="0.25">
      <c r="A9" s="78">
        <f t="shared" si="0"/>
        <v>29056</v>
      </c>
      <c r="B9" s="18">
        <v>29056</v>
      </c>
      <c r="C9" s="18">
        <v>32</v>
      </c>
      <c r="D9" s="18">
        <v>2</v>
      </c>
      <c r="E9" s="18">
        <v>8</v>
      </c>
      <c r="F9" s="3">
        <v>8.7873199999999994</v>
      </c>
      <c r="H9" s="78">
        <f t="shared" si="1"/>
        <v>29056</v>
      </c>
      <c r="I9" s="18">
        <v>29056</v>
      </c>
      <c r="J9" s="18">
        <v>32</v>
      </c>
      <c r="K9" s="18">
        <v>2</v>
      </c>
      <c r="L9" s="18">
        <v>8</v>
      </c>
      <c r="M9" s="3">
        <v>9.6586600000000011</v>
      </c>
    </row>
    <row r="10" spans="1:13" x14ac:dyDescent="0.25">
      <c r="A10" s="78">
        <f t="shared" si="0"/>
        <v>25984</v>
      </c>
      <c r="B10" s="18">
        <v>25984</v>
      </c>
      <c r="C10" s="18">
        <v>32</v>
      </c>
      <c r="D10" s="18">
        <v>4</v>
      </c>
      <c r="E10" s="18">
        <v>4</v>
      </c>
      <c r="F10" s="3">
        <v>8.6366999999999994</v>
      </c>
      <c r="H10" s="78">
        <f t="shared" si="1"/>
        <v>25984</v>
      </c>
      <c r="I10" s="18">
        <v>25984</v>
      </c>
      <c r="J10" s="18">
        <v>32</v>
      </c>
      <c r="K10" s="18">
        <v>4</v>
      </c>
      <c r="L10" s="18">
        <v>4</v>
      </c>
      <c r="M10" s="3">
        <v>9.4310799999999997</v>
      </c>
    </row>
    <row r="11" spans="1:13" x14ac:dyDescent="0.25">
      <c r="A11" s="78">
        <f t="shared" si="0"/>
        <v>27520</v>
      </c>
      <c r="B11" s="18">
        <v>27520</v>
      </c>
      <c r="C11" s="18">
        <v>32</v>
      </c>
      <c r="D11" s="18">
        <v>4</v>
      </c>
      <c r="E11" s="18">
        <v>4</v>
      </c>
      <c r="F11" s="3">
        <v>8.6856200000000001</v>
      </c>
      <c r="H11" s="78">
        <f t="shared" si="1"/>
        <v>27520</v>
      </c>
      <c r="I11" s="18">
        <v>27520</v>
      </c>
      <c r="J11" s="18">
        <v>32</v>
      </c>
      <c r="K11" s="18">
        <v>4</v>
      </c>
      <c r="L11" s="18">
        <v>4</v>
      </c>
      <c r="M11" s="3">
        <v>9.4862599999999979</v>
      </c>
    </row>
    <row r="12" spans="1:13" x14ac:dyDescent="0.25">
      <c r="A12" s="78">
        <f t="shared" si="0"/>
        <v>29056</v>
      </c>
      <c r="B12" s="18">
        <v>29056</v>
      </c>
      <c r="C12" s="18">
        <v>32</v>
      </c>
      <c r="D12" s="18">
        <v>4</v>
      </c>
      <c r="E12" s="18">
        <v>4</v>
      </c>
      <c r="F12" s="3">
        <v>8.7251200000000004</v>
      </c>
      <c r="H12" s="78">
        <f t="shared" si="1"/>
        <v>29056</v>
      </c>
      <c r="I12" s="18">
        <v>29056</v>
      </c>
      <c r="J12" s="18">
        <v>32</v>
      </c>
      <c r="K12" s="18">
        <v>4</v>
      </c>
      <c r="L12" s="18">
        <v>4</v>
      </c>
      <c r="M12" s="3">
        <v>9.5351400000000019</v>
      </c>
    </row>
    <row r="13" spans="1:13" x14ac:dyDescent="0.25">
      <c r="A13" s="78">
        <f t="shared" si="0"/>
        <v>25984</v>
      </c>
      <c r="B13" s="18">
        <v>25984</v>
      </c>
      <c r="C13" s="18">
        <v>64</v>
      </c>
      <c r="D13" s="18">
        <v>1</v>
      </c>
      <c r="E13" s="18">
        <v>16</v>
      </c>
      <c r="F13" s="3">
        <v>8.3583599999999993</v>
      </c>
      <c r="H13" s="78">
        <f t="shared" si="1"/>
        <v>25984</v>
      </c>
      <c r="I13" s="18">
        <v>25984</v>
      </c>
      <c r="J13" s="18">
        <v>64</v>
      </c>
      <c r="K13" s="18">
        <v>1</v>
      </c>
      <c r="L13" s="18">
        <v>16</v>
      </c>
      <c r="M13" s="3">
        <v>9.7086999999999986</v>
      </c>
    </row>
    <row r="14" spans="1:13" x14ac:dyDescent="0.25">
      <c r="A14" s="78">
        <f t="shared" si="0"/>
        <v>27520</v>
      </c>
      <c r="B14" s="18">
        <v>27520</v>
      </c>
      <c r="C14" s="18">
        <v>64</v>
      </c>
      <c r="D14" s="18">
        <v>1</v>
      </c>
      <c r="E14" s="18">
        <v>16</v>
      </c>
      <c r="F14" s="3">
        <v>8.3760999999999992</v>
      </c>
      <c r="H14" s="78">
        <f t="shared" si="1"/>
        <v>27520</v>
      </c>
      <c r="I14" s="18">
        <v>27520</v>
      </c>
      <c r="J14" s="18">
        <v>64</v>
      </c>
      <c r="K14" s="18">
        <v>1</v>
      </c>
      <c r="L14" s="18">
        <v>16</v>
      </c>
      <c r="M14" s="3">
        <v>9.7481799999999996</v>
      </c>
    </row>
    <row r="15" spans="1:13" x14ac:dyDescent="0.25">
      <c r="A15" s="78">
        <f t="shared" si="0"/>
        <v>29056</v>
      </c>
      <c r="B15" s="18">
        <v>29056</v>
      </c>
      <c r="C15" s="18">
        <v>64</v>
      </c>
      <c r="D15" s="18">
        <v>1</v>
      </c>
      <c r="E15" s="18">
        <v>16</v>
      </c>
      <c r="F15" s="3">
        <v>8.4505799999999986</v>
      </c>
      <c r="H15" s="78">
        <f t="shared" si="1"/>
        <v>29056</v>
      </c>
      <c r="I15" s="18">
        <v>29056</v>
      </c>
      <c r="J15" s="18">
        <v>64</v>
      </c>
      <c r="K15" s="18">
        <v>1</v>
      </c>
      <c r="L15" s="18">
        <v>16</v>
      </c>
      <c r="M15" s="3">
        <v>9.8132199999999994</v>
      </c>
    </row>
    <row r="16" spans="1:13" x14ac:dyDescent="0.25">
      <c r="A16" s="78">
        <f t="shared" si="0"/>
        <v>25984</v>
      </c>
      <c r="B16" s="18">
        <v>25984</v>
      </c>
      <c r="C16" s="18">
        <v>64</v>
      </c>
      <c r="D16" s="18">
        <v>2</v>
      </c>
      <c r="E16" s="18">
        <v>8</v>
      </c>
      <c r="F16" s="3">
        <v>8.6165199999999995</v>
      </c>
      <c r="H16" s="78">
        <f t="shared" si="1"/>
        <v>25984</v>
      </c>
      <c r="I16" s="18">
        <v>25984</v>
      </c>
      <c r="J16" s="18">
        <v>64</v>
      </c>
      <c r="K16" s="18">
        <v>2</v>
      </c>
      <c r="L16" s="18">
        <v>8</v>
      </c>
      <c r="M16" s="3">
        <v>9.9344799999999989</v>
      </c>
    </row>
    <row r="17" spans="1:13" x14ac:dyDescent="0.25">
      <c r="A17" s="78">
        <f t="shared" si="0"/>
        <v>27520</v>
      </c>
      <c r="B17" s="18">
        <v>27520</v>
      </c>
      <c r="C17" s="18">
        <v>64</v>
      </c>
      <c r="D17" s="18">
        <v>2</v>
      </c>
      <c r="E17" s="18">
        <v>8</v>
      </c>
      <c r="F17" s="3">
        <v>8.6419999999999995</v>
      </c>
      <c r="H17" s="78">
        <f t="shared" si="1"/>
        <v>27520</v>
      </c>
      <c r="I17" s="18">
        <v>27520</v>
      </c>
      <c r="J17" s="18">
        <v>64</v>
      </c>
      <c r="K17" s="18">
        <v>2</v>
      </c>
      <c r="L17" s="18">
        <v>8</v>
      </c>
      <c r="M17" s="3">
        <v>9.991579999999999</v>
      </c>
    </row>
    <row r="18" spans="1:13" x14ac:dyDescent="0.25">
      <c r="A18" s="78">
        <f t="shared" si="0"/>
        <v>29056</v>
      </c>
      <c r="B18" s="18">
        <v>29056</v>
      </c>
      <c r="C18" s="18">
        <v>64</v>
      </c>
      <c r="D18" s="18">
        <v>2</v>
      </c>
      <c r="E18" s="18">
        <v>8</v>
      </c>
      <c r="F18" s="3">
        <v>8.6886200000000002</v>
      </c>
      <c r="H18" s="78">
        <f t="shared" si="1"/>
        <v>29056</v>
      </c>
      <c r="I18" s="18">
        <v>29056</v>
      </c>
      <c r="J18" s="18">
        <v>64</v>
      </c>
      <c r="K18" s="18">
        <v>2</v>
      </c>
      <c r="L18" s="18">
        <v>8</v>
      </c>
      <c r="M18" s="3">
        <v>10.036199999999999</v>
      </c>
    </row>
    <row r="19" spans="1:13" x14ac:dyDescent="0.25">
      <c r="A19" s="78">
        <f t="shared" si="0"/>
        <v>25984</v>
      </c>
      <c r="B19" s="18">
        <v>25984</v>
      </c>
      <c r="C19" s="18">
        <v>64</v>
      </c>
      <c r="D19" s="18">
        <v>4</v>
      </c>
      <c r="E19" s="18">
        <v>4</v>
      </c>
      <c r="F19" s="3">
        <v>8.8390200000000014</v>
      </c>
      <c r="H19" s="78">
        <f t="shared" si="1"/>
        <v>25984</v>
      </c>
      <c r="I19" s="18">
        <v>25984</v>
      </c>
      <c r="J19" s="18">
        <v>64</v>
      </c>
      <c r="K19" s="18">
        <v>4</v>
      </c>
      <c r="L19" s="18">
        <v>4</v>
      </c>
      <c r="M19" s="3">
        <v>9.8191799999999994</v>
      </c>
    </row>
    <row r="20" spans="1:13" x14ac:dyDescent="0.25">
      <c r="A20" s="78">
        <f t="shared" si="0"/>
        <v>27520</v>
      </c>
      <c r="B20" s="18">
        <v>27520</v>
      </c>
      <c r="C20" s="18">
        <v>64</v>
      </c>
      <c r="D20" s="18">
        <v>4</v>
      </c>
      <c r="E20" s="18">
        <v>4</v>
      </c>
      <c r="F20" s="3">
        <v>8.7994200000000014</v>
      </c>
      <c r="H20" s="78">
        <f t="shared" si="1"/>
        <v>27520</v>
      </c>
      <c r="I20" s="18">
        <v>27520</v>
      </c>
      <c r="J20" s="18">
        <v>64</v>
      </c>
      <c r="K20" s="18">
        <v>4</v>
      </c>
      <c r="L20" s="18">
        <v>4</v>
      </c>
      <c r="M20" s="3">
        <v>9.8792800000000014</v>
      </c>
    </row>
    <row r="21" spans="1:13" x14ac:dyDescent="0.25">
      <c r="A21" s="78">
        <f t="shared" si="0"/>
        <v>29056</v>
      </c>
      <c r="B21" s="18">
        <v>29056</v>
      </c>
      <c r="C21" s="18">
        <v>64</v>
      </c>
      <c r="D21" s="18">
        <v>4</v>
      </c>
      <c r="E21" s="18">
        <v>4</v>
      </c>
      <c r="F21" s="3">
        <v>8.9258199999999999</v>
      </c>
      <c r="H21" s="78">
        <f t="shared" si="1"/>
        <v>29056</v>
      </c>
      <c r="I21" s="18">
        <v>29056</v>
      </c>
      <c r="J21" s="18">
        <v>64</v>
      </c>
      <c r="K21" s="18">
        <v>4</v>
      </c>
      <c r="L21" s="18">
        <v>4</v>
      </c>
      <c r="M21" s="3">
        <v>9.9393200000000004</v>
      </c>
    </row>
    <row r="22" spans="1:13" x14ac:dyDescent="0.25">
      <c r="A22" s="78">
        <f t="shared" si="0"/>
        <v>25984</v>
      </c>
      <c r="B22" s="18">
        <v>25920</v>
      </c>
      <c r="C22" s="18">
        <v>96</v>
      </c>
      <c r="D22" s="18">
        <v>1</v>
      </c>
      <c r="E22" s="18">
        <v>16</v>
      </c>
      <c r="F22" s="3">
        <v>8.9354399999999998</v>
      </c>
      <c r="H22" s="78">
        <f t="shared" si="1"/>
        <v>25984</v>
      </c>
      <c r="I22" s="18">
        <v>25920</v>
      </c>
      <c r="J22" s="18">
        <v>96</v>
      </c>
      <c r="K22" s="18">
        <v>1</v>
      </c>
      <c r="L22" s="18">
        <v>16</v>
      </c>
      <c r="M22" s="3">
        <v>9.5075800000000008</v>
      </c>
    </row>
    <row r="23" spans="1:13" x14ac:dyDescent="0.25">
      <c r="A23" s="78">
        <f t="shared" si="0"/>
        <v>27520</v>
      </c>
      <c r="B23" s="18">
        <v>27456</v>
      </c>
      <c r="C23" s="18">
        <v>96</v>
      </c>
      <c r="D23" s="18">
        <v>1</v>
      </c>
      <c r="E23" s="18">
        <v>16</v>
      </c>
      <c r="F23" s="3">
        <v>8.9263000000000012</v>
      </c>
      <c r="H23" s="78">
        <f t="shared" si="1"/>
        <v>27520</v>
      </c>
      <c r="I23" s="18">
        <v>27456</v>
      </c>
      <c r="J23" s="18">
        <v>96</v>
      </c>
      <c r="K23" s="18">
        <v>1</v>
      </c>
      <c r="L23" s="18">
        <v>16</v>
      </c>
      <c r="M23" s="3">
        <v>9.5727000000000011</v>
      </c>
    </row>
    <row r="24" spans="1:13" x14ac:dyDescent="0.25">
      <c r="A24" s="78">
        <f t="shared" si="0"/>
        <v>29056</v>
      </c>
      <c r="B24" s="18">
        <v>28992</v>
      </c>
      <c r="C24" s="18">
        <v>96</v>
      </c>
      <c r="D24" s="18">
        <v>1</v>
      </c>
      <c r="E24" s="18">
        <v>16</v>
      </c>
      <c r="F24" s="3">
        <v>8.4819199999999988</v>
      </c>
      <c r="H24" s="78">
        <f t="shared" si="1"/>
        <v>29056</v>
      </c>
      <c r="I24" s="18">
        <v>28992</v>
      </c>
      <c r="J24" s="18">
        <v>96</v>
      </c>
      <c r="K24" s="18">
        <v>1</v>
      </c>
      <c r="L24" s="18">
        <v>16</v>
      </c>
      <c r="M24" s="3">
        <v>9.6283999999999992</v>
      </c>
    </row>
    <row r="25" spans="1:13" x14ac:dyDescent="0.25">
      <c r="A25" s="78">
        <f t="shared" si="0"/>
        <v>25984</v>
      </c>
      <c r="B25" s="18">
        <v>25920</v>
      </c>
      <c r="C25" s="18">
        <v>96</v>
      </c>
      <c r="D25" s="18">
        <v>2</v>
      </c>
      <c r="E25" s="18">
        <v>8</v>
      </c>
      <c r="F25" s="3">
        <v>8.7859599999999993</v>
      </c>
      <c r="H25" s="78">
        <f t="shared" si="1"/>
        <v>25984</v>
      </c>
      <c r="I25" s="18">
        <v>25920</v>
      </c>
      <c r="J25" s="18">
        <v>96</v>
      </c>
      <c r="K25" s="18">
        <v>2</v>
      </c>
      <c r="L25" s="18">
        <v>8</v>
      </c>
      <c r="M25" s="3">
        <v>9.8135399999999997</v>
      </c>
    </row>
    <row r="26" spans="1:13" x14ac:dyDescent="0.25">
      <c r="A26" s="78">
        <f t="shared" si="0"/>
        <v>27520</v>
      </c>
      <c r="B26" s="18">
        <v>27456</v>
      </c>
      <c r="C26" s="18">
        <v>96</v>
      </c>
      <c r="D26" s="18">
        <v>2</v>
      </c>
      <c r="E26" s="18">
        <v>8</v>
      </c>
      <c r="F26" s="3">
        <v>8.99756</v>
      </c>
      <c r="H26" s="78">
        <f t="shared" si="1"/>
        <v>27520</v>
      </c>
      <c r="I26" s="18">
        <v>27456</v>
      </c>
      <c r="J26" s="18">
        <v>96</v>
      </c>
      <c r="K26" s="18">
        <v>2</v>
      </c>
      <c r="L26" s="18">
        <v>8</v>
      </c>
      <c r="M26" s="3">
        <v>9.9007200000000015</v>
      </c>
    </row>
    <row r="27" spans="1:13" x14ac:dyDescent="0.25">
      <c r="A27" s="78">
        <f t="shared" si="0"/>
        <v>29056</v>
      </c>
      <c r="B27" s="18">
        <v>28992</v>
      </c>
      <c r="C27" s="18">
        <v>96</v>
      </c>
      <c r="D27" s="18">
        <v>2</v>
      </c>
      <c r="E27" s="18">
        <v>8</v>
      </c>
      <c r="F27" s="3">
        <v>9.0212199999999996</v>
      </c>
      <c r="H27" s="78">
        <f t="shared" si="1"/>
        <v>29056</v>
      </c>
      <c r="I27" s="18">
        <v>28992</v>
      </c>
      <c r="J27" s="18">
        <v>96</v>
      </c>
      <c r="K27" s="18">
        <v>2</v>
      </c>
      <c r="L27" s="18">
        <v>8</v>
      </c>
      <c r="M27" s="3">
        <v>9.9628799999999984</v>
      </c>
    </row>
    <row r="28" spans="1:13" x14ac:dyDescent="0.25">
      <c r="A28" s="78">
        <f t="shared" si="0"/>
        <v>25984</v>
      </c>
      <c r="B28" s="18">
        <v>25920</v>
      </c>
      <c r="C28" s="18">
        <v>96</v>
      </c>
      <c r="D28" s="18">
        <v>4</v>
      </c>
      <c r="E28" s="18">
        <v>4</v>
      </c>
      <c r="F28" s="3">
        <v>8.4544400000000017</v>
      </c>
      <c r="H28" s="78">
        <f t="shared" si="1"/>
        <v>25984</v>
      </c>
      <c r="I28" s="18">
        <v>25920</v>
      </c>
      <c r="J28" s="18">
        <v>96</v>
      </c>
      <c r="K28" s="18">
        <v>4</v>
      </c>
      <c r="L28" s="18">
        <v>4</v>
      </c>
      <c r="M28" s="3">
        <v>9.7272600000000011</v>
      </c>
    </row>
    <row r="29" spans="1:13" x14ac:dyDescent="0.25">
      <c r="A29" s="78">
        <f t="shared" si="0"/>
        <v>27520</v>
      </c>
      <c r="B29" s="18">
        <v>27456</v>
      </c>
      <c r="C29" s="18">
        <v>96</v>
      </c>
      <c r="D29" s="18">
        <v>4</v>
      </c>
      <c r="E29" s="18">
        <v>4</v>
      </c>
      <c r="F29" s="3">
        <v>8.516099999999998</v>
      </c>
      <c r="H29" s="78">
        <f t="shared" si="1"/>
        <v>27520</v>
      </c>
      <c r="I29" s="18">
        <v>27456</v>
      </c>
      <c r="J29" s="18">
        <v>96</v>
      </c>
      <c r="K29" s="18">
        <v>4</v>
      </c>
      <c r="L29" s="18">
        <v>4</v>
      </c>
      <c r="M29" s="3">
        <v>9.83108</v>
      </c>
    </row>
    <row r="30" spans="1:13" x14ac:dyDescent="0.25">
      <c r="A30" s="78">
        <f t="shared" si="0"/>
        <v>29056</v>
      </c>
      <c r="B30" s="18">
        <v>28992</v>
      </c>
      <c r="C30" s="18">
        <v>96</v>
      </c>
      <c r="D30" s="18">
        <v>4</v>
      </c>
      <c r="E30" s="18">
        <v>4</v>
      </c>
      <c r="F30" s="3">
        <v>8.5797799999999995</v>
      </c>
      <c r="H30" s="78">
        <f t="shared" si="1"/>
        <v>29056</v>
      </c>
      <c r="I30" s="18">
        <v>28992</v>
      </c>
      <c r="J30" s="18">
        <v>96</v>
      </c>
      <c r="K30" s="18">
        <v>4</v>
      </c>
      <c r="L30" s="18">
        <v>4</v>
      </c>
      <c r="M30" s="3">
        <v>9.8963400000000004</v>
      </c>
    </row>
    <row r="31" spans="1:13" x14ac:dyDescent="0.25">
      <c r="A31" s="78">
        <f t="shared" si="0"/>
        <v>25984</v>
      </c>
      <c r="B31" s="18">
        <v>25984</v>
      </c>
      <c r="C31" s="18">
        <v>128</v>
      </c>
      <c r="D31" s="18">
        <v>1</v>
      </c>
      <c r="E31" s="18">
        <v>16</v>
      </c>
      <c r="F31" s="3">
        <v>8.8013199999999987</v>
      </c>
      <c r="H31" s="78">
        <f t="shared" si="1"/>
        <v>25984</v>
      </c>
      <c r="I31" s="18">
        <v>25984</v>
      </c>
      <c r="J31" s="18">
        <v>128</v>
      </c>
      <c r="K31" s="18">
        <v>1</v>
      </c>
      <c r="L31" s="18">
        <v>16</v>
      </c>
      <c r="M31" s="3">
        <v>9.2280800000000003</v>
      </c>
    </row>
    <row r="32" spans="1:13" x14ac:dyDescent="0.25">
      <c r="A32" s="78">
        <f t="shared" si="0"/>
        <v>27520</v>
      </c>
      <c r="B32" s="18">
        <v>27520</v>
      </c>
      <c r="C32" s="18">
        <v>128</v>
      </c>
      <c r="D32" s="18">
        <v>1</v>
      </c>
      <c r="E32" s="18">
        <v>16</v>
      </c>
      <c r="F32" s="3">
        <v>8.8530800000000003</v>
      </c>
      <c r="H32" s="78">
        <f t="shared" si="1"/>
        <v>27520</v>
      </c>
      <c r="I32" s="18">
        <v>27520</v>
      </c>
      <c r="J32" s="18">
        <v>128</v>
      </c>
      <c r="K32" s="18">
        <v>1</v>
      </c>
      <c r="L32" s="18">
        <v>16</v>
      </c>
      <c r="M32" s="3">
        <v>9.2963199999999997</v>
      </c>
    </row>
    <row r="33" spans="1:13" x14ac:dyDescent="0.25">
      <c r="A33" s="78">
        <f t="shared" si="0"/>
        <v>29056</v>
      </c>
      <c r="B33" s="18">
        <v>29056</v>
      </c>
      <c r="C33" s="18">
        <v>128</v>
      </c>
      <c r="D33" s="18">
        <v>1</v>
      </c>
      <c r="E33" s="18">
        <v>16</v>
      </c>
      <c r="F33" s="3">
        <v>8.8994599999999995</v>
      </c>
      <c r="H33" s="78">
        <f t="shared" si="1"/>
        <v>29056</v>
      </c>
      <c r="I33" s="18">
        <v>29056</v>
      </c>
      <c r="J33" s="18">
        <v>128</v>
      </c>
      <c r="K33" s="18">
        <v>1</v>
      </c>
      <c r="L33" s="18">
        <v>16</v>
      </c>
      <c r="M33" s="3">
        <v>9.3912200000000006</v>
      </c>
    </row>
    <row r="34" spans="1:13" x14ac:dyDescent="0.25">
      <c r="A34" s="78">
        <f t="shared" si="0"/>
        <v>25984</v>
      </c>
      <c r="B34" s="18">
        <v>25984</v>
      </c>
      <c r="C34" s="18">
        <v>128</v>
      </c>
      <c r="D34" s="18">
        <v>2</v>
      </c>
      <c r="E34" s="18">
        <v>8</v>
      </c>
      <c r="F34" s="3">
        <v>8.8095400000000001</v>
      </c>
      <c r="H34" s="78">
        <f t="shared" si="1"/>
        <v>25984</v>
      </c>
      <c r="I34" s="18">
        <v>25984</v>
      </c>
      <c r="J34" s="18">
        <v>128</v>
      </c>
      <c r="K34" s="18">
        <v>2</v>
      </c>
      <c r="L34" s="18">
        <v>8</v>
      </c>
      <c r="M34" s="3">
        <v>9.6521400000000011</v>
      </c>
    </row>
    <row r="35" spans="1:13" x14ac:dyDescent="0.25">
      <c r="A35" s="78">
        <f t="shared" si="0"/>
        <v>27520</v>
      </c>
      <c r="B35" s="18">
        <v>27520</v>
      </c>
      <c r="C35" s="18">
        <v>128</v>
      </c>
      <c r="D35" s="18">
        <v>2</v>
      </c>
      <c r="E35" s="18">
        <v>8</v>
      </c>
      <c r="F35" s="3">
        <v>8.7946200000000001</v>
      </c>
      <c r="H35" s="78">
        <f t="shared" si="1"/>
        <v>27520</v>
      </c>
      <c r="I35" s="18">
        <v>27520</v>
      </c>
      <c r="J35" s="18">
        <v>128</v>
      </c>
      <c r="K35" s="18">
        <v>2</v>
      </c>
      <c r="L35" s="18">
        <v>8</v>
      </c>
      <c r="M35" s="3">
        <v>9.6756799999999998</v>
      </c>
    </row>
    <row r="36" spans="1:13" x14ac:dyDescent="0.25">
      <c r="A36" s="78">
        <f t="shared" si="0"/>
        <v>29056</v>
      </c>
      <c r="B36" s="18">
        <v>29056</v>
      </c>
      <c r="C36" s="18">
        <v>128</v>
      </c>
      <c r="D36" s="18">
        <v>2</v>
      </c>
      <c r="E36" s="18">
        <v>8</v>
      </c>
      <c r="F36" s="3">
        <v>8.9261999999999997</v>
      </c>
      <c r="H36" s="78">
        <f t="shared" si="1"/>
        <v>29056</v>
      </c>
      <c r="I36" s="18">
        <v>29056</v>
      </c>
      <c r="J36" s="18">
        <v>128</v>
      </c>
      <c r="K36" s="18">
        <v>2</v>
      </c>
      <c r="L36" s="18">
        <v>8</v>
      </c>
      <c r="M36" s="3">
        <v>9.790519999999999</v>
      </c>
    </row>
    <row r="37" spans="1:13" x14ac:dyDescent="0.25">
      <c r="A37" s="78">
        <f t="shared" si="0"/>
        <v>25984</v>
      </c>
      <c r="B37" s="18">
        <v>25984</v>
      </c>
      <c r="C37" s="18">
        <v>128</v>
      </c>
      <c r="D37" s="18">
        <v>4</v>
      </c>
      <c r="E37" s="18">
        <v>4</v>
      </c>
      <c r="F37" s="3">
        <v>8.4120399999999993</v>
      </c>
      <c r="H37" s="78">
        <f t="shared" si="1"/>
        <v>25984</v>
      </c>
      <c r="I37" s="18">
        <v>25984</v>
      </c>
      <c r="J37" s="18">
        <v>128</v>
      </c>
      <c r="K37" s="18">
        <v>4</v>
      </c>
      <c r="L37" s="18">
        <v>4</v>
      </c>
      <c r="M37" s="3">
        <v>9.59572</v>
      </c>
    </row>
    <row r="38" spans="1:13" x14ac:dyDescent="0.25">
      <c r="A38" s="78">
        <f t="shared" si="0"/>
        <v>27520</v>
      </c>
      <c r="B38" s="18">
        <v>27520</v>
      </c>
      <c r="C38" s="18">
        <v>128</v>
      </c>
      <c r="D38" s="18">
        <v>4</v>
      </c>
      <c r="E38" s="18">
        <v>4</v>
      </c>
      <c r="F38" s="3">
        <v>8.7610200000000003</v>
      </c>
      <c r="H38" s="78">
        <f t="shared" si="1"/>
        <v>27520</v>
      </c>
      <c r="I38" s="18">
        <v>27520</v>
      </c>
      <c r="J38" s="18">
        <v>128</v>
      </c>
      <c r="K38" s="18">
        <v>4</v>
      </c>
      <c r="L38" s="18">
        <v>4</v>
      </c>
      <c r="M38" s="3">
        <v>9.677859999999999</v>
      </c>
    </row>
    <row r="39" spans="1:13" x14ac:dyDescent="0.25">
      <c r="A39" s="78">
        <f t="shared" si="0"/>
        <v>29056</v>
      </c>
      <c r="B39" s="18">
        <v>29056</v>
      </c>
      <c r="C39" s="18">
        <v>128</v>
      </c>
      <c r="D39" s="18">
        <v>4</v>
      </c>
      <c r="E39" s="18">
        <v>4</v>
      </c>
      <c r="F39" s="3">
        <v>8.9673600000000011</v>
      </c>
      <c r="H39" s="78">
        <f t="shared" si="1"/>
        <v>29056</v>
      </c>
      <c r="I39" s="18">
        <v>29056</v>
      </c>
      <c r="J39" s="18">
        <v>128</v>
      </c>
      <c r="K39" s="18">
        <v>4</v>
      </c>
      <c r="L39" s="18">
        <v>4</v>
      </c>
      <c r="M39" s="3">
        <v>9.7433000000000014</v>
      </c>
    </row>
    <row r="40" spans="1:13" x14ac:dyDescent="0.25">
      <c r="A40" s="78">
        <f t="shared" si="0"/>
        <v>25984</v>
      </c>
      <c r="B40" s="18">
        <v>25920</v>
      </c>
      <c r="C40" s="18">
        <v>160</v>
      </c>
      <c r="D40" s="18">
        <v>1</v>
      </c>
      <c r="E40" s="18">
        <v>16</v>
      </c>
      <c r="F40" s="3">
        <v>8.1645999999999983</v>
      </c>
      <c r="H40" s="78">
        <f t="shared" si="1"/>
        <v>25984</v>
      </c>
      <c r="I40" s="18">
        <v>25920</v>
      </c>
      <c r="J40" s="18">
        <v>160</v>
      </c>
      <c r="K40" s="18">
        <v>1</v>
      </c>
      <c r="L40" s="18">
        <v>16</v>
      </c>
      <c r="M40" s="3">
        <v>9.0670000000000019</v>
      </c>
    </row>
    <row r="41" spans="1:13" x14ac:dyDescent="0.25">
      <c r="A41" s="78">
        <f t="shared" si="0"/>
        <v>27520</v>
      </c>
      <c r="B41" s="18">
        <v>27520</v>
      </c>
      <c r="C41" s="18">
        <v>160</v>
      </c>
      <c r="D41" s="18">
        <v>1</v>
      </c>
      <c r="E41" s="18">
        <v>16</v>
      </c>
      <c r="F41" s="3">
        <v>8.2052600000000009</v>
      </c>
      <c r="H41" s="78">
        <f t="shared" si="1"/>
        <v>27520</v>
      </c>
      <c r="I41" s="18">
        <v>27520</v>
      </c>
      <c r="J41" s="18">
        <v>160</v>
      </c>
      <c r="K41" s="18">
        <v>1</v>
      </c>
      <c r="L41" s="18">
        <v>16</v>
      </c>
      <c r="M41" s="3">
        <v>9.1327600000000011</v>
      </c>
    </row>
    <row r="42" spans="1:13" x14ac:dyDescent="0.25">
      <c r="A42" s="78">
        <f t="shared" si="0"/>
        <v>29056</v>
      </c>
      <c r="B42" s="18">
        <v>28960</v>
      </c>
      <c r="C42" s="18">
        <v>160</v>
      </c>
      <c r="D42" s="18">
        <v>1</v>
      </c>
      <c r="E42" s="18">
        <v>16</v>
      </c>
      <c r="F42" s="3">
        <v>8.3054400000000008</v>
      </c>
      <c r="H42" s="78">
        <f t="shared" si="1"/>
        <v>29056</v>
      </c>
      <c r="I42" s="18">
        <v>28960</v>
      </c>
      <c r="J42" s="18">
        <v>160</v>
      </c>
      <c r="K42" s="18">
        <v>1</v>
      </c>
      <c r="L42" s="18">
        <v>16</v>
      </c>
      <c r="M42" s="3">
        <v>9.2028800000000004</v>
      </c>
    </row>
    <row r="43" spans="1:13" x14ac:dyDescent="0.25">
      <c r="A43" s="78">
        <f t="shared" si="0"/>
        <v>25984</v>
      </c>
      <c r="B43" s="18">
        <v>25920</v>
      </c>
      <c r="C43" s="18">
        <v>160</v>
      </c>
      <c r="D43" s="18">
        <v>2</v>
      </c>
      <c r="E43" s="18">
        <v>8</v>
      </c>
      <c r="F43" s="3">
        <v>8.5316200000000002</v>
      </c>
      <c r="H43" s="78">
        <f t="shared" si="1"/>
        <v>25984</v>
      </c>
      <c r="I43" s="18">
        <v>25920</v>
      </c>
      <c r="J43" s="18">
        <v>160</v>
      </c>
      <c r="K43" s="18">
        <v>2</v>
      </c>
      <c r="L43" s="18">
        <v>8</v>
      </c>
      <c r="M43" s="3">
        <v>9.5685000000000002</v>
      </c>
    </row>
    <row r="44" spans="1:13" x14ac:dyDescent="0.25">
      <c r="A44" s="78">
        <f t="shared" si="0"/>
        <v>27520</v>
      </c>
      <c r="B44" s="18">
        <v>27520</v>
      </c>
      <c r="C44" s="18">
        <v>160</v>
      </c>
      <c r="D44" s="18">
        <v>2</v>
      </c>
      <c r="E44" s="18">
        <v>8</v>
      </c>
      <c r="F44" s="3">
        <v>8.4949999999999992</v>
      </c>
      <c r="H44" s="78">
        <f t="shared" si="1"/>
        <v>27520</v>
      </c>
      <c r="I44" s="18">
        <v>27520</v>
      </c>
      <c r="J44" s="18">
        <v>160</v>
      </c>
      <c r="K44" s="18">
        <v>2</v>
      </c>
      <c r="L44" s="18">
        <v>8</v>
      </c>
      <c r="M44" s="3">
        <v>9.6519800000000018</v>
      </c>
    </row>
    <row r="45" spans="1:13" x14ac:dyDescent="0.25">
      <c r="A45" s="78">
        <f t="shared" si="0"/>
        <v>29056</v>
      </c>
      <c r="B45" s="18">
        <v>28960</v>
      </c>
      <c r="C45" s="18">
        <v>160</v>
      </c>
      <c r="D45" s="18">
        <v>2</v>
      </c>
      <c r="E45" s="18">
        <v>8</v>
      </c>
      <c r="F45" s="3">
        <v>8.6553399999999989</v>
      </c>
      <c r="H45" s="78">
        <f t="shared" si="1"/>
        <v>29056</v>
      </c>
      <c r="I45" s="18">
        <v>28960</v>
      </c>
      <c r="J45" s="18">
        <v>160</v>
      </c>
      <c r="K45" s="18">
        <v>2</v>
      </c>
      <c r="L45" s="18">
        <v>8</v>
      </c>
      <c r="M45" s="3">
        <v>9.7122599999999988</v>
      </c>
    </row>
    <row r="46" spans="1:13" x14ac:dyDescent="0.25">
      <c r="A46" s="78">
        <f t="shared" si="0"/>
        <v>25984</v>
      </c>
      <c r="B46" s="18">
        <v>25920</v>
      </c>
      <c r="C46" s="18">
        <v>160</v>
      </c>
      <c r="D46" s="18">
        <v>4</v>
      </c>
      <c r="E46" s="18">
        <v>4</v>
      </c>
      <c r="F46" s="3">
        <v>8.7473600000000005</v>
      </c>
      <c r="H46" s="78">
        <f t="shared" si="1"/>
        <v>25984</v>
      </c>
      <c r="I46" s="18">
        <v>25920</v>
      </c>
      <c r="J46" s="18">
        <v>160</v>
      </c>
      <c r="K46" s="18">
        <v>4</v>
      </c>
      <c r="L46" s="18">
        <v>4</v>
      </c>
      <c r="M46" s="3">
        <v>9.5504999999999995</v>
      </c>
    </row>
    <row r="47" spans="1:13" x14ac:dyDescent="0.25">
      <c r="A47" s="78">
        <f t="shared" si="0"/>
        <v>27520</v>
      </c>
      <c r="B47" s="18">
        <v>27520</v>
      </c>
      <c r="C47" s="18">
        <v>160</v>
      </c>
      <c r="D47" s="18">
        <v>4</v>
      </c>
      <c r="E47" s="18">
        <v>4</v>
      </c>
      <c r="F47" s="3">
        <v>8.7358000000000011</v>
      </c>
      <c r="H47" s="78">
        <f t="shared" si="1"/>
        <v>27520</v>
      </c>
      <c r="I47" s="18">
        <v>27520</v>
      </c>
      <c r="J47" s="18">
        <v>160</v>
      </c>
      <c r="K47" s="18">
        <v>4</v>
      </c>
      <c r="L47" s="18">
        <v>4</v>
      </c>
      <c r="M47" s="3">
        <v>9.6335999999999995</v>
      </c>
    </row>
    <row r="48" spans="1:13" x14ac:dyDescent="0.25">
      <c r="A48" s="78">
        <f t="shared" si="0"/>
        <v>29056</v>
      </c>
      <c r="B48" s="18">
        <v>28960</v>
      </c>
      <c r="C48" s="18">
        <v>160</v>
      </c>
      <c r="D48" s="18">
        <v>4</v>
      </c>
      <c r="E48" s="18">
        <v>4</v>
      </c>
      <c r="F48" s="3">
        <v>8.8467999999999982</v>
      </c>
      <c r="H48" s="78">
        <f t="shared" si="1"/>
        <v>29056</v>
      </c>
      <c r="I48" s="18">
        <v>28960</v>
      </c>
      <c r="J48" s="18">
        <v>160</v>
      </c>
      <c r="K48" s="18">
        <v>4</v>
      </c>
      <c r="L48" s="18">
        <v>4</v>
      </c>
      <c r="M48" s="3">
        <v>9.7031399999999994</v>
      </c>
    </row>
    <row r="49" spans="1:13" x14ac:dyDescent="0.25">
      <c r="A49" s="78">
        <f t="shared" si="0"/>
        <v>25984</v>
      </c>
      <c r="B49" s="18">
        <v>25920</v>
      </c>
      <c r="C49" s="18">
        <v>192</v>
      </c>
      <c r="D49" s="18">
        <v>1</v>
      </c>
      <c r="E49" s="18">
        <v>16</v>
      </c>
      <c r="F49" s="3">
        <v>8.0551799999999982</v>
      </c>
      <c r="H49" s="78">
        <f t="shared" si="1"/>
        <v>25984</v>
      </c>
      <c r="I49" s="18">
        <v>25920</v>
      </c>
      <c r="J49" s="18">
        <v>192</v>
      </c>
      <c r="K49" s="18">
        <v>1</v>
      </c>
      <c r="L49" s="18">
        <v>16</v>
      </c>
      <c r="M49" s="3">
        <v>8.8428000000000004</v>
      </c>
    </row>
    <row r="50" spans="1:13" x14ac:dyDescent="0.25">
      <c r="A50" s="78">
        <f t="shared" si="0"/>
        <v>27520</v>
      </c>
      <c r="B50" s="18">
        <v>27456</v>
      </c>
      <c r="C50" s="18">
        <v>192</v>
      </c>
      <c r="D50" s="18">
        <v>1</v>
      </c>
      <c r="E50" s="18">
        <v>16</v>
      </c>
      <c r="F50" s="3">
        <v>8.0792399999999986</v>
      </c>
      <c r="H50" s="78">
        <f t="shared" si="1"/>
        <v>27520</v>
      </c>
      <c r="I50" s="18">
        <v>27456</v>
      </c>
      <c r="J50" s="18">
        <v>192</v>
      </c>
      <c r="K50" s="18">
        <v>1</v>
      </c>
      <c r="L50" s="18">
        <v>16</v>
      </c>
      <c r="M50" s="3">
        <v>8.952</v>
      </c>
    </row>
    <row r="51" spans="1:13" x14ac:dyDescent="0.25">
      <c r="A51" s="78">
        <f t="shared" si="0"/>
        <v>29056</v>
      </c>
      <c r="B51" s="18">
        <v>28992</v>
      </c>
      <c r="C51" s="18">
        <v>192</v>
      </c>
      <c r="D51" s="18">
        <v>1</v>
      </c>
      <c r="E51" s="18">
        <v>16</v>
      </c>
      <c r="F51" s="3">
        <v>8.2011399999999988</v>
      </c>
      <c r="H51" s="78">
        <f t="shared" si="1"/>
        <v>29056</v>
      </c>
      <c r="I51" s="18">
        <v>28992</v>
      </c>
      <c r="J51" s="18">
        <v>192</v>
      </c>
      <c r="K51" s="18">
        <v>1</v>
      </c>
      <c r="L51" s="18">
        <v>16</v>
      </c>
      <c r="M51" s="3">
        <v>9.0000800000000005</v>
      </c>
    </row>
    <row r="52" spans="1:13" x14ac:dyDescent="0.25">
      <c r="A52" s="78">
        <f t="shared" si="0"/>
        <v>25984</v>
      </c>
      <c r="B52" s="18">
        <v>25920</v>
      </c>
      <c r="C52" s="18">
        <v>192</v>
      </c>
      <c r="D52" s="18">
        <v>2</v>
      </c>
      <c r="E52" s="18">
        <v>8</v>
      </c>
      <c r="F52" s="3">
        <v>8.5628599999999988</v>
      </c>
      <c r="H52" s="78">
        <f t="shared" si="1"/>
        <v>25984</v>
      </c>
      <c r="I52" s="18">
        <v>25920</v>
      </c>
      <c r="J52" s="18">
        <v>192</v>
      </c>
      <c r="K52" s="18">
        <v>2</v>
      </c>
      <c r="L52" s="18">
        <v>8</v>
      </c>
      <c r="M52" s="3">
        <v>9.43248</v>
      </c>
    </row>
    <row r="53" spans="1:13" x14ac:dyDescent="0.25">
      <c r="A53" s="78">
        <f t="shared" si="0"/>
        <v>27520</v>
      </c>
      <c r="B53" s="18">
        <v>27456</v>
      </c>
      <c r="C53" s="18">
        <v>192</v>
      </c>
      <c r="D53" s="18">
        <v>2</v>
      </c>
      <c r="E53" s="18">
        <v>8</v>
      </c>
      <c r="F53" s="3">
        <v>8.6084600000000009</v>
      </c>
      <c r="H53" s="78">
        <f t="shared" si="1"/>
        <v>27520</v>
      </c>
      <c r="I53" s="18">
        <v>27456</v>
      </c>
      <c r="J53" s="18">
        <v>192</v>
      </c>
      <c r="K53" s="18">
        <v>2</v>
      </c>
      <c r="L53" s="18">
        <v>8</v>
      </c>
      <c r="M53" s="3">
        <v>9.5067599999999999</v>
      </c>
    </row>
    <row r="54" spans="1:13" x14ac:dyDescent="0.25">
      <c r="A54" s="78">
        <f t="shared" si="0"/>
        <v>29056</v>
      </c>
      <c r="B54" s="18">
        <v>28992</v>
      </c>
      <c r="C54" s="18">
        <v>192</v>
      </c>
      <c r="D54" s="18">
        <v>2</v>
      </c>
      <c r="E54" s="18">
        <v>8</v>
      </c>
      <c r="F54" s="3">
        <v>8.6599799999999991</v>
      </c>
      <c r="H54" s="78">
        <f t="shared" si="1"/>
        <v>29056</v>
      </c>
      <c r="I54" s="18">
        <v>28992</v>
      </c>
      <c r="J54" s="18">
        <v>192</v>
      </c>
      <c r="K54" s="18">
        <v>2</v>
      </c>
      <c r="L54" s="18">
        <v>8</v>
      </c>
      <c r="M54" s="3">
        <v>9.6064199999999982</v>
      </c>
    </row>
    <row r="55" spans="1:13" x14ac:dyDescent="0.25">
      <c r="A55" s="78">
        <f t="shared" si="0"/>
        <v>25984</v>
      </c>
      <c r="B55" s="18">
        <v>25920</v>
      </c>
      <c r="C55" s="18">
        <v>192</v>
      </c>
      <c r="D55" s="18">
        <v>4</v>
      </c>
      <c r="E55" s="18">
        <v>4</v>
      </c>
      <c r="F55" s="3">
        <v>8.6850000000000005</v>
      </c>
      <c r="H55" s="78">
        <f t="shared" si="1"/>
        <v>25984</v>
      </c>
      <c r="I55" s="18">
        <v>25920</v>
      </c>
      <c r="J55" s="18">
        <v>192</v>
      </c>
      <c r="K55" s="18">
        <v>4</v>
      </c>
      <c r="L55" s="18">
        <v>4</v>
      </c>
      <c r="M55" s="3">
        <v>9.4485199999999985</v>
      </c>
    </row>
    <row r="56" spans="1:13" x14ac:dyDescent="0.25">
      <c r="A56" s="78">
        <f t="shared" si="0"/>
        <v>27520</v>
      </c>
      <c r="B56" s="18">
        <v>27456</v>
      </c>
      <c r="C56" s="18">
        <v>192</v>
      </c>
      <c r="D56" s="18">
        <v>4</v>
      </c>
      <c r="E56" s="18">
        <v>4</v>
      </c>
      <c r="F56" s="3">
        <v>8.8043200000000006</v>
      </c>
      <c r="H56" s="78">
        <f t="shared" si="1"/>
        <v>27520</v>
      </c>
      <c r="I56" s="18">
        <v>27456</v>
      </c>
      <c r="J56" s="18">
        <v>192</v>
      </c>
      <c r="K56" s="18">
        <v>4</v>
      </c>
      <c r="L56" s="18">
        <v>4</v>
      </c>
      <c r="M56" s="3">
        <v>9.5375399999999999</v>
      </c>
    </row>
    <row r="57" spans="1:13" x14ac:dyDescent="0.25">
      <c r="A57" s="78">
        <f t="shared" si="0"/>
        <v>29056</v>
      </c>
      <c r="B57" s="18">
        <v>28992</v>
      </c>
      <c r="C57" s="18">
        <v>192</v>
      </c>
      <c r="D57" s="18">
        <v>4</v>
      </c>
      <c r="E57" s="18">
        <v>4</v>
      </c>
      <c r="F57" s="3">
        <v>8.8650800000000007</v>
      </c>
      <c r="H57" s="78">
        <f t="shared" si="1"/>
        <v>29056</v>
      </c>
      <c r="I57" s="18">
        <v>28992</v>
      </c>
      <c r="J57" s="18">
        <v>192</v>
      </c>
      <c r="K57" s="18">
        <v>4</v>
      </c>
      <c r="L57" s="18">
        <v>4</v>
      </c>
      <c r="M57" s="3">
        <v>9.6207400000000014</v>
      </c>
    </row>
    <row r="58" spans="1:13" x14ac:dyDescent="0.25">
      <c r="A58" s="78">
        <f t="shared" si="0"/>
        <v>25984</v>
      </c>
      <c r="B58" s="18">
        <v>25984</v>
      </c>
      <c r="C58" s="18">
        <v>224</v>
      </c>
      <c r="D58" s="18">
        <v>1</v>
      </c>
      <c r="E58" s="18">
        <v>16</v>
      </c>
      <c r="F58" s="3">
        <v>7.9419599999999999</v>
      </c>
      <c r="H58" s="78">
        <f t="shared" si="1"/>
        <v>25984</v>
      </c>
      <c r="I58" s="18">
        <v>25984</v>
      </c>
      <c r="J58" s="18">
        <v>224</v>
      </c>
      <c r="K58" s="18">
        <v>1</v>
      </c>
      <c r="L58" s="18">
        <v>16</v>
      </c>
      <c r="M58" s="3">
        <v>8.6559799999999996</v>
      </c>
    </row>
    <row r="59" spans="1:13" x14ac:dyDescent="0.25">
      <c r="A59" s="78">
        <f t="shared" si="0"/>
        <v>27520</v>
      </c>
      <c r="B59" s="18">
        <v>27328</v>
      </c>
      <c r="C59" s="18">
        <v>224</v>
      </c>
      <c r="D59" s="18">
        <v>1</v>
      </c>
      <c r="E59" s="18">
        <v>16</v>
      </c>
      <c r="F59" s="3">
        <v>8.0431799999999996</v>
      </c>
      <c r="H59" s="78">
        <f t="shared" si="1"/>
        <v>27520</v>
      </c>
      <c r="I59" s="18">
        <v>27328</v>
      </c>
      <c r="J59" s="18">
        <v>224</v>
      </c>
      <c r="K59" s="18">
        <v>1</v>
      </c>
      <c r="L59" s="18">
        <v>16</v>
      </c>
      <c r="M59" s="3">
        <v>8.7078400000000009</v>
      </c>
    </row>
    <row r="60" spans="1:13" x14ac:dyDescent="0.25">
      <c r="A60" s="78">
        <f t="shared" si="0"/>
        <v>29056</v>
      </c>
      <c r="B60" s="18">
        <v>28896</v>
      </c>
      <c r="C60" s="18">
        <v>224</v>
      </c>
      <c r="D60" s="18">
        <v>1</v>
      </c>
      <c r="E60" s="18">
        <v>16</v>
      </c>
      <c r="F60" s="3">
        <v>8.1013800000000007</v>
      </c>
      <c r="H60" s="78">
        <f t="shared" si="1"/>
        <v>29056</v>
      </c>
      <c r="I60" s="18">
        <v>28896</v>
      </c>
      <c r="J60" s="18">
        <v>224</v>
      </c>
      <c r="K60" s="18">
        <v>1</v>
      </c>
      <c r="L60" s="18">
        <v>16</v>
      </c>
      <c r="M60" s="3">
        <v>8.83704</v>
      </c>
    </row>
    <row r="61" spans="1:13" x14ac:dyDescent="0.25">
      <c r="A61" s="78">
        <f t="shared" si="0"/>
        <v>25984</v>
      </c>
      <c r="B61" s="18">
        <v>25984</v>
      </c>
      <c r="C61" s="18">
        <v>224</v>
      </c>
      <c r="D61" s="18">
        <v>2</v>
      </c>
      <c r="E61" s="18">
        <v>8</v>
      </c>
      <c r="F61" s="3">
        <v>8.4481199999999994</v>
      </c>
      <c r="H61" s="78">
        <f t="shared" si="1"/>
        <v>25984</v>
      </c>
      <c r="I61" s="18">
        <v>25984</v>
      </c>
      <c r="J61" s="18">
        <v>224</v>
      </c>
      <c r="K61" s="18">
        <v>2</v>
      </c>
      <c r="L61" s="18">
        <v>8</v>
      </c>
      <c r="M61" s="3">
        <v>9.28322</v>
      </c>
    </row>
    <row r="62" spans="1:13" x14ac:dyDescent="0.25">
      <c r="A62" s="78">
        <f t="shared" si="0"/>
        <v>27520</v>
      </c>
      <c r="B62" s="18">
        <v>27328</v>
      </c>
      <c r="C62" s="18">
        <v>224</v>
      </c>
      <c r="D62" s="18">
        <v>2</v>
      </c>
      <c r="E62" s="18">
        <v>8</v>
      </c>
      <c r="F62" s="3">
        <v>8.428700000000001</v>
      </c>
      <c r="H62" s="78">
        <f t="shared" si="1"/>
        <v>27520</v>
      </c>
      <c r="I62" s="18">
        <v>27328</v>
      </c>
      <c r="J62" s="18">
        <v>224</v>
      </c>
      <c r="K62" s="18">
        <v>2</v>
      </c>
      <c r="L62" s="18">
        <v>8</v>
      </c>
      <c r="M62" s="3">
        <v>9.3772400000000005</v>
      </c>
    </row>
    <row r="63" spans="1:13" x14ac:dyDescent="0.25">
      <c r="A63" s="78">
        <f t="shared" si="0"/>
        <v>29056</v>
      </c>
      <c r="B63" s="18">
        <v>28896</v>
      </c>
      <c r="C63" s="18">
        <v>224</v>
      </c>
      <c r="D63" s="18">
        <v>2</v>
      </c>
      <c r="E63" s="18">
        <v>8</v>
      </c>
      <c r="F63" s="3">
        <v>8.5911799999999996</v>
      </c>
      <c r="H63" s="78">
        <f t="shared" si="1"/>
        <v>29056</v>
      </c>
      <c r="I63" s="18">
        <v>28896</v>
      </c>
      <c r="J63" s="18">
        <v>224</v>
      </c>
      <c r="K63" s="18">
        <v>2</v>
      </c>
      <c r="L63" s="18">
        <v>8</v>
      </c>
      <c r="M63" s="3">
        <v>9.4601800000000011</v>
      </c>
    </row>
    <row r="64" spans="1:13" x14ac:dyDescent="0.25">
      <c r="A64" s="78">
        <f t="shared" si="0"/>
        <v>25984</v>
      </c>
      <c r="B64" s="18">
        <v>25984</v>
      </c>
      <c r="C64" s="18">
        <v>224</v>
      </c>
      <c r="D64" s="18">
        <v>4</v>
      </c>
      <c r="E64" s="18">
        <v>4</v>
      </c>
      <c r="F64" s="3">
        <v>8.5875599999999999</v>
      </c>
      <c r="H64" s="78">
        <f t="shared" si="1"/>
        <v>25984</v>
      </c>
      <c r="I64" s="18">
        <v>25984</v>
      </c>
      <c r="J64" s="18">
        <v>224</v>
      </c>
      <c r="K64" s="18">
        <v>4</v>
      </c>
      <c r="L64" s="18">
        <v>4</v>
      </c>
      <c r="M64" s="3">
        <v>9.2549200000000003</v>
      </c>
    </row>
    <row r="65" spans="1:13" x14ac:dyDescent="0.25">
      <c r="A65" s="78">
        <f t="shared" si="0"/>
        <v>27520</v>
      </c>
      <c r="B65" s="18">
        <v>27328</v>
      </c>
      <c r="C65" s="18">
        <v>224</v>
      </c>
      <c r="D65" s="18">
        <v>4</v>
      </c>
      <c r="E65" s="18">
        <v>4</v>
      </c>
      <c r="F65" s="3">
        <v>8.5903400000000012</v>
      </c>
      <c r="H65" s="78">
        <f t="shared" si="1"/>
        <v>27520</v>
      </c>
      <c r="I65" s="18">
        <v>27328</v>
      </c>
      <c r="J65" s="18">
        <v>224</v>
      </c>
      <c r="K65" s="18">
        <v>4</v>
      </c>
      <c r="L65" s="18">
        <v>4</v>
      </c>
      <c r="M65" s="3">
        <v>9.4107599999999998</v>
      </c>
    </row>
    <row r="66" spans="1:13" x14ac:dyDescent="0.25">
      <c r="A66" s="78">
        <f t="shared" si="0"/>
        <v>29056</v>
      </c>
      <c r="B66" s="18">
        <v>28896</v>
      </c>
      <c r="C66" s="18">
        <v>224</v>
      </c>
      <c r="D66" s="18">
        <v>4</v>
      </c>
      <c r="E66" s="18">
        <v>4</v>
      </c>
      <c r="F66" s="3">
        <v>8.7198799999999999</v>
      </c>
      <c r="H66" s="78">
        <f t="shared" si="1"/>
        <v>29056</v>
      </c>
      <c r="I66" s="18">
        <v>28896</v>
      </c>
      <c r="J66" s="18">
        <v>224</v>
      </c>
      <c r="K66" s="18">
        <v>4</v>
      </c>
      <c r="L66" s="18">
        <v>4</v>
      </c>
      <c r="M66" s="3">
        <v>9.4892399999999988</v>
      </c>
    </row>
    <row r="67" spans="1:13" x14ac:dyDescent="0.25">
      <c r="A67" s="78">
        <f t="shared" si="0"/>
        <v>25984</v>
      </c>
      <c r="B67" s="18">
        <v>25856</v>
      </c>
      <c r="C67" s="18">
        <v>256</v>
      </c>
      <c r="D67" s="18">
        <v>1</v>
      </c>
      <c r="E67" s="18">
        <v>16</v>
      </c>
      <c r="F67" s="3">
        <v>7.6833599999999986</v>
      </c>
      <c r="H67" s="78">
        <f t="shared" si="1"/>
        <v>25984</v>
      </c>
      <c r="I67" s="18">
        <v>25856</v>
      </c>
      <c r="J67" s="18">
        <v>256</v>
      </c>
      <c r="K67" s="18">
        <v>1</v>
      </c>
      <c r="L67" s="18">
        <v>16</v>
      </c>
      <c r="M67" s="3">
        <v>8.3831600000000002</v>
      </c>
    </row>
    <row r="68" spans="1:13" x14ac:dyDescent="0.25">
      <c r="A68" s="78">
        <f t="shared" si="0"/>
        <v>27520</v>
      </c>
      <c r="B68" s="18">
        <v>27392</v>
      </c>
      <c r="C68" s="18">
        <v>256</v>
      </c>
      <c r="D68" s="18">
        <v>1</v>
      </c>
      <c r="E68" s="18">
        <v>16</v>
      </c>
      <c r="F68" s="3">
        <v>7.7597000000000005</v>
      </c>
      <c r="H68" s="78">
        <f t="shared" si="1"/>
        <v>27520</v>
      </c>
      <c r="I68" s="18">
        <v>27392</v>
      </c>
      <c r="J68" s="18">
        <v>256</v>
      </c>
      <c r="K68" s="18">
        <v>1</v>
      </c>
      <c r="L68" s="18">
        <v>16</v>
      </c>
      <c r="M68" s="3">
        <v>8.4752800000000015</v>
      </c>
    </row>
    <row r="69" spans="1:13" x14ac:dyDescent="0.25">
      <c r="A69" s="78">
        <f t="shared" ref="A69:A86" si="2">CHOOSE(IF(ABS(B69-25984) &lt;= ABS(B69-27520),IF(ABS(B69-25984) &lt;= ABS(B69-29056),1,3),IF(ABS(B69-27520) &lt;= ABS(B69-29056),2,3)),25984,27520,29056)</f>
        <v>29056</v>
      </c>
      <c r="B69" s="18">
        <v>28928</v>
      </c>
      <c r="C69" s="18">
        <v>256</v>
      </c>
      <c r="D69" s="18">
        <v>1</v>
      </c>
      <c r="E69" s="18">
        <v>16</v>
      </c>
      <c r="F69" s="3">
        <v>7.8920199999999996</v>
      </c>
      <c r="H69" s="78">
        <f t="shared" ref="H69:H132" si="3">CHOOSE(IF(ABS(I69-25984) &lt;= ABS(I69-27520),IF(ABS(I69-25984) &lt;= ABS(I69-29056),1,3),IF(ABS(I69-27520) &lt;= ABS(I69-29056),2,3)),25984,27520,29056)</f>
        <v>29056</v>
      </c>
      <c r="I69" s="18">
        <v>28928</v>
      </c>
      <c r="J69" s="18">
        <v>256</v>
      </c>
      <c r="K69" s="18">
        <v>1</v>
      </c>
      <c r="L69" s="18">
        <v>16</v>
      </c>
      <c r="M69" s="3">
        <v>8.6222000000000012</v>
      </c>
    </row>
    <row r="70" spans="1:13" x14ac:dyDescent="0.25">
      <c r="A70" s="78">
        <f t="shared" si="2"/>
        <v>25984</v>
      </c>
      <c r="B70" s="18">
        <v>25856</v>
      </c>
      <c r="C70" s="18">
        <v>256</v>
      </c>
      <c r="D70" s="18">
        <v>2</v>
      </c>
      <c r="E70" s="18">
        <v>8</v>
      </c>
      <c r="F70" s="3">
        <v>8.3378999999999994</v>
      </c>
      <c r="H70" s="78">
        <f t="shared" si="3"/>
        <v>25984</v>
      </c>
      <c r="I70" s="18">
        <v>25856</v>
      </c>
      <c r="J70" s="18">
        <v>256</v>
      </c>
      <c r="K70" s="18">
        <v>2</v>
      </c>
      <c r="L70" s="18">
        <v>8</v>
      </c>
      <c r="M70" s="3">
        <v>9.1105000000000018</v>
      </c>
    </row>
    <row r="71" spans="1:13" x14ac:dyDescent="0.25">
      <c r="A71" s="78">
        <f t="shared" si="2"/>
        <v>27520</v>
      </c>
      <c r="B71" s="18">
        <v>27392</v>
      </c>
      <c r="C71" s="18">
        <v>256</v>
      </c>
      <c r="D71" s="18">
        <v>2</v>
      </c>
      <c r="E71" s="18">
        <v>8</v>
      </c>
      <c r="F71" s="3">
        <v>8.4084199999999996</v>
      </c>
      <c r="H71" s="78">
        <f t="shared" si="3"/>
        <v>27520</v>
      </c>
      <c r="I71" s="18">
        <v>27392</v>
      </c>
      <c r="J71" s="18">
        <v>256</v>
      </c>
      <c r="K71" s="18">
        <v>2</v>
      </c>
      <c r="L71" s="18">
        <v>8</v>
      </c>
      <c r="M71" s="3">
        <v>9.1799599999999995</v>
      </c>
    </row>
    <row r="72" spans="1:13" x14ac:dyDescent="0.25">
      <c r="A72" s="78">
        <f t="shared" si="2"/>
        <v>29056</v>
      </c>
      <c r="B72" s="18">
        <v>28928</v>
      </c>
      <c r="C72" s="18">
        <v>256</v>
      </c>
      <c r="D72" s="18">
        <v>2</v>
      </c>
      <c r="E72" s="18">
        <v>8</v>
      </c>
      <c r="F72" s="3">
        <v>8.4124599999999994</v>
      </c>
      <c r="H72" s="78">
        <f t="shared" si="3"/>
        <v>29056</v>
      </c>
      <c r="I72" s="18">
        <v>28928</v>
      </c>
      <c r="J72" s="18">
        <v>256</v>
      </c>
      <c r="K72" s="18">
        <v>2</v>
      </c>
      <c r="L72" s="18">
        <v>8</v>
      </c>
      <c r="M72" s="3">
        <v>9.2994999999999983</v>
      </c>
    </row>
    <row r="73" spans="1:13" x14ac:dyDescent="0.25">
      <c r="A73" s="78">
        <f t="shared" si="2"/>
        <v>25984</v>
      </c>
      <c r="B73" s="18">
        <v>25856</v>
      </c>
      <c r="C73" s="18">
        <v>256</v>
      </c>
      <c r="D73" s="18">
        <v>4</v>
      </c>
      <c r="E73" s="18">
        <v>4</v>
      </c>
      <c r="F73" s="3">
        <v>8.5165800000000011</v>
      </c>
      <c r="H73" s="78">
        <f t="shared" si="3"/>
        <v>25984</v>
      </c>
      <c r="I73" s="18">
        <v>25856</v>
      </c>
      <c r="J73" s="18">
        <v>256</v>
      </c>
      <c r="K73" s="18">
        <v>4</v>
      </c>
      <c r="L73" s="18">
        <v>4</v>
      </c>
      <c r="M73" s="3">
        <v>9.1932800000000015</v>
      </c>
    </row>
    <row r="74" spans="1:13" x14ac:dyDescent="0.25">
      <c r="A74" s="78">
        <f t="shared" si="2"/>
        <v>27520</v>
      </c>
      <c r="B74" s="18">
        <v>27392</v>
      </c>
      <c r="C74" s="18">
        <v>256</v>
      </c>
      <c r="D74" s="18">
        <v>4</v>
      </c>
      <c r="E74" s="18">
        <v>4</v>
      </c>
      <c r="F74" s="3">
        <v>8.5829200000000014</v>
      </c>
      <c r="H74" s="78">
        <f t="shared" si="3"/>
        <v>27520</v>
      </c>
      <c r="I74" s="18">
        <v>27392</v>
      </c>
      <c r="J74" s="18">
        <v>256</v>
      </c>
      <c r="K74" s="18">
        <v>4</v>
      </c>
      <c r="L74" s="18">
        <v>4</v>
      </c>
      <c r="M74" s="3">
        <v>9.28904</v>
      </c>
    </row>
    <row r="75" spans="1:13" x14ac:dyDescent="0.25">
      <c r="A75" s="78">
        <f t="shared" si="2"/>
        <v>29056</v>
      </c>
      <c r="B75" s="18">
        <v>28928</v>
      </c>
      <c r="C75" s="18">
        <v>256</v>
      </c>
      <c r="D75" s="18">
        <v>4</v>
      </c>
      <c r="E75" s="18">
        <v>4</v>
      </c>
      <c r="F75" s="3">
        <v>8.5384999999999991</v>
      </c>
      <c r="H75" s="78">
        <f t="shared" si="3"/>
        <v>29056</v>
      </c>
      <c r="I75" s="18">
        <v>28928</v>
      </c>
      <c r="J75" s="18">
        <v>256</v>
      </c>
      <c r="K75" s="18">
        <v>4</v>
      </c>
      <c r="L75" s="18">
        <v>4</v>
      </c>
      <c r="M75" s="3">
        <v>9.3642800000000008</v>
      </c>
    </row>
    <row r="76" spans="1:13" x14ac:dyDescent="0.25">
      <c r="A76" s="78">
        <f t="shared" si="2"/>
        <v>29056</v>
      </c>
      <c r="B76" s="18">
        <v>29016</v>
      </c>
      <c r="C76" s="18">
        <v>72</v>
      </c>
      <c r="D76" s="18">
        <v>4</v>
      </c>
      <c r="E76" s="18">
        <v>4</v>
      </c>
      <c r="F76" s="3">
        <v>7.4601799999999994</v>
      </c>
      <c r="H76" s="78">
        <f t="shared" si="3"/>
        <v>29056</v>
      </c>
      <c r="I76" s="18">
        <v>29040</v>
      </c>
      <c r="J76" s="18">
        <v>60</v>
      </c>
      <c r="K76" s="18">
        <v>2</v>
      </c>
      <c r="L76" s="18">
        <v>8</v>
      </c>
      <c r="M76" s="3">
        <v>9.9490400000000001</v>
      </c>
    </row>
    <row r="77" spans="1:13" x14ac:dyDescent="0.25">
      <c r="A77" s="78">
        <f t="shared" si="2"/>
        <v>29056</v>
      </c>
      <c r="B77" s="18">
        <v>29040</v>
      </c>
      <c r="C77" s="18">
        <v>80</v>
      </c>
      <c r="D77" s="18">
        <v>4</v>
      </c>
      <c r="E77" s="18">
        <v>4</v>
      </c>
      <c r="F77" s="3">
        <v>7.5332600000000003</v>
      </c>
      <c r="H77" s="78">
        <f t="shared" si="3"/>
        <v>29056</v>
      </c>
      <c r="I77" s="18">
        <v>29056</v>
      </c>
      <c r="J77" s="18">
        <v>64</v>
      </c>
      <c r="K77" s="18">
        <v>2</v>
      </c>
      <c r="L77" s="18">
        <v>8</v>
      </c>
      <c r="M77" s="3">
        <v>10.039</v>
      </c>
    </row>
    <row r="78" spans="1:13" x14ac:dyDescent="0.25">
      <c r="A78" s="78">
        <f t="shared" si="2"/>
        <v>29056</v>
      </c>
      <c r="B78" s="18">
        <v>29304</v>
      </c>
      <c r="C78" s="18">
        <v>88</v>
      </c>
      <c r="D78" s="18">
        <v>1</v>
      </c>
      <c r="E78" s="18">
        <v>16</v>
      </c>
      <c r="F78" s="3">
        <v>7.6678400000000009</v>
      </c>
      <c r="H78" s="78">
        <f t="shared" si="3"/>
        <v>29056</v>
      </c>
      <c r="I78" s="18">
        <v>29036</v>
      </c>
      <c r="J78" s="18">
        <v>68</v>
      </c>
      <c r="K78" s="18">
        <v>2</v>
      </c>
      <c r="L78" s="18">
        <v>8</v>
      </c>
      <c r="M78" s="3">
        <v>9.9882799999999996</v>
      </c>
    </row>
    <row r="79" spans="1:13" x14ac:dyDescent="0.25">
      <c r="A79" s="78">
        <f t="shared" si="2"/>
        <v>29056</v>
      </c>
      <c r="B79" s="18">
        <v>29304</v>
      </c>
      <c r="C79" s="18">
        <v>88</v>
      </c>
      <c r="D79" s="18">
        <v>2</v>
      </c>
      <c r="E79" s="18">
        <v>8</v>
      </c>
      <c r="F79" s="3">
        <v>8.1246599999999987</v>
      </c>
      <c r="H79" s="78">
        <f t="shared" si="3"/>
        <v>29056</v>
      </c>
      <c r="I79" s="18">
        <v>29016</v>
      </c>
      <c r="J79" s="18">
        <v>72</v>
      </c>
      <c r="K79" s="18">
        <v>2</v>
      </c>
      <c r="L79" s="18">
        <v>8</v>
      </c>
      <c r="M79" s="3">
        <v>10.032860000000001</v>
      </c>
    </row>
    <row r="80" spans="1:13" x14ac:dyDescent="0.25">
      <c r="A80" s="78">
        <f t="shared" si="2"/>
        <v>29056</v>
      </c>
      <c r="B80" s="18">
        <v>29040</v>
      </c>
      <c r="C80" s="18">
        <v>88</v>
      </c>
      <c r="D80" s="18">
        <v>4</v>
      </c>
      <c r="E80" s="18">
        <v>4</v>
      </c>
      <c r="F80" s="3">
        <v>8.1418199999999992</v>
      </c>
      <c r="H80" s="78">
        <f t="shared" si="3"/>
        <v>29056</v>
      </c>
      <c r="I80" s="18">
        <v>29032</v>
      </c>
      <c r="J80" s="18">
        <v>76</v>
      </c>
      <c r="K80" s="18">
        <v>2</v>
      </c>
      <c r="L80" s="18">
        <v>8</v>
      </c>
      <c r="M80" s="3">
        <v>9.9887800000000002</v>
      </c>
    </row>
    <row r="81" spans="1:13" x14ac:dyDescent="0.25">
      <c r="A81" s="78">
        <f t="shared" si="2"/>
        <v>29056</v>
      </c>
      <c r="B81" s="18">
        <v>29304</v>
      </c>
      <c r="C81" s="18">
        <v>88</v>
      </c>
      <c r="D81" s="18">
        <v>4</v>
      </c>
      <c r="E81" s="18">
        <v>4</v>
      </c>
      <c r="F81" s="3">
        <v>8.2957199999999993</v>
      </c>
      <c r="H81" s="78">
        <f t="shared" si="3"/>
        <v>29056</v>
      </c>
      <c r="I81" s="18">
        <v>29040</v>
      </c>
      <c r="J81" s="18">
        <v>80</v>
      </c>
      <c r="K81" s="18">
        <v>2</v>
      </c>
      <c r="L81" s="18">
        <v>8</v>
      </c>
      <c r="M81" s="3">
        <v>10.032399999999999</v>
      </c>
    </row>
    <row r="82" spans="1:13" x14ac:dyDescent="0.25">
      <c r="A82" s="78">
        <f t="shared" si="2"/>
        <v>29056</v>
      </c>
      <c r="B82" s="18">
        <v>29224</v>
      </c>
      <c r="C82" s="18">
        <v>104</v>
      </c>
      <c r="D82" s="18">
        <v>1</v>
      </c>
      <c r="E82" s="18">
        <v>16</v>
      </c>
      <c r="F82" s="3">
        <v>8.3034999999999997</v>
      </c>
      <c r="H82" s="78">
        <f t="shared" si="3"/>
        <v>29056</v>
      </c>
      <c r="I82" s="18">
        <v>29040</v>
      </c>
      <c r="J82" s="18">
        <v>88</v>
      </c>
      <c r="K82" s="18">
        <v>2</v>
      </c>
      <c r="L82" s="18">
        <v>8</v>
      </c>
      <c r="M82" s="3">
        <v>10.007480000000001</v>
      </c>
    </row>
    <row r="83" spans="1:13" x14ac:dyDescent="0.25">
      <c r="A83" s="78">
        <f t="shared" si="2"/>
        <v>29056</v>
      </c>
      <c r="B83" s="18">
        <v>29224</v>
      </c>
      <c r="C83" s="18">
        <v>104</v>
      </c>
      <c r="D83" s="18">
        <v>2</v>
      </c>
      <c r="E83" s="18">
        <v>8</v>
      </c>
      <c r="F83" s="3">
        <v>8.3779999999999983</v>
      </c>
      <c r="H83" s="78">
        <f t="shared" si="3"/>
        <v>29056</v>
      </c>
      <c r="I83" s="18">
        <v>29016</v>
      </c>
      <c r="J83" s="18">
        <v>104</v>
      </c>
      <c r="K83" s="18">
        <v>2</v>
      </c>
      <c r="L83" s="18">
        <v>8</v>
      </c>
      <c r="M83" s="3">
        <v>9.9265399999999993</v>
      </c>
    </row>
    <row r="84" spans="1:13" x14ac:dyDescent="0.25">
      <c r="A84" s="78">
        <f t="shared" si="2"/>
        <v>29056</v>
      </c>
      <c r="B84" s="18">
        <v>29224</v>
      </c>
      <c r="C84" s="18">
        <v>104</v>
      </c>
      <c r="D84" s="18">
        <v>4</v>
      </c>
      <c r="E84" s="18">
        <v>4</v>
      </c>
      <c r="F84" s="3">
        <v>8.4442199999999996</v>
      </c>
      <c r="H84" s="78">
        <f t="shared" si="3"/>
        <v>29056</v>
      </c>
      <c r="I84" s="18">
        <v>29008</v>
      </c>
      <c r="J84" s="18">
        <v>112</v>
      </c>
      <c r="K84" s="18">
        <v>2</v>
      </c>
      <c r="L84" s="18">
        <v>8</v>
      </c>
      <c r="M84" s="3">
        <v>9.8692600000000006</v>
      </c>
    </row>
    <row r="85" spans="1:13" x14ac:dyDescent="0.25">
      <c r="A85" s="78">
        <f t="shared" si="2"/>
        <v>25984</v>
      </c>
      <c r="B85" s="18">
        <v>0</v>
      </c>
      <c r="C85" s="18">
        <v>0</v>
      </c>
      <c r="D85" s="18">
        <v>0</v>
      </c>
      <c r="E85" s="18">
        <v>0</v>
      </c>
      <c r="F85" s="3">
        <v>0</v>
      </c>
      <c r="H85" s="78">
        <f t="shared" si="3"/>
        <v>25984</v>
      </c>
      <c r="I85" s="18">
        <v>0</v>
      </c>
      <c r="J85" s="18">
        <v>0</v>
      </c>
      <c r="K85" s="18">
        <v>0</v>
      </c>
      <c r="L85" s="18">
        <v>0</v>
      </c>
      <c r="M85" s="3">
        <v>0</v>
      </c>
    </row>
    <row r="86" spans="1:13" x14ac:dyDescent="0.25">
      <c r="A86" s="78">
        <f t="shared" si="2"/>
        <v>25984</v>
      </c>
      <c r="B86" s="18">
        <v>0</v>
      </c>
      <c r="C86" s="18">
        <v>0</v>
      </c>
      <c r="D86" s="18">
        <v>0</v>
      </c>
      <c r="E86" s="18">
        <v>0</v>
      </c>
      <c r="F86" s="3">
        <v>0</v>
      </c>
      <c r="H86" s="78">
        <f t="shared" si="3"/>
        <v>25984</v>
      </c>
      <c r="I86" s="18">
        <v>0</v>
      </c>
      <c r="J86" s="18">
        <v>0</v>
      </c>
      <c r="K86" s="18">
        <v>0</v>
      </c>
      <c r="L86" s="18">
        <v>0</v>
      </c>
      <c r="M86" s="3">
        <v>0</v>
      </c>
    </row>
    <row r="87" spans="1:13" x14ac:dyDescent="0.25">
      <c r="H87" s="78">
        <f t="shared" si="3"/>
        <v>25984</v>
      </c>
      <c r="I87" s="18">
        <v>0</v>
      </c>
      <c r="J87" s="18">
        <v>0</v>
      </c>
      <c r="K87" s="18">
        <v>0</v>
      </c>
      <c r="L87" s="18">
        <v>0</v>
      </c>
      <c r="M87" s="3">
        <v>0</v>
      </c>
    </row>
    <row r="88" spans="1:13" x14ac:dyDescent="0.25">
      <c r="H88" s="78">
        <f t="shared" si="3"/>
        <v>25984</v>
      </c>
      <c r="I88" s="18">
        <v>0</v>
      </c>
      <c r="J88" s="18">
        <v>0</v>
      </c>
      <c r="K88" s="18">
        <v>0</v>
      </c>
      <c r="L88" s="18">
        <v>0</v>
      </c>
      <c r="M88" s="3">
        <v>0</v>
      </c>
    </row>
    <row r="89" spans="1:13" x14ac:dyDescent="0.25">
      <c r="H89" s="78">
        <f t="shared" si="3"/>
        <v>25984</v>
      </c>
      <c r="I89" s="18">
        <v>0</v>
      </c>
      <c r="J89" s="18">
        <v>0</v>
      </c>
      <c r="K89" s="18">
        <v>0</v>
      </c>
      <c r="L89" s="18">
        <v>0</v>
      </c>
      <c r="M89" s="3">
        <v>0</v>
      </c>
    </row>
    <row r="90" spans="1:13" x14ac:dyDescent="0.25">
      <c r="H90" s="78">
        <f t="shared" si="3"/>
        <v>25984</v>
      </c>
      <c r="I90" s="18">
        <v>0</v>
      </c>
      <c r="J90" s="18">
        <v>0</v>
      </c>
      <c r="K90" s="18">
        <v>0</v>
      </c>
      <c r="L90" s="18">
        <v>0</v>
      </c>
      <c r="M90" s="3">
        <v>0</v>
      </c>
    </row>
    <row r="91" spans="1:13" x14ac:dyDescent="0.25">
      <c r="H91" s="78">
        <f t="shared" si="3"/>
        <v>25984</v>
      </c>
      <c r="I91" s="18">
        <v>0</v>
      </c>
      <c r="J91" s="18">
        <v>0</v>
      </c>
      <c r="K91" s="18">
        <v>0</v>
      </c>
      <c r="L91" s="18">
        <v>0</v>
      </c>
      <c r="M91" s="3">
        <v>0</v>
      </c>
    </row>
    <row r="92" spans="1:13" x14ac:dyDescent="0.25">
      <c r="H92" s="78">
        <f t="shared" si="3"/>
        <v>25984</v>
      </c>
      <c r="I92" s="18">
        <v>0</v>
      </c>
      <c r="J92" s="18">
        <v>0</v>
      </c>
      <c r="K92" s="18">
        <v>0</v>
      </c>
      <c r="L92" s="18">
        <v>0</v>
      </c>
      <c r="M92" s="3">
        <v>0</v>
      </c>
    </row>
    <row r="93" spans="1:13" x14ac:dyDescent="0.25">
      <c r="H93" s="78">
        <f t="shared" si="3"/>
        <v>25984</v>
      </c>
      <c r="I93" s="18">
        <v>0</v>
      </c>
      <c r="J93" s="18">
        <v>0</v>
      </c>
      <c r="K93" s="18">
        <v>0</v>
      </c>
      <c r="L93" s="18">
        <v>0</v>
      </c>
      <c r="M93" s="3">
        <v>0</v>
      </c>
    </row>
    <row r="94" spans="1:13" x14ac:dyDescent="0.25">
      <c r="H94" s="78">
        <f t="shared" si="3"/>
        <v>25984</v>
      </c>
      <c r="I94" s="18">
        <v>0</v>
      </c>
      <c r="J94" s="18">
        <v>0</v>
      </c>
      <c r="K94" s="18">
        <v>0</v>
      </c>
      <c r="L94" s="18">
        <v>0</v>
      </c>
      <c r="M94" s="3">
        <v>0</v>
      </c>
    </row>
    <row r="95" spans="1:13" x14ac:dyDescent="0.25">
      <c r="H95" s="78">
        <f t="shared" si="3"/>
        <v>25984</v>
      </c>
      <c r="I95" s="18">
        <v>0</v>
      </c>
      <c r="J95" s="18">
        <v>0</v>
      </c>
      <c r="K95" s="18">
        <v>0</v>
      </c>
      <c r="L95" s="18">
        <v>0</v>
      </c>
      <c r="M95" s="3">
        <v>0</v>
      </c>
    </row>
    <row r="96" spans="1:13" x14ac:dyDescent="0.25">
      <c r="H96" s="78">
        <f t="shared" si="3"/>
        <v>25984</v>
      </c>
      <c r="I96" s="18">
        <v>0</v>
      </c>
      <c r="J96" s="18">
        <v>0</v>
      </c>
      <c r="K96" s="18">
        <v>0</v>
      </c>
      <c r="L96" s="18">
        <v>0</v>
      </c>
      <c r="M96" s="3">
        <v>0</v>
      </c>
    </row>
    <row r="97" spans="8:13" x14ac:dyDescent="0.25">
      <c r="H97" s="78">
        <f t="shared" si="3"/>
        <v>25984</v>
      </c>
      <c r="I97" s="18">
        <v>0</v>
      </c>
      <c r="J97" s="18">
        <v>0</v>
      </c>
      <c r="K97" s="18">
        <v>0</v>
      </c>
      <c r="L97" s="18">
        <v>0</v>
      </c>
      <c r="M97" s="3">
        <v>0</v>
      </c>
    </row>
    <row r="98" spans="8:13" x14ac:dyDescent="0.25">
      <c r="H98" s="78">
        <f t="shared" si="3"/>
        <v>25984</v>
      </c>
      <c r="I98" s="18">
        <v>0</v>
      </c>
      <c r="J98" s="18">
        <v>0</v>
      </c>
      <c r="K98" s="18">
        <v>0</v>
      </c>
      <c r="L98" s="18">
        <v>0</v>
      </c>
      <c r="M98" s="3">
        <v>0</v>
      </c>
    </row>
    <row r="99" spans="8:13" x14ac:dyDescent="0.25">
      <c r="H99" s="78">
        <f t="shared" si="3"/>
        <v>25984</v>
      </c>
      <c r="I99" s="18">
        <v>0</v>
      </c>
      <c r="J99" s="18">
        <v>0</v>
      </c>
      <c r="K99" s="18">
        <v>0</v>
      </c>
      <c r="L99" s="18">
        <v>0</v>
      </c>
      <c r="M99" s="3">
        <v>0</v>
      </c>
    </row>
    <row r="100" spans="8:13" x14ac:dyDescent="0.25">
      <c r="H100" s="78">
        <f t="shared" si="3"/>
        <v>25984</v>
      </c>
      <c r="I100" s="18">
        <v>0</v>
      </c>
      <c r="J100" s="18">
        <v>0</v>
      </c>
      <c r="K100" s="18">
        <v>0</v>
      </c>
      <c r="L100" s="18">
        <v>0</v>
      </c>
      <c r="M100" s="3">
        <v>0</v>
      </c>
    </row>
    <row r="101" spans="8:13" x14ac:dyDescent="0.25">
      <c r="H101" s="78">
        <f t="shared" si="3"/>
        <v>25984</v>
      </c>
      <c r="I101" s="18">
        <v>0</v>
      </c>
      <c r="J101" s="18">
        <v>0</v>
      </c>
      <c r="K101" s="18">
        <v>0</v>
      </c>
      <c r="L101" s="18">
        <v>0</v>
      </c>
      <c r="M101" s="3">
        <v>0</v>
      </c>
    </row>
    <row r="102" spans="8:13" x14ac:dyDescent="0.25">
      <c r="H102" s="78">
        <f t="shared" si="3"/>
        <v>25984</v>
      </c>
      <c r="I102" s="18">
        <v>0</v>
      </c>
      <c r="J102" s="18">
        <v>0</v>
      </c>
      <c r="K102" s="18">
        <v>0</v>
      </c>
      <c r="L102" s="18">
        <v>0</v>
      </c>
      <c r="M102" s="3">
        <v>0</v>
      </c>
    </row>
    <row r="103" spans="8:13" x14ac:dyDescent="0.25">
      <c r="H103" s="78">
        <f t="shared" si="3"/>
        <v>25984</v>
      </c>
      <c r="I103" s="18">
        <v>0</v>
      </c>
      <c r="J103" s="18">
        <v>0</v>
      </c>
      <c r="K103" s="18">
        <v>0</v>
      </c>
      <c r="L103" s="18">
        <v>0</v>
      </c>
      <c r="M103" s="3">
        <v>0</v>
      </c>
    </row>
    <row r="104" spans="8:13" x14ac:dyDescent="0.25">
      <c r="H104" s="78">
        <f t="shared" si="3"/>
        <v>25984</v>
      </c>
      <c r="I104" s="18">
        <v>0</v>
      </c>
      <c r="J104" s="18">
        <v>0</v>
      </c>
      <c r="K104" s="18">
        <v>0</v>
      </c>
      <c r="L104" s="18">
        <v>0</v>
      </c>
      <c r="M104" s="3">
        <v>0</v>
      </c>
    </row>
    <row r="105" spans="8:13" x14ac:dyDescent="0.25">
      <c r="H105" s="78">
        <f t="shared" si="3"/>
        <v>25984</v>
      </c>
      <c r="I105" s="18">
        <v>0</v>
      </c>
      <c r="J105" s="18">
        <v>0</v>
      </c>
      <c r="K105" s="18">
        <v>0</v>
      </c>
      <c r="L105" s="18">
        <v>0</v>
      </c>
      <c r="M105" s="3">
        <v>0</v>
      </c>
    </row>
    <row r="106" spans="8:13" x14ac:dyDescent="0.25">
      <c r="H106" s="78">
        <f t="shared" si="3"/>
        <v>25984</v>
      </c>
      <c r="I106" s="18">
        <v>0</v>
      </c>
      <c r="J106" s="18">
        <v>0</v>
      </c>
      <c r="K106" s="18">
        <v>0</v>
      </c>
      <c r="L106" s="18">
        <v>0</v>
      </c>
      <c r="M106" s="3">
        <v>0</v>
      </c>
    </row>
    <row r="107" spans="8:13" x14ac:dyDescent="0.25">
      <c r="H107" s="78">
        <f t="shared" si="3"/>
        <v>25984</v>
      </c>
      <c r="I107" s="18">
        <v>0</v>
      </c>
      <c r="J107" s="18">
        <v>0</v>
      </c>
      <c r="K107" s="18">
        <v>0</v>
      </c>
      <c r="L107" s="18">
        <v>0</v>
      </c>
      <c r="M107" s="3">
        <v>0</v>
      </c>
    </row>
    <row r="108" spans="8:13" x14ac:dyDescent="0.25">
      <c r="H108" s="78">
        <f t="shared" si="3"/>
        <v>25984</v>
      </c>
      <c r="I108" s="18">
        <v>0</v>
      </c>
      <c r="J108" s="18">
        <v>0</v>
      </c>
      <c r="K108" s="18">
        <v>0</v>
      </c>
      <c r="L108" s="18">
        <v>0</v>
      </c>
      <c r="M108" s="3">
        <v>0</v>
      </c>
    </row>
    <row r="109" spans="8:13" x14ac:dyDescent="0.25">
      <c r="H109" s="78">
        <f t="shared" si="3"/>
        <v>25984</v>
      </c>
      <c r="I109" s="18">
        <v>0</v>
      </c>
      <c r="J109" s="18">
        <v>0</v>
      </c>
      <c r="K109" s="18">
        <v>0</v>
      </c>
      <c r="L109" s="18">
        <v>0</v>
      </c>
      <c r="M109" s="3">
        <v>0</v>
      </c>
    </row>
    <row r="110" spans="8:13" x14ac:dyDescent="0.25">
      <c r="H110" s="78">
        <f t="shared" si="3"/>
        <v>25984</v>
      </c>
      <c r="I110" s="18">
        <v>0</v>
      </c>
      <c r="J110" s="18">
        <v>0</v>
      </c>
      <c r="K110" s="18">
        <v>0</v>
      </c>
      <c r="L110" s="18">
        <v>0</v>
      </c>
      <c r="M110" s="3">
        <v>0</v>
      </c>
    </row>
    <row r="111" spans="8:13" x14ac:dyDescent="0.25">
      <c r="H111" s="78">
        <f t="shared" si="3"/>
        <v>25984</v>
      </c>
      <c r="I111" s="18">
        <v>0</v>
      </c>
      <c r="J111" s="18">
        <v>0</v>
      </c>
      <c r="K111" s="18">
        <v>0</v>
      </c>
      <c r="L111" s="18">
        <v>0</v>
      </c>
      <c r="M111" s="3">
        <v>0</v>
      </c>
    </row>
    <row r="112" spans="8:13" x14ac:dyDescent="0.25">
      <c r="H112" s="78">
        <f t="shared" si="3"/>
        <v>25984</v>
      </c>
      <c r="I112" s="18">
        <v>0</v>
      </c>
      <c r="J112" s="18">
        <v>0</v>
      </c>
      <c r="K112" s="18">
        <v>0</v>
      </c>
      <c r="L112" s="18">
        <v>0</v>
      </c>
      <c r="M112" s="3">
        <v>0</v>
      </c>
    </row>
    <row r="113" spans="8:13" x14ac:dyDescent="0.25">
      <c r="H113" s="78">
        <f t="shared" si="3"/>
        <v>25984</v>
      </c>
      <c r="I113" s="18">
        <v>0</v>
      </c>
      <c r="J113" s="18">
        <v>0</v>
      </c>
      <c r="K113" s="18">
        <v>0</v>
      </c>
      <c r="L113" s="18">
        <v>0</v>
      </c>
      <c r="M113" s="3">
        <v>0</v>
      </c>
    </row>
    <row r="114" spans="8:13" x14ac:dyDescent="0.25">
      <c r="H114" s="78">
        <f t="shared" si="3"/>
        <v>25984</v>
      </c>
      <c r="I114" s="18">
        <v>0</v>
      </c>
      <c r="J114" s="18">
        <v>0</v>
      </c>
      <c r="K114" s="18">
        <v>0</v>
      </c>
      <c r="L114" s="18">
        <v>0</v>
      </c>
      <c r="M114" s="3">
        <v>0</v>
      </c>
    </row>
    <row r="115" spans="8:13" x14ac:dyDescent="0.25">
      <c r="H115" s="78">
        <f t="shared" si="3"/>
        <v>25984</v>
      </c>
      <c r="I115" s="18">
        <v>0</v>
      </c>
      <c r="J115" s="18">
        <v>0</v>
      </c>
      <c r="K115" s="18">
        <v>0</v>
      </c>
      <c r="L115" s="18">
        <v>0</v>
      </c>
      <c r="M115" s="3">
        <v>0</v>
      </c>
    </row>
    <row r="116" spans="8:13" x14ac:dyDescent="0.25">
      <c r="H116" s="78">
        <f t="shared" si="3"/>
        <v>25984</v>
      </c>
      <c r="I116" s="18">
        <v>0</v>
      </c>
      <c r="J116" s="18">
        <v>0</v>
      </c>
      <c r="K116" s="18">
        <v>0</v>
      </c>
      <c r="L116" s="18">
        <v>0</v>
      </c>
      <c r="M116" s="3">
        <v>0</v>
      </c>
    </row>
    <row r="117" spans="8:13" x14ac:dyDescent="0.25">
      <c r="H117" s="78">
        <f t="shared" si="3"/>
        <v>25984</v>
      </c>
      <c r="I117" s="18">
        <v>0</v>
      </c>
      <c r="J117" s="18">
        <v>0</v>
      </c>
      <c r="K117" s="18">
        <v>0</v>
      </c>
      <c r="L117" s="18">
        <v>0</v>
      </c>
      <c r="M117" s="3">
        <v>0</v>
      </c>
    </row>
    <row r="118" spans="8:13" x14ac:dyDescent="0.25">
      <c r="H118" s="78">
        <f t="shared" si="3"/>
        <v>25984</v>
      </c>
      <c r="I118" s="18">
        <v>0</v>
      </c>
      <c r="J118" s="18">
        <v>0</v>
      </c>
      <c r="K118" s="18">
        <v>0</v>
      </c>
      <c r="L118" s="18">
        <v>0</v>
      </c>
      <c r="M118" s="3">
        <v>0</v>
      </c>
    </row>
    <row r="119" spans="8:13" x14ac:dyDescent="0.25">
      <c r="H119" s="78">
        <f t="shared" si="3"/>
        <v>25984</v>
      </c>
      <c r="I119" s="18">
        <v>0</v>
      </c>
      <c r="J119" s="18">
        <v>0</v>
      </c>
      <c r="K119" s="18">
        <v>0</v>
      </c>
      <c r="L119" s="18">
        <v>0</v>
      </c>
      <c r="M119" s="3">
        <v>0</v>
      </c>
    </row>
    <row r="120" spans="8:13" x14ac:dyDescent="0.25">
      <c r="H120" s="78">
        <f t="shared" si="3"/>
        <v>25984</v>
      </c>
      <c r="I120" s="18">
        <v>0</v>
      </c>
      <c r="J120" s="18">
        <v>0</v>
      </c>
      <c r="K120" s="18">
        <v>0</v>
      </c>
      <c r="L120" s="18">
        <v>0</v>
      </c>
      <c r="M120" s="3">
        <v>0</v>
      </c>
    </row>
    <row r="121" spans="8:13" x14ac:dyDescent="0.25">
      <c r="H121" s="78">
        <f t="shared" si="3"/>
        <v>25984</v>
      </c>
      <c r="I121" s="18">
        <v>0</v>
      </c>
      <c r="J121" s="18">
        <v>0</v>
      </c>
      <c r="K121" s="18">
        <v>0</v>
      </c>
      <c r="L121" s="18">
        <v>0</v>
      </c>
      <c r="M121" s="3">
        <v>0</v>
      </c>
    </row>
    <row r="122" spans="8:13" x14ac:dyDescent="0.25">
      <c r="H122" s="78">
        <f t="shared" si="3"/>
        <v>25984</v>
      </c>
      <c r="I122" s="18">
        <v>0</v>
      </c>
      <c r="J122" s="18">
        <v>0</v>
      </c>
      <c r="K122" s="18">
        <v>0</v>
      </c>
      <c r="L122" s="18">
        <v>0</v>
      </c>
      <c r="M122" s="3">
        <v>0</v>
      </c>
    </row>
    <row r="123" spans="8:13" x14ac:dyDescent="0.25">
      <c r="H123" s="78">
        <f t="shared" si="3"/>
        <v>25984</v>
      </c>
      <c r="I123" s="18">
        <v>0</v>
      </c>
      <c r="J123" s="18">
        <v>0</v>
      </c>
      <c r="K123" s="18">
        <v>0</v>
      </c>
      <c r="L123" s="18">
        <v>0</v>
      </c>
      <c r="M123" s="3">
        <v>0</v>
      </c>
    </row>
    <row r="124" spans="8:13" x14ac:dyDescent="0.25">
      <c r="H124" s="78">
        <f t="shared" si="3"/>
        <v>25984</v>
      </c>
      <c r="I124" s="18">
        <v>0</v>
      </c>
      <c r="J124" s="18">
        <v>0</v>
      </c>
      <c r="K124" s="18">
        <v>0</v>
      </c>
      <c r="L124" s="18">
        <v>0</v>
      </c>
      <c r="M124" s="3">
        <v>0</v>
      </c>
    </row>
    <row r="125" spans="8:13" x14ac:dyDescent="0.25">
      <c r="H125" s="78">
        <f t="shared" si="3"/>
        <v>25984</v>
      </c>
      <c r="I125" s="18">
        <v>0</v>
      </c>
      <c r="J125" s="18">
        <v>0</v>
      </c>
      <c r="K125" s="18">
        <v>0</v>
      </c>
      <c r="L125" s="18">
        <v>0</v>
      </c>
      <c r="M125" s="3">
        <v>0</v>
      </c>
    </row>
    <row r="126" spans="8:13" x14ac:dyDescent="0.25">
      <c r="H126" s="78">
        <f t="shared" si="3"/>
        <v>25984</v>
      </c>
      <c r="I126" s="18">
        <v>0</v>
      </c>
      <c r="J126" s="18">
        <v>0</v>
      </c>
      <c r="K126" s="18">
        <v>0</v>
      </c>
      <c r="L126" s="18">
        <v>0</v>
      </c>
      <c r="M126" s="3">
        <v>0</v>
      </c>
    </row>
    <row r="127" spans="8:13" x14ac:dyDescent="0.25">
      <c r="H127" s="78">
        <f t="shared" si="3"/>
        <v>25984</v>
      </c>
      <c r="I127" s="18">
        <v>0</v>
      </c>
      <c r="J127" s="18">
        <v>0</v>
      </c>
      <c r="K127" s="18">
        <v>0</v>
      </c>
      <c r="L127" s="18">
        <v>0</v>
      </c>
      <c r="M127" s="3">
        <v>0</v>
      </c>
    </row>
    <row r="128" spans="8:13" x14ac:dyDescent="0.25">
      <c r="H128" s="78">
        <f t="shared" si="3"/>
        <v>25984</v>
      </c>
      <c r="I128" s="18">
        <v>0</v>
      </c>
      <c r="J128" s="18">
        <v>0</v>
      </c>
      <c r="K128" s="18">
        <v>0</v>
      </c>
      <c r="L128" s="18">
        <v>0</v>
      </c>
      <c r="M128" s="3">
        <v>0</v>
      </c>
    </row>
    <row r="129" spans="8:13" x14ac:dyDescent="0.25">
      <c r="H129" s="78">
        <f t="shared" si="3"/>
        <v>25984</v>
      </c>
      <c r="I129" s="18">
        <v>0</v>
      </c>
      <c r="J129" s="18">
        <v>0</v>
      </c>
      <c r="K129" s="18">
        <v>0</v>
      </c>
      <c r="L129" s="18">
        <v>0</v>
      </c>
      <c r="M129" s="3">
        <v>0</v>
      </c>
    </row>
    <row r="130" spans="8:13" x14ac:dyDescent="0.25">
      <c r="H130" s="78">
        <f t="shared" si="3"/>
        <v>25984</v>
      </c>
      <c r="I130" s="18">
        <v>0</v>
      </c>
      <c r="J130" s="18">
        <v>0</v>
      </c>
      <c r="K130" s="18">
        <v>0</v>
      </c>
      <c r="L130" s="18">
        <v>0</v>
      </c>
      <c r="M130" s="3">
        <v>0</v>
      </c>
    </row>
    <row r="131" spans="8:13" x14ac:dyDescent="0.25">
      <c r="H131" s="78">
        <f t="shared" si="3"/>
        <v>25984</v>
      </c>
      <c r="I131" s="18">
        <v>0</v>
      </c>
      <c r="J131" s="18">
        <v>0</v>
      </c>
      <c r="K131" s="18">
        <v>0</v>
      </c>
      <c r="L131" s="18">
        <v>0</v>
      </c>
      <c r="M131" s="3">
        <v>0</v>
      </c>
    </row>
    <row r="132" spans="8:13" x14ac:dyDescent="0.25">
      <c r="H132" s="78">
        <f t="shared" si="3"/>
        <v>25984</v>
      </c>
      <c r="I132" s="18">
        <v>0</v>
      </c>
      <c r="J132" s="18">
        <v>0</v>
      </c>
      <c r="K132" s="18">
        <v>0</v>
      </c>
      <c r="L132" s="18">
        <v>0</v>
      </c>
      <c r="M132" s="3">
        <v>0</v>
      </c>
    </row>
    <row r="133" spans="8:13" x14ac:dyDescent="0.25">
      <c r="H133" s="78">
        <f t="shared" ref="H133:H176" si="4">CHOOSE(IF(ABS(I133-25984) &lt;= ABS(I133-27520),IF(ABS(I133-25984) &lt;= ABS(I133-29056),1,3),IF(ABS(I133-27520) &lt;= ABS(I133-29056),2,3)),25984,27520,29056)</f>
        <v>25984</v>
      </c>
      <c r="I133" s="18">
        <v>0</v>
      </c>
      <c r="J133" s="18">
        <v>0</v>
      </c>
      <c r="K133" s="18">
        <v>0</v>
      </c>
      <c r="L133" s="18">
        <v>0</v>
      </c>
      <c r="M133" s="3">
        <v>0</v>
      </c>
    </row>
    <row r="134" spans="8:13" x14ac:dyDescent="0.25">
      <c r="H134" s="78">
        <f t="shared" si="4"/>
        <v>25984</v>
      </c>
      <c r="I134" s="18">
        <v>0</v>
      </c>
      <c r="J134" s="18">
        <v>0</v>
      </c>
      <c r="K134" s="18">
        <v>0</v>
      </c>
      <c r="L134" s="18">
        <v>0</v>
      </c>
      <c r="M134" s="3">
        <v>0</v>
      </c>
    </row>
    <row r="135" spans="8:13" x14ac:dyDescent="0.25">
      <c r="H135" s="78">
        <f t="shared" si="4"/>
        <v>25984</v>
      </c>
      <c r="I135" s="18">
        <v>0</v>
      </c>
      <c r="J135" s="18">
        <v>0</v>
      </c>
      <c r="K135" s="18">
        <v>0</v>
      </c>
      <c r="L135" s="18">
        <v>0</v>
      </c>
      <c r="M135" s="3">
        <v>0</v>
      </c>
    </row>
    <row r="136" spans="8:13" x14ac:dyDescent="0.25">
      <c r="H136" s="78">
        <f t="shared" si="4"/>
        <v>25984</v>
      </c>
      <c r="I136" s="18">
        <v>0</v>
      </c>
      <c r="J136" s="18">
        <v>0</v>
      </c>
      <c r="K136" s="18">
        <v>0</v>
      </c>
      <c r="L136" s="18">
        <v>0</v>
      </c>
      <c r="M136" s="3">
        <v>0</v>
      </c>
    </row>
    <row r="137" spans="8:13" x14ac:dyDescent="0.25">
      <c r="H137" s="78">
        <f t="shared" si="4"/>
        <v>25984</v>
      </c>
      <c r="I137" s="18">
        <v>0</v>
      </c>
      <c r="J137" s="18">
        <v>0</v>
      </c>
      <c r="K137" s="18">
        <v>0</v>
      </c>
      <c r="L137" s="18">
        <v>0</v>
      </c>
      <c r="M137" s="3">
        <v>0</v>
      </c>
    </row>
    <row r="138" spans="8:13" x14ac:dyDescent="0.25">
      <c r="H138" s="78">
        <f t="shared" si="4"/>
        <v>25984</v>
      </c>
      <c r="I138" s="18">
        <v>0</v>
      </c>
      <c r="J138" s="18">
        <v>0</v>
      </c>
      <c r="K138" s="18">
        <v>0</v>
      </c>
      <c r="L138" s="18">
        <v>0</v>
      </c>
      <c r="M138" s="3">
        <v>0</v>
      </c>
    </row>
    <row r="139" spans="8:13" x14ac:dyDescent="0.25">
      <c r="H139" s="78">
        <f t="shared" si="4"/>
        <v>25984</v>
      </c>
      <c r="I139" s="18">
        <v>0</v>
      </c>
      <c r="J139" s="18">
        <v>0</v>
      </c>
      <c r="K139" s="18">
        <v>0</v>
      </c>
      <c r="L139" s="18">
        <v>0</v>
      </c>
      <c r="M139" s="3">
        <v>0</v>
      </c>
    </row>
    <row r="140" spans="8:13" x14ac:dyDescent="0.25">
      <c r="H140" s="78">
        <f t="shared" si="4"/>
        <v>25984</v>
      </c>
      <c r="I140" s="18">
        <v>0</v>
      </c>
      <c r="J140" s="18">
        <v>0</v>
      </c>
      <c r="K140" s="18">
        <v>0</v>
      </c>
      <c r="L140" s="18">
        <v>0</v>
      </c>
      <c r="M140" s="3">
        <v>0</v>
      </c>
    </row>
    <row r="141" spans="8:13" x14ac:dyDescent="0.25">
      <c r="H141" s="78">
        <f t="shared" si="4"/>
        <v>25984</v>
      </c>
      <c r="I141" s="18">
        <v>0</v>
      </c>
      <c r="J141" s="18">
        <v>0</v>
      </c>
      <c r="K141" s="18">
        <v>0</v>
      </c>
      <c r="L141" s="18">
        <v>0</v>
      </c>
      <c r="M141" s="3">
        <v>0</v>
      </c>
    </row>
    <row r="142" spans="8:13" x14ac:dyDescent="0.25">
      <c r="H142" s="78">
        <f t="shared" si="4"/>
        <v>25984</v>
      </c>
      <c r="I142" s="18">
        <v>0</v>
      </c>
      <c r="J142" s="18">
        <v>0</v>
      </c>
      <c r="K142" s="18">
        <v>0</v>
      </c>
      <c r="L142" s="18">
        <v>0</v>
      </c>
      <c r="M142" s="3">
        <v>0</v>
      </c>
    </row>
    <row r="143" spans="8:13" x14ac:dyDescent="0.25">
      <c r="H143" s="78">
        <f t="shared" si="4"/>
        <v>25984</v>
      </c>
      <c r="I143" s="18">
        <v>0</v>
      </c>
      <c r="J143" s="18">
        <v>0</v>
      </c>
      <c r="K143" s="18">
        <v>0</v>
      </c>
      <c r="L143" s="18">
        <v>0</v>
      </c>
      <c r="M143" s="3">
        <v>0</v>
      </c>
    </row>
    <row r="144" spans="8:13" x14ac:dyDescent="0.25">
      <c r="H144" s="78">
        <f t="shared" si="4"/>
        <v>25984</v>
      </c>
      <c r="I144" s="18">
        <v>0</v>
      </c>
      <c r="J144" s="18">
        <v>0</v>
      </c>
      <c r="K144" s="18">
        <v>0</v>
      </c>
      <c r="L144" s="18">
        <v>0</v>
      </c>
      <c r="M144" s="3">
        <v>0</v>
      </c>
    </row>
    <row r="145" spans="8:13" x14ac:dyDescent="0.25">
      <c r="H145" s="78">
        <f t="shared" si="4"/>
        <v>25984</v>
      </c>
      <c r="I145" s="18">
        <v>0</v>
      </c>
      <c r="J145" s="18">
        <v>0</v>
      </c>
      <c r="K145" s="18">
        <v>0</v>
      </c>
      <c r="L145" s="18">
        <v>0</v>
      </c>
      <c r="M145" s="3">
        <v>0</v>
      </c>
    </row>
    <row r="146" spans="8:13" x14ac:dyDescent="0.25">
      <c r="H146" s="78">
        <f t="shared" si="4"/>
        <v>25984</v>
      </c>
      <c r="I146" s="18">
        <v>0</v>
      </c>
      <c r="J146" s="18">
        <v>0</v>
      </c>
      <c r="K146" s="18">
        <v>0</v>
      </c>
      <c r="L146" s="18">
        <v>0</v>
      </c>
      <c r="M146" s="3">
        <v>0</v>
      </c>
    </row>
    <row r="147" spans="8:13" x14ac:dyDescent="0.25">
      <c r="H147" s="78">
        <f t="shared" si="4"/>
        <v>25984</v>
      </c>
      <c r="I147" s="18">
        <v>0</v>
      </c>
      <c r="J147" s="18">
        <v>0</v>
      </c>
      <c r="K147" s="18">
        <v>0</v>
      </c>
      <c r="L147" s="18">
        <v>0</v>
      </c>
      <c r="M147" s="3">
        <v>0</v>
      </c>
    </row>
    <row r="148" spans="8:13" x14ac:dyDescent="0.25">
      <c r="H148" s="78">
        <f t="shared" si="4"/>
        <v>25984</v>
      </c>
      <c r="I148" s="18">
        <v>0</v>
      </c>
      <c r="J148" s="18">
        <v>0</v>
      </c>
      <c r="K148" s="18">
        <v>0</v>
      </c>
      <c r="L148" s="18">
        <v>0</v>
      </c>
      <c r="M148" s="3">
        <v>0</v>
      </c>
    </row>
    <row r="149" spans="8:13" x14ac:dyDescent="0.25">
      <c r="H149" s="78">
        <f t="shared" si="4"/>
        <v>25984</v>
      </c>
      <c r="I149" s="18">
        <v>0</v>
      </c>
      <c r="J149" s="18">
        <v>0</v>
      </c>
      <c r="K149" s="18">
        <v>0</v>
      </c>
      <c r="L149" s="18">
        <v>0</v>
      </c>
      <c r="M149" s="3">
        <v>0</v>
      </c>
    </row>
    <row r="150" spans="8:13" x14ac:dyDescent="0.25">
      <c r="H150" s="78">
        <f t="shared" si="4"/>
        <v>25984</v>
      </c>
      <c r="I150" s="18">
        <v>0</v>
      </c>
      <c r="J150" s="18">
        <v>0</v>
      </c>
      <c r="K150" s="18">
        <v>0</v>
      </c>
      <c r="L150" s="18">
        <v>0</v>
      </c>
      <c r="M150" s="3">
        <v>0</v>
      </c>
    </row>
    <row r="151" spans="8:13" x14ac:dyDescent="0.25">
      <c r="H151" s="78">
        <f t="shared" si="4"/>
        <v>25984</v>
      </c>
      <c r="I151" s="18">
        <v>0</v>
      </c>
      <c r="J151" s="18">
        <v>0</v>
      </c>
      <c r="K151" s="18">
        <v>0</v>
      </c>
      <c r="L151" s="18">
        <v>0</v>
      </c>
      <c r="M151" s="3">
        <v>0</v>
      </c>
    </row>
    <row r="152" spans="8:13" x14ac:dyDescent="0.25">
      <c r="H152" s="78">
        <f t="shared" si="4"/>
        <v>25984</v>
      </c>
      <c r="I152" s="18">
        <v>0</v>
      </c>
      <c r="J152" s="18">
        <v>0</v>
      </c>
      <c r="K152" s="18">
        <v>0</v>
      </c>
      <c r="L152" s="18">
        <v>0</v>
      </c>
      <c r="M152" s="3">
        <v>0</v>
      </c>
    </row>
    <row r="153" spans="8:13" x14ac:dyDescent="0.25">
      <c r="H153" s="78">
        <f t="shared" si="4"/>
        <v>25984</v>
      </c>
      <c r="I153" s="18">
        <v>0</v>
      </c>
      <c r="J153" s="18">
        <v>0</v>
      </c>
      <c r="K153" s="18">
        <v>0</v>
      </c>
      <c r="L153" s="18">
        <v>0</v>
      </c>
      <c r="M153" s="3">
        <v>0</v>
      </c>
    </row>
    <row r="154" spans="8:13" x14ac:dyDescent="0.25">
      <c r="H154" s="78">
        <f t="shared" si="4"/>
        <v>25984</v>
      </c>
      <c r="I154" s="18">
        <v>0</v>
      </c>
      <c r="J154" s="18">
        <v>0</v>
      </c>
      <c r="K154" s="18">
        <v>0</v>
      </c>
      <c r="L154" s="18">
        <v>0</v>
      </c>
      <c r="M154" s="3">
        <v>0</v>
      </c>
    </row>
    <row r="155" spans="8:13" x14ac:dyDescent="0.25">
      <c r="H155" s="78">
        <f t="shared" si="4"/>
        <v>25984</v>
      </c>
      <c r="I155" s="18">
        <v>0</v>
      </c>
      <c r="J155" s="18">
        <v>0</v>
      </c>
      <c r="K155" s="18">
        <v>0</v>
      </c>
      <c r="L155" s="18">
        <v>0</v>
      </c>
      <c r="M155" s="3">
        <v>0</v>
      </c>
    </row>
    <row r="156" spans="8:13" x14ac:dyDescent="0.25">
      <c r="H156" s="78">
        <f t="shared" si="4"/>
        <v>25984</v>
      </c>
      <c r="I156" s="18">
        <v>0</v>
      </c>
      <c r="J156" s="18">
        <v>0</v>
      </c>
      <c r="K156" s="18">
        <v>0</v>
      </c>
      <c r="L156" s="18">
        <v>0</v>
      </c>
      <c r="M156" s="3">
        <v>0</v>
      </c>
    </row>
    <row r="157" spans="8:13" x14ac:dyDescent="0.25">
      <c r="H157" s="78">
        <f t="shared" si="4"/>
        <v>25984</v>
      </c>
      <c r="I157" s="18">
        <v>0</v>
      </c>
      <c r="J157" s="18">
        <v>0</v>
      </c>
      <c r="K157" s="18">
        <v>0</v>
      </c>
      <c r="L157" s="18">
        <v>0</v>
      </c>
      <c r="M157" s="3">
        <v>0</v>
      </c>
    </row>
    <row r="158" spans="8:13" x14ac:dyDescent="0.25">
      <c r="H158" s="78">
        <f t="shared" si="4"/>
        <v>25984</v>
      </c>
      <c r="I158" s="18">
        <v>0</v>
      </c>
      <c r="J158" s="18">
        <v>0</v>
      </c>
      <c r="K158" s="18">
        <v>0</v>
      </c>
      <c r="L158" s="18">
        <v>0</v>
      </c>
      <c r="M158" s="3">
        <v>0</v>
      </c>
    </row>
    <row r="159" spans="8:13" x14ac:dyDescent="0.25">
      <c r="H159" s="78">
        <f t="shared" si="4"/>
        <v>25984</v>
      </c>
      <c r="I159" s="18">
        <v>0</v>
      </c>
      <c r="J159" s="18">
        <v>0</v>
      </c>
      <c r="K159" s="18">
        <v>0</v>
      </c>
      <c r="L159" s="18">
        <v>0</v>
      </c>
      <c r="M159" s="3">
        <v>0</v>
      </c>
    </row>
    <row r="160" spans="8:13" x14ac:dyDescent="0.25">
      <c r="H160" s="78">
        <f t="shared" si="4"/>
        <v>25984</v>
      </c>
      <c r="I160" s="18">
        <v>0</v>
      </c>
      <c r="J160" s="18">
        <v>0</v>
      </c>
      <c r="K160" s="18">
        <v>0</v>
      </c>
      <c r="L160" s="18">
        <v>0</v>
      </c>
      <c r="M160" s="3">
        <v>0</v>
      </c>
    </row>
    <row r="161" spans="8:13" x14ac:dyDescent="0.25">
      <c r="H161" s="78">
        <f t="shared" si="4"/>
        <v>25984</v>
      </c>
      <c r="I161" s="18">
        <v>0</v>
      </c>
      <c r="J161" s="18">
        <v>0</v>
      </c>
      <c r="K161" s="18">
        <v>0</v>
      </c>
      <c r="L161" s="18">
        <v>0</v>
      </c>
      <c r="M161" s="3">
        <v>0</v>
      </c>
    </row>
    <row r="162" spans="8:13" x14ac:dyDescent="0.25">
      <c r="H162" s="78">
        <f t="shared" si="4"/>
        <v>25984</v>
      </c>
      <c r="I162" s="18">
        <v>0</v>
      </c>
      <c r="J162" s="18">
        <v>0</v>
      </c>
      <c r="K162" s="18">
        <v>0</v>
      </c>
      <c r="L162" s="18">
        <v>0</v>
      </c>
      <c r="M162" s="3">
        <v>0</v>
      </c>
    </row>
    <row r="163" spans="8:13" x14ac:dyDescent="0.25">
      <c r="H163" s="78">
        <f t="shared" si="4"/>
        <v>25984</v>
      </c>
      <c r="I163" s="18">
        <v>0</v>
      </c>
      <c r="J163" s="18">
        <v>0</v>
      </c>
      <c r="K163" s="18">
        <v>0</v>
      </c>
      <c r="L163" s="18">
        <v>0</v>
      </c>
      <c r="M163" s="3">
        <v>0</v>
      </c>
    </row>
    <row r="164" spans="8:13" x14ac:dyDescent="0.25">
      <c r="H164" s="78">
        <f t="shared" si="4"/>
        <v>25984</v>
      </c>
      <c r="I164" s="18">
        <v>0</v>
      </c>
      <c r="J164" s="18">
        <v>0</v>
      </c>
      <c r="K164" s="18">
        <v>0</v>
      </c>
      <c r="L164" s="18">
        <v>0</v>
      </c>
      <c r="M164" s="3">
        <v>0</v>
      </c>
    </row>
    <row r="165" spans="8:13" x14ac:dyDescent="0.25">
      <c r="H165" s="78">
        <f t="shared" si="4"/>
        <v>25984</v>
      </c>
      <c r="I165" s="18">
        <v>0</v>
      </c>
      <c r="J165" s="18">
        <v>0</v>
      </c>
      <c r="K165" s="18">
        <v>0</v>
      </c>
      <c r="L165" s="18">
        <v>0</v>
      </c>
      <c r="M165" s="3">
        <v>0</v>
      </c>
    </row>
    <row r="166" spans="8:13" x14ac:dyDescent="0.25">
      <c r="H166" s="78">
        <f t="shared" si="4"/>
        <v>25984</v>
      </c>
      <c r="I166" s="18">
        <v>0</v>
      </c>
      <c r="J166" s="18">
        <v>0</v>
      </c>
      <c r="K166" s="18">
        <v>0</v>
      </c>
      <c r="L166" s="18">
        <v>0</v>
      </c>
      <c r="M166" s="3">
        <v>0</v>
      </c>
    </row>
    <row r="167" spans="8:13" x14ac:dyDescent="0.25">
      <c r="H167" s="78">
        <f t="shared" si="4"/>
        <v>25984</v>
      </c>
      <c r="I167" s="18">
        <v>0</v>
      </c>
      <c r="J167" s="18">
        <v>0</v>
      </c>
      <c r="K167" s="18">
        <v>0</v>
      </c>
      <c r="L167" s="18">
        <v>0</v>
      </c>
      <c r="M167" s="3">
        <v>0</v>
      </c>
    </row>
    <row r="168" spans="8:13" x14ac:dyDescent="0.25">
      <c r="H168" s="78">
        <f t="shared" si="4"/>
        <v>25984</v>
      </c>
      <c r="I168" s="18">
        <v>0</v>
      </c>
      <c r="J168" s="18">
        <v>0</v>
      </c>
      <c r="K168" s="18">
        <v>0</v>
      </c>
      <c r="L168" s="18">
        <v>0</v>
      </c>
      <c r="M168" s="3">
        <v>0</v>
      </c>
    </row>
    <row r="169" spans="8:13" x14ac:dyDescent="0.25">
      <c r="H169" s="78">
        <f t="shared" si="4"/>
        <v>25984</v>
      </c>
      <c r="I169" s="18">
        <v>0</v>
      </c>
      <c r="J169" s="18">
        <v>0</v>
      </c>
      <c r="K169" s="18">
        <v>0</v>
      </c>
      <c r="L169" s="18">
        <v>0</v>
      </c>
      <c r="M169" s="3">
        <v>0</v>
      </c>
    </row>
    <row r="170" spans="8:13" x14ac:dyDescent="0.25">
      <c r="H170" s="78">
        <f t="shared" si="4"/>
        <v>25984</v>
      </c>
      <c r="I170" s="18">
        <v>0</v>
      </c>
      <c r="J170" s="18">
        <v>0</v>
      </c>
      <c r="K170" s="18">
        <v>0</v>
      </c>
      <c r="L170" s="18">
        <v>0</v>
      </c>
      <c r="M170" s="3">
        <v>0</v>
      </c>
    </row>
    <row r="171" spans="8:13" x14ac:dyDescent="0.25">
      <c r="H171" s="78">
        <f t="shared" si="4"/>
        <v>25984</v>
      </c>
      <c r="I171" s="18">
        <v>0</v>
      </c>
      <c r="J171" s="18">
        <v>0</v>
      </c>
      <c r="K171" s="18">
        <v>0</v>
      </c>
      <c r="L171" s="18">
        <v>0</v>
      </c>
      <c r="M171" s="3">
        <v>0</v>
      </c>
    </row>
    <row r="172" spans="8:13" x14ac:dyDescent="0.25">
      <c r="H172" s="78">
        <f t="shared" si="4"/>
        <v>25984</v>
      </c>
      <c r="I172" s="18">
        <v>0</v>
      </c>
      <c r="J172" s="18">
        <v>0</v>
      </c>
      <c r="K172" s="18">
        <v>0</v>
      </c>
      <c r="L172" s="18">
        <v>0</v>
      </c>
      <c r="M172" s="3">
        <v>0</v>
      </c>
    </row>
    <row r="173" spans="8:13" x14ac:dyDescent="0.25">
      <c r="H173" s="78">
        <f t="shared" si="4"/>
        <v>25984</v>
      </c>
      <c r="I173" s="18">
        <v>0</v>
      </c>
      <c r="J173" s="18">
        <v>0</v>
      </c>
      <c r="K173" s="18">
        <v>0</v>
      </c>
      <c r="L173" s="18">
        <v>0</v>
      </c>
      <c r="M173" s="3">
        <v>0</v>
      </c>
    </row>
    <row r="174" spans="8:13" x14ac:dyDescent="0.25">
      <c r="H174" s="78">
        <f t="shared" si="4"/>
        <v>25984</v>
      </c>
      <c r="I174" s="18">
        <v>0</v>
      </c>
      <c r="J174" s="18">
        <v>0</v>
      </c>
      <c r="K174" s="18">
        <v>0</v>
      </c>
      <c r="L174" s="18">
        <v>0</v>
      </c>
      <c r="M174" s="3">
        <v>0</v>
      </c>
    </row>
    <row r="175" spans="8:13" x14ac:dyDescent="0.25">
      <c r="H175" s="78">
        <f t="shared" si="4"/>
        <v>25984</v>
      </c>
      <c r="I175" s="18">
        <v>0</v>
      </c>
      <c r="J175" s="18">
        <v>0</v>
      </c>
      <c r="K175" s="18">
        <v>0</v>
      </c>
      <c r="L175" s="18">
        <v>0</v>
      </c>
      <c r="M175" s="3">
        <v>0</v>
      </c>
    </row>
    <row r="176" spans="8:13" x14ac:dyDescent="0.25">
      <c r="H176" s="78">
        <f t="shared" si="4"/>
        <v>25984</v>
      </c>
      <c r="I176" s="18">
        <v>0</v>
      </c>
      <c r="J176" s="18">
        <v>0</v>
      </c>
      <c r="K176" s="18">
        <v>0</v>
      </c>
      <c r="L176" s="18">
        <v>0</v>
      </c>
      <c r="M176" s="3">
        <v>0</v>
      </c>
    </row>
  </sheetData>
  <mergeCells count="2">
    <mergeCell ref="B1:F1"/>
    <mergeCell ref="I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96DBF-4769-4C72-BB22-A1749ABDCF3A}">
  <dimension ref="A1:AU423"/>
  <sheetViews>
    <sheetView topLeftCell="B325" zoomScale="85" zoomScaleNormal="85" workbookViewId="0">
      <selection activeCell="AU364" sqref="AU364:AU423"/>
    </sheetView>
  </sheetViews>
  <sheetFormatPr defaultColWidth="8.85546875" defaultRowHeight="15" x14ac:dyDescent="0.25"/>
  <cols>
    <col min="4" max="4" width="9.42578125" bestFit="1" customWidth="1"/>
    <col min="5" max="7" width="9.28515625" bestFit="1" customWidth="1"/>
    <col min="8" max="8" width="9.140625" style="3"/>
    <col min="23" max="23" width="9.140625" style="4"/>
  </cols>
  <sheetData>
    <row r="1" spans="1:47" x14ac:dyDescent="0.25">
      <c r="A1" s="83" t="s">
        <v>27</v>
      </c>
      <c r="B1" s="83"/>
      <c r="C1" s="83"/>
      <c r="D1" s="83"/>
      <c r="E1" s="19">
        <f>MAX(W:W)</f>
        <v>9.9418199999999999</v>
      </c>
      <c r="F1" s="20">
        <f>INDEX(C:C,MATCH(MAX($W:$W),$W:$W,0))</f>
        <v>29056</v>
      </c>
      <c r="G1" s="20">
        <f>INDEX(D:D,MATCH(MAX($W:$W),$W:$W,0))</f>
        <v>64</v>
      </c>
      <c r="H1" s="20">
        <f>INDEX(E:E,MATCH(MAX($W:$W),$W:$W,0))</f>
        <v>2</v>
      </c>
      <c r="I1" s="20">
        <f>INDEX(F:F,MATCH(MAX($W:$W),$W:$W,0))</f>
        <v>8</v>
      </c>
      <c r="J1" s="6"/>
      <c r="L1" s="82" t="s">
        <v>32</v>
      </c>
      <c r="M1" s="82"/>
      <c r="N1" s="82"/>
      <c r="O1" s="82"/>
      <c r="P1" s="82"/>
      <c r="Q1" s="82"/>
      <c r="R1" s="82"/>
      <c r="S1" s="82"/>
      <c r="T1" s="82"/>
      <c r="U1" s="82"/>
      <c r="V1" s="82"/>
      <c r="Y1" s="83" t="s">
        <v>27</v>
      </c>
      <c r="Z1" s="83"/>
      <c r="AA1" s="83"/>
      <c r="AB1" s="83"/>
      <c r="AC1" s="19">
        <f>MAX(AU$1:AU$430)</f>
        <v>8.8250200000000003</v>
      </c>
      <c r="AD1" s="20">
        <f>INDEX(AA$1:AA$430,MATCH(MAX($AU$1:$AU$430),$AU$1:$AU$430,0))</f>
        <v>28992</v>
      </c>
      <c r="AE1" s="20">
        <f>INDEX(AB$1:AB$430,MATCH(MAX($AU$1:$AU$430),$AU$1:$AU$430,0))</f>
        <v>96</v>
      </c>
      <c r="AF1" s="20">
        <f>INDEX(AC$1:AC$430,MATCH(MAX($AU$1:$AU$430),$AU$1:$AU$430,0))</f>
        <v>4</v>
      </c>
      <c r="AG1" s="20">
        <f>INDEX(AD$1:AD$430,MATCH(MAX($AU$1:$AU$430),$AU$1:$AU$430,0))</f>
        <v>4</v>
      </c>
      <c r="AH1" s="6"/>
      <c r="AJ1" s="82" t="s">
        <v>28</v>
      </c>
      <c r="AK1" s="82"/>
      <c r="AL1" s="82"/>
      <c r="AM1" s="82"/>
      <c r="AN1" s="82"/>
      <c r="AO1" s="82"/>
      <c r="AP1" s="82"/>
      <c r="AQ1" s="82"/>
      <c r="AR1" s="82"/>
      <c r="AS1" s="82"/>
      <c r="AT1" s="82"/>
      <c r="AU1" s="4"/>
    </row>
    <row r="2" spans="1:47" x14ac:dyDescent="0.25">
      <c r="A2" s="80" t="s">
        <v>22</v>
      </c>
      <c r="B2" s="80"/>
      <c r="C2" s="5">
        <f>MAX(H:H)</f>
        <v>9.9544999999999995</v>
      </c>
      <c r="D2" s="6"/>
      <c r="E2" s="6"/>
      <c r="F2" s="6"/>
      <c r="G2" s="6"/>
      <c r="H2" s="7"/>
      <c r="I2" s="6"/>
      <c r="J2" s="6"/>
      <c r="K2" s="81" t="s">
        <v>23</v>
      </c>
      <c r="L2" s="81"/>
      <c r="M2" s="81"/>
      <c r="N2" s="81" t="s">
        <v>24</v>
      </c>
      <c r="O2" s="81"/>
      <c r="P2" s="81"/>
      <c r="Q2" s="81" t="s">
        <v>25</v>
      </c>
      <c r="R2" s="81"/>
      <c r="S2" s="81"/>
      <c r="T2" s="81" t="s">
        <v>26</v>
      </c>
      <c r="U2" s="81"/>
      <c r="V2" s="81"/>
      <c r="Y2" s="80" t="s">
        <v>22</v>
      </c>
      <c r="Z2" s="80"/>
      <c r="AA2" s="5">
        <f>MAX(AF$1:AF$430)</f>
        <v>8.8947000000000003</v>
      </c>
      <c r="AB2" s="6"/>
      <c r="AC2" s="6"/>
      <c r="AD2" s="6"/>
      <c r="AE2" s="6"/>
      <c r="AF2" s="7"/>
      <c r="AG2" s="6"/>
      <c r="AH2" s="6"/>
      <c r="AI2" s="81" t="s">
        <v>23</v>
      </c>
      <c r="AJ2" s="81"/>
      <c r="AK2" s="81"/>
      <c r="AL2" s="81" t="s">
        <v>24</v>
      </c>
      <c r="AM2" s="81"/>
      <c r="AN2" s="81"/>
      <c r="AO2" s="81" t="s">
        <v>25</v>
      </c>
      <c r="AP2" s="81"/>
      <c r="AQ2" s="81"/>
      <c r="AR2" s="81" t="s">
        <v>26</v>
      </c>
      <c r="AS2" s="81"/>
      <c r="AT2" s="81"/>
    </row>
    <row r="3" spans="1:47" x14ac:dyDescent="0.25">
      <c r="A3" s="8" t="s">
        <v>11</v>
      </c>
      <c r="B3" s="8"/>
      <c r="C3" s="8" t="s">
        <v>12</v>
      </c>
      <c r="D3" s="8" t="s">
        <v>13</v>
      </c>
      <c r="E3" s="8" t="s">
        <v>14</v>
      </c>
      <c r="F3" s="8" t="s">
        <v>15</v>
      </c>
      <c r="G3" s="8" t="s">
        <v>16</v>
      </c>
      <c r="H3" s="10" t="s">
        <v>17</v>
      </c>
      <c r="I3" s="10" t="s">
        <v>18</v>
      </c>
      <c r="J3" s="8" t="s">
        <v>16</v>
      </c>
      <c r="K3" s="11" t="s">
        <v>19</v>
      </c>
      <c r="L3" s="11" t="s">
        <v>20</v>
      </c>
      <c r="M3" s="11" t="s">
        <v>21</v>
      </c>
      <c r="N3" s="11" t="s">
        <v>19</v>
      </c>
      <c r="O3" s="11" t="s">
        <v>20</v>
      </c>
      <c r="P3" s="11" t="s">
        <v>21</v>
      </c>
      <c r="Q3" s="11" t="s">
        <v>19</v>
      </c>
      <c r="R3" s="11" t="s">
        <v>20</v>
      </c>
      <c r="S3" s="11" t="s">
        <v>21</v>
      </c>
      <c r="T3" s="11" t="s">
        <v>19</v>
      </c>
      <c r="U3" s="11" t="s">
        <v>20</v>
      </c>
      <c r="V3" s="11" t="s">
        <v>21</v>
      </c>
      <c r="W3" s="17"/>
      <c r="Y3" s="8" t="s">
        <v>11</v>
      </c>
      <c r="Z3" s="8"/>
      <c r="AA3" s="8" t="s">
        <v>12</v>
      </c>
      <c r="AB3" s="8" t="s">
        <v>13</v>
      </c>
      <c r="AC3" s="8" t="s">
        <v>14</v>
      </c>
      <c r="AD3" s="8" t="s">
        <v>15</v>
      </c>
      <c r="AE3" s="8" t="s">
        <v>16</v>
      </c>
      <c r="AF3" s="10" t="s">
        <v>17</v>
      </c>
      <c r="AG3" s="10" t="s">
        <v>18</v>
      </c>
      <c r="AH3" s="8" t="s">
        <v>16</v>
      </c>
      <c r="AI3" s="11" t="s">
        <v>19</v>
      </c>
      <c r="AJ3" s="11" t="s">
        <v>20</v>
      </c>
      <c r="AK3" s="11" t="s">
        <v>21</v>
      </c>
      <c r="AL3" s="11" t="s">
        <v>19</v>
      </c>
      <c r="AM3" s="11" t="s">
        <v>20</v>
      </c>
      <c r="AN3" s="11" t="s">
        <v>21</v>
      </c>
      <c r="AO3" s="11" t="s">
        <v>19</v>
      </c>
      <c r="AP3" s="11" t="s">
        <v>20</v>
      </c>
      <c r="AQ3" s="11" t="s">
        <v>21</v>
      </c>
      <c r="AR3" s="11" t="s">
        <v>19</v>
      </c>
      <c r="AS3" s="11" t="s">
        <v>20</v>
      </c>
      <c r="AT3" s="11" t="s">
        <v>21</v>
      </c>
    </row>
    <row r="4" spans="1:47" x14ac:dyDescent="0.25">
      <c r="A4">
        <v>0</v>
      </c>
      <c r="B4" t="s">
        <v>1</v>
      </c>
      <c r="C4">
        <v>25984</v>
      </c>
      <c r="D4">
        <v>32</v>
      </c>
      <c r="E4">
        <v>1</v>
      </c>
      <c r="F4">
        <v>16</v>
      </c>
      <c r="G4">
        <v>1243.19</v>
      </c>
      <c r="H4">
        <v>9.4085999999999999</v>
      </c>
      <c r="I4">
        <v>45477</v>
      </c>
      <c r="J4">
        <v>0.60111111111111115</v>
      </c>
      <c r="K4">
        <v>0</v>
      </c>
      <c r="L4">
        <v>0</v>
      </c>
      <c r="M4">
        <v>0</v>
      </c>
      <c r="N4">
        <v>0</v>
      </c>
      <c r="O4">
        <v>0</v>
      </c>
      <c r="P4">
        <v>0</v>
      </c>
      <c r="Q4">
        <v>0</v>
      </c>
      <c r="R4">
        <v>0</v>
      </c>
      <c r="S4">
        <v>0</v>
      </c>
      <c r="T4">
        <v>0</v>
      </c>
      <c r="U4">
        <v>0</v>
      </c>
      <c r="V4">
        <v>0</v>
      </c>
      <c r="W4" s="4">
        <f>AVERAGE(H4:H8)</f>
        <v>9.4038400000000006</v>
      </c>
      <c r="Y4">
        <v>0</v>
      </c>
      <c r="Z4" t="s">
        <v>1</v>
      </c>
      <c r="AA4">
        <v>25984</v>
      </c>
      <c r="AB4">
        <v>32</v>
      </c>
      <c r="AC4">
        <v>1</v>
      </c>
      <c r="AD4">
        <v>16</v>
      </c>
      <c r="AE4">
        <v>1383.64</v>
      </c>
      <c r="AF4" s="24">
        <v>8.4535999999999998</v>
      </c>
      <c r="AG4" s="1">
        <v>45477</v>
      </c>
      <c r="AH4" s="2">
        <v>0.61025462962962962</v>
      </c>
      <c r="AI4">
        <v>0</v>
      </c>
      <c r="AJ4">
        <v>0</v>
      </c>
      <c r="AK4">
        <v>0</v>
      </c>
      <c r="AL4">
        <v>0</v>
      </c>
      <c r="AM4">
        <v>0</v>
      </c>
      <c r="AN4">
        <v>0</v>
      </c>
      <c r="AO4">
        <v>0</v>
      </c>
      <c r="AP4">
        <v>0</v>
      </c>
      <c r="AQ4">
        <v>0</v>
      </c>
      <c r="AR4">
        <v>0</v>
      </c>
      <c r="AS4">
        <v>0</v>
      </c>
      <c r="AT4">
        <v>0</v>
      </c>
      <c r="AU4" s="3">
        <f>AVERAGE(AF4:AF8)</f>
        <v>8.4492499999999993</v>
      </c>
    </row>
    <row r="5" spans="1:47" x14ac:dyDescent="0.25">
      <c r="A5">
        <v>1</v>
      </c>
      <c r="B5" t="s">
        <v>1</v>
      </c>
      <c r="C5">
        <v>25984</v>
      </c>
      <c r="D5">
        <v>32</v>
      </c>
      <c r="E5">
        <v>1</v>
      </c>
      <c r="F5">
        <v>16</v>
      </c>
      <c r="G5">
        <v>1244.56</v>
      </c>
      <c r="H5" s="3">
        <v>9.3983000000000008</v>
      </c>
      <c r="I5" s="1">
        <v>45478</v>
      </c>
      <c r="J5" s="2">
        <v>0.10706018518518519</v>
      </c>
      <c r="K5">
        <v>0</v>
      </c>
      <c r="L5">
        <v>0</v>
      </c>
      <c r="M5">
        <v>0</v>
      </c>
      <c r="N5">
        <v>0</v>
      </c>
      <c r="O5">
        <v>0</v>
      </c>
      <c r="P5">
        <v>0</v>
      </c>
      <c r="Q5">
        <v>0</v>
      </c>
      <c r="R5">
        <v>0</v>
      </c>
      <c r="S5">
        <v>0</v>
      </c>
      <c r="T5">
        <v>0</v>
      </c>
      <c r="U5">
        <v>0</v>
      </c>
      <c r="V5">
        <v>0</v>
      </c>
      <c r="W5" s="4">
        <f>W4</f>
        <v>9.4038400000000006</v>
      </c>
      <c r="Y5">
        <v>1</v>
      </c>
      <c r="Z5" t="s">
        <v>1</v>
      </c>
      <c r="AA5">
        <v>25984</v>
      </c>
      <c r="AB5">
        <v>32</v>
      </c>
      <c r="AC5">
        <v>1</v>
      </c>
      <c r="AD5">
        <v>16</v>
      </c>
      <c r="AE5">
        <v>1384.5</v>
      </c>
      <c r="AF5" s="24">
        <v>8.4482999999999997</v>
      </c>
      <c r="AG5" s="1">
        <v>45478</v>
      </c>
      <c r="AH5" s="2">
        <v>0.14212962962962963</v>
      </c>
      <c r="AI5">
        <v>0</v>
      </c>
      <c r="AJ5">
        <v>0</v>
      </c>
      <c r="AK5">
        <v>0</v>
      </c>
      <c r="AL5">
        <v>0</v>
      </c>
      <c r="AM5">
        <v>0</v>
      </c>
      <c r="AN5">
        <v>0</v>
      </c>
      <c r="AO5">
        <v>0</v>
      </c>
      <c r="AP5">
        <v>0</v>
      </c>
      <c r="AQ5">
        <v>0</v>
      </c>
      <c r="AR5">
        <v>0</v>
      </c>
      <c r="AS5">
        <v>0</v>
      </c>
      <c r="AT5">
        <v>0</v>
      </c>
      <c r="AU5" s="3">
        <f>AU4</f>
        <v>8.4492499999999993</v>
      </c>
    </row>
    <row r="6" spans="1:47" x14ac:dyDescent="0.25">
      <c r="A6">
        <v>2</v>
      </c>
      <c r="B6" t="s">
        <v>1</v>
      </c>
      <c r="C6">
        <v>25984</v>
      </c>
      <c r="D6">
        <v>32</v>
      </c>
      <c r="E6">
        <v>1</v>
      </c>
      <c r="F6">
        <v>16</v>
      </c>
      <c r="G6">
        <v>1244.1199999999999</v>
      </c>
      <c r="H6" s="3">
        <v>9.4016000000000002</v>
      </c>
      <c r="I6" s="1">
        <v>45478</v>
      </c>
      <c r="J6" s="2">
        <v>0.61311342592592588</v>
      </c>
      <c r="K6">
        <v>0</v>
      </c>
      <c r="L6">
        <v>0</v>
      </c>
      <c r="M6">
        <v>0</v>
      </c>
      <c r="N6">
        <v>0</v>
      </c>
      <c r="O6">
        <v>0</v>
      </c>
      <c r="P6">
        <v>0</v>
      </c>
      <c r="Q6">
        <v>0</v>
      </c>
      <c r="R6">
        <v>0</v>
      </c>
      <c r="S6">
        <v>0</v>
      </c>
      <c r="T6">
        <v>0</v>
      </c>
      <c r="U6">
        <v>0</v>
      </c>
      <c r="V6">
        <v>0</v>
      </c>
      <c r="W6" s="4">
        <f t="shared" ref="W6:W8" si="0">W5</f>
        <v>9.4038400000000006</v>
      </c>
      <c r="Y6">
        <v>2</v>
      </c>
      <c r="Z6" t="s">
        <v>1</v>
      </c>
      <c r="AA6">
        <v>25984</v>
      </c>
      <c r="AB6">
        <v>32</v>
      </c>
      <c r="AC6">
        <v>1</v>
      </c>
      <c r="AD6">
        <v>16</v>
      </c>
      <c r="AE6">
        <v>1385.1</v>
      </c>
      <c r="AF6" s="24">
        <v>8.4446999999999992</v>
      </c>
      <c r="AG6" s="1">
        <v>45478</v>
      </c>
      <c r="AH6" s="2">
        <v>0.67410879629629628</v>
      </c>
      <c r="AI6">
        <v>0</v>
      </c>
      <c r="AJ6">
        <v>0</v>
      </c>
      <c r="AK6">
        <v>0</v>
      </c>
      <c r="AL6">
        <v>0</v>
      </c>
      <c r="AM6">
        <v>0</v>
      </c>
      <c r="AN6">
        <v>0</v>
      </c>
      <c r="AO6">
        <v>0</v>
      </c>
      <c r="AP6">
        <v>0</v>
      </c>
      <c r="AQ6">
        <v>0</v>
      </c>
      <c r="AR6">
        <v>0</v>
      </c>
      <c r="AS6">
        <v>0</v>
      </c>
      <c r="AT6">
        <v>0</v>
      </c>
      <c r="AU6" s="3">
        <f t="shared" ref="AU6:AU8" si="1">AU5</f>
        <v>8.4492499999999993</v>
      </c>
    </row>
    <row r="7" spans="1:47" x14ac:dyDescent="0.25">
      <c r="A7">
        <v>3</v>
      </c>
      <c r="B7" t="s">
        <v>1</v>
      </c>
      <c r="C7">
        <v>25984</v>
      </c>
      <c r="D7">
        <v>32</v>
      </c>
      <c r="E7">
        <v>1</v>
      </c>
      <c r="F7">
        <v>16</v>
      </c>
      <c r="G7">
        <v>1243.53</v>
      </c>
      <c r="H7" s="3">
        <v>9.4061000000000003</v>
      </c>
      <c r="I7" s="1">
        <v>45479</v>
      </c>
      <c r="J7" s="2">
        <v>0.11931712962962963</v>
      </c>
      <c r="K7">
        <v>0</v>
      </c>
      <c r="L7">
        <v>0</v>
      </c>
      <c r="M7">
        <v>0</v>
      </c>
      <c r="N7">
        <v>0</v>
      </c>
      <c r="O7">
        <v>0</v>
      </c>
      <c r="P7">
        <v>0</v>
      </c>
      <c r="Q7">
        <v>0</v>
      </c>
      <c r="R7">
        <v>0</v>
      </c>
      <c r="S7">
        <v>0</v>
      </c>
      <c r="T7">
        <v>0</v>
      </c>
      <c r="U7">
        <v>0</v>
      </c>
      <c r="V7">
        <v>0</v>
      </c>
      <c r="W7" s="4">
        <f t="shared" si="0"/>
        <v>9.4038400000000006</v>
      </c>
      <c r="Y7">
        <v>3</v>
      </c>
      <c r="Z7" t="s">
        <v>1</v>
      </c>
      <c r="AA7">
        <v>25984</v>
      </c>
      <c r="AB7">
        <v>32</v>
      </c>
      <c r="AC7">
        <v>1</v>
      </c>
      <c r="AD7">
        <v>16</v>
      </c>
      <c r="AE7">
        <v>1384.17</v>
      </c>
      <c r="AF7" s="24">
        <v>8.4504000000000001</v>
      </c>
      <c r="AG7" s="1">
        <v>45479</v>
      </c>
      <c r="AH7" s="2">
        <v>0.20608796296296297</v>
      </c>
      <c r="AI7">
        <v>0</v>
      </c>
      <c r="AJ7">
        <v>0</v>
      </c>
      <c r="AK7">
        <v>0</v>
      </c>
      <c r="AL7">
        <v>0</v>
      </c>
      <c r="AM7">
        <v>0</v>
      </c>
      <c r="AN7">
        <v>0</v>
      </c>
      <c r="AO7">
        <v>0</v>
      </c>
      <c r="AP7">
        <v>0</v>
      </c>
      <c r="AQ7">
        <v>0</v>
      </c>
      <c r="AR7">
        <v>0</v>
      </c>
      <c r="AS7">
        <v>0</v>
      </c>
      <c r="AT7">
        <v>0</v>
      </c>
      <c r="AU7" s="3">
        <f t="shared" si="1"/>
        <v>8.4492499999999993</v>
      </c>
    </row>
    <row r="8" spans="1:47" x14ac:dyDescent="0.25">
      <c r="A8">
        <v>4</v>
      </c>
      <c r="B8" t="s">
        <v>1</v>
      </c>
      <c r="C8">
        <v>25984</v>
      </c>
      <c r="D8">
        <v>32</v>
      </c>
      <c r="E8">
        <v>1</v>
      </c>
      <c r="F8">
        <v>16</v>
      </c>
      <c r="G8">
        <v>1243.72</v>
      </c>
      <c r="H8" s="3">
        <v>9.4046000000000003</v>
      </c>
      <c r="I8" s="1">
        <v>45479</v>
      </c>
      <c r="J8" s="2">
        <v>0.62555555555555553</v>
      </c>
      <c r="K8">
        <v>0</v>
      </c>
      <c r="L8">
        <v>0</v>
      </c>
      <c r="M8">
        <v>0</v>
      </c>
      <c r="N8">
        <v>0</v>
      </c>
      <c r="O8">
        <v>0</v>
      </c>
      <c r="P8">
        <v>0</v>
      </c>
      <c r="Q8">
        <v>0</v>
      </c>
      <c r="R8">
        <v>0</v>
      </c>
      <c r="S8">
        <v>0</v>
      </c>
      <c r="T8">
        <v>0</v>
      </c>
      <c r="U8">
        <v>0</v>
      </c>
      <c r="V8">
        <v>0</v>
      </c>
      <c r="W8" s="4">
        <f t="shared" si="0"/>
        <v>9.4038400000000006</v>
      </c>
      <c r="Y8">
        <v>4</v>
      </c>
      <c r="Z8" t="s">
        <v>1</v>
      </c>
      <c r="AA8">
        <v>25984</v>
      </c>
      <c r="AB8">
        <v>32</v>
      </c>
      <c r="AC8">
        <v>1</v>
      </c>
      <c r="AD8">
        <v>16</v>
      </c>
      <c r="AU8" s="3">
        <f t="shared" si="1"/>
        <v>8.4492499999999993</v>
      </c>
    </row>
    <row r="9" spans="1:47" x14ac:dyDescent="0.25">
      <c r="A9">
        <v>0</v>
      </c>
      <c r="B9" t="s">
        <v>1</v>
      </c>
      <c r="C9">
        <v>27520</v>
      </c>
      <c r="D9">
        <v>32</v>
      </c>
      <c r="E9">
        <v>1</v>
      </c>
      <c r="F9">
        <v>16</v>
      </c>
      <c r="G9">
        <v>1471.78</v>
      </c>
      <c r="H9">
        <v>9.4415999999999993</v>
      </c>
      <c r="I9">
        <v>45477</v>
      </c>
      <c r="J9">
        <v>0.43626157407407407</v>
      </c>
      <c r="K9">
        <v>0</v>
      </c>
      <c r="L9">
        <v>0</v>
      </c>
      <c r="M9">
        <v>0</v>
      </c>
      <c r="N9">
        <v>0</v>
      </c>
      <c r="O9">
        <v>0</v>
      </c>
      <c r="P9">
        <v>0</v>
      </c>
      <c r="Q9">
        <v>0</v>
      </c>
      <c r="R9">
        <v>0</v>
      </c>
      <c r="S9">
        <v>0</v>
      </c>
      <c r="T9">
        <v>0</v>
      </c>
      <c r="U9">
        <v>0</v>
      </c>
      <c r="V9">
        <v>0</v>
      </c>
      <c r="W9" s="4">
        <f t="shared" ref="W9" si="2">AVERAGE(H9:H13)</f>
        <v>9.4380799999999994</v>
      </c>
      <c r="Y9">
        <v>0</v>
      </c>
      <c r="Z9" t="s">
        <v>1</v>
      </c>
      <c r="AA9">
        <v>27520</v>
      </c>
      <c r="AB9">
        <v>32</v>
      </c>
      <c r="AC9">
        <v>1</v>
      </c>
      <c r="AD9">
        <v>16</v>
      </c>
      <c r="AE9">
        <v>1643.84</v>
      </c>
      <c r="AF9" s="24">
        <v>8.4534000000000002</v>
      </c>
      <c r="AG9" s="1">
        <v>45477</v>
      </c>
      <c r="AH9" s="2">
        <v>0.43667824074074074</v>
      </c>
      <c r="AI9">
        <v>0</v>
      </c>
      <c r="AJ9">
        <v>0</v>
      </c>
      <c r="AK9">
        <v>0</v>
      </c>
      <c r="AL9">
        <v>0</v>
      </c>
      <c r="AM9">
        <v>0</v>
      </c>
      <c r="AN9">
        <v>0</v>
      </c>
      <c r="AO9">
        <v>0</v>
      </c>
      <c r="AP9">
        <v>0</v>
      </c>
      <c r="AQ9">
        <v>0</v>
      </c>
      <c r="AR9">
        <v>0</v>
      </c>
      <c r="AS9">
        <v>0</v>
      </c>
      <c r="AT9">
        <v>0</v>
      </c>
      <c r="AU9" s="3">
        <f t="shared" ref="AU9" si="3">AVERAGE(AF9:AF13)</f>
        <v>8.4537499999999994</v>
      </c>
    </row>
    <row r="10" spans="1:47" x14ac:dyDescent="0.25">
      <c r="A10">
        <v>1</v>
      </c>
      <c r="B10" t="s">
        <v>1</v>
      </c>
      <c r="C10">
        <v>27520</v>
      </c>
      <c r="D10">
        <v>32</v>
      </c>
      <c r="E10">
        <v>1</v>
      </c>
      <c r="F10">
        <v>16</v>
      </c>
      <c r="G10">
        <v>1472.39</v>
      </c>
      <c r="H10" s="3">
        <v>9.4376999999999995</v>
      </c>
      <c r="I10" s="1">
        <v>45477</v>
      </c>
      <c r="J10" s="2">
        <v>0.94208333333333338</v>
      </c>
      <c r="K10">
        <v>0</v>
      </c>
      <c r="L10">
        <v>0</v>
      </c>
      <c r="M10">
        <v>0</v>
      </c>
      <c r="N10">
        <v>0</v>
      </c>
      <c r="O10">
        <v>0</v>
      </c>
      <c r="P10">
        <v>0</v>
      </c>
      <c r="Q10">
        <v>0</v>
      </c>
      <c r="R10">
        <v>0</v>
      </c>
      <c r="S10">
        <v>0</v>
      </c>
      <c r="T10">
        <v>0</v>
      </c>
      <c r="U10">
        <v>0</v>
      </c>
      <c r="V10">
        <v>0</v>
      </c>
      <c r="W10" s="4">
        <f t="shared" ref="W10:W73" si="4">W9</f>
        <v>9.4380799999999994</v>
      </c>
      <c r="Y10">
        <v>1</v>
      </c>
      <c r="Z10" t="s">
        <v>1</v>
      </c>
      <c r="AA10">
        <v>27520</v>
      </c>
      <c r="AB10">
        <v>32</v>
      </c>
      <c r="AC10">
        <v>1</v>
      </c>
      <c r="AD10">
        <v>16</v>
      </c>
      <c r="AE10">
        <v>1643.57</v>
      </c>
      <c r="AF10" s="24">
        <v>8.4548000000000005</v>
      </c>
      <c r="AG10" s="1">
        <v>45477</v>
      </c>
      <c r="AH10" s="2">
        <v>0.96849537037037037</v>
      </c>
      <c r="AI10">
        <v>0</v>
      </c>
      <c r="AJ10">
        <v>0</v>
      </c>
      <c r="AK10">
        <v>0</v>
      </c>
      <c r="AL10">
        <v>0</v>
      </c>
      <c r="AM10">
        <v>0</v>
      </c>
      <c r="AN10">
        <v>0</v>
      </c>
      <c r="AO10">
        <v>0</v>
      </c>
      <c r="AP10">
        <v>0</v>
      </c>
      <c r="AQ10">
        <v>0</v>
      </c>
      <c r="AR10">
        <v>0</v>
      </c>
      <c r="AS10">
        <v>0</v>
      </c>
      <c r="AT10">
        <v>0</v>
      </c>
      <c r="AU10" s="3">
        <f t="shared" ref="AU10:AU73" si="5">AU9</f>
        <v>8.4537499999999994</v>
      </c>
    </row>
    <row r="11" spans="1:47" x14ac:dyDescent="0.25">
      <c r="A11">
        <v>2</v>
      </c>
      <c r="B11" t="s">
        <v>1</v>
      </c>
      <c r="C11">
        <v>27520</v>
      </c>
      <c r="D11">
        <v>32</v>
      </c>
      <c r="E11">
        <v>1</v>
      </c>
      <c r="F11">
        <v>16</v>
      </c>
      <c r="G11">
        <v>1472.85</v>
      </c>
      <c r="H11" s="3">
        <v>9.4347999999999992</v>
      </c>
      <c r="I11" s="1">
        <v>45478</v>
      </c>
      <c r="J11" s="2">
        <v>0.44817129629629632</v>
      </c>
      <c r="K11">
        <v>0</v>
      </c>
      <c r="L11">
        <v>0</v>
      </c>
      <c r="M11">
        <v>0</v>
      </c>
      <c r="N11">
        <v>0</v>
      </c>
      <c r="O11">
        <v>0</v>
      </c>
      <c r="P11">
        <v>0</v>
      </c>
      <c r="Q11">
        <v>0</v>
      </c>
      <c r="R11">
        <v>0</v>
      </c>
      <c r="S11">
        <v>0</v>
      </c>
      <c r="T11">
        <v>0</v>
      </c>
      <c r="U11">
        <v>0</v>
      </c>
      <c r="V11">
        <v>0</v>
      </c>
      <c r="W11" s="4">
        <f t="shared" si="4"/>
        <v>9.4380799999999994</v>
      </c>
      <c r="Y11">
        <v>2</v>
      </c>
      <c r="Z11" t="s">
        <v>1</v>
      </c>
      <c r="AA11">
        <v>27520</v>
      </c>
      <c r="AB11">
        <v>32</v>
      </c>
      <c r="AC11">
        <v>1</v>
      </c>
      <c r="AD11">
        <v>16</v>
      </c>
      <c r="AE11">
        <v>1644.29</v>
      </c>
      <c r="AF11" s="24">
        <v>8.4511000000000003</v>
      </c>
      <c r="AG11" s="1">
        <v>45478</v>
      </c>
      <c r="AH11" s="2">
        <v>0.50048611111111108</v>
      </c>
      <c r="AI11">
        <v>0</v>
      </c>
      <c r="AJ11">
        <v>0</v>
      </c>
      <c r="AK11">
        <v>0</v>
      </c>
      <c r="AL11">
        <v>0</v>
      </c>
      <c r="AM11">
        <v>0</v>
      </c>
      <c r="AN11">
        <v>0</v>
      </c>
      <c r="AO11">
        <v>0</v>
      </c>
      <c r="AP11">
        <v>0</v>
      </c>
      <c r="AQ11">
        <v>0</v>
      </c>
      <c r="AR11">
        <v>0</v>
      </c>
      <c r="AS11">
        <v>0</v>
      </c>
      <c r="AT11">
        <v>0</v>
      </c>
      <c r="AU11" s="3">
        <f t="shared" si="5"/>
        <v>8.4537499999999994</v>
      </c>
    </row>
    <row r="12" spans="1:47" x14ac:dyDescent="0.25">
      <c r="A12">
        <v>3</v>
      </c>
      <c r="B12" t="s">
        <v>1</v>
      </c>
      <c r="C12">
        <v>27520</v>
      </c>
      <c r="D12">
        <v>32</v>
      </c>
      <c r="E12">
        <v>1</v>
      </c>
      <c r="F12">
        <v>16</v>
      </c>
      <c r="G12">
        <v>1472.28</v>
      </c>
      <c r="H12" s="3">
        <v>9.4383999999999997</v>
      </c>
      <c r="I12" s="1">
        <v>45478</v>
      </c>
      <c r="J12" s="2">
        <v>0.95429398148148148</v>
      </c>
      <c r="K12">
        <v>0</v>
      </c>
      <c r="L12">
        <v>0</v>
      </c>
      <c r="M12">
        <v>0</v>
      </c>
      <c r="N12">
        <v>0</v>
      </c>
      <c r="O12">
        <v>0</v>
      </c>
      <c r="P12">
        <v>0</v>
      </c>
      <c r="Q12">
        <v>0</v>
      </c>
      <c r="R12">
        <v>0</v>
      </c>
      <c r="S12">
        <v>0</v>
      </c>
      <c r="T12">
        <v>0</v>
      </c>
      <c r="U12">
        <v>0</v>
      </c>
      <c r="V12">
        <v>0</v>
      </c>
      <c r="W12" s="4">
        <f t="shared" si="4"/>
        <v>9.4380799999999994</v>
      </c>
      <c r="Y12">
        <v>3</v>
      </c>
      <c r="Z12" t="s">
        <v>1</v>
      </c>
      <c r="AA12">
        <v>27520</v>
      </c>
      <c r="AB12">
        <v>32</v>
      </c>
      <c r="AC12">
        <v>1</v>
      </c>
      <c r="AD12">
        <v>16</v>
      </c>
      <c r="AE12">
        <v>1643.39</v>
      </c>
      <c r="AF12" s="24">
        <v>8.4557000000000002</v>
      </c>
      <c r="AG12" s="1">
        <v>45479</v>
      </c>
      <c r="AH12" s="2">
        <v>3.2418981481481479E-2</v>
      </c>
      <c r="AI12">
        <v>0</v>
      </c>
      <c r="AJ12">
        <v>0</v>
      </c>
      <c r="AK12">
        <v>0</v>
      </c>
      <c r="AL12">
        <v>0</v>
      </c>
      <c r="AM12">
        <v>0</v>
      </c>
      <c r="AN12">
        <v>0</v>
      </c>
      <c r="AO12">
        <v>0</v>
      </c>
      <c r="AP12">
        <v>0</v>
      </c>
      <c r="AQ12">
        <v>0</v>
      </c>
      <c r="AR12">
        <v>0</v>
      </c>
      <c r="AS12">
        <v>0</v>
      </c>
      <c r="AT12">
        <v>0</v>
      </c>
      <c r="AU12" s="3">
        <f t="shared" si="5"/>
        <v>8.4537499999999994</v>
      </c>
    </row>
    <row r="13" spans="1:47" x14ac:dyDescent="0.25">
      <c r="A13">
        <v>4</v>
      </c>
      <c r="B13" t="s">
        <v>1</v>
      </c>
      <c r="C13">
        <v>27520</v>
      </c>
      <c r="D13">
        <v>32</v>
      </c>
      <c r="E13">
        <v>1</v>
      </c>
      <c r="F13">
        <v>16</v>
      </c>
      <c r="G13">
        <v>1472.35</v>
      </c>
      <c r="H13" s="3">
        <v>9.4379000000000008</v>
      </c>
      <c r="I13" s="1">
        <v>45479</v>
      </c>
      <c r="J13" s="2">
        <v>0.46049768518518519</v>
      </c>
      <c r="K13">
        <v>0</v>
      </c>
      <c r="L13">
        <v>0</v>
      </c>
      <c r="M13">
        <v>0</v>
      </c>
      <c r="N13">
        <v>0</v>
      </c>
      <c r="O13">
        <v>0</v>
      </c>
      <c r="P13">
        <v>0</v>
      </c>
      <c r="Q13">
        <v>0</v>
      </c>
      <c r="R13">
        <v>0</v>
      </c>
      <c r="S13">
        <v>0</v>
      </c>
      <c r="T13">
        <v>0</v>
      </c>
      <c r="U13">
        <v>0</v>
      </c>
      <c r="V13">
        <v>0</v>
      </c>
      <c r="W13" s="4">
        <f t="shared" si="4"/>
        <v>9.4380799999999994</v>
      </c>
      <c r="Y13">
        <v>4</v>
      </c>
      <c r="Z13" t="s">
        <v>1</v>
      </c>
      <c r="AA13">
        <v>27520</v>
      </c>
      <c r="AB13">
        <v>32</v>
      </c>
      <c r="AC13">
        <v>1</v>
      </c>
      <c r="AD13">
        <v>16</v>
      </c>
      <c r="AU13" s="3">
        <f t="shared" si="5"/>
        <v>8.4537499999999994</v>
      </c>
    </row>
    <row r="14" spans="1:47" x14ac:dyDescent="0.25">
      <c r="A14">
        <v>0</v>
      </c>
      <c r="B14" t="s">
        <v>1</v>
      </c>
      <c r="C14">
        <v>29056</v>
      </c>
      <c r="D14">
        <v>32</v>
      </c>
      <c r="E14">
        <v>1</v>
      </c>
      <c r="F14">
        <v>16</v>
      </c>
      <c r="G14">
        <v>1723.38</v>
      </c>
      <c r="H14" s="3">
        <v>9.4901</v>
      </c>
      <c r="I14" s="1">
        <v>45477</v>
      </c>
      <c r="J14" s="2">
        <v>0.74974537037037037</v>
      </c>
      <c r="K14">
        <v>0</v>
      </c>
      <c r="L14">
        <v>0</v>
      </c>
      <c r="M14">
        <v>0</v>
      </c>
      <c r="N14">
        <v>0</v>
      </c>
      <c r="O14">
        <v>0</v>
      </c>
      <c r="P14">
        <v>0</v>
      </c>
      <c r="Q14">
        <v>0</v>
      </c>
      <c r="R14">
        <v>0</v>
      </c>
      <c r="S14">
        <v>0</v>
      </c>
      <c r="T14">
        <v>0</v>
      </c>
      <c r="U14">
        <v>0</v>
      </c>
      <c r="V14">
        <v>0</v>
      </c>
      <c r="W14" s="4">
        <f t="shared" ref="W14" si="6">AVERAGE(H14:H18)</f>
        <v>9.48428</v>
      </c>
      <c r="Y14">
        <v>0</v>
      </c>
      <c r="Z14" t="s">
        <v>1</v>
      </c>
      <c r="AA14">
        <v>29056</v>
      </c>
      <c r="AB14">
        <v>32</v>
      </c>
      <c r="AC14">
        <v>1</v>
      </c>
      <c r="AD14">
        <v>16</v>
      </c>
      <c r="AE14">
        <v>1917.48</v>
      </c>
      <c r="AF14" s="24">
        <v>8.5294000000000008</v>
      </c>
      <c r="AG14" s="1">
        <v>45477</v>
      </c>
      <c r="AH14" s="2">
        <v>0.76590277777777782</v>
      </c>
      <c r="AI14">
        <v>0</v>
      </c>
      <c r="AJ14">
        <v>0</v>
      </c>
      <c r="AK14">
        <v>0</v>
      </c>
      <c r="AL14">
        <v>0</v>
      </c>
      <c r="AM14">
        <v>0</v>
      </c>
      <c r="AN14">
        <v>0</v>
      </c>
      <c r="AO14">
        <v>0</v>
      </c>
      <c r="AP14">
        <v>0</v>
      </c>
      <c r="AQ14">
        <v>0</v>
      </c>
      <c r="AR14">
        <v>0</v>
      </c>
      <c r="AS14">
        <v>0</v>
      </c>
      <c r="AT14">
        <v>0</v>
      </c>
      <c r="AU14" s="3">
        <f t="shared" ref="AU14" si="7">AVERAGE(AF14:AF18)</f>
        <v>8.5242750000000012</v>
      </c>
    </row>
    <row r="15" spans="1:47" x14ac:dyDescent="0.25">
      <c r="A15">
        <v>1</v>
      </c>
      <c r="B15" t="s">
        <v>1</v>
      </c>
      <c r="C15">
        <v>29056</v>
      </c>
      <c r="D15">
        <v>32</v>
      </c>
      <c r="E15">
        <v>1</v>
      </c>
      <c r="F15">
        <v>16</v>
      </c>
      <c r="G15">
        <v>1722.79</v>
      </c>
      <c r="H15" s="3">
        <v>9.4932999999999996</v>
      </c>
      <c r="I15" s="1">
        <v>45478</v>
      </c>
      <c r="J15" s="2">
        <v>0.25581018518518517</v>
      </c>
      <c r="K15">
        <v>0</v>
      </c>
      <c r="L15">
        <v>0</v>
      </c>
      <c r="M15">
        <v>0</v>
      </c>
      <c r="N15">
        <v>0</v>
      </c>
      <c r="O15">
        <v>0</v>
      </c>
      <c r="P15">
        <v>0</v>
      </c>
      <c r="Q15">
        <v>0</v>
      </c>
      <c r="R15">
        <v>0</v>
      </c>
      <c r="S15">
        <v>0</v>
      </c>
      <c r="T15">
        <v>0</v>
      </c>
      <c r="U15">
        <v>0</v>
      </c>
      <c r="V15">
        <v>0</v>
      </c>
      <c r="W15" s="4">
        <f t="shared" ref="W15" si="8">W14</f>
        <v>9.48428</v>
      </c>
      <c r="Y15">
        <v>1</v>
      </c>
      <c r="Z15" t="s">
        <v>1</v>
      </c>
      <c r="AA15">
        <v>29056</v>
      </c>
      <c r="AB15">
        <v>32</v>
      </c>
      <c r="AC15">
        <v>1</v>
      </c>
      <c r="AD15">
        <v>16</v>
      </c>
      <c r="AE15">
        <v>1919.37</v>
      </c>
      <c r="AF15" s="24">
        <v>8.5210000000000008</v>
      </c>
      <c r="AG15" s="1">
        <v>45478</v>
      </c>
      <c r="AH15" s="2">
        <v>0.29783564814814817</v>
      </c>
      <c r="AI15">
        <v>0</v>
      </c>
      <c r="AJ15">
        <v>0</v>
      </c>
      <c r="AK15">
        <v>0</v>
      </c>
      <c r="AL15">
        <v>0</v>
      </c>
      <c r="AM15">
        <v>0</v>
      </c>
      <c r="AN15">
        <v>0</v>
      </c>
      <c r="AO15">
        <v>0</v>
      </c>
      <c r="AP15">
        <v>0</v>
      </c>
      <c r="AQ15">
        <v>0</v>
      </c>
      <c r="AR15">
        <v>0</v>
      </c>
      <c r="AS15">
        <v>0</v>
      </c>
      <c r="AT15">
        <v>0</v>
      </c>
      <c r="AU15" s="3">
        <f t="shared" ref="AU15" si="9">AU14</f>
        <v>8.5242750000000012</v>
      </c>
    </row>
    <row r="16" spans="1:47" x14ac:dyDescent="0.25">
      <c r="A16">
        <v>2</v>
      </c>
      <c r="B16" t="s">
        <v>1</v>
      </c>
      <c r="C16">
        <v>29056</v>
      </c>
      <c r="D16">
        <v>32</v>
      </c>
      <c r="E16">
        <v>1</v>
      </c>
      <c r="F16">
        <v>16</v>
      </c>
      <c r="G16">
        <v>1724.86</v>
      </c>
      <c r="H16" s="3">
        <v>9.4818999999999996</v>
      </c>
      <c r="I16" s="1">
        <v>45478</v>
      </c>
      <c r="J16" s="2">
        <v>0.7619097222222222</v>
      </c>
      <c r="K16">
        <v>0</v>
      </c>
      <c r="L16">
        <v>0</v>
      </c>
      <c r="M16">
        <v>0</v>
      </c>
      <c r="N16">
        <v>0</v>
      </c>
      <c r="O16">
        <v>0</v>
      </c>
      <c r="P16">
        <v>0</v>
      </c>
      <c r="Q16">
        <v>0</v>
      </c>
      <c r="R16">
        <v>0</v>
      </c>
      <c r="S16">
        <v>0</v>
      </c>
      <c r="T16">
        <v>0</v>
      </c>
      <c r="U16">
        <v>0</v>
      </c>
      <c r="V16">
        <v>0</v>
      </c>
      <c r="W16" s="4">
        <f t="shared" si="4"/>
        <v>9.48428</v>
      </c>
      <c r="Y16">
        <v>2</v>
      </c>
      <c r="Z16" t="s">
        <v>1</v>
      </c>
      <c r="AA16">
        <v>29056</v>
      </c>
      <c r="AB16">
        <v>32</v>
      </c>
      <c r="AC16">
        <v>1</v>
      </c>
      <c r="AD16">
        <v>16</v>
      </c>
      <c r="AE16">
        <v>1918.54</v>
      </c>
      <c r="AF16" s="24">
        <v>8.5246999999999993</v>
      </c>
      <c r="AG16" s="1">
        <v>45478</v>
      </c>
      <c r="AH16" s="2">
        <v>0.82981481481481478</v>
      </c>
      <c r="AI16">
        <v>0</v>
      </c>
      <c r="AJ16">
        <v>0</v>
      </c>
      <c r="AK16">
        <v>0</v>
      </c>
      <c r="AL16">
        <v>0</v>
      </c>
      <c r="AM16">
        <v>0</v>
      </c>
      <c r="AN16">
        <v>0</v>
      </c>
      <c r="AO16">
        <v>0</v>
      </c>
      <c r="AP16">
        <v>0</v>
      </c>
      <c r="AQ16">
        <v>0</v>
      </c>
      <c r="AR16">
        <v>0</v>
      </c>
      <c r="AS16">
        <v>0</v>
      </c>
      <c r="AT16">
        <v>0</v>
      </c>
      <c r="AU16" s="3">
        <f t="shared" si="5"/>
        <v>8.5242750000000012</v>
      </c>
    </row>
    <row r="17" spans="1:47" x14ac:dyDescent="0.25">
      <c r="A17">
        <v>3</v>
      </c>
      <c r="B17" t="s">
        <v>1</v>
      </c>
      <c r="C17">
        <v>29056</v>
      </c>
      <c r="D17">
        <v>32</v>
      </c>
      <c r="E17">
        <v>1</v>
      </c>
      <c r="F17">
        <v>16</v>
      </c>
      <c r="G17">
        <v>1726.08</v>
      </c>
      <c r="H17" s="3">
        <v>9.4751999999999992</v>
      </c>
      <c r="I17" s="1">
        <v>45479</v>
      </c>
      <c r="J17" s="2">
        <v>0.26817129629629627</v>
      </c>
      <c r="K17">
        <v>0</v>
      </c>
      <c r="L17">
        <v>0</v>
      </c>
      <c r="M17">
        <v>0</v>
      </c>
      <c r="N17">
        <v>0</v>
      </c>
      <c r="O17">
        <v>0</v>
      </c>
      <c r="P17">
        <v>0</v>
      </c>
      <c r="Q17">
        <v>0</v>
      </c>
      <c r="R17">
        <v>0</v>
      </c>
      <c r="S17">
        <v>0</v>
      </c>
      <c r="T17">
        <v>0</v>
      </c>
      <c r="U17">
        <v>0</v>
      </c>
      <c r="V17">
        <v>0</v>
      </c>
      <c r="W17" s="4">
        <f t="shared" si="4"/>
        <v>9.48428</v>
      </c>
      <c r="Y17">
        <v>3</v>
      </c>
      <c r="Z17" t="s">
        <v>1</v>
      </c>
      <c r="AA17">
        <v>29056</v>
      </c>
      <c r="AB17">
        <v>32</v>
      </c>
      <c r="AC17">
        <v>1</v>
      </c>
      <c r="AD17">
        <v>16</v>
      </c>
      <c r="AE17">
        <v>1919.16</v>
      </c>
      <c r="AF17" s="24">
        <v>8.5220000000000002</v>
      </c>
      <c r="AG17" s="1">
        <v>45479</v>
      </c>
      <c r="AH17" s="2">
        <v>0.36184027777777777</v>
      </c>
      <c r="AI17">
        <v>0</v>
      </c>
      <c r="AJ17">
        <v>0</v>
      </c>
      <c r="AK17">
        <v>0</v>
      </c>
      <c r="AL17">
        <v>0</v>
      </c>
      <c r="AM17">
        <v>0</v>
      </c>
      <c r="AN17">
        <v>0</v>
      </c>
      <c r="AO17">
        <v>0</v>
      </c>
      <c r="AP17">
        <v>0</v>
      </c>
      <c r="AQ17">
        <v>0</v>
      </c>
      <c r="AR17">
        <v>0</v>
      </c>
      <c r="AS17">
        <v>0</v>
      </c>
      <c r="AT17">
        <v>0</v>
      </c>
      <c r="AU17" s="3">
        <f t="shared" si="5"/>
        <v>8.5242750000000012</v>
      </c>
    </row>
    <row r="18" spans="1:47" x14ac:dyDescent="0.25">
      <c r="A18">
        <v>4</v>
      </c>
      <c r="B18" t="s">
        <v>1</v>
      </c>
      <c r="C18">
        <v>29056</v>
      </c>
      <c r="D18">
        <v>32</v>
      </c>
      <c r="E18">
        <v>1</v>
      </c>
      <c r="F18">
        <v>16</v>
      </c>
      <c r="G18">
        <v>1725.04</v>
      </c>
      <c r="H18" s="3">
        <v>9.4809000000000001</v>
      </c>
      <c r="I18" s="1">
        <v>45479</v>
      </c>
      <c r="J18" s="2">
        <v>0.77430555555555558</v>
      </c>
      <c r="K18">
        <v>0</v>
      </c>
      <c r="L18">
        <v>0</v>
      </c>
      <c r="M18">
        <v>0</v>
      </c>
      <c r="N18">
        <v>0</v>
      </c>
      <c r="O18">
        <v>0</v>
      </c>
      <c r="P18">
        <v>0</v>
      </c>
      <c r="Q18">
        <v>0</v>
      </c>
      <c r="R18">
        <v>0</v>
      </c>
      <c r="S18">
        <v>0</v>
      </c>
      <c r="T18">
        <v>0</v>
      </c>
      <c r="U18">
        <v>0</v>
      </c>
      <c r="V18">
        <v>0</v>
      </c>
      <c r="W18" s="4">
        <f t="shared" si="4"/>
        <v>9.48428</v>
      </c>
      <c r="Y18">
        <v>4</v>
      </c>
      <c r="Z18" t="s">
        <v>1</v>
      </c>
      <c r="AA18">
        <v>29056</v>
      </c>
      <c r="AB18">
        <v>32</v>
      </c>
      <c r="AC18">
        <v>1</v>
      </c>
      <c r="AD18">
        <v>16</v>
      </c>
      <c r="AU18" s="3">
        <f t="shared" si="5"/>
        <v>8.5242750000000012</v>
      </c>
    </row>
    <row r="19" spans="1:47" x14ac:dyDescent="0.25">
      <c r="A19">
        <v>0</v>
      </c>
      <c r="B19" t="s">
        <v>1</v>
      </c>
      <c r="C19">
        <v>25984</v>
      </c>
      <c r="D19">
        <v>32</v>
      </c>
      <c r="E19">
        <v>2</v>
      </c>
      <c r="F19">
        <v>8</v>
      </c>
      <c r="G19">
        <v>1235.69</v>
      </c>
      <c r="H19">
        <v>9.4657</v>
      </c>
      <c r="I19">
        <v>45477</v>
      </c>
      <c r="J19">
        <v>0.61678240740740742</v>
      </c>
      <c r="K19">
        <v>0</v>
      </c>
      <c r="L19">
        <v>0</v>
      </c>
      <c r="M19">
        <v>0</v>
      </c>
      <c r="N19">
        <v>0</v>
      </c>
      <c r="O19">
        <v>0</v>
      </c>
      <c r="P19">
        <v>0</v>
      </c>
      <c r="Q19">
        <v>0</v>
      </c>
      <c r="R19">
        <v>0</v>
      </c>
      <c r="S19">
        <v>0</v>
      </c>
      <c r="T19">
        <v>0</v>
      </c>
      <c r="U19">
        <v>0</v>
      </c>
      <c r="V19">
        <v>0</v>
      </c>
      <c r="W19" s="4">
        <f t="shared" ref="W19" si="10">AVERAGE(H19:H23)</f>
        <v>9.4645800000000015</v>
      </c>
      <c r="Y19">
        <v>0</v>
      </c>
      <c r="Z19" t="s">
        <v>1</v>
      </c>
      <c r="AA19">
        <v>25984</v>
      </c>
      <c r="AB19">
        <v>32</v>
      </c>
      <c r="AC19">
        <v>2</v>
      </c>
      <c r="AD19">
        <v>8</v>
      </c>
      <c r="AE19">
        <v>1360.44</v>
      </c>
      <c r="AF19" s="24">
        <v>8.5976999999999997</v>
      </c>
      <c r="AG19" s="1">
        <v>45477</v>
      </c>
      <c r="AH19" s="2">
        <v>0.62633101851851847</v>
      </c>
      <c r="AI19">
        <v>0</v>
      </c>
      <c r="AJ19">
        <v>0</v>
      </c>
      <c r="AK19">
        <v>0</v>
      </c>
      <c r="AL19">
        <v>0</v>
      </c>
      <c r="AM19">
        <v>0</v>
      </c>
      <c r="AN19">
        <v>0</v>
      </c>
      <c r="AO19">
        <v>0</v>
      </c>
      <c r="AP19">
        <v>0</v>
      </c>
      <c r="AQ19">
        <v>0</v>
      </c>
      <c r="AR19">
        <v>0</v>
      </c>
      <c r="AS19">
        <v>0</v>
      </c>
      <c r="AT19">
        <v>0</v>
      </c>
      <c r="AU19" s="3">
        <f t="shared" ref="AU19" si="11">AVERAGE(AF19:AF23)</f>
        <v>8.6001750000000001</v>
      </c>
    </row>
    <row r="20" spans="1:47" x14ac:dyDescent="0.25">
      <c r="A20">
        <v>1</v>
      </c>
      <c r="B20" t="s">
        <v>1</v>
      </c>
      <c r="C20">
        <v>25984</v>
      </c>
      <c r="D20">
        <v>32</v>
      </c>
      <c r="E20">
        <v>2</v>
      </c>
      <c r="F20">
        <v>8</v>
      </c>
      <c r="G20">
        <v>1235.57</v>
      </c>
      <c r="H20" s="3">
        <v>9.4666999999999994</v>
      </c>
      <c r="I20" s="1">
        <v>45478</v>
      </c>
      <c r="J20" s="2">
        <v>0.12273148148148148</v>
      </c>
      <c r="K20">
        <v>0</v>
      </c>
      <c r="L20">
        <v>0</v>
      </c>
      <c r="M20">
        <v>0</v>
      </c>
      <c r="N20">
        <v>0</v>
      </c>
      <c r="O20">
        <v>0</v>
      </c>
      <c r="P20">
        <v>0</v>
      </c>
      <c r="Q20">
        <v>0</v>
      </c>
      <c r="R20">
        <v>0</v>
      </c>
      <c r="S20">
        <v>0</v>
      </c>
      <c r="T20">
        <v>0</v>
      </c>
      <c r="U20">
        <v>0</v>
      </c>
      <c r="V20">
        <v>0</v>
      </c>
      <c r="W20" s="4">
        <f t="shared" ref="W20" si="12">W19</f>
        <v>9.4645800000000015</v>
      </c>
      <c r="Y20">
        <v>1</v>
      </c>
      <c r="Z20" t="s">
        <v>1</v>
      </c>
      <c r="AA20">
        <v>25984</v>
      </c>
      <c r="AB20">
        <v>32</v>
      </c>
      <c r="AC20">
        <v>2</v>
      </c>
      <c r="AD20">
        <v>8</v>
      </c>
      <c r="AE20">
        <v>1360.02</v>
      </c>
      <c r="AF20" s="24">
        <v>8.6004000000000005</v>
      </c>
      <c r="AG20" s="1">
        <v>45478</v>
      </c>
      <c r="AH20" s="2">
        <v>0.15820601851851851</v>
      </c>
      <c r="AI20">
        <v>0</v>
      </c>
      <c r="AJ20">
        <v>0</v>
      </c>
      <c r="AK20">
        <v>0</v>
      </c>
      <c r="AL20">
        <v>0</v>
      </c>
      <c r="AM20">
        <v>0</v>
      </c>
      <c r="AN20">
        <v>0</v>
      </c>
      <c r="AO20">
        <v>0</v>
      </c>
      <c r="AP20">
        <v>0</v>
      </c>
      <c r="AQ20">
        <v>0</v>
      </c>
      <c r="AR20">
        <v>0</v>
      </c>
      <c r="AS20">
        <v>0</v>
      </c>
      <c r="AT20">
        <v>0</v>
      </c>
      <c r="AU20" s="3">
        <f t="shared" ref="AU20" si="13">AU19</f>
        <v>8.6001750000000001</v>
      </c>
    </row>
    <row r="21" spans="1:47" x14ac:dyDescent="0.25">
      <c r="A21">
        <v>2</v>
      </c>
      <c r="B21" t="s">
        <v>1</v>
      </c>
      <c r="C21">
        <v>25984</v>
      </c>
      <c r="D21">
        <v>32</v>
      </c>
      <c r="E21">
        <v>2</v>
      </c>
      <c r="F21">
        <v>8</v>
      </c>
      <c r="G21">
        <v>1236.3599999999999</v>
      </c>
      <c r="H21" s="3">
        <v>9.4605999999999995</v>
      </c>
      <c r="I21" s="1">
        <v>45478</v>
      </c>
      <c r="J21" s="2">
        <v>0.6287962962962963</v>
      </c>
      <c r="K21">
        <v>0</v>
      </c>
      <c r="L21">
        <v>0</v>
      </c>
      <c r="M21">
        <v>0</v>
      </c>
      <c r="N21">
        <v>0</v>
      </c>
      <c r="O21">
        <v>0</v>
      </c>
      <c r="P21">
        <v>0</v>
      </c>
      <c r="Q21">
        <v>0</v>
      </c>
      <c r="R21">
        <v>0</v>
      </c>
      <c r="S21">
        <v>0</v>
      </c>
      <c r="T21">
        <v>0</v>
      </c>
      <c r="U21">
        <v>0</v>
      </c>
      <c r="V21">
        <v>0</v>
      </c>
      <c r="W21" s="4">
        <f t="shared" si="4"/>
        <v>9.4645800000000015</v>
      </c>
      <c r="Y21">
        <v>2</v>
      </c>
      <c r="Z21" t="s">
        <v>1</v>
      </c>
      <c r="AA21">
        <v>25984</v>
      </c>
      <c r="AB21">
        <v>32</v>
      </c>
      <c r="AC21">
        <v>2</v>
      </c>
      <c r="AD21">
        <v>8</v>
      </c>
      <c r="AE21">
        <v>1359.84</v>
      </c>
      <c r="AF21" s="24">
        <v>8.6015999999999995</v>
      </c>
      <c r="AG21" s="1">
        <v>45478</v>
      </c>
      <c r="AH21" s="2">
        <v>0.69017361111111108</v>
      </c>
      <c r="AI21">
        <v>0</v>
      </c>
      <c r="AJ21">
        <v>0</v>
      </c>
      <c r="AK21">
        <v>0</v>
      </c>
      <c r="AL21">
        <v>0</v>
      </c>
      <c r="AM21">
        <v>0</v>
      </c>
      <c r="AN21">
        <v>0</v>
      </c>
      <c r="AO21">
        <v>0</v>
      </c>
      <c r="AP21">
        <v>0</v>
      </c>
      <c r="AQ21">
        <v>0</v>
      </c>
      <c r="AR21">
        <v>0</v>
      </c>
      <c r="AS21">
        <v>0</v>
      </c>
      <c r="AT21">
        <v>0</v>
      </c>
      <c r="AU21" s="3">
        <f t="shared" si="5"/>
        <v>8.6001750000000001</v>
      </c>
    </row>
    <row r="22" spans="1:47" x14ac:dyDescent="0.25">
      <c r="A22">
        <v>3</v>
      </c>
      <c r="B22" t="s">
        <v>1</v>
      </c>
      <c r="C22">
        <v>25984</v>
      </c>
      <c r="D22">
        <v>32</v>
      </c>
      <c r="E22">
        <v>2</v>
      </c>
      <c r="F22">
        <v>8</v>
      </c>
      <c r="G22">
        <v>1235.4100000000001</v>
      </c>
      <c r="H22" s="3">
        <v>9.4679000000000002</v>
      </c>
      <c r="I22" s="1">
        <v>45479</v>
      </c>
      <c r="J22" s="2">
        <v>0.13498842592592591</v>
      </c>
      <c r="K22">
        <v>0</v>
      </c>
      <c r="L22">
        <v>0</v>
      </c>
      <c r="M22">
        <v>0</v>
      </c>
      <c r="N22">
        <v>0</v>
      </c>
      <c r="O22">
        <v>0</v>
      </c>
      <c r="P22">
        <v>0</v>
      </c>
      <c r="Q22">
        <v>0</v>
      </c>
      <c r="R22">
        <v>0</v>
      </c>
      <c r="S22">
        <v>0</v>
      </c>
      <c r="T22">
        <v>0</v>
      </c>
      <c r="U22">
        <v>0</v>
      </c>
      <c r="V22">
        <v>0</v>
      </c>
      <c r="W22" s="4">
        <f t="shared" si="4"/>
        <v>9.4645800000000015</v>
      </c>
      <c r="Y22">
        <v>3</v>
      </c>
      <c r="Z22" t="s">
        <v>1</v>
      </c>
      <c r="AA22">
        <v>25984</v>
      </c>
      <c r="AB22">
        <v>32</v>
      </c>
      <c r="AC22">
        <v>2</v>
      </c>
      <c r="AD22">
        <v>8</v>
      </c>
      <c r="AE22">
        <v>1359.93</v>
      </c>
      <c r="AF22" s="24">
        <v>8.6010000000000009</v>
      </c>
      <c r="AG22" s="1">
        <v>45479</v>
      </c>
      <c r="AH22" s="2">
        <v>0.22215277777777778</v>
      </c>
      <c r="AI22">
        <v>0</v>
      </c>
      <c r="AJ22">
        <v>0</v>
      </c>
      <c r="AK22">
        <v>0</v>
      </c>
      <c r="AL22">
        <v>0</v>
      </c>
      <c r="AM22">
        <v>0</v>
      </c>
      <c r="AN22">
        <v>0</v>
      </c>
      <c r="AO22">
        <v>0</v>
      </c>
      <c r="AP22">
        <v>0</v>
      </c>
      <c r="AQ22">
        <v>0</v>
      </c>
      <c r="AR22">
        <v>0</v>
      </c>
      <c r="AS22">
        <v>0</v>
      </c>
      <c r="AT22">
        <v>0</v>
      </c>
      <c r="AU22" s="3">
        <f t="shared" si="5"/>
        <v>8.6001750000000001</v>
      </c>
    </row>
    <row r="23" spans="1:47" x14ac:dyDescent="0.25">
      <c r="A23">
        <v>4</v>
      </c>
      <c r="B23" t="s">
        <v>1</v>
      </c>
      <c r="C23">
        <v>25984</v>
      </c>
      <c r="D23">
        <v>32</v>
      </c>
      <c r="E23">
        <v>2</v>
      </c>
      <c r="F23">
        <v>8</v>
      </c>
      <c r="G23">
        <v>1236.18</v>
      </c>
      <c r="H23" s="3">
        <v>9.4619999999999997</v>
      </c>
      <c r="I23" s="1">
        <v>45479</v>
      </c>
      <c r="J23" s="2">
        <v>0.6412268518518518</v>
      </c>
      <c r="K23">
        <v>0</v>
      </c>
      <c r="L23">
        <v>0</v>
      </c>
      <c r="M23">
        <v>0</v>
      </c>
      <c r="N23">
        <v>0</v>
      </c>
      <c r="O23">
        <v>0</v>
      </c>
      <c r="P23">
        <v>0</v>
      </c>
      <c r="Q23">
        <v>0</v>
      </c>
      <c r="R23">
        <v>0</v>
      </c>
      <c r="S23">
        <v>0</v>
      </c>
      <c r="T23">
        <v>0</v>
      </c>
      <c r="U23">
        <v>0</v>
      </c>
      <c r="V23">
        <v>0</v>
      </c>
      <c r="W23" s="4">
        <f t="shared" si="4"/>
        <v>9.4645800000000015</v>
      </c>
      <c r="Y23">
        <v>4</v>
      </c>
      <c r="Z23" t="s">
        <v>1</v>
      </c>
      <c r="AA23">
        <v>25984</v>
      </c>
      <c r="AB23">
        <v>32</v>
      </c>
      <c r="AC23">
        <v>2</v>
      </c>
      <c r="AD23">
        <v>8</v>
      </c>
      <c r="AU23" s="3">
        <f t="shared" si="5"/>
        <v>8.6001750000000001</v>
      </c>
    </row>
    <row r="24" spans="1:47" x14ac:dyDescent="0.25">
      <c r="A24">
        <v>0</v>
      </c>
      <c r="B24" t="s">
        <v>1</v>
      </c>
      <c r="C24">
        <v>27520</v>
      </c>
      <c r="D24">
        <v>32</v>
      </c>
      <c r="E24">
        <v>2</v>
      </c>
      <c r="F24">
        <v>8</v>
      </c>
      <c r="G24">
        <v>1460.5</v>
      </c>
      <c r="H24">
        <v>9.5145</v>
      </c>
      <c r="I24">
        <v>45477</v>
      </c>
      <c r="J24">
        <v>0.45469907407407406</v>
      </c>
      <c r="K24">
        <v>0</v>
      </c>
      <c r="L24">
        <v>0</v>
      </c>
      <c r="M24">
        <v>0</v>
      </c>
      <c r="N24">
        <v>0</v>
      </c>
      <c r="O24">
        <v>0</v>
      </c>
      <c r="P24">
        <v>0</v>
      </c>
      <c r="Q24">
        <v>0</v>
      </c>
      <c r="R24">
        <v>0</v>
      </c>
      <c r="S24">
        <v>0</v>
      </c>
      <c r="T24">
        <v>0</v>
      </c>
      <c r="U24">
        <v>0</v>
      </c>
      <c r="V24">
        <v>0</v>
      </c>
      <c r="W24" s="4">
        <f t="shared" ref="W24" si="14">AVERAGE(H24:H28)</f>
        <v>9.5115800000000004</v>
      </c>
      <c r="Y24">
        <v>0</v>
      </c>
      <c r="Z24" t="s">
        <v>1</v>
      </c>
      <c r="AA24">
        <v>27520</v>
      </c>
      <c r="AB24">
        <v>32</v>
      </c>
      <c r="AC24">
        <v>2</v>
      </c>
      <c r="AD24">
        <v>8</v>
      </c>
      <c r="AE24">
        <v>1610.33</v>
      </c>
      <c r="AF24" s="24">
        <v>8.6293000000000006</v>
      </c>
      <c r="AG24" s="1">
        <v>45477</v>
      </c>
      <c r="AH24" s="2">
        <v>0.45567129629629627</v>
      </c>
      <c r="AI24">
        <v>0</v>
      </c>
      <c r="AJ24">
        <v>0</v>
      </c>
      <c r="AK24">
        <v>0</v>
      </c>
      <c r="AL24">
        <v>0</v>
      </c>
      <c r="AM24">
        <v>0</v>
      </c>
      <c r="AN24">
        <v>0</v>
      </c>
      <c r="AO24">
        <v>0</v>
      </c>
      <c r="AP24">
        <v>0</v>
      </c>
      <c r="AQ24">
        <v>0</v>
      </c>
      <c r="AR24">
        <v>0</v>
      </c>
      <c r="AS24">
        <v>0</v>
      </c>
      <c r="AT24">
        <v>0</v>
      </c>
      <c r="AU24" s="3">
        <f t="shared" ref="AU24" si="15">AVERAGE(AF24:AF28)</f>
        <v>8.6270000000000007</v>
      </c>
    </row>
    <row r="25" spans="1:47" x14ac:dyDescent="0.25">
      <c r="A25">
        <v>1</v>
      </c>
      <c r="B25" t="s">
        <v>1</v>
      </c>
      <c r="C25">
        <v>27520</v>
      </c>
      <c r="D25">
        <v>32</v>
      </c>
      <c r="E25">
        <v>2</v>
      </c>
      <c r="F25">
        <v>8</v>
      </c>
      <c r="G25">
        <v>1460.79</v>
      </c>
      <c r="H25" s="3">
        <v>9.5127000000000006</v>
      </c>
      <c r="I25" s="1">
        <v>45477</v>
      </c>
      <c r="J25" s="2">
        <v>0.96050925925925923</v>
      </c>
      <c r="K25">
        <v>0</v>
      </c>
      <c r="L25">
        <v>0</v>
      </c>
      <c r="M25">
        <v>0</v>
      </c>
      <c r="N25">
        <v>0</v>
      </c>
      <c r="O25">
        <v>0</v>
      </c>
      <c r="P25">
        <v>0</v>
      </c>
      <c r="Q25">
        <v>0</v>
      </c>
      <c r="R25">
        <v>0</v>
      </c>
      <c r="S25">
        <v>0</v>
      </c>
      <c r="T25">
        <v>0</v>
      </c>
      <c r="U25">
        <v>0</v>
      </c>
      <c r="V25">
        <v>0</v>
      </c>
      <c r="W25" s="4">
        <f t="shared" ref="W25" si="16">W24</f>
        <v>9.5115800000000004</v>
      </c>
      <c r="Y25">
        <v>1</v>
      </c>
      <c r="Z25" t="s">
        <v>1</v>
      </c>
      <c r="AA25">
        <v>27520</v>
      </c>
      <c r="AB25">
        <v>32</v>
      </c>
      <c r="AC25">
        <v>2</v>
      </c>
      <c r="AD25">
        <v>8</v>
      </c>
      <c r="AE25">
        <v>1610.47</v>
      </c>
      <c r="AF25" s="24">
        <v>8.6285000000000007</v>
      </c>
      <c r="AG25" s="1">
        <v>45477</v>
      </c>
      <c r="AH25" s="2">
        <v>0.98750000000000004</v>
      </c>
      <c r="AI25">
        <v>0</v>
      </c>
      <c r="AJ25">
        <v>0</v>
      </c>
      <c r="AK25">
        <v>0</v>
      </c>
      <c r="AL25">
        <v>0</v>
      </c>
      <c r="AM25">
        <v>0</v>
      </c>
      <c r="AN25">
        <v>0</v>
      </c>
      <c r="AO25">
        <v>0</v>
      </c>
      <c r="AP25">
        <v>0</v>
      </c>
      <c r="AQ25">
        <v>0</v>
      </c>
      <c r="AR25">
        <v>0</v>
      </c>
      <c r="AS25">
        <v>0</v>
      </c>
      <c r="AT25">
        <v>0</v>
      </c>
      <c r="AU25" s="3">
        <f t="shared" ref="AU25" si="17">AU24</f>
        <v>8.6270000000000007</v>
      </c>
    </row>
    <row r="26" spans="1:47" x14ac:dyDescent="0.25">
      <c r="A26">
        <v>2</v>
      </c>
      <c r="B26" t="s">
        <v>1</v>
      </c>
      <c r="C26">
        <v>27520</v>
      </c>
      <c r="D26">
        <v>32</v>
      </c>
      <c r="E26">
        <v>2</v>
      </c>
      <c r="F26">
        <v>8</v>
      </c>
      <c r="G26">
        <v>1461.11</v>
      </c>
      <c r="H26" s="3">
        <v>9.5106000000000002</v>
      </c>
      <c r="I26" s="1">
        <v>45478</v>
      </c>
      <c r="J26" s="2">
        <v>0.46662037037037035</v>
      </c>
      <c r="K26">
        <v>0</v>
      </c>
      <c r="L26">
        <v>0</v>
      </c>
      <c r="M26">
        <v>0</v>
      </c>
      <c r="N26">
        <v>0</v>
      </c>
      <c r="O26">
        <v>0</v>
      </c>
      <c r="P26">
        <v>0</v>
      </c>
      <c r="Q26">
        <v>0</v>
      </c>
      <c r="R26">
        <v>0</v>
      </c>
      <c r="S26">
        <v>0</v>
      </c>
      <c r="T26">
        <v>0</v>
      </c>
      <c r="U26">
        <v>0</v>
      </c>
      <c r="V26">
        <v>0</v>
      </c>
      <c r="W26" s="4">
        <f t="shared" si="4"/>
        <v>9.5115800000000004</v>
      </c>
      <c r="Y26">
        <v>2</v>
      </c>
      <c r="Z26" t="s">
        <v>1</v>
      </c>
      <c r="AA26">
        <v>27520</v>
      </c>
      <c r="AB26">
        <v>32</v>
      </c>
      <c r="AC26">
        <v>2</v>
      </c>
      <c r="AD26">
        <v>8</v>
      </c>
      <c r="AE26">
        <v>1610.94</v>
      </c>
      <c r="AF26" s="24">
        <v>8.6259999999999994</v>
      </c>
      <c r="AG26" s="1">
        <v>45478</v>
      </c>
      <c r="AH26" s="2">
        <v>0.51949074074074075</v>
      </c>
      <c r="AI26">
        <v>0</v>
      </c>
      <c r="AJ26">
        <v>0</v>
      </c>
      <c r="AK26">
        <v>0</v>
      </c>
      <c r="AL26">
        <v>0</v>
      </c>
      <c r="AM26">
        <v>0</v>
      </c>
      <c r="AN26">
        <v>0</v>
      </c>
      <c r="AO26">
        <v>0</v>
      </c>
      <c r="AP26">
        <v>0</v>
      </c>
      <c r="AQ26">
        <v>0</v>
      </c>
      <c r="AR26">
        <v>0</v>
      </c>
      <c r="AS26">
        <v>0</v>
      </c>
      <c r="AT26">
        <v>0</v>
      </c>
      <c r="AU26" s="3">
        <f t="shared" si="5"/>
        <v>8.6270000000000007</v>
      </c>
    </row>
    <row r="27" spans="1:47" x14ac:dyDescent="0.25">
      <c r="A27">
        <v>3</v>
      </c>
      <c r="B27" t="s">
        <v>1</v>
      </c>
      <c r="C27">
        <v>27520</v>
      </c>
      <c r="D27">
        <v>32</v>
      </c>
      <c r="E27">
        <v>2</v>
      </c>
      <c r="F27">
        <v>8</v>
      </c>
      <c r="G27">
        <v>1460.79</v>
      </c>
      <c r="H27" s="3">
        <v>9.5126000000000008</v>
      </c>
      <c r="I27" s="1">
        <v>45478</v>
      </c>
      <c r="J27" s="2">
        <v>0.97273148148148147</v>
      </c>
      <c r="K27">
        <v>0</v>
      </c>
      <c r="L27">
        <v>0</v>
      </c>
      <c r="M27">
        <v>0</v>
      </c>
      <c r="N27">
        <v>0</v>
      </c>
      <c r="O27">
        <v>0</v>
      </c>
      <c r="P27">
        <v>0</v>
      </c>
      <c r="Q27">
        <v>0</v>
      </c>
      <c r="R27">
        <v>0</v>
      </c>
      <c r="S27">
        <v>0</v>
      </c>
      <c r="T27">
        <v>0</v>
      </c>
      <c r="U27">
        <v>0</v>
      </c>
      <c r="V27">
        <v>0</v>
      </c>
      <c r="W27" s="4">
        <f t="shared" si="4"/>
        <v>9.5115800000000004</v>
      </c>
      <c r="Y27">
        <v>3</v>
      </c>
      <c r="Z27" t="s">
        <v>1</v>
      </c>
      <c r="AA27">
        <v>27520</v>
      </c>
      <c r="AB27">
        <v>32</v>
      </c>
      <c r="AC27">
        <v>2</v>
      </c>
      <c r="AD27">
        <v>8</v>
      </c>
      <c r="AE27">
        <v>1611.27</v>
      </c>
      <c r="AF27" s="24">
        <v>8.6242000000000001</v>
      </c>
      <c r="AG27" s="1">
        <v>45479</v>
      </c>
      <c r="AH27" s="2">
        <v>5.1423611111111114E-2</v>
      </c>
      <c r="AI27">
        <v>0</v>
      </c>
      <c r="AJ27">
        <v>0</v>
      </c>
      <c r="AK27">
        <v>0</v>
      </c>
      <c r="AL27">
        <v>0</v>
      </c>
      <c r="AM27">
        <v>0</v>
      </c>
      <c r="AN27">
        <v>0</v>
      </c>
      <c r="AO27">
        <v>0</v>
      </c>
      <c r="AP27">
        <v>0</v>
      </c>
      <c r="AQ27">
        <v>0</v>
      </c>
      <c r="AR27">
        <v>0</v>
      </c>
      <c r="AS27">
        <v>0</v>
      </c>
      <c r="AT27">
        <v>0</v>
      </c>
      <c r="AU27" s="3">
        <f t="shared" si="5"/>
        <v>8.6270000000000007</v>
      </c>
    </row>
    <row r="28" spans="1:47" x14ac:dyDescent="0.25">
      <c r="A28">
        <v>4</v>
      </c>
      <c r="B28" t="s">
        <v>1</v>
      </c>
      <c r="C28">
        <v>27520</v>
      </c>
      <c r="D28">
        <v>32</v>
      </c>
      <c r="E28">
        <v>2</v>
      </c>
      <c r="F28">
        <v>8</v>
      </c>
      <c r="G28">
        <v>1461.58</v>
      </c>
      <c r="H28" s="3">
        <v>9.5075000000000003</v>
      </c>
      <c r="I28" s="1">
        <v>45479</v>
      </c>
      <c r="J28" s="2">
        <v>0.47894675925925928</v>
      </c>
      <c r="K28">
        <v>0</v>
      </c>
      <c r="L28">
        <v>0</v>
      </c>
      <c r="M28">
        <v>0</v>
      </c>
      <c r="N28">
        <v>0</v>
      </c>
      <c r="O28">
        <v>0</v>
      </c>
      <c r="P28">
        <v>0</v>
      </c>
      <c r="Q28">
        <v>0</v>
      </c>
      <c r="R28">
        <v>0</v>
      </c>
      <c r="S28">
        <v>0</v>
      </c>
      <c r="T28">
        <v>0</v>
      </c>
      <c r="U28">
        <v>0</v>
      </c>
      <c r="V28">
        <v>0</v>
      </c>
      <c r="W28" s="4">
        <f t="shared" si="4"/>
        <v>9.5115800000000004</v>
      </c>
      <c r="Y28">
        <v>4</v>
      </c>
      <c r="Z28" t="s">
        <v>1</v>
      </c>
      <c r="AA28">
        <v>27520</v>
      </c>
      <c r="AB28">
        <v>32</v>
      </c>
      <c r="AC28">
        <v>2</v>
      </c>
      <c r="AD28">
        <v>8</v>
      </c>
      <c r="AU28" s="3">
        <f t="shared" si="5"/>
        <v>8.6270000000000007</v>
      </c>
    </row>
    <row r="29" spans="1:47" x14ac:dyDescent="0.25">
      <c r="A29">
        <v>0</v>
      </c>
      <c r="B29" t="s">
        <v>1</v>
      </c>
      <c r="C29">
        <v>29056</v>
      </c>
      <c r="D29">
        <v>32</v>
      </c>
      <c r="E29">
        <v>2</v>
      </c>
      <c r="F29">
        <v>8</v>
      </c>
      <c r="G29">
        <v>1711.06</v>
      </c>
      <c r="H29" s="3">
        <v>9.5584000000000007</v>
      </c>
      <c r="I29" s="1">
        <v>45477</v>
      </c>
      <c r="J29" s="2">
        <v>0.77123842592592595</v>
      </c>
      <c r="K29">
        <v>0</v>
      </c>
      <c r="L29">
        <v>0</v>
      </c>
      <c r="M29">
        <v>0</v>
      </c>
      <c r="N29">
        <v>0</v>
      </c>
      <c r="O29">
        <v>0</v>
      </c>
      <c r="P29">
        <v>0</v>
      </c>
      <c r="Q29">
        <v>0</v>
      </c>
      <c r="R29">
        <v>0</v>
      </c>
      <c r="S29">
        <v>0</v>
      </c>
      <c r="T29">
        <v>0</v>
      </c>
      <c r="U29">
        <v>0</v>
      </c>
      <c r="V29">
        <v>0</v>
      </c>
      <c r="W29" s="4">
        <f t="shared" ref="W29" si="18">AVERAGE(H29:H33)</f>
        <v>9.5522000000000027</v>
      </c>
      <c r="Y29">
        <v>0</v>
      </c>
      <c r="Z29" t="s">
        <v>1</v>
      </c>
      <c r="AA29">
        <v>29056</v>
      </c>
      <c r="AB29">
        <v>32</v>
      </c>
      <c r="AC29">
        <v>2</v>
      </c>
      <c r="AD29">
        <v>8</v>
      </c>
      <c r="AE29">
        <v>1887.61</v>
      </c>
      <c r="AF29" s="24">
        <v>8.6644000000000005</v>
      </c>
      <c r="AG29" s="1">
        <v>45477</v>
      </c>
      <c r="AH29" s="2">
        <v>0.78813657407407411</v>
      </c>
      <c r="AI29">
        <v>0</v>
      </c>
      <c r="AJ29">
        <v>0</v>
      </c>
      <c r="AK29">
        <v>0</v>
      </c>
      <c r="AL29">
        <v>0</v>
      </c>
      <c r="AM29">
        <v>0</v>
      </c>
      <c r="AN29">
        <v>0</v>
      </c>
      <c r="AO29">
        <v>0</v>
      </c>
      <c r="AP29">
        <v>0</v>
      </c>
      <c r="AQ29">
        <v>0</v>
      </c>
      <c r="AR29">
        <v>0</v>
      </c>
      <c r="AS29">
        <v>0</v>
      </c>
      <c r="AT29">
        <v>0</v>
      </c>
      <c r="AU29" s="3">
        <f t="shared" ref="AU29" si="19">AVERAGE(AF29:AF33)</f>
        <v>8.664674999999999</v>
      </c>
    </row>
    <row r="30" spans="1:47" x14ac:dyDescent="0.25">
      <c r="A30">
        <v>1</v>
      </c>
      <c r="B30" t="s">
        <v>1</v>
      </c>
      <c r="C30">
        <v>29056</v>
      </c>
      <c r="D30">
        <v>32</v>
      </c>
      <c r="E30">
        <v>2</v>
      </c>
      <c r="F30">
        <v>8</v>
      </c>
      <c r="G30">
        <v>1712.29</v>
      </c>
      <c r="H30" s="3">
        <v>9.5515000000000008</v>
      </c>
      <c r="I30" s="1">
        <v>45478</v>
      </c>
      <c r="J30" s="2">
        <v>0.27732638888888889</v>
      </c>
      <c r="K30">
        <v>0</v>
      </c>
      <c r="L30">
        <v>0</v>
      </c>
      <c r="M30">
        <v>0</v>
      </c>
      <c r="N30">
        <v>0</v>
      </c>
      <c r="O30">
        <v>0</v>
      </c>
      <c r="P30">
        <v>0</v>
      </c>
      <c r="Q30">
        <v>0</v>
      </c>
      <c r="R30">
        <v>0</v>
      </c>
      <c r="S30">
        <v>0</v>
      </c>
      <c r="T30">
        <v>0</v>
      </c>
      <c r="U30">
        <v>0</v>
      </c>
      <c r="V30">
        <v>0</v>
      </c>
      <c r="W30" s="4">
        <f t="shared" ref="W30" si="20">W29</f>
        <v>9.5522000000000027</v>
      </c>
      <c r="Y30">
        <v>1</v>
      </c>
      <c r="Z30" t="s">
        <v>1</v>
      </c>
      <c r="AA30">
        <v>29056</v>
      </c>
      <c r="AB30">
        <v>32</v>
      </c>
      <c r="AC30">
        <v>2</v>
      </c>
      <c r="AD30">
        <v>8</v>
      </c>
      <c r="AE30">
        <v>1887.85</v>
      </c>
      <c r="AF30" s="24">
        <v>8.6632999999999996</v>
      </c>
      <c r="AG30" s="1">
        <v>45478</v>
      </c>
      <c r="AH30" s="2">
        <v>0.3200810185185185</v>
      </c>
      <c r="AI30">
        <v>0</v>
      </c>
      <c r="AJ30">
        <v>0</v>
      </c>
      <c r="AK30">
        <v>0</v>
      </c>
      <c r="AL30">
        <v>0</v>
      </c>
      <c r="AM30">
        <v>0</v>
      </c>
      <c r="AN30">
        <v>0</v>
      </c>
      <c r="AO30">
        <v>0</v>
      </c>
      <c r="AP30">
        <v>0</v>
      </c>
      <c r="AQ30">
        <v>0</v>
      </c>
      <c r="AR30">
        <v>0</v>
      </c>
      <c r="AS30">
        <v>0</v>
      </c>
      <c r="AT30">
        <v>0</v>
      </c>
      <c r="AU30" s="3">
        <f t="shared" ref="AU30" si="21">AU29</f>
        <v>8.664674999999999</v>
      </c>
    </row>
    <row r="31" spans="1:47" x14ac:dyDescent="0.25">
      <c r="A31">
        <v>2</v>
      </c>
      <c r="B31" t="s">
        <v>1</v>
      </c>
      <c r="C31">
        <v>29056</v>
      </c>
      <c r="D31">
        <v>32</v>
      </c>
      <c r="E31">
        <v>2</v>
      </c>
      <c r="F31">
        <v>8</v>
      </c>
      <c r="G31">
        <v>1712.69</v>
      </c>
      <c r="H31" s="3">
        <v>9.5493000000000006</v>
      </c>
      <c r="I31" s="1">
        <v>45478</v>
      </c>
      <c r="J31" s="2">
        <v>0.78342592592592597</v>
      </c>
      <c r="K31">
        <v>0</v>
      </c>
      <c r="L31">
        <v>0</v>
      </c>
      <c r="M31">
        <v>0</v>
      </c>
      <c r="N31">
        <v>0</v>
      </c>
      <c r="O31">
        <v>0</v>
      </c>
      <c r="P31">
        <v>0</v>
      </c>
      <c r="Q31">
        <v>0</v>
      </c>
      <c r="R31">
        <v>0</v>
      </c>
      <c r="S31">
        <v>0</v>
      </c>
      <c r="T31">
        <v>0</v>
      </c>
      <c r="U31">
        <v>0</v>
      </c>
      <c r="V31">
        <v>0</v>
      </c>
      <c r="W31" s="4">
        <f t="shared" si="4"/>
        <v>9.5522000000000027</v>
      </c>
      <c r="Y31">
        <v>2</v>
      </c>
      <c r="Z31" t="s">
        <v>1</v>
      </c>
      <c r="AA31">
        <v>29056</v>
      </c>
      <c r="AB31">
        <v>32</v>
      </c>
      <c r="AC31">
        <v>2</v>
      </c>
      <c r="AD31">
        <v>8</v>
      </c>
      <c r="AE31">
        <v>1887.2</v>
      </c>
      <c r="AF31" s="24">
        <v>8.6662999999999997</v>
      </c>
      <c r="AG31" s="1">
        <v>45478</v>
      </c>
      <c r="AH31" s="2">
        <v>0.85204861111111108</v>
      </c>
      <c r="AI31">
        <v>0</v>
      </c>
      <c r="AJ31">
        <v>0</v>
      </c>
      <c r="AK31">
        <v>0</v>
      </c>
      <c r="AL31">
        <v>0</v>
      </c>
      <c r="AM31">
        <v>0</v>
      </c>
      <c r="AN31">
        <v>0</v>
      </c>
      <c r="AO31">
        <v>0</v>
      </c>
      <c r="AP31">
        <v>0</v>
      </c>
      <c r="AQ31">
        <v>0</v>
      </c>
      <c r="AR31">
        <v>0</v>
      </c>
      <c r="AS31">
        <v>0</v>
      </c>
      <c r="AT31">
        <v>0</v>
      </c>
      <c r="AU31" s="3">
        <f t="shared" si="5"/>
        <v>8.664674999999999</v>
      </c>
    </row>
    <row r="32" spans="1:47" x14ac:dyDescent="0.25">
      <c r="A32">
        <v>3</v>
      </c>
      <c r="B32" t="s">
        <v>1</v>
      </c>
      <c r="C32">
        <v>29056</v>
      </c>
      <c r="D32">
        <v>32</v>
      </c>
      <c r="E32">
        <v>2</v>
      </c>
      <c r="F32">
        <v>8</v>
      </c>
      <c r="G32">
        <v>1713.42</v>
      </c>
      <c r="H32" s="3">
        <v>9.5451999999999995</v>
      </c>
      <c r="I32" s="1">
        <v>45479</v>
      </c>
      <c r="J32" s="2">
        <v>0.28969907407407408</v>
      </c>
      <c r="K32">
        <v>0</v>
      </c>
      <c r="L32">
        <v>0</v>
      </c>
      <c r="M32">
        <v>0</v>
      </c>
      <c r="N32">
        <v>0</v>
      </c>
      <c r="O32">
        <v>0</v>
      </c>
      <c r="P32">
        <v>0</v>
      </c>
      <c r="Q32">
        <v>0</v>
      </c>
      <c r="R32">
        <v>0</v>
      </c>
      <c r="S32">
        <v>0</v>
      </c>
      <c r="T32">
        <v>0</v>
      </c>
      <c r="U32">
        <v>0</v>
      </c>
      <c r="V32">
        <v>0</v>
      </c>
      <c r="W32" s="4">
        <f t="shared" si="4"/>
        <v>9.5522000000000027</v>
      </c>
      <c r="Y32">
        <v>3</v>
      </c>
      <c r="Z32" t="s">
        <v>1</v>
      </c>
      <c r="AA32">
        <v>29056</v>
      </c>
      <c r="AB32">
        <v>32</v>
      </c>
      <c r="AC32">
        <v>2</v>
      </c>
      <c r="AD32">
        <v>8</v>
      </c>
      <c r="AE32">
        <v>1887.54</v>
      </c>
      <c r="AF32" s="24">
        <v>8.6646999999999998</v>
      </c>
      <c r="AG32" s="1">
        <v>45479</v>
      </c>
      <c r="AH32" s="2">
        <v>0.38407407407407407</v>
      </c>
      <c r="AI32">
        <v>0</v>
      </c>
      <c r="AJ32">
        <v>0</v>
      </c>
      <c r="AK32">
        <v>0</v>
      </c>
      <c r="AL32">
        <v>0</v>
      </c>
      <c r="AM32">
        <v>0</v>
      </c>
      <c r="AN32">
        <v>0</v>
      </c>
      <c r="AO32">
        <v>0</v>
      </c>
      <c r="AP32">
        <v>0</v>
      </c>
      <c r="AQ32">
        <v>0</v>
      </c>
      <c r="AR32">
        <v>0</v>
      </c>
      <c r="AS32">
        <v>0</v>
      </c>
      <c r="AT32">
        <v>0</v>
      </c>
      <c r="AU32" s="3">
        <f t="shared" si="5"/>
        <v>8.664674999999999</v>
      </c>
    </row>
    <row r="33" spans="1:47" x14ac:dyDescent="0.25">
      <c r="A33">
        <v>4</v>
      </c>
      <c r="B33" t="s">
        <v>1</v>
      </c>
      <c r="C33">
        <v>29056</v>
      </c>
      <c r="D33">
        <v>32</v>
      </c>
      <c r="E33">
        <v>2</v>
      </c>
      <c r="F33">
        <v>8</v>
      </c>
      <c r="G33">
        <v>1711.39</v>
      </c>
      <c r="H33" s="3">
        <v>9.5565999999999995</v>
      </c>
      <c r="I33" s="1">
        <v>45479</v>
      </c>
      <c r="J33" s="2">
        <v>0.7958101851851852</v>
      </c>
      <c r="K33">
        <v>0</v>
      </c>
      <c r="L33">
        <v>0</v>
      </c>
      <c r="M33">
        <v>0</v>
      </c>
      <c r="N33">
        <v>0</v>
      </c>
      <c r="O33">
        <v>0</v>
      </c>
      <c r="P33">
        <v>0</v>
      </c>
      <c r="Q33">
        <v>0</v>
      </c>
      <c r="R33">
        <v>0</v>
      </c>
      <c r="S33">
        <v>0</v>
      </c>
      <c r="T33">
        <v>0</v>
      </c>
      <c r="U33">
        <v>0</v>
      </c>
      <c r="V33">
        <v>0</v>
      </c>
      <c r="W33" s="4">
        <f t="shared" si="4"/>
        <v>9.5522000000000027</v>
      </c>
      <c r="Y33">
        <v>4</v>
      </c>
      <c r="Z33" t="s">
        <v>1</v>
      </c>
      <c r="AA33">
        <v>29056</v>
      </c>
      <c r="AB33">
        <v>32</v>
      </c>
      <c r="AC33">
        <v>2</v>
      </c>
      <c r="AD33">
        <v>8</v>
      </c>
      <c r="AU33" s="3">
        <f t="shared" si="5"/>
        <v>8.664674999999999</v>
      </c>
    </row>
    <row r="34" spans="1:47" x14ac:dyDescent="0.25">
      <c r="A34">
        <v>0</v>
      </c>
      <c r="B34" t="s">
        <v>1</v>
      </c>
      <c r="C34">
        <v>25984</v>
      </c>
      <c r="D34">
        <v>32</v>
      </c>
      <c r="E34">
        <v>4</v>
      </c>
      <c r="F34">
        <v>4</v>
      </c>
      <c r="G34">
        <v>1251.5899999999999</v>
      </c>
      <c r="H34">
        <v>9.3454999999999995</v>
      </c>
      <c r="I34">
        <v>45477</v>
      </c>
      <c r="J34">
        <v>0.63262731481481482</v>
      </c>
      <c r="K34">
        <v>0</v>
      </c>
      <c r="L34">
        <v>0</v>
      </c>
      <c r="M34">
        <v>0</v>
      </c>
      <c r="N34">
        <v>0</v>
      </c>
      <c r="O34">
        <v>0</v>
      </c>
      <c r="P34">
        <v>0</v>
      </c>
      <c r="Q34">
        <v>0</v>
      </c>
      <c r="R34">
        <v>0</v>
      </c>
      <c r="S34">
        <v>0</v>
      </c>
      <c r="T34">
        <v>0</v>
      </c>
      <c r="U34">
        <v>0</v>
      </c>
      <c r="V34">
        <v>0</v>
      </c>
      <c r="W34" s="4">
        <f t="shared" ref="W34" si="22">AVERAGE(H34:H38)</f>
        <v>9.3339399999999983</v>
      </c>
      <c r="Y34">
        <v>0</v>
      </c>
      <c r="Z34" t="s">
        <v>1</v>
      </c>
      <c r="AA34">
        <v>25984</v>
      </c>
      <c r="AB34">
        <v>32</v>
      </c>
      <c r="AC34">
        <v>4</v>
      </c>
      <c r="AD34">
        <v>4</v>
      </c>
      <c r="AE34">
        <v>1371.96</v>
      </c>
      <c r="AF34" s="24">
        <v>8.5256000000000007</v>
      </c>
      <c r="AG34" s="1">
        <v>45477</v>
      </c>
      <c r="AH34" s="2">
        <v>0.64252314814814815</v>
      </c>
      <c r="AI34">
        <v>0</v>
      </c>
      <c r="AJ34">
        <v>0</v>
      </c>
      <c r="AK34">
        <v>0</v>
      </c>
      <c r="AL34">
        <v>0</v>
      </c>
      <c r="AM34">
        <v>0</v>
      </c>
      <c r="AN34">
        <v>0</v>
      </c>
      <c r="AO34">
        <v>0</v>
      </c>
      <c r="AP34">
        <v>0</v>
      </c>
      <c r="AQ34">
        <v>0</v>
      </c>
      <c r="AR34">
        <v>0</v>
      </c>
      <c r="AS34">
        <v>0</v>
      </c>
      <c r="AT34">
        <v>0</v>
      </c>
      <c r="AU34" s="3">
        <f t="shared" ref="AU34" si="23">AVERAGE(AF34:AF38)</f>
        <v>8.5202000000000009</v>
      </c>
    </row>
    <row r="35" spans="1:47" x14ac:dyDescent="0.25">
      <c r="A35">
        <v>1</v>
      </c>
      <c r="B35" t="s">
        <v>1</v>
      </c>
      <c r="C35">
        <v>25984</v>
      </c>
      <c r="D35">
        <v>32</v>
      </c>
      <c r="E35">
        <v>4</v>
      </c>
      <c r="F35">
        <v>4</v>
      </c>
      <c r="G35">
        <v>1252.52</v>
      </c>
      <c r="H35" s="3">
        <v>9.3384999999999998</v>
      </c>
      <c r="I35" s="1">
        <v>45478</v>
      </c>
      <c r="J35" s="2">
        <v>0.13858796296296297</v>
      </c>
      <c r="K35">
        <v>0</v>
      </c>
      <c r="L35">
        <v>0</v>
      </c>
      <c r="M35">
        <v>0</v>
      </c>
      <c r="N35">
        <v>0</v>
      </c>
      <c r="O35">
        <v>0</v>
      </c>
      <c r="P35">
        <v>0</v>
      </c>
      <c r="Q35">
        <v>0</v>
      </c>
      <c r="R35">
        <v>0</v>
      </c>
      <c r="S35">
        <v>0</v>
      </c>
      <c r="T35">
        <v>0</v>
      </c>
      <c r="U35">
        <v>0</v>
      </c>
      <c r="V35">
        <v>0</v>
      </c>
      <c r="W35" s="4">
        <f t="shared" ref="W35" si="24">W34</f>
        <v>9.3339399999999983</v>
      </c>
      <c r="Y35">
        <v>1</v>
      </c>
      <c r="Z35" t="s">
        <v>1</v>
      </c>
      <c r="AA35">
        <v>25984</v>
      </c>
      <c r="AB35">
        <v>32</v>
      </c>
      <c r="AC35">
        <v>4</v>
      </c>
      <c r="AD35">
        <v>4</v>
      </c>
      <c r="AE35">
        <v>1372.46</v>
      </c>
      <c r="AF35" s="24">
        <v>8.5225000000000009</v>
      </c>
      <c r="AG35" s="1">
        <v>45478</v>
      </c>
      <c r="AH35" s="2">
        <v>0.17440972222222223</v>
      </c>
      <c r="AI35">
        <v>0</v>
      </c>
      <c r="AJ35">
        <v>0</v>
      </c>
      <c r="AK35">
        <v>0</v>
      </c>
      <c r="AL35">
        <v>0</v>
      </c>
      <c r="AM35">
        <v>0</v>
      </c>
      <c r="AN35">
        <v>0</v>
      </c>
      <c r="AO35">
        <v>0</v>
      </c>
      <c r="AP35">
        <v>0</v>
      </c>
      <c r="AQ35">
        <v>0</v>
      </c>
      <c r="AR35">
        <v>0</v>
      </c>
      <c r="AS35">
        <v>0</v>
      </c>
      <c r="AT35">
        <v>0</v>
      </c>
      <c r="AU35" s="3">
        <f t="shared" ref="AU35" si="25">AU34</f>
        <v>8.5202000000000009</v>
      </c>
    </row>
    <row r="36" spans="1:47" x14ac:dyDescent="0.25">
      <c r="A36">
        <v>2</v>
      </c>
      <c r="B36" t="s">
        <v>1</v>
      </c>
      <c r="C36">
        <v>25984</v>
      </c>
      <c r="D36">
        <v>32</v>
      </c>
      <c r="E36">
        <v>4</v>
      </c>
      <c r="F36">
        <v>4</v>
      </c>
      <c r="G36">
        <v>1254.54</v>
      </c>
      <c r="H36" s="3">
        <v>9.3234999999999992</v>
      </c>
      <c r="I36" s="1">
        <v>45478</v>
      </c>
      <c r="J36" s="2">
        <v>0.64466435185185189</v>
      </c>
      <c r="K36">
        <v>0</v>
      </c>
      <c r="L36">
        <v>0</v>
      </c>
      <c r="M36">
        <v>0</v>
      </c>
      <c r="N36">
        <v>0</v>
      </c>
      <c r="O36">
        <v>0</v>
      </c>
      <c r="P36">
        <v>0</v>
      </c>
      <c r="Q36">
        <v>0</v>
      </c>
      <c r="R36">
        <v>0</v>
      </c>
      <c r="S36">
        <v>0</v>
      </c>
      <c r="T36">
        <v>0</v>
      </c>
      <c r="U36">
        <v>0</v>
      </c>
      <c r="V36">
        <v>0</v>
      </c>
      <c r="W36" s="4">
        <f t="shared" si="4"/>
        <v>9.3339399999999983</v>
      </c>
      <c r="Y36">
        <v>2</v>
      </c>
      <c r="Z36" t="s">
        <v>1</v>
      </c>
      <c r="AA36">
        <v>25984</v>
      </c>
      <c r="AB36">
        <v>32</v>
      </c>
      <c r="AC36">
        <v>4</v>
      </c>
      <c r="AD36">
        <v>4</v>
      </c>
      <c r="AE36">
        <v>1373.02</v>
      </c>
      <c r="AF36" s="24">
        <v>8.5190000000000001</v>
      </c>
      <c r="AG36" s="1">
        <v>45478</v>
      </c>
      <c r="AH36" s="2">
        <v>0.70637731481481481</v>
      </c>
      <c r="AI36">
        <v>0</v>
      </c>
      <c r="AJ36">
        <v>0</v>
      </c>
      <c r="AK36">
        <v>0</v>
      </c>
      <c r="AL36">
        <v>0</v>
      </c>
      <c r="AM36">
        <v>0</v>
      </c>
      <c r="AN36">
        <v>0</v>
      </c>
      <c r="AO36">
        <v>0</v>
      </c>
      <c r="AP36">
        <v>0</v>
      </c>
      <c r="AQ36">
        <v>0</v>
      </c>
      <c r="AR36">
        <v>0</v>
      </c>
      <c r="AS36">
        <v>0</v>
      </c>
      <c r="AT36">
        <v>0</v>
      </c>
      <c r="AU36" s="3">
        <f t="shared" si="5"/>
        <v>8.5202000000000009</v>
      </c>
    </row>
    <row r="37" spans="1:47" x14ac:dyDescent="0.25">
      <c r="A37">
        <v>3</v>
      </c>
      <c r="B37" t="s">
        <v>1</v>
      </c>
      <c r="C37">
        <v>25984</v>
      </c>
      <c r="D37">
        <v>32</v>
      </c>
      <c r="E37">
        <v>4</v>
      </c>
      <c r="F37">
        <v>4</v>
      </c>
      <c r="G37">
        <v>1254.43</v>
      </c>
      <c r="H37" s="3">
        <v>9.3242999999999991</v>
      </c>
      <c r="I37" s="1">
        <v>45479</v>
      </c>
      <c r="J37" s="2">
        <v>0.15086805555555555</v>
      </c>
      <c r="K37">
        <v>0</v>
      </c>
      <c r="L37">
        <v>0</v>
      </c>
      <c r="M37">
        <v>0</v>
      </c>
      <c r="N37">
        <v>0</v>
      </c>
      <c r="O37">
        <v>0</v>
      </c>
      <c r="P37">
        <v>0</v>
      </c>
      <c r="Q37">
        <v>0</v>
      </c>
      <c r="R37">
        <v>0</v>
      </c>
      <c r="S37">
        <v>0</v>
      </c>
      <c r="T37">
        <v>0</v>
      </c>
      <c r="U37">
        <v>0</v>
      </c>
      <c r="V37">
        <v>0</v>
      </c>
      <c r="W37" s="4">
        <f t="shared" si="4"/>
        <v>9.3339399999999983</v>
      </c>
      <c r="Y37">
        <v>3</v>
      </c>
      <c r="Z37" t="s">
        <v>1</v>
      </c>
      <c r="AA37">
        <v>25984</v>
      </c>
      <c r="AB37">
        <v>32</v>
      </c>
      <c r="AC37">
        <v>4</v>
      </c>
      <c r="AD37">
        <v>4</v>
      </c>
      <c r="AE37">
        <v>1373.87</v>
      </c>
      <c r="AF37" s="24">
        <v>8.5137</v>
      </c>
      <c r="AG37" s="1">
        <v>45479</v>
      </c>
      <c r="AH37" s="2">
        <v>0.23837962962962964</v>
      </c>
      <c r="AI37">
        <v>0</v>
      </c>
      <c r="AJ37">
        <v>0</v>
      </c>
      <c r="AK37">
        <v>0</v>
      </c>
      <c r="AL37">
        <v>0</v>
      </c>
      <c r="AM37">
        <v>0</v>
      </c>
      <c r="AN37">
        <v>0</v>
      </c>
      <c r="AO37">
        <v>0</v>
      </c>
      <c r="AP37">
        <v>0</v>
      </c>
      <c r="AQ37">
        <v>0</v>
      </c>
      <c r="AR37">
        <v>0</v>
      </c>
      <c r="AS37">
        <v>0</v>
      </c>
      <c r="AT37">
        <v>0</v>
      </c>
      <c r="AU37" s="3">
        <f t="shared" si="5"/>
        <v>8.5202000000000009</v>
      </c>
    </row>
    <row r="38" spans="1:47" x14ac:dyDescent="0.25">
      <c r="A38">
        <v>4</v>
      </c>
      <c r="B38" t="s">
        <v>1</v>
      </c>
      <c r="C38">
        <v>25984</v>
      </c>
      <c r="D38">
        <v>32</v>
      </c>
      <c r="E38">
        <v>4</v>
      </c>
      <c r="F38">
        <v>4</v>
      </c>
      <c r="G38">
        <v>1252.6099999999999</v>
      </c>
      <c r="H38" s="3">
        <v>9.3378999999999994</v>
      </c>
      <c r="I38" s="1">
        <v>45479</v>
      </c>
      <c r="J38" s="2">
        <v>0.65708333333333335</v>
      </c>
      <c r="K38">
        <v>0</v>
      </c>
      <c r="L38">
        <v>0</v>
      </c>
      <c r="M38">
        <v>0</v>
      </c>
      <c r="N38">
        <v>0</v>
      </c>
      <c r="O38">
        <v>0</v>
      </c>
      <c r="P38">
        <v>0</v>
      </c>
      <c r="Q38">
        <v>0</v>
      </c>
      <c r="R38">
        <v>0</v>
      </c>
      <c r="S38">
        <v>0</v>
      </c>
      <c r="T38">
        <v>0</v>
      </c>
      <c r="U38">
        <v>0</v>
      </c>
      <c r="V38">
        <v>0</v>
      </c>
      <c r="W38" s="4">
        <f t="shared" si="4"/>
        <v>9.3339399999999983</v>
      </c>
      <c r="Y38">
        <v>4</v>
      </c>
      <c r="Z38" t="s">
        <v>1</v>
      </c>
      <c r="AA38">
        <v>25984</v>
      </c>
      <c r="AB38">
        <v>32</v>
      </c>
      <c r="AC38">
        <v>4</v>
      </c>
      <c r="AD38">
        <v>4</v>
      </c>
      <c r="AU38" s="3">
        <f t="shared" si="5"/>
        <v>8.5202000000000009</v>
      </c>
    </row>
    <row r="39" spans="1:47" x14ac:dyDescent="0.25">
      <c r="A39">
        <v>0</v>
      </c>
      <c r="B39" t="s">
        <v>1</v>
      </c>
      <c r="C39">
        <v>27520</v>
      </c>
      <c r="D39">
        <v>32</v>
      </c>
      <c r="E39">
        <v>4</v>
      </c>
      <c r="F39">
        <v>4</v>
      </c>
      <c r="G39">
        <v>1480.1</v>
      </c>
      <c r="H39">
        <v>9.3886000000000003</v>
      </c>
      <c r="I39">
        <v>45477</v>
      </c>
      <c r="J39">
        <v>0.47334490740740742</v>
      </c>
      <c r="K39">
        <v>0</v>
      </c>
      <c r="L39">
        <v>0</v>
      </c>
      <c r="M39">
        <v>0</v>
      </c>
      <c r="N39">
        <v>0</v>
      </c>
      <c r="O39">
        <v>0</v>
      </c>
      <c r="P39">
        <v>0</v>
      </c>
      <c r="Q39">
        <v>0</v>
      </c>
      <c r="R39">
        <v>0</v>
      </c>
      <c r="S39">
        <v>0</v>
      </c>
      <c r="T39">
        <v>0</v>
      </c>
      <c r="U39">
        <v>0</v>
      </c>
      <c r="V39">
        <v>0</v>
      </c>
      <c r="W39" s="4">
        <f t="shared" ref="W39" si="26">AVERAGE(H39:H43)</f>
        <v>9.378919999999999</v>
      </c>
      <c r="Y39">
        <v>0</v>
      </c>
      <c r="Z39" t="s">
        <v>1</v>
      </c>
      <c r="AA39">
        <v>27520</v>
      </c>
      <c r="AB39">
        <v>32</v>
      </c>
      <c r="AC39">
        <v>4</v>
      </c>
      <c r="AD39">
        <v>4</v>
      </c>
      <c r="AE39">
        <v>1620.51</v>
      </c>
      <c r="AF39" s="24">
        <v>8.5751000000000008</v>
      </c>
      <c r="AG39" s="1">
        <v>45477</v>
      </c>
      <c r="AH39" s="2">
        <v>0.47478009259259257</v>
      </c>
      <c r="AI39">
        <v>0</v>
      </c>
      <c r="AJ39">
        <v>0</v>
      </c>
      <c r="AK39">
        <v>0</v>
      </c>
      <c r="AL39">
        <v>0</v>
      </c>
      <c r="AM39">
        <v>0</v>
      </c>
      <c r="AN39">
        <v>0</v>
      </c>
      <c r="AO39">
        <v>0</v>
      </c>
      <c r="AP39">
        <v>0</v>
      </c>
      <c r="AQ39">
        <v>0</v>
      </c>
      <c r="AR39">
        <v>0</v>
      </c>
      <c r="AS39">
        <v>0</v>
      </c>
      <c r="AT39">
        <v>0</v>
      </c>
      <c r="AU39" s="3">
        <f t="shared" ref="AU39" si="27">AVERAGE(AF39:AF43)</f>
        <v>8.5701499999999999</v>
      </c>
    </row>
    <row r="40" spans="1:47" x14ac:dyDescent="0.25">
      <c r="A40">
        <v>1</v>
      </c>
      <c r="B40" t="s">
        <v>1</v>
      </c>
      <c r="C40">
        <v>27520</v>
      </c>
      <c r="D40">
        <v>32</v>
      </c>
      <c r="E40">
        <v>4</v>
      </c>
      <c r="F40">
        <v>4</v>
      </c>
      <c r="G40">
        <v>1482.2</v>
      </c>
      <c r="H40" s="3">
        <v>9.3752999999999993</v>
      </c>
      <c r="I40" s="1">
        <v>45477</v>
      </c>
      <c r="J40" s="2">
        <v>0.97917824074074078</v>
      </c>
      <c r="K40">
        <v>0</v>
      </c>
      <c r="L40">
        <v>0</v>
      </c>
      <c r="M40">
        <v>0</v>
      </c>
      <c r="N40">
        <v>0</v>
      </c>
      <c r="O40">
        <v>0</v>
      </c>
      <c r="P40">
        <v>0</v>
      </c>
      <c r="Q40">
        <v>0</v>
      </c>
      <c r="R40">
        <v>0</v>
      </c>
      <c r="S40">
        <v>0</v>
      </c>
      <c r="T40">
        <v>0</v>
      </c>
      <c r="U40">
        <v>0</v>
      </c>
      <c r="V40">
        <v>0</v>
      </c>
      <c r="W40" s="4">
        <f t="shared" ref="W40" si="28">W39</f>
        <v>9.378919999999999</v>
      </c>
      <c r="Y40">
        <v>1</v>
      </c>
      <c r="Z40" t="s">
        <v>1</v>
      </c>
      <c r="AA40">
        <v>27520</v>
      </c>
      <c r="AB40">
        <v>32</v>
      </c>
      <c r="AC40">
        <v>4</v>
      </c>
      <c r="AD40">
        <v>4</v>
      </c>
      <c r="AE40">
        <v>1622.19</v>
      </c>
      <c r="AF40" s="24">
        <v>8.5662000000000003</v>
      </c>
      <c r="AG40" s="1">
        <v>45478</v>
      </c>
      <c r="AH40" s="2">
        <v>6.6203703703703702E-3</v>
      </c>
      <c r="AI40">
        <v>0</v>
      </c>
      <c r="AJ40">
        <v>0</v>
      </c>
      <c r="AK40">
        <v>0</v>
      </c>
      <c r="AL40">
        <v>0</v>
      </c>
      <c r="AM40">
        <v>0</v>
      </c>
      <c r="AN40">
        <v>0</v>
      </c>
      <c r="AO40">
        <v>0</v>
      </c>
      <c r="AP40">
        <v>0</v>
      </c>
      <c r="AQ40">
        <v>0</v>
      </c>
      <c r="AR40">
        <v>0</v>
      </c>
      <c r="AS40">
        <v>0</v>
      </c>
      <c r="AT40">
        <v>0</v>
      </c>
      <c r="AU40" s="3">
        <f t="shared" ref="AU40" si="29">AU39</f>
        <v>8.5701499999999999</v>
      </c>
    </row>
    <row r="41" spans="1:47" x14ac:dyDescent="0.25">
      <c r="A41">
        <v>2</v>
      </c>
      <c r="B41" t="s">
        <v>1</v>
      </c>
      <c r="C41">
        <v>27520</v>
      </c>
      <c r="D41">
        <v>32</v>
      </c>
      <c r="E41">
        <v>4</v>
      </c>
      <c r="F41">
        <v>4</v>
      </c>
      <c r="G41">
        <v>1481.16</v>
      </c>
      <c r="H41" s="3">
        <v>9.3818000000000001</v>
      </c>
      <c r="I41" s="1">
        <v>45478</v>
      </c>
      <c r="J41" s="2">
        <v>0.48527777777777775</v>
      </c>
      <c r="K41">
        <v>0</v>
      </c>
      <c r="L41">
        <v>0</v>
      </c>
      <c r="M41">
        <v>0</v>
      </c>
      <c r="N41">
        <v>0</v>
      </c>
      <c r="O41">
        <v>0</v>
      </c>
      <c r="P41">
        <v>0</v>
      </c>
      <c r="Q41">
        <v>0</v>
      </c>
      <c r="R41">
        <v>0</v>
      </c>
      <c r="S41">
        <v>0</v>
      </c>
      <c r="T41">
        <v>0</v>
      </c>
      <c r="U41">
        <v>0</v>
      </c>
      <c r="V41">
        <v>0</v>
      </c>
      <c r="W41" s="4">
        <f t="shared" si="4"/>
        <v>9.378919999999999</v>
      </c>
      <c r="Y41">
        <v>2</v>
      </c>
      <c r="Z41" t="s">
        <v>1</v>
      </c>
      <c r="AA41">
        <v>27520</v>
      </c>
      <c r="AB41">
        <v>32</v>
      </c>
      <c r="AC41">
        <v>4</v>
      </c>
      <c r="AD41">
        <v>4</v>
      </c>
      <c r="AE41">
        <v>1621.4</v>
      </c>
      <c r="AF41" s="24">
        <v>8.5702999999999996</v>
      </c>
      <c r="AG41" s="1">
        <v>45478</v>
      </c>
      <c r="AH41" s="2">
        <v>0.538599537037037</v>
      </c>
      <c r="AI41">
        <v>0</v>
      </c>
      <c r="AJ41">
        <v>0</v>
      </c>
      <c r="AK41">
        <v>0</v>
      </c>
      <c r="AL41">
        <v>0</v>
      </c>
      <c r="AM41">
        <v>0</v>
      </c>
      <c r="AN41">
        <v>0</v>
      </c>
      <c r="AO41">
        <v>0</v>
      </c>
      <c r="AP41">
        <v>0</v>
      </c>
      <c r="AQ41">
        <v>0</v>
      </c>
      <c r="AR41">
        <v>0</v>
      </c>
      <c r="AS41">
        <v>0</v>
      </c>
      <c r="AT41">
        <v>0</v>
      </c>
      <c r="AU41" s="3">
        <f t="shared" si="5"/>
        <v>8.5701499999999999</v>
      </c>
    </row>
    <row r="42" spans="1:47" x14ac:dyDescent="0.25">
      <c r="A42">
        <v>3</v>
      </c>
      <c r="B42" t="s">
        <v>1</v>
      </c>
      <c r="C42">
        <v>27520</v>
      </c>
      <c r="D42">
        <v>32</v>
      </c>
      <c r="E42">
        <v>4</v>
      </c>
      <c r="F42">
        <v>4</v>
      </c>
      <c r="G42">
        <v>1483.03</v>
      </c>
      <c r="H42" s="3">
        <v>9.3699999999999992</v>
      </c>
      <c r="I42" s="1">
        <v>45478</v>
      </c>
      <c r="J42" s="2">
        <v>0.99141203703703706</v>
      </c>
      <c r="K42">
        <v>0</v>
      </c>
      <c r="L42">
        <v>0</v>
      </c>
      <c r="M42">
        <v>0</v>
      </c>
      <c r="N42">
        <v>0</v>
      </c>
      <c r="O42">
        <v>0</v>
      </c>
      <c r="P42">
        <v>0</v>
      </c>
      <c r="Q42">
        <v>0</v>
      </c>
      <c r="R42">
        <v>0</v>
      </c>
      <c r="S42">
        <v>0</v>
      </c>
      <c r="T42">
        <v>0</v>
      </c>
      <c r="U42">
        <v>0</v>
      </c>
      <c r="V42">
        <v>0</v>
      </c>
      <c r="W42" s="4">
        <f t="shared" si="4"/>
        <v>9.378919999999999</v>
      </c>
      <c r="Y42">
        <v>3</v>
      </c>
      <c r="Z42" t="s">
        <v>1</v>
      </c>
      <c r="AA42">
        <v>27520</v>
      </c>
      <c r="AB42">
        <v>32</v>
      </c>
      <c r="AC42">
        <v>4</v>
      </c>
      <c r="AD42">
        <v>4</v>
      </c>
      <c r="AE42">
        <v>1621.65</v>
      </c>
      <c r="AF42" s="24">
        <v>8.5690000000000008</v>
      </c>
      <c r="AG42" s="1">
        <v>45479</v>
      </c>
      <c r="AH42" s="2">
        <v>7.0543981481481485E-2</v>
      </c>
      <c r="AI42">
        <v>0</v>
      </c>
      <c r="AJ42">
        <v>0</v>
      </c>
      <c r="AK42">
        <v>0</v>
      </c>
      <c r="AL42">
        <v>0</v>
      </c>
      <c r="AM42">
        <v>0</v>
      </c>
      <c r="AN42">
        <v>0</v>
      </c>
      <c r="AO42">
        <v>0</v>
      </c>
      <c r="AP42">
        <v>0</v>
      </c>
      <c r="AQ42">
        <v>0</v>
      </c>
      <c r="AR42">
        <v>0</v>
      </c>
      <c r="AS42">
        <v>0</v>
      </c>
      <c r="AT42">
        <v>0</v>
      </c>
      <c r="AU42" s="3">
        <f t="shared" si="5"/>
        <v>8.5701499999999999</v>
      </c>
    </row>
    <row r="43" spans="1:47" x14ac:dyDescent="0.25">
      <c r="A43">
        <v>4</v>
      </c>
      <c r="B43" t="s">
        <v>1</v>
      </c>
      <c r="C43">
        <v>27520</v>
      </c>
      <c r="D43">
        <v>32</v>
      </c>
      <c r="E43">
        <v>4</v>
      </c>
      <c r="F43">
        <v>4</v>
      </c>
      <c r="G43">
        <v>1481.62</v>
      </c>
      <c r="H43" s="3">
        <v>9.3788999999999998</v>
      </c>
      <c r="I43" s="1">
        <v>45479</v>
      </c>
      <c r="J43" s="2">
        <v>0.49760416666666668</v>
      </c>
      <c r="K43">
        <v>0</v>
      </c>
      <c r="L43">
        <v>0</v>
      </c>
      <c r="M43">
        <v>0</v>
      </c>
      <c r="N43">
        <v>0</v>
      </c>
      <c r="O43">
        <v>0</v>
      </c>
      <c r="P43">
        <v>0</v>
      </c>
      <c r="Q43">
        <v>0</v>
      </c>
      <c r="R43">
        <v>0</v>
      </c>
      <c r="S43">
        <v>0</v>
      </c>
      <c r="T43">
        <v>0</v>
      </c>
      <c r="U43">
        <v>0</v>
      </c>
      <c r="V43">
        <v>0</v>
      </c>
      <c r="W43" s="4">
        <f t="shared" si="4"/>
        <v>9.378919999999999</v>
      </c>
      <c r="Y43">
        <v>4</v>
      </c>
      <c r="Z43" t="s">
        <v>1</v>
      </c>
      <c r="AA43">
        <v>27520</v>
      </c>
      <c r="AB43">
        <v>32</v>
      </c>
      <c r="AC43">
        <v>4</v>
      </c>
      <c r="AD43">
        <v>4</v>
      </c>
      <c r="AU43" s="3">
        <f t="shared" si="5"/>
        <v>8.5701499999999999</v>
      </c>
    </row>
    <row r="44" spans="1:47" x14ac:dyDescent="0.25">
      <c r="A44">
        <v>0</v>
      </c>
      <c r="B44" t="s">
        <v>1</v>
      </c>
      <c r="C44">
        <v>29056</v>
      </c>
      <c r="D44">
        <v>32</v>
      </c>
      <c r="E44">
        <v>4</v>
      </c>
      <c r="F44">
        <v>4</v>
      </c>
      <c r="G44">
        <v>1733.26</v>
      </c>
      <c r="H44" s="3">
        <v>9.4359999999999999</v>
      </c>
      <c r="I44" s="1">
        <v>45477</v>
      </c>
      <c r="J44" s="2">
        <v>0.79298611111111106</v>
      </c>
      <c r="K44">
        <v>0</v>
      </c>
      <c r="L44">
        <v>0</v>
      </c>
      <c r="M44">
        <v>0</v>
      </c>
      <c r="N44">
        <v>0</v>
      </c>
      <c r="O44">
        <v>0</v>
      </c>
      <c r="P44">
        <v>0</v>
      </c>
      <c r="Q44">
        <v>0</v>
      </c>
      <c r="R44">
        <v>0</v>
      </c>
      <c r="S44">
        <v>0</v>
      </c>
      <c r="T44">
        <v>0</v>
      </c>
      <c r="U44">
        <v>0</v>
      </c>
      <c r="V44">
        <v>0</v>
      </c>
      <c r="W44" s="4">
        <f t="shared" ref="W44" si="30">AVERAGE(H44:H48)</f>
        <v>9.4329199999999993</v>
      </c>
      <c r="Y44">
        <v>0</v>
      </c>
      <c r="Z44" t="s">
        <v>1</v>
      </c>
      <c r="AA44">
        <v>29056</v>
      </c>
      <c r="AB44">
        <v>32</v>
      </c>
      <c r="AC44">
        <v>4</v>
      </c>
      <c r="AD44">
        <v>4</v>
      </c>
      <c r="AE44">
        <v>1900.72</v>
      </c>
      <c r="AF44" s="24">
        <v>8.6045999999999996</v>
      </c>
      <c r="AG44" s="1">
        <v>45477</v>
      </c>
      <c r="AH44" s="2">
        <v>0.81052083333333336</v>
      </c>
      <c r="AI44">
        <v>0</v>
      </c>
      <c r="AJ44">
        <v>0</v>
      </c>
      <c r="AK44">
        <v>0</v>
      </c>
      <c r="AL44">
        <v>0</v>
      </c>
      <c r="AM44">
        <v>0</v>
      </c>
      <c r="AN44">
        <v>0</v>
      </c>
      <c r="AO44">
        <v>0</v>
      </c>
      <c r="AP44">
        <v>0</v>
      </c>
      <c r="AQ44">
        <v>0</v>
      </c>
      <c r="AR44">
        <v>0</v>
      </c>
      <c r="AS44">
        <v>0</v>
      </c>
      <c r="AT44">
        <v>0</v>
      </c>
      <c r="AU44" s="3">
        <f t="shared" ref="AU44" si="31">AVERAGE(AF44:AF48)</f>
        <v>8.5993999999999993</v>
      </c>
    </row>
    <row r="45" spans="1:47" x14ac:dyDescent="0.25">
      <c r="A45">
        <v>1</v>
      </c>
      <c r="B45" t="s">
        <v>1</v>
      </c>
      <c r="C45">
        <v>29056</v>
      </c>
      <c r="D45">
        <v>32</v>
      </c>
      <c r="E45">
        <v>4</v>
      </c>
      <c r="F45">
        <v>4</v>
      </c>
      <c r="G45">
        <v>1734.32</v>
      </c>
      <c r="H45" s="3">
        <v>9.4301999999999992</v>
      </c>
      <c r="I45" s="1">
        <v>45478</v>
      </c>
      <c r="J45" s="2">
        <v>0.29908564814814814</v>
      </c>
      <c r="K45">
        <v>0</v>
      </c>
      <c r="L45">
        <v>0</v>
      </c>
      <c r="M45">
        <v>0</v>
      </c>
      <c r="N45">
        <v>0</v>
      </c>
      <c r="O45">
        <v>0</v>
      </c>
      <c r="P45">
        <v>0</v>
      </c>
      <c r="Q45">
        <v>0</v>
      </c>
      <c r="R45">
        <v>0</v>
      </c>
      <c r="S45">
        <v>0</v>
      </c>
      <c r="T45">
        <v>0</v>
      </c>
      <c r="U45">
        <v>0</v>
      </c>
      <c r="V45">
        <v>0</v>
      </c>
      <c r="W45" s="4">
        <f t="shared" ref="W45" si="32">W44</f>
        <v>9.4329199999999993</v>
      </c>
      <c r="Y45">
        <v>1</v>
      </c>
      <c r="Z45" t="s">
        <v>1</v>
      </c>
      <c r="AA45">
        <v>29056</v>
      </c>
      <c r="AB45">
        <v>32</v>
      </c>
      <c r="AC45">
        <v>4</v>
      </c>
      <c r="AD45">
        <v>4</v>
      </c>
      <c r="AE45">
        <v>1903.17</v>
      </c>
      <c r="AF45" s="24">
        <v>8.5935000000000006</v>
      </c>
      <c r="AG45" s="1">
        <v>45478</v>
      </c>
      <c r="AH45" s="2">
        <v>0.34248842592592593</v>
      </c>
      <c r="AI45">
        <v>0</v>
      </c>
      <c r="AJ45">
        <v>0</v>
      </c>
      <c r="AK45">
        <v>0</v>
      </c>
      <c r="AL45">
        <v>0</v>
      </c>
      <c r="AM45">
        <v>0</v>
      </c>
      <c r="AN45">
        <v>0</v>
      </c>
      <c r="AO45">
        <v>0</v>
      </c>
      <c r="AP45">
        <v>0</v>
      </c>
      <c r="AQ45">
        <v>0</v>
      </c>
      <c r="AR45">
        <v>0</v>
      </c>
      <c r="AS45">
        <v>0</v>
      </c>
      <c r="AT45">
        <v>0</v>
      </c>
      <c r="AU45" s="3">
        <f t="shared" ref="AU45" si="33">AU44</f>
        <v>8.5993999999999993</v>
      </c>
    </row>
    <row r="46" spans="1:47" x14ac:dyDescent="0.25">
      <c r="A46">
        <v>2</v>
      </c>
      <c r="B46" t="s">
        <v>1</v>
      </c>
      <c r="C46">
        <v>29056</v>
      </c>
      <c r="D46">
        <v>32</v>
      </c>
      <c r="E46">
        <v>4</v>
      </c>
      <c r="F46">
        <v>4</v>
      </c>
      <c r="G46">
        <v>1734.75</v>
      </c>
      <c r="H46" s="3">
        <v>9.4278999999999993</v>
      </c>
      <c r="I46" s="1">
        <v>45478</v>
      </c>
      <c r="J46" s="2">
        <v>0.80518518518518523</v>
      </c>
      <c r="K46">
        <v>0</v>
      </c>
      <c r="L46">
        <v>0</v>
      </c>
      <c r="M46">
        <v>0</v>
      </c>
      <c r="N46">
        <v>0</v>
      </c>
      <c r="O46">
        <v>0</v>
      </c>
      <c r="P46">
        <v>0</v>
      </c>
      <c r="Q46">
        <v>0</v>
      </c>
      <c r="R46">
        <v>0</v>
      </c>
      <c r="S46">
        <v>0</v>
      </c>
      <c r="T46">
        <v>0</v>
      </c>
      <c r="U46">
        <v>0</v>
      </c>
      <c r="V46">
        <v>0</v>
      </c>
      <c r="W46" s="4">
        <f t="shared" si="4"/>
        <v>9.4329199999999993</v>
      </c>
      <c r="Y46">
        <v>2</v>
      </c>
      <c r="Z46" t="s">
        <v>1</v>
      </c>
      <c r="AA46">
        <v>29056</v>
      </c>
      <c r="AB46">
        <v>32</v>
      </c>
      <c r="AC46">
        <v>4</v>
      </c>
      <c r="AD46">
        <v>4</v>
      </c>
      <c r="AE46">
        <v>1901.72</v>
      </c>
      <c r="AF46" s="24">
        <v>8.6000999999999994</v>
      </c>
      <c r="AG46" s="1">
        <v>45478</v>
      </c>
      <c r="AH46" s="2">
        <v>0.87444444444444447</v>
      </c>
      <c r="AI46">
        <v>0</v>
      </c>
      <c r="AJ46">
        <v>0</v>
      </c>
      <c r="AK46">
        <v>0</v>
      </c>
      <c r="AL46">
        <v>0</v>
      </c>
      <c r="AM46">
        <v>0</v>
      </c>
      <c r="AN46">
        <v>0</v>
      </c>
      <c r="AO46">
        <v>0</v>
      </c>
      <c r="AP46">
        <v>0</v>
      </c>
      <c r="AQ46">
        <v>0</v>
      </c>
      <c r="AR46">
        <v>0</v>
      </c>
      <c r="AS46">
        <v>0</v>
      </c>
      <c r="AT46">
        <v>0</v>
      </c>
      <c r="AU46" s="3">
        <f t="shared" si="5"/>
        <v>8.5993999999999993</v>
      </c>
    </row>
    <row r="47" spans="1:47" x14ac:dyDescent="0.25">
      <c r="A47">
        <v>3</v>
      </c>
      <c r="B47" t="s">
        <v>1</v>
      </c>
      <c r="C47">
        <v>29056</v>
      </c>
      <c r="D47">
        <v>32</v>
      </c>
      <c r="E47">
        <v>4</v>
      </c>
      <c r="F47">
        <v>4</v>
      </c>
      <c r="G47">
        <v>1733.63</v>
      </c>
      <c r="H47" s="3">
        <v>9.4338999999999995</v>
      </c>
      <c r="I47" s="1">
        <v>45479</v>
      </c>
      <c r="J47" s="2">
        <v>0.31144675925925924</v>
      </c>
      <c r="K47">
        <v>0</v>
      </c>
      <c r="L47">
        <v>0</v>
      </c>
      <c r="M47">
        <v>0</v>
      </c>
      <c r="N47">
        <v>0</v>
      </c>
      <c r="O47">
        <v>0</v>
      </c>
      <c r="P47">
        <v>0</v>
      </c>
      <c r="Q47">
        <v>0</v>
      </c>
      <c r="R47">
        <v>0</v>
      </c>
      <c r="S47">
        <v>0</v>
      </c>
      <c r="T47">
        <v>0</v>
      </c>
      <c r="U47">
        <v>0</v>
      </c>
      <c r="V47">
        <v>0</v>
      </c>
      <c r="W47" s="4">
        <f t="shared" si="4"/>
        <v>9.4329199999999993</v>
      </c>
      <c r="Y47">
        <v>3</v>
      </c>
      <c r="Z47" t="s">
        <v>1</v>
      </c>
      <c r="AA47">
        <v>29056</v>
      </c>
      <c r="AB47">
        <v>32</v>
      </c>
      <c r="AC47">
        <v>4</v>
      </c>
      <c r="AD47">
        <v>4</v>
      </c>
      <c r="AE47">
        <v>1901.87</v>
      </c>
      <c r="AF47" s="24">
        <v>8.5993999999999993</v>
      </c>
      <c r="AG47" s="1">
        <v>45479</v>
      </c>
      <c r="AH47" s="2">
        <v>0.4064699074074074</v>
      </c>
      <c r="AI47">
        <v>0</v>
      </c>
      <c r="AJ47">
        <v>0</v>
      </c>
      <c r="AK47">
        <v>0</v>
      </c>
      <c r="AL47">
        <v>0</v>
      </c>
      <c r="AM47">
        <v>0</v>
      </c>
      <c r="AN47">
        <v>0</v>
      </c>
      <c r="AO47">
        <v>0</v>
      </c>
      <c r="AP47">
        <v>0</v>
      </c>
      <c r="AQ47">
        <v>0</v>
      </c>
      <c r="AR47">
        <v>0</v>
      </c>
      <c r="AS47">
        <v>0</v>
      </c>
      <c r="AT47">
        <v>0</v>
      </c>
      <c r="AU47" s="3">
        <f t="shared" si="5"/>
        <v>8.5993999999999993</v>
      </c>
    </row>
    <row r="48" spans="1:47" x14ac:dyDescent="0.25">
      <c r="A48">
        <v>4</v>
      </c>
      <c r="B48" t="s">
        <v>1</v>
      </c>
      <c r="C48">
        <v>29056</v>
      </c>
      <c r="D48">
        <v>32</v>
      </c>
      <c r="E48">
        <v>4</v>
      </c>
      <c r="F48">
        <v>4</v>
      </c>
      <c r="G48">
        <v>1733.14</v>
      </c>
      <c r="H48" s="3">
        <v>9.4366000000000003</v>
      </c>
      <c r="I48" s="1">
        <v>45479</v>
      </c>
      <c r="J48" s="2">
        <v>0.81755787037037042</v>
      </c>
      <c r="K48">
        <v>0</v>
      </c>
      <c r="L48">
        <v>0</v>
      </c>
      <c r="M48">
        <v>0</v>
      </c>
      <c r="N48">
        <v>0</v>
      </c>
      <c r="O48">
        <v>0</v>
      </c>
      <c r="P48">
        <v>0</v>
      </c>
      <c r="Q48">
        <v>0</v>
      </c>
      <c r="R48">
        <v>0</v>
      </c>
      <c r="S48">
        <v>0</v>
      </c>
      <c r="T48">
        <v>0</v>
      </c>
      <c r="U48">
        <v>0</v>
      </c>
      <c r="V48">
        <v>0</v>
      </c>
      <c r="W48" s="4">
        <f t="shared" si="4"/>
        <v>9.4329199999999993</v>
      </c>
      <c r="Y48">
        <v>4</v>
      </c>
      <c r="Z48" t="s">
        <v>1</v>
      </c>
      <c r="AA48">
        <v>29056</v>
      </c>
      <c r="AB48">
        <v>32</v>
      </c>
      <c r="AC48">
        <v>4</v>
      </c>
      <c r="AD48">
        <v>4</v>
      </c>
      <c r="AU48" s="3">
        <f t="shared" si="5"/>
        <v>8.5993999999999993</v>
      </c>
    </row>
    <row r="49" spans="1:47" x14ac:dyDescent="0.25">
      <c r="A49">
        <v>0</v>
      </c>
      <c r="B49" t="s">
        <v>1</v>
      </c>
      <c r="C49">
        <v>25984</v>
      </c>
      <c r="D49">
        <v>64</v>
      </c>
      <c r="E49">
        <v>1</v>
      </c>
      <c r="F49">
        <v>16</v>
      </c>
      <c r="G49">
        <v>1215.6600000000001</v>
      </c>
      <c r="H49">
        <v>9.6217000000000006</v>
      </c>
      <c r="I49">
        <v>45477</v>
      </c>
      <c r="J49">
        <v>0.64807870370370368</v>
      </c>
      <c r="K49">
        <v>0</v>
      </c>
      <c r="L49">
        <v>0</v>
      </c>
      <c r="M49">
        <v>0</v>
      </c>
      <c r="N49">
        <v>0</v>
      </c>
      <c r="O49">
        <v>0</v>
      </c>
      <c r="P49">
        <v>0</v>
      </c>
      <c r="Q49">
        <v>0</v>
      </c>
      <c r="R49">
        <v>0</v>
      </c>
      <c r="S49">
        <v>0</v>
      </c>
      <c r="T49">
        <v>0</v>
      </c>
      <c r="U49">
        <v>0</v>
      </c>
      <c r="V49">
        <v>0</v>
      </c>
      <c r="W49" s="4">
        <f t="shared" ref="W49" si="34">AVERAGE(H49:H53)</f>
        <v>9.6138200000000005</v>
      </c>
      <c r="Y49">
        <v>0</v>
      </c>
      <c r="Z49" t="s">
        <v>1</v>
      </c>
      <c r="AA49">
        <v>25984</v>
      </c>
      <c r="AB49">
        <v>64</v>
      </c>
      <c r="AC49">
        <v>1</v>
      </c>
      <c r="AD49">
        <v>16</v>
      </c>
      <c r="AE49">
        <v>1420.37</v>
      </c>
      <c r="AF49" s="24">
        <v>8.2349999999999994</v>
      </c>
      <c r="AG49" s="1">
        <v>45477</v>
      </c>
      <c r="AH49" s="2">
        <v>0.65929398148148144</v>
      </c>
      <c r="AI49">
        <v>0</v>
      </c>
      <c r="AJ49">
        <v>0</v>
      </c>
      <c r="AK49">
        <v>0</v>
      </c>
      <c r="AL49">
        <v>0</v>
      </c>
      <c r="AM49">
        <v>0</v>
      </c>
      <c r="AN49">
        <v>0</v>
      </c>
      <c r="AO49">
        <v>0</v>
      </c>
      <c r="AP49">
        <v>0</v>
      </c>
      <c r="AQ49">
        <v>0</v>
      </c>
      <c r="AR49">
        <v>0</v>
      </c>
      <c r="AS49">
        <v>0</v>
      </c>
      <c r="AT49">
        <v>0</v>
      </c>
      <c r="AU49" s="3">
        <f t="shared" ref="AU49" si="35">AVERAGE(AF49:AF53)</f>
        <v>8.2329749999999997</v>
      </c>
    </row>
    <row r="50" spans="1:47" x14ac:dyDescent="0.25">
      <c r="A50">
        <v>1</v>
      </c>
      <c r="B50" t="s">
        <v>1</v>
      </c>
      <c r="C50">
        <v>25984</v>
      </c>
      <c r="D50">
        <v>64</v>
      </c>
      <c r="E50">
        <v>1</v>
      </c>
      <c r="F50">
        <v>16</v>
      </c>
      <c r="G50">
        <v>1217.72</v>
      </c>
      <c r="H50" s="3">
        <v>9.6053999999999995</v>
      </c>
      <c r="I50" s="1">
        <v>45478</v>
      </c>
      <c r="J50" s="2">
        <v>0.15406249999999999</v>
      </c>
      <c r="K50">
        <v>0</v>
      </c>
      <c r="L50">
        <v>0</v>
      </c>
      <c r="M50">
        <v>0</v>
      </c>
      <c r="N50">
        <v>0</v>
      </c>
      <c r="O50">
        <v>0</v>
      </c>
      <c r="P50">
        <v>0</v>
      </c>
      <c r="Q50">
        <v>0</v>
      </c>
      <c r="R50">
        <v>0</v>
      </c>
      <c r="S50">
        <v>0</v>
      </c>
      <c r="T50">
        <v>0</v>
      </c>
      <c r="U50">
        <v>0</v>
      </c>
      <c r="V50">
        <v>0</v>
      </c>
      <c r="W50" s="4">
        <f t="shared" ref="W50" si="36">W49</f>
        <v>9.6138200000000005</v>
      </c>
      <c r="Y50">
        <v>1</v>
      </c>
      <c r="Z50" t="s">
        <v>1</v>
      </c>
      <c r="AA50">
        <v>25984</v>
      </c>
      <c r="AB50">
        <v>64</v>
      </c>
      <c r="AC50">
        <v>1</v>
      </c>
      <c r="AD50">
        <v>16</v>
      </c>
      <c r="AE50">
        <v>1421.53</v>
      </c>
      <c r="AF50" s="24">
        <v>8.2283000000000008</v>
      </c>
      <c r="AG50" s="1">
        <v>45478</v>
      </c>
      <c r="AH50" s="2">
        <v>0.19119212962962964</v>
      </c>
      <c r="AI50">
        <v>0</v>
      </c>
      <c r="AJ50">
        <v>0</v>
      </c>
      <c r="AK50">
        <v>0</v>
      </c>
      <c r="AL50">
        <v>0</v>
      </c>
      <c r="AM50">
        <v>0</v>
      </c>
      <c r="AN50">
        <v>0</v>
      </c>
      <c r="AO50">
        <v>0</v>
      </c>
      <c r="AP50">
        <v>0</v>
      </c>
      <c r="AQ50">
        <v>0</v>
      </c>
      <c r="AR50">
        <v>0</v>
      </c>
      <c r="AS50">
        <v>0</v>
      </c>
      <c r="AT50">
        <v>0</v>
      </c>
      <c r="AU50" s="3">
        <f t="shared" ref="AU50" si="37">AU49</f>
        <v>8.2329749999999997</v>
      </c>
    </row>
    <row r="51" spans="1:47" x14ac:dyDescent="0.25">
      <c r="A51">
        <v>2</v>
      </c>
      <c r="B51" t="s">
        <v>1</v>
      </c>
      <c r="C51">
        <v>25984</v>
      </c>
      <c r="D51">
        <v>64</v>
      </c>
      <c r="E51">
        <v>1</v>
      </c>
      <c r="F51">
        <v>16</v>
      </c>
      <c r="G51">
        <v>1217.07</v>
      </c>
      <c r="H51" s="3">
        <v>9.6105999999999998</v>
      </c>
      <c r="I51" s="1">
        <v>45478</v>
      </c>
      <c r="J51" s="2">
        <v>0.66012731481481479</v>
      </c>
      <c r="K51">
        <v>0</v>
      </c>
      <c r="L51">
        <v>0</v>
      </c>
      <c r="M51">
        <v>0</v>
      </c>
      <c r="N51">
        <v>0</v>
      </c>
      <c r="O51">
        <v>0</v>
      </c>
      <c r="P51">
        <v>0</v>
      </c>
      <c r="Q51">
        <v>0</v>
      </c>
      <c r="R51">
        <v>0</v>
      </c>
      <c r="S51">
        <v>0</v>
      </c>
      <c r="T51">
        <v>0</v>
      </c>
      <c r="U51">
        <v>0</v>
      </c>
      <c r="V51">
        <v>0</v>
      </c>
      <c r="W51" s="4">
        <f t="shared" si="4"/>
        <v>9.6138200000000005</v>
      </c>
      <c r="Y51">
        <v>2</v>
      </c>
      <c r="Z51" t="s">
        <v>1</v>
      </c>
      <c r="AA51">
        <v>25984</v>
      </c>
      <c r="AB51">
        <v>64</v>
      </c>
      <c r="AC51">
        <v>1</v>
      </c>
      <c r="AD51">
        <v>16</v>
      </c>
      <c r="AE51">
        <v>1419.5</v>
      </c>
      <c r="AF51" s="24">
        <v>8.24</v>
      </c>
      <c r="AG51" s="1">
        <v>45478</v>
      </c>
      <c r="AH51" s="2">
        <v>0.72313657407407406</v>
      </c>
      <c r="AI51">
        <v>0</v>
      </c>
      <c r="AJ51">
        <v>0</v>
      </c>
      <c r="AK51">
        <v>0</v>
      </c>
      <c r="AL51">
        <v>0</v>
      </c>
      <c r="AM51">
        <v>0</v>
      </c>
      <c r="AN51">
        <v>0</v>
      </c>
      <c r="AO51">
        <v>0</v>
      </c>
      <c r="AP51">
        <v>0</v>
      </c>
      <c r="AQ51">
        <v>0</v>
      </c>
      <c r="AR51">
        <v>0</v>
      </c>
      <c r="AS51">
        <v>0</v>
      </c>
      <c r="AT51">
        <v>0</v>
      </c>
      <c r="AU51" s="3">
        <f t="shared" si="5"/>
        <v>8.2329749999999997</v>
      </c>
    </row>
    <row r="52" spans="1:47" x14ac:dyDescent="0.25">
      <c r="A52">
        <v>3</v>
      </c>
      <c r="B52" t="s">
        <v>1</v>
      </c>
      <c r="C52">
        <v>25984</v>
      </c>
      <c r="D52">
        <v>64</v>
      </c>
      <c r="E52">
        <v>1</v>
      </c>
      <c r="F52">
        <v>16</v>
      </c>
      <c r="G52">
        <v>1216.3399999999999</v>
      </c>
      <c r="H52" s="3">
        <v>9.6163000000000007</v>
      </c>
      <c r="I52" s="1">
        <v>45479</v>
      </c>
      <c r="J52" s="2">
        <v>0.16631944444444444</v>
      </c>
      <c r="K52">
        <v>0</v>
      </c>
      <c r="L52">
        <v>0</v>
      </c>
      <c r="M52">
        <v>0</v>
      </c>
      <c r="N52">
        <v>0</v>
      </c>
      <c r="O52">
        <v>0</v>
      </c>
      <c r="P52">
        <v>0</v>
      </c>
      <c r="Q52">
        <v>0</v>
      </c>
      <c r="R52">
        <v>0</v>
      </c>
      <c r="S52">
        <v>0</v>
      </c>
      <c r="T52">
        <v>0</v>
      </c>
      <c r="U52">
        <v>0</v>
      </c>
      <c r="V52">
        <v>0</v>
      </c>
      <c r="W52" s="4">
        <f t="shared" si="4"/>
        <v>9.6138200000000005</v>
      </c>
      <c r="Y52">
        <v>3</v>
      </c>
      <c r="Z52" t="s">
        <v>1</v>
      </c>
      <c r="AA52">
        <v>25984</v>
      </c>
      <c r="AB52">
        <v>64</v>
      </c>
      <c r="AC52">
        <v>1</v>
      </c>
      <c r="AD52">
        <v>16</v>
      </c>
      <c r="AE52">
        <v>1421.47</v>
      </c>
      <c r="AF52" s="24">
        <v>8.2286000000000001</v>
      </c>
      <c r="AG52" s="1">
        <v>45479</v>
      </c>
      <c r="AH52" s="2">
        <v>0.25515046296296295</v>
      </c>
      <c r="AI52">
        <v>0</v>
      </c>
      <c r="AJ52">
        <v>0</v>
      </c>
      <c r="AK52">
        <v>0</v>
      </c>
      <c r="AL52">
        <v>0</v>
      </c>
      <c r="AM52">
        <v>0</v>
      </c>
      <c r="AN52">
        <v>0</v>
      </c>
      <c r="AO52">
        <v>0</v>
      </c>
      <c r="AP52">
        <v>0</v>
      </c>
      <c r="AQ52">
        <v>0</v>
      </c>
      <c r="AR52">
        <v>0</v>
      </c>
      <c r="AS52">
        <v>0</v>
      </c>
      <c r="AT52">
        <v>0</v>
      </c>
      <c r="AU52" s="3">
        <f t="shared" si="5"/>
        <v>8.2329749999999997</v>
      </c>
    </row>
    <row r="53" spans="1:47" x14ac:dyDescent="0.25">
      <c r="A53">
        <v>4</v>
      </c>
      <c r="B53" t="s">
        <v>1</v>
      </c>
      <c r="C53">
        <v>25984</v>
      </c>
      <c r="D53">
        <v>64</v>
      </c>
      <c r="E53">
        <v>1</v>
      </c>
      <c r="F53">
        <v>16</v>
      </c>
      <c r="G53">
        <v>1216.5</v>
      </c>
      <c r="H53" s="3">
        <v>9.6151</v>
      </c>
      <c r="I53" s="1">
        <v>45479</v>
      </c>
      <c r="J53" s="2">
        <v>0.67253472222222221</v>
      </c>
      <c r="K53">
        <v>0</v>
      </c>
      <c r="L53">
        <v>0</v>
      </c>
      <c r="M53">
        <v>0</v>
      </c>
      <c r="N53">
        <v>0</v>
      </c>
      <c r="O53">
        <v>0</v>
      </c>
      <c r="P53">
        <v>0</v>
      </c>
      <c r="Q53">
        <v>0</v>
      </c>
      <c r="R53">
        <v>0</v>
      </c>
      <c r="S53">
        <v>0</v>
      </c>
      <c r="T53">
        <v>0</v>
      </c>
      <c r="U53">
        <v>0</v>
      </c>
      <c r="V53">
        <v>0</v>
      </c>
      <c r="W53" s="4">
        <f t="shared" si="4"/>
        <v>9.6138200000000005</v>
      </c>
      <c r="Y53">
        <v>4</v>
      </c>
      <c r="Z53" t="s">
        <v>1</v>
      </c>
      <c r="AA53">
        <v>25984</v>
      </c>
      <c r="AB53">
        <v>64</v>
      </c>
      <c r="AC53">
        <v>1</v>
      </c>
      <c r="AD53">
        <v>16</v>
      </c>
      <c r="AU53" s="3">
        <f t="shared" si="5"/>
        <v>8.2329749999999997</v>
      </c>
    </row>
    <row r="54" spans="1:47" x14ac:dyDescent="0.25">
      <c r="A54">
        <v>0</v>
      </c>
      <c r="B54" t="s">
        <v>1</v>
      </c>
      <c r="C54">
        <v>27520</v>
      </c>
      <c r="D54">
        <v>64</v>
      </c>
      <c r="E54">
        <v>1</v>
      </c>
      <c r="F54">
        <v>16</v>
      </c>
      <c r="G54">
        <v>1437.69</v>
      </c>
      <c r="H54">
        <v>9.6654999999999998</v>
      </c>
      <c r="I54">
        <v>45477</v>
      </c>
      <c r="J54">
        <v>0.49149305555555556</v>
      </c>
      <c r="K54">
        <v>0</v>
      </c>
      <c r="L54">
        <v>0</v>
      </c>
      <c r="M54">
        <v>0</v>
      </c>
      <c r="N54">
        <v>0</v>
      </c>
      <c r="O54">
        <v>0</v>
      </c>
      <c r="P54">
        <v>0</v>
      </c>
      <c r="Q54">
        <v>0</v>
      </c>
      <c r="R54">
        <v>0</v>
      </c>
      <c r="S54">
        <v>0</v>
      </c>
      <c r="T54">
        <v>0</v>
      </c>
      <c r="U54">
        <v>0</v>
      </c>
      <c r="V54">
        <v>0</v>
      </c>
      <c r="W54" s="4">
        <f t="shared" ref="W54" si="38">AVERAGE(H54:H58)</f>
        <v>9.6482599999999987</v>
      </c>
      <c r="Y54">
        <v>0</v>
      </c>
      <c r="Z54" t="s">
        <v>1</v>
      </c>
      <c r="AA54">
        <v>27520</v>
      </c>
      <c r="AB54">
        <v>64</v>
      </c>
      <c r="AC54">
        <v>1</v>
      </c>
      <c r="AD54">
        <v>16</v>
      </c>
      <c r="AE54">
        <v>1681.83</v>
      </c>
      <c r="AF54" s="24">
        <v>8.2623999999999995</v>
      </c>
      <c r="AG54" s="1">
        <v>45477</v>
      </c>
      <c r="AH54" s="2">
        <v>0.49459490740740741</v>
      </c>
      <c r="AI54">
        <v>0</v>
      </c>
      <c r="AJ54">
        <v>0</v>
      </c>
      <c r="AK54">
        <v>0</v>
      </c>
      <c r="AL54">
        <v>0</v>
      </c>
      <c r="AM54">
        <v>0</v>
      </c>
      <c r="AN54">
        <v>0</v>
      </c>
      <c r="AO54">
        <v>0</v>
      </c>
      <c r="AP54">
        <v>0</v>
      </c>
      <c r="AQ54">
        <v>0</v>
      </c>
      <c r="AR54">
        <v>0</v>
      </c>
      <c r="AS54">
        <v>0</v>
      </c>
      <c r="AT54">
        <v>0</v>
      </c>
      <c r="AU54" s="3">
        <f t="shared" ref="AU54" si="39">AVERAGE(AF54:AF58)</f>
        <v>8.2601499999999994</v>
      </c>
    </row>
    <row r="55" spans="1:47" x14ac:dyDescent="0.25">
      <c r="A55">
        <v>1</v>
      </c>
      <c r="B55" t="s">
        <v>1</v>
      </c>
      <c r="C55">
        <v>27520</v>
      </c>
      <c r="D55">
        <v>64</v>
      </c>
      <c r="E55">
        <v>1</v>
      </c>
      <c r="F55">
        <v>16</v>
      </c>
      <c r="G55">
        <v>1440.24</v>
      </c>
      <c r="H55" s="3">
        <v>9.6484000000000005</v>
      </c>
      <c r="I55" s="1">
        <v>45477</v>
      </c>
      <c r="J55" s="2">
        <v>0.99736111111111114</v>
      </c>
      <c r="K55">
        <v>0</v>
      </c>
      <c r="L55">
        <v>0</v>
      </c>
      <c r="M55">
        <v>0</v>
      </c>
      <c r="N55">
        <v>0</v>
      </c>
      <c r="O55">
        <v>0</v>
      </c>
      <c r="P55">
        <v>0</v>
      </c>
      <c r="Q55">
        <v>0</v>
      </c>
      <c r="R55">
        <v>0</v>
      </c>
      <c r="S55">
        <v>0</v>
      </c>
      <c r="T55">
        <v>0</v>
      </c>
      <c r="U55">
        <v>0</v>
      </c>
      <c r="V55">
        <v>0</v>
      </c>
      <c r="W55" s="4">
        <f t="shared" ref="W55" si="40">W54</f>
        <v>9.6482599999999987</v>
      </c>
      <c r="Y55">
        <v>1</v>
      </c>
      <c r="Z55" t="s">
        <v>1</v>
      </c>
      <c r="AA55">
        <v>27520</v>
      </c>
      <c r="AB55">
        <v>64</v>
      </c>
      <c r="AC55">
        <v>1</v>
      </c>
      <c r="AD55">
        <v>16</v>
      </c>
      <c r="AE55">
        <v>1682.2</v>
      </c>
      <c r="AF55" s="24">
        <v>8.2606000000000002</v>
      </c>
      <c r="AG55" s="1">
        <v>45478</v>
      </c>
      <c r="AH55" s="2">
        <v>2.644675925925926E-2</v>
      </c>
      <c r="AI55">
        <v>0</v>
      </c>
      <c r="AJ55">
        <v>0</v>
      </c>
      <c r="AK55">
        <v>0</v>
      </c>
      <c r="AL55">
        <v>0</v>
      </c>
      <c r="AM55">
        <v>0</v>
      </c>
      <c r="AN55">
        <v>0</v>
      </c>
      <c r="AO55">
        <v>0</v>
      </c>
      <c r="AP55">
        <v>0</v>
      </c>
      <c r="AQ55">
        <v>0</v>
      </c>
      <c r="AR55">
        <v>0</v>
      </c>
      <c r="AS55">
        <v>0</v>
      </c>
      <c r="AT55">
        <v>0</v>
      </c>
      <c r="AU55" s="3">
        <f t="shared" ref="AU55" si="41">AU54</f>
        <v>8.2601499999999994</v>
      </c>
    </row>
    <row r="56" spans="1:47" x14ac:dyDescent="0.25">
      <c r="A56">
        <v>2</v>
      </c>
      <c r="B56" t="s">
        <v>1</v>
      </c>
      <c r="C56">
        <v>27520</v>
      </c>
      <c r="D56">
        <v>64</v>
      </c>
      <c r="E56">
        <v>1</v>
      </c>
      <c r="F56">
        <v>16</v>
      </c>
      <c r="G56">
        <v>1439.36</v>
      </c>
      <c r="H56" s="3">
        <v>9.6542999999999992</v>
      </c>
      <c r="I56" s="1">
        <v>45478</v>
      </c>
      <c r="J56" s="2">
        <v>0.50344907407407402</v>
      </c>
      <c r="K56">
        <v>0</v>
      </c>
      <c r="L56">
        <v>0</v>
      </c>
      <c r="M56">
        <v>0</v>
      </c>
      <c r="N56">
        <v>0</v>
      </c>
      <c r="O56">
        <v>0</v>
      </c>
      <c r="P56">
        <v>0</v>
      </c>
      <c r="Q56">
        <v>0</v>
      </c>
      <c r="R56">
        <v>0</v>
      </c>
      <c r="S56">
        <v>0</v>
      </c>
      <c r="T56">
        <v>0</v>
      </c>
      <c r="U56">
        <v>0</v>
      </c>
      <c r="V56">
        <v>0</v>
      </c>
      <c r="W56" s="4">
        <f t="shared" si="4"/>
        <v>9.6482599999999987</v>
      </c>
      <c r="Y56">
        <v>2</v>
      </c>
      <c r="Z56" t="s">
        <v>1</v>
      </c>
      <c r="AA56">
        <v>27520</v>
      </c>
      <c r="AB56">
        <v>64</v>
      </c>
      <c r="AC56">
        <v>1</v>
      </c>
      <c r="AD56">
        <v>16</v>
      </c>
      <c r="AE56">
        <v>1682.31</v>
      </c>
      <c r="AF56" s="24">
        <v>8.2600999999999996</v>
      </c>
      <c r="AG56" s="1">
        <v>45478</v>
      </c>
      <c r="AH56" s="2">
        <v>0.55842592592592588</v>
      </c>
      <c r="AI56">
        <v>0</v>
      </c>
      <c r="AJ56">
        <v>0</v>
      </c>
      <c r="AK56">
        <v>0</v>
      </c>
      <c r="AL56">
        <v>0</v>
      </c>
      <c r="AM56">
        <v>0</v>
      </c>
      <c r="AN56">
        <v>0</v>
      </c>
      <c r="AO56">
        <v>0</v>
      </c>
      <c r="AP56">
        <v>0</v>
      </c>
      <c r="AQ56">
        <v>0</v>
      </c>
      <c r="AR56">
        <v>0</v>
      </c>
      <c r="AS56">
        <v>0</v>
      </c>
      <c r="AT56">
        <v>0</v>
      </c>
      <c r="AU56" s="3">
        <f t="shared" si="5"/>
        <v>8.2601499999999994</v>
      </c>
    </row>
    <row r="57" spans="1:47" x14ac:dyDescent="0.25">
      <c r="A57">
        <v>3</v>
      </c>
      <c r="B57" t="s">
        <v>1</v>
      </c>
      <c r="C57">
        <v>27520</v>
      </c>
      <c r="D57">
        <v>64</v>
      </c>
      <c r="E57">
        <v>1</v>
      </c>
      <c r="F57">
        <v>16</v>
      </c>
      <c r="G57">
        <v>1441.14</v>
      </c>
      <c r="H57" s="3">
        <v>9.6424000000000003</v>
      </c>
      <c r="I57" s="1">
        <v>45479</v>
      </c>
      <c r="J57" s="2">
        <v>9.6064814814814815E-3</v>
      </c>
      <c r="K57">
        <v>0</v>
      </c>
      <c r="L57">
        <v>0</v>
      </c>
      <c r="M57">
        <v>0</v>
      </c>
      <c r="N57">
        <v>0</v>
      </c>
      <c r="O57">
        <v>0</v>
      </c>
      <c r="P57">
        <v>0</v>
      </c>
      <c r="Q57">
        <v>0</v>
      </c>
      <c r="R57">
        <v>0</v>
      </c>
      <c r="S57">
        <v>0</v>
      </c>
      <c r="T57">
        <v>0</v>
      </c>
      <c r="U57">
        <v>0</v>
      </c>
      <c r="V57">
        <v>0</v>
      </c>
      <c r="W57" s="4">
        <f t="shared" si="4"/>
        <v>9.6482599999999987</v>
      </c>
      <c r="Y57">
        <v>3</v>
      </c>
      <c r="Z57" t="s">
        <v>1</v>
      </c>
      <c r="AA57">
        <v>27520</v>
      </c>
      <c r="AB57">
        <v>64</v>
      </c>
      <c r="AC57">
        <v>1</v>
      </c>
      <c r="AD57">
        <v>16</v>
      </c>
      <c r="AE57">
        <v>1682.83</v>
      </c>
      <c r="AF57" s="24">
        <v>8.2575000000000003</v>
      </c>
      <c r="AG57" s="1">
        <v>45479</v>
      </c>
      <c r="AH57" s="2">
        <v>9.0381944444444445E-2</v>
      </c>
      <c r="AI57">
        <v>0</v>
      </c>
      <c r="AJ57">
        <v>0</v>
      </c>
      <c r="AK57">
        <v>0</v>
      </c>
      <c r="AL57">
        <v>0</v>
      </c>
      <c r="AM57">
        <v>0</v>
      </c>
      <c r="AN57">
        <v>0</v>
      </c>
      <c r="AO57">
        <v>0</v>
      </c>
      <c r="AP57">
        <v>0</v>
      </c>
      <c r="AQ57">
        <v>0</v>
      </c>
      <c r="AR57">
        <v>0</v>
      </c>
      <c r="AS57">
        <v>0</v>
      </c>
      <c r="AT57">
        <v>0</v>
      </c>
      <c r="AU57" s="3">
        <f t="shared" si="5"/>
        <v>8.2601499999999994</v>
      </c>
    </row>
    <row r="58" spans="1:47" x14ac:dyDescent="0.25">
      <c r="A58">
        <v>4</v>
      </c>
      <c r="B58" t="s">
        <v>1</v>
      </c>
      <c r="C58">
        <v>27520</v>
      </c>
      <c r="D58">
        <v>64</v>
      </c>
      <c r="E58">
        <v>1</v>
      </c>
      <c r="F58">
        <v>16</v>
      </c>
      <c r="G58">
        <v>1442.88</v>
      </c>
      <c r="H58" s="3">
        <v>9.6306999999999992</v>
      </c>
      <c r="I58" s="1">
        <v>45479</v>
      </c>
      <c r="J58" s="2">
        <v>0.51582175925925922</v>
      </c>
      <c r="K58">
        <v>0</v>
      </c>
      <c r="L58">
        <v>0</v>
      </c>
      <c r="M58">
        <v>0</v>
      </c>
      <c r="N58">
        <v>0</v>
      </c>
      <c r="O58">
        <v>0</v>
      </c>
      <c r="P58">
        <v>0</v>
      </c>
      <c r="Q58">
        <v>0</v>
      </c>
      <c r="R58">
        <v>0</v>
      </c>
      <c r="S58">
        <v>0</v>
      </c>
      <c r="T58">
        <v>0</v>
      </c>
      <c r="U58">
        <v>0</v>
      </c>
      <c r="V58">
        <v>0</v>
      </c>
      <c r="W58" s="4">
        <f t="shared" si="4"/>
        <v>9.6482599999999987</v>
      </c>
      <c r="Y58">
        <v>4</v>
      </c>
      <c r="Z58" t="s">
        <v>1</v>
      </c>
      <c r="AA58">
        <v>27520</v>
      </c>
      <c r="AB58">
        <v>64</v>
      </c>
      <c r="AC58">
        <v>1</v>
      </c>
      <c r="AD58">
        <v>16</v>
      </c>
      <c r="AU58" s="3">
        <f t="shared" si="5"/>
        <v>8.2601499999999994</v>
      </c>
    </row>
    <row r="59" spans="1:47" x14ac:dyDescent="0.25">
      <c r="A59">
        <v>0</v>
      </c>
      <c r="B59" t="s">
        <v>1</v>
      </c>
      <c r="C59">
        <v>29056</v>
      </c>
      <c r="D59">
        <v>64</v>
      </c>
      <c r="E59">
        <v>1</v>
      </c>
      <c r="F59">
        <v>16</v>
      </c>
      <c r="G59">
        <v>1680.7</v>
      </c>
      <c r="H59" s="3">
        <v>9.7309999999999999</v>
      </c>
      <c r="I59" s="1">
        <v>45477</v>
      </c>
      <c r="J59" s="2">
        <v>0.81414351851851852</v>
      </c>
      <c r="K59">
        <v>0</v>
      </c>
      <c r="L59">
        <v>0</v>
      </c>
      <c r="M59">
        <v>0</v>
      </c>
      <c r="N59">
        <v>0</v>
      </c>
      <c r="O59">
        <v>0</v>
      </c>
      <c r="P59">
        <v>0</v>
      </c>
      <c r="Q59">
        <v>0</v>
      </c>
      <c r="R59">
        <v>0</v>
      </c>
      <c r="S59">
        <v>0</v>
      </c>
      <c r="T59">
        <v>0</v>
      </c>
      <c r="U59">
        <v>0</v>
      </c>
      <c r="V59">
        <v>0</v>
      </c>
      <c r="W59" s="4">
        <f t="shared" ref="W59" si="42">AVERAGE(H59:H63)</f>
        <v>9.7248800000000006</v>
      </c>
      <c r="Y59">
        <v>0</v>
      </c>
      <c r="Z59" t="s">
        <v>1</v>
      </c>
      <c r="AA59">
        <v>29056</v>
      </c>
      <c r="AB59">
        <v>64</v>
      </c>
      <c r="AC59">
        <v>1</v>
      </c>
      <c r="AD59">
        <v>16</v>
      </c>
      <c r="AE59">
        <v>1964.88</v>
      </c>
      <c r="AF59" s="24">
        <v>8.3236000000000008</v>
      </c>
      <c r="AG59" s="1">
        <v>45477</v>
      </c>
      <c r="AH59" s="2">
        <v>0.83365740740740746</v>
      </c>
      <c r="AI59">
        <v>0</v>
      </c>
      <c r="AJ59">
        <v>0</v>
      </c>
      <c r="AK59">
        <v>0</v>
      </c>
      <c r="AL59">
        <v>0</v>
      </c>
      <c r="AM59">
        <v>0</v>
      </c>
      <c r="AN59">
        <v>0</v>
      </c>
      <c r="AO59">
        <v>0</v>
      </c>
      <c r="AP59">
        <v>0</v>
      </c>
      <c r="AQ59">
        <v>0</v>
      </c>
      <c r="AR59">
        <v>0</v>
      </c>
      <c r="AS59">
        <v>0</v>
      </c>
      <c r="AT59">
        <v>0</v>
      </c>
      <c r="AU59" s="3">
        <f t="shared" ref="AU59" si="43">AVERAGE(AF59:AF63)</f>
        <v>8.3261666666666674</v>
      </c>
    </row>
    <row r="60" spans="1:47" x14ac:dyDescent="0.25">
      <c r="A60">
        <v>1</v>
      </c>
      <c r="B60" t="s">
        <v>1</v>
      </c>
      <c r="C60">
        <v>29056</v>
      </c>
      <c r="D60">
        <v>64</v>
      </c>
      <c r="E60">
        <v>1</v>
      </c>
      <c r="F60">
        <v>16</v>
      </c>
      <c r="G60">
        <v>1683.82</v>
      </c>
      <c r="H60" s="3">
        <v>9.7129999999999992</v>
      </c>
      <c r="I60" s="1">
        <v>45478</v>
      </c>
      <c r="J60" s="2">
        <v>0.32027777777777777</v>
      </c>
      <c r="K60">
        <v>0</v>
      </c>
      <c r="L60">
        <v>0</v>
      </c>
      <c r="M60">
        <v>0</v>
      </c>
      <c r="N60">
        <v>0</v>
      </c>
      <c r="O60">
        <v>0</v>
      </c>
      <c r="P60">
        <v>0</v>
      </c>
      <c r="Q60">
        <v>0</v>
      </c>
      <c r="R60">
        <v>0</v>
      </c>
      <c r="S60">
        <v>0</v>
      </c>
      <c r="T60">
        <v>0</v>
      </c>
      <c r="U60">
        <v>0</v>
      </c>
      <c r="V60">
        <v>0</v>
      </c>
      <c r="W60" s="4">
        <f t="shared" ref="W60" si="44">W59</f>
        <v>9.7248800000000006</v>
      </c>
      <c r="Y60">
        <v>1</v>
      </c>
      <c r="Z60" t="s">
        <v>1</v>
      </c>
      <c r="AA60">
        <v>29056</v>
      </c>
      <c r="AB60">
        <v>64</v>
      </c>
      <c r="AC60">
        <v>1</v>
      </c>
      <c r="AD60">
        <v>16</v>
      </c>
      <c r="AE60">
        <v>1964.39</v>
      </c>
      <c r="AF60" s="24">
        <v>8.3256999999999994</v>
      </c>
      <c r="AG60" s="1">
        <v>45478</v>
      </c>
      <c r="AH60" s="2">
        <v>0.36562499999999998</v>
      </c>
      <c r="AI60">
        <v>0</v>
      </c>
      <c r="AJ60">
        <v>0</v>
      </c>
      <c r="AK60">
        <v>0</v>
      </c>
      <c r="AL60">
        <v>0</v>
      </c>
      <c r="AM60">
        <v>0</v>
      </c>
      <c r="AN60">
        <v>0</v>
      </c>
      <c r="AO60">
        <v>0</v>
      </c>
      <c r="AP60">
        <v>0</v>
      </c>
      <c r="AQ60">
        <v>0</v>
      </c>
      <c r="AR60">
        <v>0</v>
      </c>
      <c r="AS60">
        <v>0</v>
      </c>
      <c r="AT60">
        <v>0</v>
      </c>
      <c r="AU60" s="3">
        <f t="shared" ref="AU60" si="45">AU59</f>
        <v>8.3261666666666674</v>
      </c>
    </row>
    <row r="61" spans="1:47" x14ac:dyDescent="0.25">
      <c r="A61">
        <v>2</v>
      </c>
      <c r="B61" t="s">
        <v>1</v>
      </c>
      <c r="C61">
        <v>29056</v>
      </c>
      <c r="D61">
        <v>64</v>
      </c>
      <c r="E61">
        <v>1</v>
      </c>
      <c r="F61">
        <v>16</v>
      </c>
      <c r="G61">
        <v>1682.36</v>
      </c>
      <c r="H61" s="3">
        <v>9.7213999999999992</v>
      </c>
      <c r="I61" s="1">
        <v>45478</v>
      </c>
      <c r="J61" s="2">
        <v>0.82636574074074076</v>
      </c>
      <c r="K61">
        <v>0</v>
      </c>
      <c r="L61">
        <v>0</v>
      </c>
      <c r="M61">
        <v>0</v>
      </c>
      <c r="N61">
        <v>0</v>
      </c>
      <c r="O61">
        <v>0</v>
      </c>
      <c r="P61">
        <v>0</v>
      </c>
      <c r="Q61">
        <v>0</v>
      </c>
      <c r="R61">
        <v>0</v>
      </c>
      <c r="S61">
        <v>0</v>
      </c>
      <c r="T61">
        <v>0</v>
      </c>
      <c r="U61">
        <v>0</v>
      </c>
      <c r="V61">
        <v>0</v>
      </c>
      <c r="W61" s="4">
        <f t="shared" si="4"/>
        <v>9.7248800000000006</v>
      </c>
      <c r="Y61">
        <v>2</v>
      </c>
      <c r="Z61" t="s">
        <v>1</v>
      </c>
      <c r="AA61">
        <v>29056</v>
      </c>
      <c r="AB61">
        <v>64</v>
      </c>
      <c r="AC61">
        <v>1</v>
      </c>
      <c r="AD61">
        <v>16</v>
      </c>
      <c r="AE61">
        <v>1963.56</v>
      </c>
      <c r="AF61" s="24">
        <v>8.3292000000000002</v>
      </c>
      <c r="AG61" s="1">
        <v>45478</v>
      </c>
      <c r="AH61" s="2">
        <v>0.89756944444444442</v>
      </c>
      <c r="AI61">
        <v>0</v>
      </c>
      <c r="AJ61">
        <v>0</v>
      </c>
      <c r="AK61">
        <v>0</v>
      </c>
      <c r="AL61">
        <v>0</v>
      </c>
      <c r="AM61">
        <v>0</v>
      </c>
      <c r="AN61">
        <v>0</v>
      </c>
      <c r="AO61">
        <v>0</v>
      </c>
      <c r="AP61">
        <v>0</v>
      </c>
      <c r="AQ61">
        <v>0</v>
      </c>
      <c r="AR61">
        <v>0</v>
      </c>
      <c r="AS61">
        <v>0</v>
      </c>
      <c r="AT61">
        <v>0</v>
      </c>
      <c r="AU61" s="3">
        <f t="shared" si="5"/>
        <v>8.3261666666666674</v>
      </c>
    </row>
    <row r="62" spans="1:47" x14ac:dyDescent="0.25">
      <c r="A62">
        <v>3</v>
      </c>
      <c r="B62" t="s">
        <v>1</v>
      </c>
      <c r="C62">
        <v>29056</v>
      </c>
      <c r="D62">
        <v>64</v>
      </c>
      <c r="E62">
        <v>1</v>
      </c>
      <c r="F62">
        <v>16</v>
      </c>
      <c r="G62">
        <v>1681.66</v>
      </c>
      <c r="H62" s="3">
        <v>9.7255000000000003</v>
      </c>
      <c r="I62" s="1">
        <v>45479</v>
      </c>
      <c r="J62" s="2">
        <v>0.33261574074074074</v>
      </c>
      <c r="K62">
        <v>0</v>
      </c>
      <c r="L62">
        <v>0</v>
      </c>
      <c r="M62">
        <v>0</v>
      </c>
      <c r="N62">
        <v>0</v>
      </c>
      <c r="O62">
        <v>0</v>
      </c>
      <c r="P62">
        <v>0</v>
      </c>
      <c r="Q62">
        <v>0</v>
      </c>
      <c r="R62">
        <v>0</v>
      </c>
      <c r="S62">
        <v>0</v>
      </c>
      <c r="T62">
        <v>0</v>
      </c>
      <c r="U62">
        <v>0</v>
      </c>
      <c r="V62">
        <v>0</v>
      </c>
      <c r="W62" s="4">
        <f t="shared" si="4"/>
        <v>9.7248800000000006</v>
      </c>
      <c r="Y62">
        <v>3</v>
      </c>
      <c r="Z62" t="s">
        <v>1</v>
      </c>
      <c r="AA62">
        <v>29056</v>
      </c>
      <c r="AB62">
        <v>64</v>
      </c>
      <c r="AC62">
        <v>1</v>
      </c>
      <c r="AD62">
        <v>16</v>
      </c>
      <c r="AU62" s="3">
        <f t="shared" si="5"/>
        <v>8.3261666666666674</v>
      </c>
    </row>
    <row r="63" spans="1:47" x14ac:dyDescent="0.25">
      <c r="A63">
        <v>4</v>
      </c>
      <c r="B63" t="s">
        <v>1</v>
      </c>
      <c r="C63">
        <v>29056</v>
      </c>
      <c r="D63">
        <v>64</v>
      </c>
      <c r="E63">
        <v>1</v>
      </c>
      <c r="F63">
        <v>16</v>
      </c>
      <c r="G63">
        <v>1680.27</v>
      </c>
      <c r="H63" s="3">
        <v>9.7334999999999994</v>
      </c>
      <c r="I63" s="1">
        <v>45479</v>
      </c>
      <c r="J63" s="2">
        <v>0.83870370370370373</v>
      </c>
      <c r="K63">
        <v>0</v>
      </c>
      <c r="L63">
        <v>0</v>
      </c>
      <c r="M63">
        <v>0</v>
      </c>
      <c r="N63">
        <v>0</v>
      </c>
      <c r="O63">
        <v>0</v>
      </c>
      <c r="P63">
        <v>0</v>
      </c>
      <c r="Q63">
        <v>0</v>
      </c>
      <c r="R63">
        <v>0</v>
      </c>
      <c r="S63">
        <v>0</v>
      </c>
      <c r="T63">
        <v>0</v>
      </c>
      <c r="U63">
        <v>0</v>
      </c>
      <c r="V63">
        <v>0</v>
      </c>
      <c r="W63" s="4">
        <f t="shared" si="4"/>
        <v>9.7248800000000006</v>
      </c>
      <c r="Y63">
        <v>4</v>
      </c>
      <c r="Z63" t="s">
        <v>1</v>
      </c>
      <c r="AA63">
        <v>29056</v>
      </c>
      <c r="AB63">
        <v>64</v>
      </c>
      <c r="AC63">
        <v>1</v>
      </c>
      <c r="AD63">
        <v>16</v>
      </c>
      <c r="AU63" s="3">
        <f t="shared" si="5"/>
        <v>8.3261666666666674</v>
      </c>
    </row>
    <row r="64" spans="1:47" x14ac:dyDescent="0.25">
      <c r="A64">
        <v>0</v>
      </c>
      <c r="B64" t="s">
        <v>1</v>
      </c>
      <c r="C64">
        <v>25984</v>
      </c>
      <c r="D64">
        <v>64</v>
      </c>
      <c r="E64">
        <v>2</v>
      </c>
      <c r="F64">
        <v>8</v>
      </c>
      <c r="G64">
        <v>1188.8399999999999</v>
      </c>
      <c r="H64">
        <v>9.8386999999999993</v>
      </c>
      <c r="I64">
        <v>45477</v>
      </c>
      <c r="J64">
        <v>0.66318287037037038</v>
      </c>
      <c r="K64">
        <v>0</v>
      </c>
      <c r="L64">
        <v>0</v>
      </c>
      <c r="M64">
        <v>0</v>
      </c>
      <c r="N64">
        <v>0</v>
      </c>
      <c r="O64">
        <v>0</v>
      </c>
      <c r="P64">
        <v>0</v>
      </c>
      <c r="Q64">
        <v>0</v>
      </c>
      <c r="R64">
        <v>0</v>
      </c>
      <c r="S64">
        <v>0</v>
      </c>
      <c r="T64">
        <v>0</v>
      </c>
      <c r="U64">
        <v>0</v>
      </c>
      <c r="V64">
        <v>0</v>
      </c>
      <c r="W64" s="4">
        <f t="shared" ref="W64" si="46">AVERAGE(H64:H68)</f>
        <v>9.8393800000000002</v>
      </c>
      <c r="Y64">
        <v>0</v>
      </c>
      <c r="Z64" t="s">
        <v>1</v>
      </c>
      <c r="AA64">
        <v>25984</v>
      </c>
      <c r="AB64">
        <v>64</v>
      </c>
      <c r="AC64">
        <v>2</v>
      </c>
      <c r="AD64">
        <v>8</v>
      </c>
      <c r="AE64">
        <v>1376.69</v>
      </c>
      <c r="AF64" s="24">
        <v>8.4962999999999997</v>
      </c>
      <c r="AG64" s="1">
        <v>45477</v>
      </c>
      <c r="AH64" s="2">
        <v>0.67554398148148154</v>
      </c>
      <c r="AI64">
        <v>0</v>
      </c>
      <c r="AJ64">
        <v>0</v>
      </c>
      <c r="AK64">
        <v>0</v>
      </c>
      <c r="AL64">
        <v>0</v>
      </c>
      <c r="AM64">
        <v>0</v>
      </c>
      <c r="AN64">
        <v>0</v>
      </c>
      <c r="AO64">
        <v>0</v>
      </c>
      <c r="AP64">
        <v>0</v>
      </c>
      <c r="AQ64">
        <v>0</v>
      </c>
      <c r="AR64">
        <v>0</v>
      </c>
      <c r="AS64">
        <v>0</v>
      </c>
      <c r="AT64">
        <v>0</v>
      </c>
      <c r="AU64" s="3">
        <f t="shared" ref="AU64" si="47">AVERAGE(AF64:AF68)</f>
        <v>8.4941999999999993</v>
      </c>
    </row>
    <row r="65" spans="1:47" x14ac:dyDescent="0.25">
      <c r="A65">
        <v>1</v>
      </c>
      <c r="B65" t="s">
        <v>1</v>
      </c>
      <c r="C65">
        <v>25984</v>
      </c>
      <c r="D65">
        <v>64</v>
      </c>
      <c r="E65">
        <v>2</v>
      </c>
      <c r="F65">
        <v>8</v>
      </c>
      <c r="G65">
        <v>1188.29</v>
      </c>
      <c r="H65" s="3">
        <v>9.8432999999999993</v>
      </c>
      <c r="I65" s="1">
        <v>45478</v>
      </c>
      <c r="J65" s="2">
        <v>0.16916666666666666</v>
      </c>
      <c r="K65">
        <v>0</v>
      </c>
      <c r="L65">
        <v>0</v>
      </c>
      <c r="M65">
        <v>0</v>
      </c>
      <c r="N65">
        <v>0</v>
      </c>
      <c r="O65">
        <v>0</v>
      </c>
      <c r="P65">
        <v>0</v>
      </c>
      <c r="Q65">
        <v>0</v>
      </c>
      <c r="R65">
        <v>0</v>
      </c>
      <c r="S65">
        <v>0</v>
      </c>
      <c r="T65">
        <v>0</v>
      </c>
      <c r="U65">
        <v>0</v>
      </c>
      <c r="V65">
        <v>0</v>
      </c>
      <c r="W65" s="4">
        <f t="shared" ref="W65" si="48">W64</f>
        <v>9.8393800000000002</v>
      </c>
      <c r="Y65">
        <v>1</v>
      </c>
      <c r="Z65" t="s">
        <v>1</v>
      </c>
      <c r="AA65">
        <v>25984</v>
      </c>
      <c r="AB65">
        <v>64</v>
      </c>
      <c r="AC65">
        <v>2</v>
      </c>
      <c r="AD65">
        <v>8</v>
      </c>
      <c r="AE65">
        <v>1377.05</v>
      </c>
      <c r="AF65" s="24">
        <v>8.4940999999999995</v>
      </c>
      <c r="AG65" s="1">
        <v>45478</v>
      </c>
      <c r="AH65" s="2">
        <v>0.20744212962962963</v>
      </c>
      <c r="AI65">
        <v>0</v>
      </c>
      <c r="AJ65">
        <v>0</v>
      </c>
      <c r="AK65">
        <v>0</v>
      </c>
      <c r="AL65">
        <v>0</v>
      </c>
      <c r="AM65">
        <v>0</v>
      </c>
      <c r="AN65">
        <v>0</v>
      </c>
      <c r="AO65">
        <v>0</v>
      </c>
      <c r="AP65">
        <v>0</v>
      </c>
      <c r="AQ65">
        <v>0</v>
      </c>
      <c r="AR65">
        <v>0</v>
      </c>
      <c r="AS65">
        <v>0</v>
      </c>
      <c r="AT65">
        <v>0</v>
      </c>
      <c r="AU65" s="3">
        <f t="shared" ref="AU65" si="49">AU64</f>
        <v>8.4941999999999993</v>
      </c>
    </row>
    <row r="66" spans="1:47" x14ac:dyDescent="0.25">
      <c r="A66">
        <v>2</v>
      </c>
      <c r="B66" t="s">
        <v>1</v>
      </c>
      <c r="C66">
        <v>25984</v>
      </c>
      <c r="D66">
        <v>64</v>
      </c>
      <c r="E66">
        <v>2</v>
      </c>
      <c r="F66">
        <v>8</v>
      </c>
      <c r="G66">
        <v>1188.98</v>
      </c>
      <c r="H66" s="3">
        <v>9.8376000000000001</v>
      </c>
      <c r="I66" s="1">
        <v>45478</v>
      </c>
      <c r="J66" s="2">
        <v>0.67524305555555553</v>
      </c>
      <c r="K66">
        <v>0</v>
      </c>
      <c r="L66">
        <v>0</v>
      </c>
      <c r="M66">
        <v>0</v>
      </c>
      <c r="N66">
        <v>0</v>
      </c>
      <c r="O66">
        <v>0</v>
      </c>
      <c r="P66">
        <v>0</v>
      </c>
      <c r="Q66">
        <v>0</v>
      </c>
      <c r="R66">
        <v>0</v>
      </c>
      <c r="S66">
        <v>0</v>
      </c>
      <c r="T66">
        <v>0</v>
      </c>
      <c r="U66">
        <v>0</v>
      </c>
      <c r="V66">
        <v>0</v>
      </c>
      <c r="W66" s="4">
        <f t="shared" si="4"/>
        <v>9.8393800000000002</v>
      </c>
      <c r="Y66">
        <v>2</v>
      </c>
      <c r="Z66" t="s">
        <v>1</v>
      </c>
      <c r="AA66">
        <v>25984</v>
      </c>
      <c r="AB66">
        <v>64</v>
      </c>
      <c r="AC66">
        <v>2</v>
      </c>
      <c r="AD66">
        <v>8</v>
      </c>
      <c r="AE66">
        <v>1377</v>
      </c>
      <c r="AF66" s="24">
        <v>8.4944000000000006</v>
      </c>
      <c r="AG66" s="1">
        <v>45478</v>
      </c>
      <c r="AH66" s="2">
        <v>0.73939814814814819</v>
      </c>
      <c r="AI66">
        <v>0</v>
      </c>
      <c r="AJ66">
        <v>0</v>
      </c>
      <c r="AK66">
        <v>0</v>
      </c>
      <c r="AL66">
        <v>0</v>
      </c>
      <c r="AM66">
        <v>0</v>
      </c>
      <c r="AN66">
        <v>0</v>
      </c>
      <c r="AO66">
        <v>0</v>
      </c>
      <c r="AP66">
        <v>0</v>
      </c>
      <c r="AQ66">
        <v>0</v>
      </c>
      <c r="AR66">
        <v>0</v>
      </c>
      <c r="AS66">
        <v>0</v>
      </c>
      <c r="AT66">
        <v>0</v>
      </c>
      <c r="AU66" s="3">
        <f t="shared" si="5"/>
        <v>8.4941999999999993</v>
      </c>
    </row>
    <row r="67" spans="1:47" x14ac:dyDescent="0.25">
      <c r="A67">
        <v>3</v>
      </c>
      <c r="B67" t="s">
        <v>1</v>
      </c>
      <c r="C67">
        <v>25984</v>
      </c>
      <c r="D67">
        <v>64</v>
      </c>
      <c r="E67">
        <v>2</v>
      </c>
      <c r="F67">
        <v>8</v>
      </c>
      <c r="G67">
        <v>1189.57</v>
      </c>
      <c r="H67" s="3">
        <v>9.8327000000000009</v>
      </c>
      <c r="I67" s="1">
        <v>45479</v>
      </c>
      <c r="J67" s="2">
        <v>0.18144675925925927</v>
      </c>
      <c r="K67">
        <v>0</v>
      </c>
      <c r="L67">
        <v>0</v>
      </c>
      <c r="M67">
        <v>0</v>
      </c>
      <c r="N67">
        <v>0</v>
      </c>
      <c r="O67">
        <v>0</v>
      </c>
      <c r="P67">
        <v>0</v>
      </c>
      <c r="Q67">
        <v>0</v>
      </c>
      <c r="R67">
        <v>0</v>
      </c>
      <c r="S67">
        <v>0</v>
      </c>
      <c r="T67">
        <v>0</v>
      </c>
      <c r="U67">
        <v>0</v>
      </c>
      <c r="V67">
        <v>0</v>
      </c>
      <c r="W67" s="4">
        <f t="shared" si="4"/>
        <v>9.8393800000000002</v>
      </c>
      <c r="Y67">
        <v>3</v>
      </c>
      <c r="Z67" t="s">
        <v>1</v>
      </c>
      <c r="AA67">
        <v>25984</v>
      </c>
      <c r="AB67">
        <v>64</v>
      </c>
      <c r="AC67">
        <v>2</v>
      </c>
      <c r="AD67">
        <v>8</v>
      </c>
      <c r="AE67">
        <v>1377.39</v>
      </c>
      <c r="AF67" s="24">
        <v>8.4920000000000009</v>
      </c>
      <c r="AG67" s="1">
        <v>45479</v>
      </c>
      <c r="AH67" s="2">
        <v>0.27142361111111113</v>
      </c>
      <c r="AI67">
        <v>0</v>
      </c>
      <c r="AJ67">
        <v>0</v>
      </c>
      <c r="AK67">
        <v>0</v>
      </c>
      <c r="AL67">
        <v>0</v>
      </c>
      <c r="AM67">
        <v>0</v>
      </c>
      <c r="AN67">
        <v>0</v>
      </c>
      <c r="AO67">
        <v>0</v>
      </c>
      <c r="AP67">
        <v>0</v>
      </c>
      <c r="AQ67">
        <v>0</v>
      </c>
      <c r="AR67">
        <v>0</v>
      </c>
      <c r="AS67">
        <v>0</v>
      </c>
      <c r="AT67">
        <v>0</v>
      </c>
      <c r="AU67" s="3">
        <f t="shared" si="5"/>
        <v>8.4941999999999993</v>
      </c>
    </row>
    <row r="68" spans="1:47" x14ac:dyDescent="0.25">
      <c r="A68">
        <v>4</v>
      </c>
      <c r="B68" t="s">
        <v>1</v>
      </c>
      <c r="C68">
        <v>25984</v>
      </c>
      <c r="D68">
        <v>64</v>
      </c>
      <c r="E68">
        <v>2</v>
      </c>
      <c r="F68">
        <v>8</v>
      </c>
      <c r="G68">
        <v>1188.1300000000001</v>
      </c>
      <c r="H68" s="3">
        <v>9.8445999999999998</v>
      </c>
      <c r="I68" s="1">
        <v>45479</v>
      </c>
      <c r="J68" s="2">
        <v>0.68763888888888891</v>
      </c>
      <c r="K68">
        <v>0</v>
      </c>
      <c r="L68">
        <v>0</v>
      </c>
      <c r="M68">
        <v>0</v>
      </c>
      <c r="N68">
        <v>0</v>
      </c>
      <c r="O68">
        <v>0</v>
      </c>
      <c r="P68">
        <v>0</v>
      </c>
      <c r="Q68">
        <v>0</v>
      </c>
      <c r="R68">
        <v>0</v>
      </c>
      <c r="S68">
        <v>0</v>
      </c>
      <c r="T68">
        <v>0</v>
      </c>
      <c r="U68">
        <v>0</v>
      </c>
      <c r="V68">
        <v>0</v>
      </c>
      <c r="W68" s="4">
        <f t="shared" si="4"/>
        <v>9.8393800000000002</v>
      </c>
      <c r="Y68">
        <v>4</v>
      </c>
      <c r="Z68" t="s">
        <v>1</v>
      </c>
      <c r="AA68">
        <v>25984</v>
      </c>
      <c r="AB68">
        <v>64</v>
      </c>
      <c r="AC68">
        <v>2</v>
      </c>
      <c r="AD68">
        <v>8</v>
      </c>
      <c r="AU68" s="3">
        <f t="shared" si="5"/>
        <v>8.4941999999999993</v>
      </c>
    </row>
    <row r="69" spans="1:47" x14ac:dyDescent="0.25">
      <c r="A69">
        <v>0</v>
      </c>
      <c r="B69" t="s">
        <v>1</v>
      </c>
      <c r="C69">
        <v>27520</v>
      </c>
      <c r="D69">
        <v>64</v>
      </c>
      <c r="E69">
        <v>2</v>
      </c>
      <c r="F69">
        <v>8</v>
      </c>
      <c r="G69">
        <v>1403.92</v>
      </c>
      <c r="H69">
        <v>9.8979999999999997</v>
      </c>
      <c r="I69">
        <v>45477</v>
      </c>
      <c r="J69">
        <v>0.50924768518518515</v>
      </c>
      <c r="K69">
        <v>0</v>
      </c>
      <c r="L69">
        <v>0</v>
      </c>
      <c r="M69">
        <v>0</v>
      </c>
      <c r="N69">
        <v>0</v>
      </c>
      <c r="O69">
        <v>0</v>
      </c>
      <c r="P69">
        <v>0</v>
      </c>
      <c r="Q69">
        <v>0</v>
      </c>
      <c r="R69">
        <v>0</v>
      </c>
      <c r="S69">
        <v>0</v>
      </c>
      <c r="T69">
        <v>0</v>
      </c>
      <c r="U69">
        <v>0</v>
      </c>
      <c r="V69">
        <v>0</v>
      </c>
      <c r="W69" s="4">
        <f t="shared" ref="W69" si="50">AVERAGE(H69:H73)</f>
        <v>9.8889999999999993</v>
      </c>
      <c r="Y69">
        <v>0</v>
      </c>
      <c r="Z69" t="s">
        <v>1</v>
      </c>
      <c r="AA69">
        <v>27520</v>
      </c>
      <c r="AB69">
        <v>64</v>
      </c>
      <c r="AC69">
        <v>2</v>
      </c>
      <c r="AD69">
        <v>8</v>
      </c>
      <c r="AE69">
        <v>1630.02</v>
      </c>
      <c r="AF69" s="24">
        <v>8.5250000000000004</v>
      </c>
      <c r="AG69" s="1">
        <v>45477</v>
      </c>
      <c r="AH69" s="2">
        <v>0.5138194444444445</v>
      </c>
      <c r="AI69">
        <v>0</v>
      </c>
      <c r="AJ69">
        <v>0</v>
      </c>
      <c r="AK69">
        <v>0</v>
      </c>
      <c r="AL69">
        <v>0</v>
      </c>
      <c r="AM69">
        <v>0</v>
      </c>
      <c r="AN69">
        <v>0</v>
      </c>
      <c r="AO69">
        <v>0</v>
      </c>
      <c r="AP69">
        <v>0</v>
      </c>
      <c r="AQ69">
        <v>0</v>
      </c>
      <c r="AR69">
        <v>0</v>
      </c>
      <c r="AS69">
        <v>0</v>
      </c>
      <c r="AT69">
        <v>0</v>
      </c>
      <c r="AU69" s="3">
        <f t="shared" ref="AU69" si="51">AVERAGE(AF69:AF73)</f>
        <v>8.5246250000000003</v>
      </c>
    </row>
    <row r="70" spans="1:47" x14ac:dyDescent="0.25">
      <c r="A70">
        <v>1</v>
      </c>
      <c r="B70" t="s">
        <v>1</v>
      </c>
      <c r="C70">
        <v>27520</v>
      </c>
      <c r="D70">
        <v>64</v>
      </c>
      <c r="E70">
        <v>2</v>
      </c>
      <c r="F70">
        <v>8</v>
      </c>
      <c r="G70">
        <v>1404.96</v>
      </c>
      <c r="H70" s="3">
        <v>9.8907000000000007</v>
      </c>
      <c r="I70" s="1">
        <v>45478</v>
      </c>
      <c r="J70" s="2">
        <v>1.5127314814814816E-2</v>
      </c>
      <c r="K70">
        <v>0</v>
      </c>
      <c r="L70">
        <v>0</v>
      </c>
      <c r="M70">
        <v>0</v>
      </c>
      <c r="N70">
        <v>0</v>
      </c>
      <c r="O70">
        <v>0</v>
      </c>
      <c r="P70">
        <v>0</v>
      </c>
      <c r="Q70">
        <v>0</v>
      </c>
      <c r="R70">
        <v>0</v>
      </c>
      <c r="S70">
        <v>0</v>
      </c>
      <c r="T70">
        <v>0</v>
      </c>
      <c r="U70">
        <v>0</v>
      </c>
      <c r="V70">
        <v>0</v>
      </c>
      <c r="W70" s="4">
        <f t="shared" ref="W70" si="52">W69</f>
        <v>9.8889999999999993</v>
      </c>
      <c r="Y70">
        <v>1</v>
      </c>
      <c r="Z70" t="s">
        <v>1</v>
      </c>
      <c r="AA70">
        <v>27520</v>
      </c>
      <c r="AB70">
        <v>64</v>
      </c>
      <c r="AC70">
        <v>2</v>
      </c>
      <c r="AD70">
        <v>8</v>
      </c>
      <c r="AE70">
        <v>1630.03</v>
      </c>
      <c r="AF70" s="24">
        <v>8.5250000000000004</v>
      </c>
      <c r="AG70" s="1">
        <v>45478</v>
      </c>
      <c r="AH70" s="2">
        <v>4.5671296296296293E-2</v>
      </c>
      <c r="AI70">
        <v>0</v>
      </c>
      <c r="AJ70">
        <v>0</v>
      </c>
      <c r="AK70">
        <v>0</v>
      </c>
      <c r="AL70">
        <v>0</v>
      </c>
      <c r="AM70">
        <v>0</v>
      </c>
      <c r="AN70">
        <v>0</v>
      </c>
      <c r="AO70">
        <v>0</v>
      </c>
      <c r="AP70">
        <v>0</v>
      </c>
      <c r="AQ70">
        <v>0</v>
      </c>
      <c r="AR70">
        <v>0</v>
      </c>
      <c r="AS70">
        <v>0</v>
      </c>
      <c r="AT70">
        <v>0</v>
      </c>
      <c r="AU70" s="3">
        <f t="shared" ref="AU70" si="53">AU69</f>
        <v>8.5246250000000003</v>
      </c>
    </row>
    <row r="71" spans="1:47" x14ac:dyDescent="0.25">
      <c r="A71">
        <v>2</v>
      </c>
      <c r="B71" t="s">
        <v>1</v>
      </c>
      <c r="C71">
        <v>27520</v>
      </c>
      <c r="D71">
        <v>64</v>
      </c>
      <c r="E71">
        <v>2</v>
      </c>
      <c r="F71">
        <v>8</v>
      </c>
      <c r="G71">
        <v>1406.15</v>
      </c>
      <c r="H71" s="3">
        <v>9.8823000000000008</v>
      </c>
      <c r="I71" s="1">
        <v>45478</v>
      </c>
      <c r="J71" s="2">
        <v>0.5212268518518518</v>
      </c>
      <c r="K71">
        <v>0</v>
      </c>
      <c r="L71">
        <v>0</v>
      </c>
      <c r="M71">
        <v>0</v>
      </c>
      <c r="N71">
        <v>0</v>
      </c>
      <c r="O71">
        <v>0</v>
      </c>
      <c r="P71">
        <v>0</v>
      </c>
      <c r="Q71">
        <v>0</v>
      </c>
      <c r="R71">
        <v>0</v>
      </c>
      <c r="S71">
        <v>0</v>
      </c>
      <c r="T71">
        <v>0</v>
      </c>
      <c r="U71">
        <v>0</v>
      </c>
      <c r="V71">
        <v>0</v>
      </c>
      <c r="W71" s="4">
        <f t="shared" si="4"/>
        <v>9.8889999999999993</v>
      </c>
      <c r="Y71">
        <v>2</v>
      </c>
      <c r="Z71" t="s">
        <v>1</v>
      </c>
      <c r="AA71">
        <v>27520</v>
      </c>
      <c r="AB71">
        <v>64</v>
      </c>
      <c r="AC71">
        <v>2</v>
      </c>
      <c r="AD71">
        <v>8</v>
      </c>
      <c r="AE71">
        <v>1630.31</v>
      </c>
      <c r="AF71" s="24">
        <v>8.5235000000000003</v>
      </c>
      <c r="AG71" s="1">
        <v>45478</v>
      </c>
      <c r="AH71" s="2">
        <v>0.57765046296296296</v>
      </c>
      <c r="AI71">
        <v>0</v>
      </c>
      <c r="AJ71">
        <v>0</v>
      </c>
      <c r="AK71">
        <v>0</v>
      </c>
      <c r="AL71">
        <v>0</v>
      </c>
      <c r="AM71">
        <v>0</v>
      </c>
      <c r="AN71">
        <v>0</v>
      </c>
      <c r="AO71">
        <v>0</v>
      </c>
      <c r="AP71">
        <v>0</v>
      </c>
      <c r="AQ71">
        <v>0</v>
      </c>
      <c r="AR71">
        <v>0</v>
      </c>
      <c r="AS71">
        <v>0</v>
      </c>
      <c r="AT71">
        <v>0</v>
      </c>
      <c r="AU71" s="3">
        <f t="shared" si="5"/>
        <v>8.5246250000000003</v>
      </c>
    </row>
    <row r="72" spans="1:47" x14ac:dyDescent="0.25">
      <c r="A72">
        <v>3</v>
      </c>
      <c r="B72" t="s">
        <v>1</v>
      </c>
      <c r="C72">
        <v>27520</v>
      </c>
      <c r="D72">
        <v>64</v>
      </c>
      <c r="E72">
        <v>2</v>
      </c>
      <c r="F72">
        <v>8</v>
      </c>
      <c r="G72">
        <v>1405.3</v>
      </c>
      <c r="H72" s="3">
        <v>9.8882999999999992</v>
      </c>
      <c r="I72" s="1">
        <v>45479</v>
      </c>
      <c r="J72" s="2">
        <v>2.7384259259259261E-2</v>
      </c>
      <c r="K72">
        <v>0</v>
      </c>
      <c r="L72">
        <v>0</v>
      </c>
      <c r="M72">
        <v>0</v>
      </c>
      <c r="N72">
        <v>0</v>
      </c>
      <c r="O72">
        <v>0</v>
      </c>
      <c r="P72">
        <v>0</v>
      </c>
      <c r="Q72">
        <v>0</v>
      </c>
      <c r="R72">
        <v>0</v>
      </c>
      <c r="S72">
        <v>0</v>
      </c>
      <c r="T72">
        <v>0</v>
      </c>
      <c r="U72">
        <v>0</v>
      </c>
      <c r="V72">
        <v>0</v>
      </c>
      <c r="W72" s="4">
        <f t="shared" si="4"/>
        <v>9.8889999999999993</v>
      </c>
      <c r="Y72">
        <v>3</v>
      </c>
      <c r="Z72" t="s">
        <v>1</v>
      </c>
      <c r="AA72">
        <v>27520</v>
      </c>
      <c r="AB72">
        <v>64</v>
      </c>
      <c r="AC72">
        <v>2</v>
      </c>
      <c r="AD72">
        <v>8</v>
      </c>
      <c r="AE72">
        <v>1630.02</v>
      </c>
      <c r="AF72" s="24">
        <v>8.5250000000000004</v>
      </c>
      <c r="AG72" s="1">
        <v>45479</v>
      </c>
      <c r="AH72" s="2">
        <v>0.1095949074074074</v>
      </c>
      <c r="AI72">
        <v>0</v>
      </c>
      <c r="AJ72">
        <v>0</v>
      </c>
      <c r="AK72">
        <v>0</v>
      </c>
      <c r="AL72">
        <v>0</v>
      </c>
      <c r="AM72">
        <v>0</v>
      </c>
      <c r="AN72">
        <v>0</v>
      </c>
      <c r="AO72">
        <v>0</v>
      </c>
      <c r="AP72">
        <v>0</v>
      </c>
      <c r="AQ72">
        <v>0</v>
      </c>
      <c r="AR72">
        <v>0</v>
      </c>
      <c r="AS72">
        <v>0</v>
      </c>
      <c r="AT72">
        <v>0</v>
      </c>
      <c r="AU72" s="3">
        <f t="shared" si="5"/>
        <v>8.5246250000000003</v>
      </c>
    </row>
    <row r="73" spans="1:47" x14ac:dyDescent="0.25">
      <c r="A73">
        <v>4</v>
      </c>
      <c r="B73" t="s">
        <v>1</v>
      </c>
      <c r="C73">
        <v>27520</v>
      </c>
      <c r="D73">
        <v>64</v>
      </c>
      <c r="E73">
        <v>2</v>
      </c>
      <c r="F73">
        <v>8</v>
      </c>
      <c r="G73">
        <v>1405.66</v>
      </c>
      <c r="H73" s="3">
        <v>9.8856999999999999</v>
      </c>
      <c r="I73" s="1">
        <v>45479</v>
      </c>
      <c r="J73" s="2">
        <v>0.533599537037037</v>
      </c>
      <c r="K73">
        <v>0</v>
      </c>
      <c r="L73">
        <v>0</v>
      </c>
      <c r="M73">
        <v>0</v>
      </c>
      <c r="N73">
        <v>0</v>
      </c>
      <c r="O73">
        <v>0</v>
      </c>
      <c r="P73">
        <v>0</v>
      </c>
      <c r="Q73">
        <v>0</v>
      </c>
      <c r="R73">
        <v>0</v>
      </c>
      <c r="S73">
        <v>0</v>
      </c>
      <c r="T73">
        <v>0</v>
      </c>
      <c r="U73">
        <v>0</v>
      </c>
      <c r="V73">
        <v>0</v>
      </c>
      <c r="W73" s="4">
        <f t="shared" si="4"/>
        <v>9.8889999999999993</v>
      </c>
      <c r="Y73">
        <v>4</v>
      </c>
      <c r="Z73" t="s">
        <v>1</v>
      </c>
      <c r="AA73">
        <v>27520</v>
      </c>
      <c r="AB73">
        <v>64</v>
      </c>
      <c r="AC73">
        <v>2</v>
      </c>
      <c r="AD73">
        <v>8</v>
      </c>
      <c r="AU73" s="3">
        <f t="shared" si="5"/>
        <v>8.5246250000000003</v>
      </c>
    </row>
    <row r="74" spans="1:47" x14ac:dyDescent="0.25">
      <c r="A74">
        <v>0</v>
      </c>
      <c r="B74" t="s">
        <v>1</v>
      </c>
      <c r="C74">
        <v>29056</v>
      </c>
      <c r="D74">
        <v>64</v>
      </c>
      <c r="E74">
        <v>2</v>
      </c>
      <c r="F74">
        <v>8</v>
      </c>
      <c r="G74">
        <v>1643.73</v>
      </c>
      <c r="H74" s="3">
        <v>9.9498999999999995</v>
      </c>
      <c r="I74" s="1">
        <v>45477</v>
      </c>
      <c r="J74" s="2">
        <v>0.83484953703703701</v>
      </c>
      <c r="K74">
        <v>0</v>
      </c>
      <c r="L74">
        <v>0</v>
      </c>
      <c r="M74">
        <v>0</v>
      </c>
      <c r="N74">
        <v>0</v>
      </c>
      <c r="O74">
        <v>0</v>
      </c>
      <c r="P74">
        <v>0</v>
      </c>
      <c r="Q74">
        <v>0</v>
      </c>
      <c r="R74">
        <v>0</v>
      </c>
      <c r="S74">
        <v>0</v>
      </c>
      <c r="T74">
        <v>0</v>
      </c>
      <c r="U74">
        <v>0</v>
      </c>
      <c r="V74">
        <v>0</v>
      </c>
      <c r="W74" s="4">
        <f t="shared" ref="W74" si="54">AVERAGE(H74:H78)</f>
        <v>9.9418199999999999</v>
      </c>
      <c r="Y74">
        <v>0</v>
      </c>
      <c r="Z74" t="s">
        <v>1</v>
      </c>
      <c r="AA74">
        <v>29056</v>
      </c>
      <c r="AB74">
        <v>64</v>
      </c>
      <c r="AC74">
        <v>2</v>
      </c>
      <c r="AD74">
        <v>8</v>
      </c>
      <c r="AE74">
        <v>1908.58</v>
      </c>
      <c r="AF74" s="24">
        <v>8.5692000000000004</v>
      </c>
      <c r="AG74" s="1">
        <v>45477</v>
      </c>
      <c r="AH74" s="2">
        <v>0.85613425925925923</v>
      </c>
      <c r="AI74">
        <v>0</v>
      </c>
      <c r="AJ74">
        <v>0</v>
      </c>
      <c r="AK74">
        <v>0</v>
      </c>
      <c r="AL74">
        <v>0</v>
      </c>
      <c r="AM74">
        <v>0</v>
      </c>
      <c r="AN74">
        <v>0</v>
      </c>
      <c r="AO74">
        <v>0</v>
      </c>
      <c r="AP74">
        <v>0</v>
      </c>
      <c r="AQ74">
        <v>0</v>
      </c>
      <c r="AR74">
        <v>0</v>
      </c>
      <c r="AS74">
        <v>0</v>
      </c>
      <c r="AT74">
        <v>0</v>
      </c>
      <c r="AU74" s="3">
        <f t="shared" ref="AU74" si="55">AVERAGE(AF74:AF78)</f>
        <v>8.5663999999999998</v>
      </c>
    </row>
    <row r="75" spans="1:47" x14ac:dyDescent="0.25">
      <c r="A75">
        <v>1</v>
      </c>
      <c r="B75" t="s">
        <v>1</v>
      </c>
      <c r="C75">
        <v>29056</v>
      </c>
      <c r="D75">
        <v>64</v>
      </c>
      <c r="E75">
        <v>2</v>
      </c>
      <c r="F75">
        <v>8</v>
      </c>
      <c r="G75">
        <v>1644.97</v>
      </c>
      <c r="H75" s="3">
        <v>9.9423999999999992</v>
      </c>
      <c r="I75" s="1">
        <v>45478</v>
      </c>
      <c r="J75" s="2">
        <v>0.34099537037037037</v>
      </c>
      <c r="K75">
        <v>0</v>
      </c>
      <c r="L75">
        <v>0</v>
      </c>
      <c r="M75">
        <v>0</v>
      </c>
      <c r="N75">
        <v>0</v>
      </c>
      <c r="O75">
        <v>0</v>
      </c>
      <c r="P75">
        <v>0</v>
      </c>
      <c r="Q75">
        <v>0</v>
      </c>
      <c r="R75">
        <v>0</v>
      </c>
      <c r="S75">
        <v>0</v>
      </c>
      <c r="T75">
        <v>0</v>
      </c>
      <c r="U75">
        <v>0</v>
      </c>
      <c r="V75">
        <v>0</v>
      </c>
      <c r="W75" s="4">
        <f t="shared" ref="W75:W138" si="56">W74</f>
        <v>9.9418199999999999</v>
      </c>
      <c r="Y75">
        <v>1</v>
      </c>
      <c r="Z75" t="s">
        <v>1</v>
      </c>
      <c r="AA75">
        <v>29056</v>
      </c>
      <c r="AB75">
        <v>64</v>
      </c>
      <c r="AC75">
        <v>2</v>
      </c>
      <c r="AD75">
        <v>8</v>
      </c>
      <c r="AE75">
        <v>1909.38</v>
      </c>
      <c r="AF75" s="24">
        <v>8.5655999999999999</v>
      </c>
      <c r="AG75" s="1">
        <v>45478</v>
      </c>
      <c r="AH75" s="2">
        <v>0.3881134259259259</v>
      </c>
      <c r="AI75">
        <v>0</v>
      </c>
      <c r="AJ75">
        <v>0</v>
      </c>
      <c r="AK75">
        <v>0</v>
      </c>
      <c r="AL75">
        <v>0</v>
      </c>
      <c r="AM75">
        <v>0</v>
      </c>
      <c r="AN75">
        <v>0</v>
      </c>
      <c r="AO75">
        <v>0</v>
      </c>
      <c r="AP75">
        <v>0</v>
      </c>
      <c r="AQ75">
        <v>0</v>
      </c>
      <c r="AR75">
        <v>0</v>
      </c>
      <c r="AS75">
        <v>0</v>
      </c>
      <c r="AT75">
        <v>0</v>
      </c>
      <c r="AU75" s="3">
        <f t="shared" ref="AU75:AU138" si="57">AU74</f>
        <v>8.5663999999999998</v>
      </c>
    </row>
    <row r="76" spans="1:47" x14ac:dyDescent="0.25">
      <c r="A76">
        <v>2</v>
      </c>
      <c r="B76" t="s">
        <v>1</v>
      </c>
      <c r="C76">
        <v>29056</v>
      </c>
      <c r="D76">
        <v>64</v>
      </c>
      <c r="E76">
        <v>2</v>
      </c>
      <c r="F76">
        <v>8</v>
      </c>
      <c r="G76">
        <v>1645.97</v>
      </c>
      <c r="H76" s="3">
        <v>9.9364000000000008</v>
      </c>
      <c r="I76" s="1">
        <v>45478</v>
      </c>
      <c r="J76" s="2">
        <v>0.84709490740740745</v>
      </c>
      <c r="K76">
        <v>0</v>
      </c>
      <c r="L76">
        <v>0</v>
      </c>
      <c r="M76">
        <v>0</v>
      </c>
      <c r="N76">
        <v>0</v>
      </c>
      <c r="O76">
        <v>0</v>
      </c>
      <c r="P76">
        <v>0</v>
      </c>
      <c r="Q76">
        <v>0</v>
      </c>
      <c r="R76">
        <v>0</v>
      </c>
      <c r="S76">
        <v>0</v>
      </c>
      <c r="T76">
        <v>0</v>
      </c>
      <c r="U76">
        <v>0</v>
      </c>
      <c r="V76">
        <v>0</v>
      </c>
      <c r="W76" s="4">
        <f t="shared" si="56"/>
        <v>9.9418199999999999</v>
      </c>
      <c r="Y76">
        <v>2</v>
      </c>
      <c r="Z76" t="s">
        <v>1</v>
      </c>
      <c r="AA76">
        <v>29056</v>
      </c>
      <c r="AB76">
        <v>64</v>
      </c>
      <c r="AC76">
        <v>2</v>
      </c>
      <c r="AD76">
        <v>8</v>
      </c>
      <c r="AE76">
        <v>1909.64</v>
      </c>
      <c r="AF76" s="24">
        <v>8.5643999999999991</v>
      </c>
      <c r="AG76" s="1">
        <v>45478</v>
      </c>
      <c r="AH76" s="2">
        <v>0.92005787037037035</v>
      </c>
      <c r="AI76">
        <v>0</v>
      </c>
      <c r="AJ76">
        <v>0</v>
      </c>
      <c r="AK76">
        <v>0</v>
      </c>
      <c r="AL76">
        <v>0</v>
      </c>
      <c r="AM76">
        <v>0</v>
      </c>
      <c r="AN76">
        <v>0</v>
      </c>
      <c r="AO76">
        <v>0</v>
      </c>
      <c r="AP76">
        <v>0</v>
      </c>
      <c r="AQ76">
        <v>0</v>
      </c>
      <c r="AR76">
        <v>0</v>
      </c>
      <c r="AS76">
        <v>0</v>
      </c>
      <c r="AT76">
        <v>0</v>
      </c>
      <c r="AU76" s="3">
        <f t="shared" si="57"/>
        <v>8.5663999999999998</v>
      </c>
    </row>
    <row r="77" spans="1:47" x14ac:dyDescent="0.25">
      <c r="A77">
        <v>3</v>
      </c>
      <c r="B77" t="s">
        <v>1</v>
      </c>
      <c r="C77">
        <v>29056</v>
      </c>
      <c r="D77">
        <v>64</v>
      </c>
      <c r="E77">
        <v>2</v>
      </c>
      <c r="F77">
        <v>8</v>
      </c>
      <c r="G77">
        <v>1646.28</v>
      </c>
      <c r="H77" s="3">
        <v>9.9344999999999999</v>
      </c>
      <c r="I77" s="1">
        <v>45479</v>
      </c>
      <c r="J77" s="2">
        <v>0.35334490740740743</v>
      </c>
      <c r="K77">
        <v>0</v>
      </c>
      <c r="L77">
        <v>0</v>
      </c>
      <c r="M77">
        <v>0</v>
      </c>
      <c r="N77">
        <v>0</v>
      </c>
      <c r="O77">
        <v>0</v>
      </c>
      <c r="P77">
        <v>0</v>
      </c>
      <c r="Q77">
        <v>0</v>
      </c>
      <c r="R77">
        <v>0</v>
      </c>
      <c r="S77">
        <v>0</v>
      </c>
      <c r="T77">
        <v>0</v>
      </c>
      <c r="U77">
        <v>0</v>
      </c>
      <c r="V77">
        <v>0</v>
      </c>
      <c r="W77" s="4">
        <f t="shared" si="56"/>
        <v>9.9418199999999999</v>
      </c>
      <c r="Y77">
        <v>3</v>
      </c>
      <c r="Z77" t="s">
        <v>1</v>
      </c>
      <c r="AA77">
        <v>29056</v>
      </c>
      <c r="AB77">
        <v>64</v>
      </c>
      <c r="AC77">
        <v>2</v>
      </c>
      <c r="AD77">
        <v>8</v>
      </c>
      <c r="AU77" s="3">
        <f t="shared" si="57"/>
        <v>8.5663999999999998</v>
      </c>
    </row>
    <row r="78" spans="1:47" x14ac:dyDescent="0.25">
      <c r="A78">
        <v>4</v>
      </c>
      <c r="B78" t="s">
        <v>1</v>
      </c>
      <c r="C78">
        <v>29056</v>
      </c>
      <c r="D78">
        <v>64</v>
      </c>
      <c r="E78">
        <v>2</v>
      </c>
      <c r="F78">
        <v>8</v>
      </c>
      <c r="G78">
        <v>1644.4</v>
      </c>
      <c r="H78" s="3">
        <v>9.9459</v>
      </c>
      <c r="I78" s="1">
        <v>45479</v>
      </c>
      <c r="J78" s="2">
        <v>0.85942129629629627</v>
      </c>
      <c r="K78">
        <v>0</v>
      </c>
      <c r="L78">
        <v>0</v>
      </c>
      <c r="M78">
        <v>0</v>
      </c>
      <c r="N78">
        <v>0</v>
      </c>
      <c r="O78">
        <v>0</v>
      </c>
      <c r="P78">
        <v>0</v>
      </c>
      <c r="Q78">
        <v>0</v>
      </c>
      <c r="R78">
        <v>0</v>
      </c>
      <c r="S78">
        <v>0</v>
      </c>
      <c r="T78">
        <v>0</v>
      </c>
      <c r="U78">
        <v>0</v>
      </c>
      <c r="V78">
        <v>0</v>
      </c>
      <c r="W78" s="4">
        <f t="shared" si="56"/>
        <v>9.9418199999999999</v>
      </c>
      <c r="Y78">
        <v>4</v>
      </c>
      <c r="Z78" t="s">
        <v>1</v>
      </c>
      <c r="AA78">
        <v>29056</v>
      </c>
      <c r="AB78">
        <v>64</v>
      </c>
      <c r="AC78">
        <v>2</v>
      </c>
      <c r="AD78">
        <v>8</v>
      </c>
      <c r="AU78" s="3">
        <f t="shared" si="57"/>
        <v>8.5663999999999998</v>
      </c>
    </row>
    <row r="79" spans="1:47" x14ac:dyDescent="0.25">
      <c r="A79">
        <v>0</v>
      </c>
      <c r="B79" t="s">
        <v>1</v>
      </c>
      <c r="C79">
        <v>25984</v>
      </c>
      <c r="D79">
        <v>64</v>
      </c>
      <c r="E79">
        <v>4</v>
      </c>
      <c r="F79">
        <v>4</v>
      </c>
      <c r="G79">
        <v>1202.2</v>
      </c>
      <c r="H79">
        <v>9.7294</v>
      </c>
      <c r="I79">
        <v>45477</v>
      </c>
      <c r="J79">
        <v>0.67844907407407407</v>
      </c>
      <c r="K79">
        <v>0</v>
      </c>
      <c r="L79">
        <v>0</v>
      </c>
      <c r="M79">
        <v>0</v>
      </c>
      <c r="N79">
        <v>0</v>
      </c>
      <c r="O79">
        <v>0</v>
      </c>
      <c r="P79">
        <v>0</v>
      </c>
      <c r="Q79">
        <v>0</v>
      </c>
      <c r="R79">
        <v>0</v>
      </c>
      <c r="S79">
        <v>0</v>
      </c>
      <c r="T79">
        <v>0</v>
      </c>
      <c r="U79">
        <v>0</v>
      </c>
      <c r="V79">
        <v>0</v>
      </c>
      <c r="W79" s="4">
        <f t="shared" ref="W79" si="58">AVERAGE(H79:H83)</f>
        <v>9.7233200000000011</v>
      </c>
      <c r="Y79">
        <v>0</v>
      </c>
      <c r="Z79" t="s">
        <v>1</v>
      </c>
      <c r="AA79">
        <v>25984</v>
      </c>
      <c r="AB79">
        <v>64</v>
      </c>
      <c r="AC79">
        <v>4</v>
      </c>
      <c r="AD79">
        <v>4</v>
      </c>
      <c r="AE79">
        <v>1339.75</v>
      </c>
      <c r="AF79" s="24">
        <v>8.7306000000000008</v>
      </c>
      <c r="AG79" s="1">
        <v>45477</v>
      </c>
      <c r="AH79" s="2">
        <v>0.69136574074074075</v>
      </c>
      <c r="AI79">
        <v>0</v>
      </c>
      <c r="AJ79">
        <v>0</v>
      </c>
      <c r="AK79">
        <v>0</v>
      </c>
      <c r="AL79">
        <v>0</v>
      </c>
      <c r="AM79">
        <v>0</v>
      </c>
      <c r="AN79">
        <v>0</v>
      </c>
      <c r="AO79">
        <v>0</v>
      </c>
      <c r="AP79">
        <v>0</v>
      </c>
      <c r="AQ79">
        <v>0</v>
      </c>
      <c r="AR79">
        <v>0</v>
      </c>
      <c r="AS79">
        <v>0</v>
      </c>
      <c r="AT79">
        <v>0</v>
      </c>
      <c r="AU79" s="3">
        <f t="shared" ref="AU79" si="59">AVERAGE(AF79:AF83)</f>
        <v>8.7292500000000004</v>
      </c>
    </row>
    <row r="80" spans="1:47" x14ac:dyDescent="0.25">
      <c r="A80">
        <v>1</v>
      </c>
      <c r="B80" t="s">
        <v>1</v>
      </c>
      <c r="C80">
        <v>25984</v>
      </c>
      <c r="D80">
        <v>64</v>
      </c>
      <c r="E80">
        <v>4</v>
      </c>
      <c r="F80">
        <v>4</v>
      </c>
      <c r="G80">
        <v>1203.4000000000001</v>
      </c>
      <c r="H80" s="3">
        <v>9.7196999999999996</v>
      </c>
      <c r="I80" s="1">
        <v>45478</v>
      </c>
      <c r="J80" s="2">
        <v>0.18444444444444444</v>
      </c>
      <c r="K80">
        <v>0</v>
      </c>
      <c r="L80">
        <v>0</v>
      </c>
      <c r="M80">
        <v>0</v>
      </c>
      <c r="N80">
        <v>0</v>
      </c>
      <c r="O80">
        <v>0</v>
      </c>
      <c r="P80">
        <v>0</v>
      </c>
      <c r="Q80">
        <v>0</v>
      </c>
      <c r="R80">
        <v>0</v>
      </c>
      <c r="S80">
        <v>0</v>
      </c>
      <c r="T80">
        <v>0</v>
      </c>
      <c r="U80">
        <v>0</v>
      </c>
      <c r="V80">
        <v>0</v>
      </c>
      <c r="W80" s="4">
        <f t="shared" ref="W80" si="60">W79</f>
        <v>9.7233200000000011</v>
      </c>
      <c r="Y80">
        <v>1</v>
      </c>
      <c r="Z80" t="s">
        <v>1</v>
      </c>
      <c r="AA80">
        <v>25984</v>
      </c>
      <c r="AB80">
        <v>64</v>
      </c>
      <c r="AC80">
        <v>4</v>
      </c>
      <c r="AD80">
        <v>4</v>
      </c>
      <c r="AE80">
        <v>1339.43</v>
      </c>
      <c r="AF80" s="24">
        <v>8.7325999999999997</v>
      </c>
      <c r="AG80" s="1">
        <v>45478</v>
      </c>
      <c r="AH80" s="2">
        <v>0.2232638888888889</v>
      </c>
      <c r="AI80">
        <v>0</v>
      </c>
      <c r="AJ80">
        <v>0</v>
      </c>
      <c r="AK80">
        <v>0</v>
      </c>
      <c r="AL80">
        <v>0</v>
      </c>
      <c r="AM80">
        <v>0</v>
      </c>
      <c r="AN80">
        <v>0</v>
      </c>
      <c r="AO80">
        <v>0</v>
      </c>
      <c r="AP80">
        <v>0</v>
      </c>
      <c r="AQ80">
        <v>0</v>
      </c>
      <c r="AR80">
        <v>0</v>
      </c>
      <c r="AS80">
        <v>0</v>
      </c>
      <c r="AT80">
        <v>0</v>
      </c>
      <c r="AU80" s="3">
        <f t="shared" ref="AU80" si="61">AU79</f>
        <v>8.7292500000000004</v>
      </c>
    </row>
    <row r="81" spans="1:47" x14ac:dyDescent="0.25">
      <c r="A81">
        <v>2</v>
      </c>
      <c r="B81" t="s">
        <v>1</v>
      </c>
      <c r="C81">
        <v>25984</v>
      </c>
      <c r="D81">
        <v>64</v>
      </c>
      <c r="E81">
        <v>4</v>
      </c>
      <c r="F81">
        <v>4</v>
      </c>
      <c r="G81">
        <v>1204.22</v>
      </c>
      <c r="H81" s="3">
        <v>9.7131000000000007</v>
      </c>
      <c r="I81" s="1">
        <v>45478</v>
      </c>
      <c r="J81" s="2">
        <v>0.6905324074074074</v>
      </c>
      <c r="K81">
        <v>0</v>
      </c>
      <c r="L81">
        <v>0</v>
      </c>
      <c r="M81">
        <v>0</v>
      </c>
      <c r="N81">
        <v>0</v>
      </c>
      <c r="O81">
        <v>0</v>
      </c>
      <c r="P81">
        <v>0</v>
      </c>
      <c r="Q81">
        <v>0</v>
      </c>
      <c r="R81">
        <v>0</v>
      </c>
      <c r="S81">
        <v>0</v>
      </c>
      <c r="T81">
        <v>0</v>
      </c>
      <c r="U81">
        <v>0</v>
      </c>
      <c r="V81">
        <v>0</v>
      </c>
      <c r="W81" s="4">
        <f t="shared" si="56"/>
        <v>9.7233200000000011</v>
      </c>
      <c r="Y81">
        <v>2</v>
      </c>
      <c r="Z81" t="s">
        <v>1</v>
      </c>
      <c r="AA81">
        <v>25984</v>
      </c>
      <c r="AB81">
        <v>64</v>
      </c>
      <c r="AC81">
        <v>4</v>
      </c>
      <c r="AD81">
        <v>4</v>
      </c>
      <c r="AE81">
        <v>1340.4</v>
      </c>
      <c r="AF81" s="24">
        <v>8.7263000000000002</v>
      </c>
      <c r="AG81" s="1">
        <v>45478</v>
      </c>
      <c r="AH81" s="2">
        <v>0.75523148148148145</v>
      </c>
      <c r="AI81">
        <v>0</v>
      </c>
      <c r="AJ81">
        <v>0</v>
      </c>
      <c r="AK81">
        <v>0</v>
      </c>
      <c r="AL81">
        <v>0</v>
      </c>
      <c r="AM81">
        <v>0</v>
      </c>
      <c r="AN81">
        <v>0</v>
      </c>
      <c r="AO81">
        <v>0</v>
      </c>
      <c r="AP81">
        <v>0</v>
      </c>
      <c r="AQ81">
        <v>0</v>
      </c>
      <c r="AR81">
        <v>0</v>
      </c>
      <c r="AS81">
        <v>0</v>
      </c>
      <c r="AT81">
        <v>0</v>
      </c>
      <c r="AU81" s="3">
        <f t="shared" si="57"/>
        <v>8.7292500000000004</v>
      </c>
    </row>
    <row r="82" spans="1:47" x14ac:dyDescent="0.25">
      <c r="A82">
        <v>3</v>
      </c>
      <c r="B82" t="s">
        <v>1</v>
      </c>
      <c r="C82">
        <v>25984</v>
      </c>
      <c r="D82">
        <v>64</v>
      </c>
      <c r="E82">
        <v>4</v>
      </c>
      <c r="F82">
        <v>4</v>
      </c>
      <c r="G82">
        <v>1204.03</v>
      </c>
      <c r="H82" s="3">
        <v>9.7147000000000006</v>
      </c>
      <c r="I82" s="1">
        <v>45479</v>
      </c>
      <c r="J82" s="2">
        <v>0.19673611111111111</v>
      </c>
      <c r="K82">
        <v>0</v>
      </c>
      <c r="L82">
        <v>0</v>
      </c>
      <c r="M82">
        <v>0</v>
      </c>
      <c r="N82">
        <v>0</v>
      </c>
      <c r="O82">
        <v>0</v>
      </c>
      <c r="P82">
        <v>0</v>
      </c>
      <c r="Q82">
        <v>0</v>
      </c>
      <c r="R82">
        <v>0</v>
      </c>
      <c r="S82">
        <v>0</v>
      </c>
      <c r="T82">
        <v>0</v>
      </c>
      <c r="U82">
        <v>0</v>
      </c>
      <c r="V82">
        <v>0</v>
      </c>
      <c r="W82" s="4">
        <f t="shared" si="56"/>
        <v>9.7233200000000011</v>
      </c>
      <c r="Y82">
        <v>3</v>
      </c>
      <c r="Z82" t="s">
        <v>1</v>
      </c>
      <c r="AA82">
        <v>25984</v>
      </c>
      <c r="AB82">
        <v>64</v>
      </c>
      <c r="AC82">
        <v>4</v>
      </c>
      <c r="AD82">
        <v>4</v>
      </c>
      <c r="AE82">
        <v>1340.21</v>
      </c>
      <c r="AF82" s="24">
        <v>8.7274999999999991</v>
      </c>
      <c r="AG82" s="1">
        <v>45479</v>
      </c>
      <c r="AH82" s="2">
        <v>0.28724537037037035</v>
      </c>
      <c r="AI82">
        <v>0</v>
      </c>
      <c r="AJ82">
        <v>0</v>
      </c>
      <c r="AK82">
        <v>0</v>
      </c>
      <c r="AL82">
        <v>0</v>
      </c>
      <c r="AM82">
        <v>0</v>
      </c>
      <c r="AN82">
        <v>0</v>
      </c>
      <c r="AO82">
        <v>0</v>
      </c>
      <c r="AP82">
        <v>0</v>
      </c>
      <c r="AQ82">
        <v>0</v>
      </c>
      <c r="AR82">
        <v>0</v>
      </c>
      <c r="AS82">
        <v>0</v>
      </c>
      <c r="AT82">
        <v>0</v>
      </c>
      <c r="AU82" s="3">
        <f t="shared" si="57"/>
        <v>8.7292500000000004</v>
      </c>
    </row>
    <row r="83" spans="1:47" x14ac:dyDescent="0.25">
      <c r="A83">
        <v>4</v>
      </c>
      <c r="B83" t="s">
        <v>1</v>
      </c>
      <c r="C83">
        <v>25984</v>
      </c>
      <c r="D83">
        <v>64</v>
      </c>
      <c r="E83">
        <v>4</v>
      </c>
      <c r="F83">
        <v>4</v>
      </c>
      <c r="G83">
        <v>1200.93</v>
      </c>
      <c r="H83" s="3">
        <v>9.7396999999999991</v>
      </c>
      <c r="I83" s="1">
        <v>45479</v>
      </c>
      <c r="J83" s="2">
        <v>0.70289351851851856</v>
      </c>
      <c r="K83">
        <v>0</v>
      </c>
      <c r="L83">
        <v>0</v>
      </c>
      <c r="M83">
        <v>0</v>
      </c>
      <c r="N83">
        <v>0</v>
      </c>
      <c r="O83">
        <v>0</v>
      </c>
      <c r="P83">
        <v>0</v>
      </c>
      <c r="Q83">
        <v>0</v>
      </c>
      <c r="R83">
        <v>0</v>
      </c>
      <c r="S83">
        <v>0</v>
      </c>
      <c r="T83">
        <v>0</v>
      </c>
      <c r="U83">
        <v>0</v>
      </c>
      <c r="V83">
        <v>0</v>
      </c>
      <c r="W83" s="4">
        <f t="shared" si="56"/>
        <v>9.7233200000000011</v>
      </c>
      <c r="Y83">
        <v>4</v>
      </c>
      <c r="Z83" t="s">
        <v>1</v>
      </c>
      <c r="AA83">
        <v>25984</v>
      </c>
      <c r="AB83">
        <v>64</v>
      </c>
      <c r="AC83">
        <v>4</v>
      </c>
      <c r="AD83">
        <v>4</v>
      </c>
      <c r="AU83" s="3">
        <f t="shared" si="57"/>
        <v>8.7292500000000004</v>
      </c>
    </row>
    <row r="84" spans="1:47" x14ac:dyDescent="0.25">
      <c r="A84">
        <v>0</v>
      </c>
      <c r="B84" t="s">
        <v>1</v>
      </c>
      <c r="C84">
        <v>27520</v>
      </c>
      <c r="D84">
        <v>64</v>
      </c>
      <c r="E84">
        <v>4</v>
      </c>
      <c r="F84">
        <v>4</v>
      </c>
      <c r="G84">
        <v>1419.18</v>
      </c>
      <c r="H84">
        <v>9.7914999999999992</v>
      </c>
      <c r="I84">
        <v>45477</v>
      </c>
      <c r="J84">
        <v>0.52718750000000003</v>
      </c>
      <c r="K84">
        <v>0</v>
      </c>
      <c r="L84">
        <v>0</v>
      </c>
      <c r="M84">
        <v>0</v>
      </c>
      <c r="N84">
        <v>0</v>
      </c>
      <c r="O84">
        <v>0</v>
      </c>
      <c r="P84">
        <v>0</v>
      </c>
      <c r="Q84">
        <v>0</v>
      </c>
      <c r="R84">
        <v>0</v>
      </c>
      <c r="S84">
        <v>0</v>
      </c>
      <c r="T84">
        <v>0</v>
      </c>
      <c r="U84">
        <v>0</v>
      </c>
      <c r="V84">
        <v>0</v>
      </c>
      <c r="W84" s="4">
        <f t="shared" ref="W84" si="62">AVERAGE(H84:H88)</f>
        <v>9.7839399999999994</v>
      </c>
      <c r="Y84">
        <v>0</v>
      </c>
      <c r="Z84" t="s">
        <v>1</v>
      </c>
      <c r="AA84">
        <v>27520</v>
      </c>
      <c r="AB84">
        <v>64</v>
      </c>
      <c r="AC84">
        <v>4</v>
      </c>
      <c r="AD84">
        <v>4</v>
      </c>
      <c r="AE84">
        <v>1599.7</v>
      </c>
      <c r="AF84" s="24">
        <v>8.6866000000000003</v>
      </c>
      <c r="AG84" s="1">
        <v>45477</v>
      </c>
      <c r="AH84" s="2">
        <v>0.53268518518518515</v>
      </c>
      <c r="AI84">
        <v>0</v>
      </c>
      <c r="AJ84">
        <v>0</v>
      </c>
      <c r="AK84">
        <v>0</v>
      </c>
      <c r="AL84">
        <v>0</v>
      </c>
      <c r="AM84">
        <v>0</v>
      </c>
      <c r="AN84">
        <v>0</v>
      </c>
      <c r="AO84">
        <v>0</v>
      </c>
      <c r="AP84">
        <v>0</v>
      </c>
      <c r="AQ84">
        <v>0</v>
      </c>
      <c r="AR84">
        <v>0</v>
      </c>
      <c r="AS84">
        <v>0</v>
      </c>
      <c r="AT84">
        <v>0</v>
      </c>
      <c r="AU84" s="3">
        <f t="shared" ref="AU84" si="63">AVERAGE(AF84:AF88)</f>
        <v>8.6821000000000002</v>
      </c>
    </row>
    <row r="85" spans="1:47" x14ac:dyDescent="0.25">
      <c r="A85">
        <v>1</v>
      </c>
      <c r="B85" t="s">
        <v>1</v>
      </c>
      <c r="C85">
        <v>27520</v>
      </c>
      <c r="D85">
        <v>64</v>
      </c>
      <c r="E85">
        <v>4</v>
      </c>
      <c r="F85">
        <v>4</v>
      </c>
      <c r="G85">
        <v>1419.65</v>
      </c>
      <c r="H85" s="3">
        <v>9.7883999999999993</v>
      </c>
      <c r="I85" s="1">
        <v>45478</v>
      </c>
      <c r="J85" s="2">
        <v>3.30787037037037E-2</v>
      </c>
      <c r="K85">
        <v>0</v>
      </c>
      <c r="L85">
        <v>0</v>
      </c>
      <c r="M85">
        <v>0</v>
      </c>
      <c r="N85">
        <v>0</v>
      </c>
      <c r="O85">
        <v>0</v>
      </c>
      <c r="P85">
        <v>0</v>
      </c>
      <c r="Q85">
        <v>0</v>
      </c>
      <c r="R85">
        <v>0</v>
      </c>
      <c r="S85">
        <v>0</v>
      </c>
      <c r="T85">
        <v>0</v>
      </c>
      <c r="U85">
        <v>0</v>
      </c>
      <c r="V85">
        <v>0</v>
      </c>
      <c r="W85" s="4">
        <f t="shared" ref="W85" si="64">W84</f>
        <v>9.7839399999999994</v>
      </c>
      <c r="Y85">
        <v>1</v>
      </c>
      <c r="Z85" t="s">
        <v>1</v>
      </c>
      <c r="AA85">
        <v>27520</v>
      </c>
      <c r="AB85">
        <v>64</v>
      </c>
      <c r="AC85">
        <v>4</v>
      </c>
      <c r="AD85">
        <v>4</v>
      </c>
      <c r="AE85">
        <v>1600.77</v>
      </c>
      <c r="AF85" s="24">
        <v>8.6807999999999996</v>
      </c>
      <c r="AG85" s="1">
        <v>45478</v>
      </c>
      <c r="AH85" s="2">
        <v>6.4548611111111112E-2</v>
      </c>
      <c r="AI85">
        <v>0</v>
      </c>
      <c r="AJ85">
        <v>0</v>
      </c>
      <c r="AK85">
        <v>0</v>
      </c>
      <c r="AL85">
        <v>0</v>
      </c>
      <c r="AM85">
        <v>0</v>
      </c>
      <c r="AN85">
        <v>0</v>
      </c>
      <c r="AO85">
        <v>0</v>
      </c>
      <c r="AP85">
        <v>0</v>
      </c>
      <c r="AQ85">
        <v>0</v>
      </c>
      <c r="AR85">
        <v>0</v>
      </c>
      <c r="AS85">
        <v>0</v>
      </c>
      <c r="AT85">
        <v>0</v>
      </c>
      <c r="AU85" s="3">
        <f t="shared" ref="AU85" si="65">AU84</f>
        <v>8.6821000000000002</v>
      </c>
    </row>
    <row r="86" spans="1:47" x14ac:dyDescent="0.25">
      <c r="A86">
        <v>2</v>
      </c>
      <c r="B86" t="s">
        <v>1</v>
      </c>
      <c r="C86">
        <v>27520</v>
      </c>
      <c r="D86">
        <v>64</v>
      </c>
      <c r="E86">
        <v>4</v>
      </c>
      <c r="F86">
        <v>4</v>
      </c>
      <c r="G86">
        <v>1419.9</v>
      </c>
      <c r="H86" s="3">
        <v>9.7866</v>
      </c>
      <c r="I86" s="1">
        <v>45478</v>
      </c>
      <c r="J86" s="2">
        <v>0.53917824074074072</v>
      </c>
      <c r="K86">
        <v>0</v>
      </c>
      <c r="L86">
        <v>0</v>
      </c>
      <c r="M86">
        <v>0</v>
      </c>
      <c r="N86">
        <v>0</v>
      </c>
      <c r="O86">
        <v>0</v>
      </c>
      <c r="P86">
        <v>0</v>
      </c>
      <c r="Q86">
        <v>0</v>
      </c>
      <c r="R86">
        <v>0</v>
      </c>
      <c r="S86">
        <v>0</v>
      </c>
      <c r="T86">
        <v>0</v>
      </c>
      <c r="U86">
        <v>0</v>
      </c>
      <c r="V86">
        <v>0</v>
      </c>
      <c r="W86" s="4">
        <f t="shared" si="56"/>
        <v>9.7839399999999994</v>
      </c>
      <c r="Y86">
        <v>2</v>
      </c>
      <c r="Z86" t="s">
        <v>1</v>
      </c>
      <c r="AA86">
        <v>27520</v>
      </c>
      <c r="AB86">
        <v>64</v>
      </c>
      <c r="AC86">
        <v>4</v>
      </c>
      <c r="AD86">
        <v>4</v>
      </c>
      <c r="AE86">
        <v>1600.99</v>
      </c>
      <c r="AF86" s="24">
        <v>8.6796000000000006</v>
      </c>
      <c r="AG86" s="1">
        <v>45478</v>
      </c>
      <c r="AH86" s="2">
        <v>0.59653935185185181</v>
      </c>
      <c r="AI86">
        <v>0</v>
      </c>
      <c r="AJ86">
        <v>0</v>
      </c>
      <c r="AK86">
        <v>0</v>
      </c>
      <c r="AL86">
        <v>0</v>
      </c>
      <c r="AM86">
        <v>0</v>
      </c>
      <c r="AN86">
        <v>0</v>
      </c>
      <c r="AO86">
        <v>0</v>
      </c>
      <c r="AP86">
        <v>0</v>
      </c>
      <c r="AQ86">
        <v>0</v>
      </c>
      <c r="AR86">
        <v>0</v>
      </c>
      <c r="AS86">
        <v>0</v>
      </c>
      <c r="AT86">
        <v>0</v>
      </c>
      <c r="AU86" s="3">
        <f t="shared" si="57"/>
        <v>8.6821000000000002</v>
      </c>
    </row>
    <row r="87" spans="1:47" x14ac:dyDescent="0.25">
      <c r="A87">
        <v>3</v>
      </c>
      <c r="B87" t="s">
        <v>1</v>
      </c>
      <c r="C87">
        <v>27520</v>
      </c>
      <c r="D87">
        <v>64</v>
      </c>
      <c r="E87">
        <v>4</v>
      </c>
      <c r="F87">
        <v>4</v>
      </c>
      <c r="G87">
        <v>1420.45</v>
      </c>
      <c r="H87" s="3">
        <v>9.7827999999999999</v>
      </c>
      <c r="I87" s="1">
        <v>45479</v>
      </c>
      <c r="J87" s="2">
        <v>4.5335648148148146E-2</v>
      </c>
      <c r="K87">
        <v>0</v>
      </c>
      <c r="L87">
        <v>0</v>
      </c>
      <c r="M87">
        <v>0</v>
      </c>
      <c r="N87">
        <v>0</v>
      </c>
      <c r="O87">
        <v>0</v>
      </c>
      <c r="P87">
        <v>0</v>
      </c>
      <c r="Q87">
        <v>0</v>
      </c>
      <c r="R87">
        <v>0</v>
      </c>
      <c r="S87">
        <v>0</v>
      </c>
      <c r="T87">
        <v>0</v>
      </c>
      <c r="U87">
        <v>0</v>
      </c>
      <c r="V87">
        <v>0</v>
      </c>
      <c r="W87" s="4">
        <f t="shared" si="56"/>
        <v>9.7839399999999994</v>
      </c>
      <c r="Y87">
        <v>3</v>
      </c>
      <c r="Z87" t="s">
        <v>1</v>
      </c>
      <c r="AA87">
        <v>27520</v>
      </c>
      <c r="AB87">
        <v>64</v>
      </c>
      <c r="AC87">
        <v>4</v>
      </c>
      <c r="AD87">
        <v>4</v>
      </c>
      <c r="AE87">
        <v>1600.67</v>
      </c>
      <c r="AF87" s="24">
        <v>8.6814</v>
      </c>
      <c r="AG87" s="1">
        <v>45479</v>
      </c>
      <c r="AH87" s="2">
        <v>0.12847222222222221</v>
      </c>
      <c r="AI87">
        <v>0</v>
      </c>
      <c r="AJ87">
        <v>0</v>
      </c>
      <c r="AK87">
        <v>0</v>
      </c>
      <c r="AL87">
        <v>0</v>
      </c>
      <c r="AM87">
        <v>0</v>
      </c>
      <c r="AN87">
        <v>0</v>
      </c>
      <c r="AO87">
        <v>0</v>
      </c>
      <c r="AP87">
        <v>0</v>
      </c>
      <c r="AQ87">
        <v>0</v>
      </c>
      <c r="AR87">
        <v>0</v>
      </c>
      <c r="AS87">
        <v>0</v>
      </c>
      <c r="AT87">
        <v>0</v>
      </c>
      <c r="AU87" s="3">
        <f t="shared" si="57"/>
        <v>8.6821000000000002</v>
      </c>
    </row>
    <row r="88" spans="1:47" x14ac:dyDescent="0.25">
      <c r="A88">
        <v>4</v>
      </c>
      <c r="B88" t="s">
        <v>1</v>
      </c>
      <c r="C88">
        <v>27520</v>
      </c>
      <c r="D88">
        <v>64</v>
      </c>
      <c r="E88">
        <v>4</v>
      </c>
      <c r="F88">
        <v>4</v>
      </c>
      <c r="G88">
        <v>1422.25</v>
      </c>
      <c r="H88" s="3">
        <v>9.7704000000000004</v>
      </c>
      <c r="I88" s="1">
        <v>45479</v>
      </c>
      <c r="J88" s="2">
        <v>0.55157407407407411</v>
      </c>
      <c r="K88">
        <v>0</v>
      </c>
      <c r="L88">
        <v>0</v>
      </c>
      <c r="M88">
        <v>0</v>
      </c>
      <c r="N88">
        <v>0</v>
      </c>
      <c r="O88">
        <v>0</v>
      </c>
      <c r="P88">
        <v>0</v>
      </c>
      <c r="Q88">
        <v>0</v>
      </c>
      <c r="R88">
        <v>0</v>
      </c>
      <c r="S88">
        <v>0</v>
      </c>
      <c r="T88">
        <v>0</v>
      </c>
      <c r="U88">
        <v>0</v>
      </c>
      <c r="V88">
        <v>0</v>
      </c>
      <c r="W88" s="4">
        <f t="shared" si="56"/>
        <v>9.7839399999999994</v>
      </c>
      <c r="Y88">
        <v>4</v>
      </c>
      <c r="Z88" t="s">
        <v>1</v>
      </c>
      <c r="AA88">
        <v>27520</v>
      </c>
      <c r="AB88">
        <v>64</v>
      </c>
      <c r="AC88">
        <v>4</v>
      </c>
      <c r="AD88">
        <v>4</v>
      </c>
      <c r="AU88" s="3">
        <f t="shared" si="57"/>
        <v>8.6821000000000002</v>
      </c>
    </row>
    <row r="89" spans="1:47" x14ac:dyDescent="0.25">
      <c r="A89">
        <v>0</v>
      </c>
      <c r="B89" t="s">
        <v>1</v>
      </c>
      <c r="C89">
        <v>29056</v>
      </c>
      <c r="D89">
        <v>64</v>
      </c>
      <c r="E89">
        <v>4</v>
      </c>
      <c r="F89">
        <v>4</v>
      </c>
      <c r="G89">
        <v>1660.76</v>
      </c>
      <c r="H89" s="3">
        <v>9.8478999999999992</v>
      </c>
      <c r="I89" s="1">
        <v>45477</v>
      </c>
      <c r="J89" s="2">
        <v>0.85574074074074069</v>
      </c>
      <c r="K89">
        <v>0</v>
      </c>
      <c r="L89">
        <v>0</v>
      </c>
      <c r="M89">
        <v>0</v>
      </c>
      <c r="N89">
        <v>0</v>
      </c>
      <c r="O89">
        <v>0</v>
      </c>
      <c r="P89">
        <v>0</v>
      </c>
      <c r="Q89">
        <v>0</v>
      </c>
      <c r="R89">
        <v>0</v>
      </c>
      <c r="S89">
        <v>0</v>
      </c>
      <c r="T89">
        <v>0</v>
      </c>
      <c r="U89">
        <v>0</v>
      </c>
      <c r="V89">
        <v>0</v>
      </c>
      <c r="W89" s="4">
        <f t="shared" ref="W89" si="66">AVERAGE(H89:H93)</f>
        <v>9.8408800000000003</v>
      </c>
      <c r="Y89">
        <v>0</v>
      </c>
      <c r="Z89" t="s">
        <v>1</v>
      </c>
      <c r="AA89">
        <v>29056</v>
      </c>
      <c r="AB89">
        <v>64</v>
      </c>
      <c r="AC89">
        <v>4</v>
      </c>
      <c r="AD89">
        <v>4</v>
      </c>
      <c r="AE89">
        <v>1854.39</v>
      </c>
      <c r="AF89" s="24">
        <v>8.8195999999999994</v>
      </c>
      <c r="AG89" s="1">
        <v>45477</v>
      </c>
      <c r="AH89" s="2">
        <v>0.87798611111111113</v>
      </c>
      <c r="AI89">
        <v>0</v>
      </c>
      <c r="AJ89">
        <v>0</v>
      </c>
      <c r="AK89">
        <v>0</v>
      </c>
      <c r="AL89">
        <v>0</v>
      </c>
      <c r="AM89">
        <v>0</v>
      </c>
      <c r="AN89">
        <v>0</v>
      </c>
      <c r="AO89">
        <v>0</v>
      </c>
      <c r="AP89">
        <v>0</v>
      </c>
      <c r="AQ89">
        <v>0</v>
      </c>
      <c r="AR89">
        <v>0</v>
      </c>
      <c r="AS89">
        <v>0</v>
      </c>
      <c r="AT89">
        <v>0</v>
      </c>
      <c r="AU89" s="3">
        <f t="shared" ref="AU89" si="67">AVERAGE(AF89:AF93)</f>
        <v>8.8155666666666672</v>
      </c>
    </row>
    <row r="90" spans="1:47" x14ac:dyDescent="0.25">
      <c r="A90">
        <v>1</v>
      </c>
      <c r="B90" t="s">
        <v>1</v>
      </c>
      <c r="C90">
        <v>29056</v>
      </c>
      <c r="D90">
        <v>64</v>
      </c>
      <c r="E90">
        <v>4</v>
      </c>
      <c r="F90">
        <v>4</v>
      </c>
      <c r="G90">
        <v>1663.75</v>
      </c>
      <c r="H90" s="3">
        <v>9.8301999999999996</v>
      </c>
      <c r="I90" s="1">
        <v>45478</v>
      </c>
      <c r="J90" s="2">
        <v>0.36192129629629627</v>
      </c>
      <c r="K90">
        <v>0</v>
      </c>
      <c r="L90">
        <v>0</v>
      </c>
      <c r="M90">
        <v>0</v>
      </c>
      <c r="N90">
        <v>0</v>
      </c>
      <c r="O90">
        <v>0</v>
      </c>
      <c r="P90">
        <v>0</v>
      </c>
      <c r="Q90">
        <v>0</v>
      </c>
      <c r="R90">
        <v>0</v>
      </c>
      <c r="S90">
        <v>0</v>
      </c>
      <c r="T90">
        <v>0</v>
      </c>
      <c r="U90">
        <v>0</v>
      </c>
      <c r="V90">
        <v>0</v>
      </c>
      <c r="W90" s="4">
        <f t="shared" ref="W90" si="68">W89</f>
        <v>9.8408800000000003</v>
      </c>
      <c r="Y90">
        <v>1</v>
      </c>
      <c r="Z90" t="s">
        <v>1</v>
      </c>
      <c r="AA90">
        <v>29056</v>
      </c>
      <c r="AB90">
        <v>64</v>
      </c>
      <c r="AC90">
        <v>4</v>
      </c>
      <c r="AD90">
        <v>4</v>
      </c>
      <c r="AE90">
        <v>1855.38</v>
      </c>
      <c r="AF90" s="24">
        <v>8.8148999999999997</v>
      </c>
      <c r="AG90" s="1">
        <v>45478</v>
      </c>
      <c r="AH90" s="2">
        <v>0.4099652777777778</v>
      </c>
      <c r="AI90">
        <v>0</v>
      </c>
      <c r="AJ90">
        <v>0</v>
      </c>
      <c r="AK90">
        <v>0</v>
      </c>
      <c r="AL90">
        <v>0</v>
      </c>
      <c r="AM90">
        <v>0</v>
      </c>
      <c r="AN90">
        <v>0</v>
      </c>
      <c r="AO90">
        <v>0</v>
      </c>
      <c r="AP90">
        <v>0</v>
      </c>
      <c r="AQ90">
        <v>0</v>
      </c>
      <c r="AR90">
        <v>0</v>
      </c>
      <c r="AS90">
        <v>0</v>
      </c>
      <c r="AT90">
        <v>0</v>
      </c>
      <c r="AU90" s="3">
        <f t="shared" ref="AU90" si="69">AU89</f>
        <v>8.8155666666666672</v>
      </c>
    </row>
    <row r="91" spans="1:47" x14ac:dyDescent="0.25">
      <c r="A91">
        <v>2</v>
      </c>
      <c r="B91" t="s">
        <v>1</v>
      </c>
      <c r="C91">
        <v>29056</v>
      </c>
      <c r="D91">
        <v>64</v>
      </c>
      <c r="E91">
        <v>4</v>
      </c>
      <c r="F91">
        <v>4</v>
      </c>
      <c r="G91">
        <v>1663.03</v>
      </c>
      <c r="H91" s="3">
        <v>9.8345000000000002</v>
      </c>
      <c r="I91" s="1">
        <v>45478</v>
      </c>
      <c r="J91" s="2">
        <v>0.86802083333333335</v>
      </c>
      <c r="K91">
        <v>0</v>
      </c>
      <c r="L91">
        <v>0</v>
      </c>
      <c r="M91">
        <v>0</v>
      </c>
      <c r="N91">
        <v>0</v>
      </c>
      <c r="O91">
        <v>0</v>
      </c>
      <c r="P91">
        <v>0</v>
      </c>
      <c r="Q91">
        <v>0</v>
      </c>
      <c r="R91">
        <v>0</v>
      </c>
      <c r="S91">
        <v>0</v>
      </c>
      <c r="T91">
        <v>0</v>
      </c>
      <c r="U91">
        <v>0</v>
      </c>
      <c r="V91">
        <v>0</v>
      </c>
      <c r="W91" s="4">
        <f t="shared" si="56"/>
        <v>9.8408800000000003</v>
      </c>
      <c r="Y91">
        <v>2</v>
      </c>
      <c r="Z91" t="s">
        <v>1</v>
      </c>
      <c r="AA91">
        <v>29056</v>
      </c>
      <c r="AB91">
        <v>64</v>
      </c>
      <c r="AC91">
        <v>4</v>
      </c>
      <c r="AD91">
        <v>4</v>
      </c>
      <c r="AE91">
        <v>1855.94</v>
      </c>
      <c r="AF91" s="24">
        <v>8.8122000000000007</v>
      </c>
      <c r="AG91" s="1">
        <v>45478</v>
      </c>
      <c r="AH91" s="2">
        <v>0.94193287037037032</v>
      </c>
      <c r="AI91">
        <v>0</v>
      </c>
      <c r="AJ91">
        <v>0</v>
      </c>
      <c r="AK91">
        <v>0</v>
      </c>
      <c r="AL91">
        <v>0</v>
      </c>
      <c r="AM91">
        <v>0</v>
      </c>
      <c r="AN91">
        <v>0</v>
      </c>
      <c r="AO91">
        <v>0</v>
      </c>
      <c r="AP91">
        <v>0</v>
      </c>
      <c r="AQ91">
        <v>0</v>
      </c>
      <c r="AR91">
        <v>0</v>
      </c>
      <c r="AS91">
        <v>0</v>
      </c>
      <c r="AT91">
        <v>0</v>
      </c>
      <c r="AU91" s="3">
        <f t="shared" si="57"/>
        <v>8.8155666666666672</v>
      </c>
    </row>
    <row r="92" spans="1:47" x14ac:dyDescent="0.25">
      <c r="A92">
        <v>3</v>
      </c>
      <c r="B92" t="s">
        <v>1</v>
      </c>
      <c r="C92">
        <v>29056</v>
      </c>
      <c r="D92">
        <v>64</v>
      </c>
      <c r="E92">
        <v>4</v>
      </c>
      <c r="F92">
        <v>4</v>
      </c>
      <c r="G92">
        <v>1660.44</v>
      </c>
      <c r="H92" s="3">
        <v>9.8498000000000001</v>
      </c>
      <c r="I92" s="1">
        <v>45479</v>
      </c>
      <c r="J92" s="2">
        <v>0.3742476851851852</v>
      </c>
      <c r="K92">
        <v>0</v>
      </c>
      <c r="L92">
        <v>0</v>
      </c>
      <c r="M92">
        <v>0</v>
      </c>
      <c r="N92">
        <v>0</v>
      </c>
      <c r="O92">
        <v>0</v>
      </c>
      <c r="P92">
        <v>0</v>
      </c>
      <c r="Q92">
        <v>0</v>
      </c>
      <c r="R92">
        <v>0</v>
      </c>
      <c r="S92">
        <v>0</v>
      </c>
      <c r="T92">
        <v>0</v>
      </c>
      <c r="U92">
        <v>0</v>
      </c>
      <c r="V92">
        <v>0</v>
      </c>
      <c r="W92" s="4">
        <f t="shared" si="56"/>
        <v>9.8408800000000003</v>
      </c>
      <c r="Y92">
        <v>3</v>
      </c>
      <c r="Z92" t="s">
        <v>1</v>
      </c>
      <c r="AA92">
        <v>29056</v>
      </c>
      <c r="AB92">
        <v>64</v>
      </c>
      <c r="AC92">
        <v>4</v>
      </c>
      <c r="AD92">
        <v>4</v>
      </c>
      <c r="AU92" s="3">
        <f t="shared" si="57"/>
        <v>8.8155666666666672</v>
      </c>
    </row>
    <row r="93" spans="1:47" x14ac:dyDescent="0.25">
      <c r="A93">
        <v>4</v>
      </c>
      <c r="B93" t="s">
        <v>1</v>
      </c>
      <c r="C93">
        <v>29056</v>
      </c>
      <c r="D93">
        <v>64</v>
      </c>
      <c r="E93">
        <v>4</v>
      </c>
      <c r="F93">
        <v>4</v>
      </c>
      <c r="G93">
        <v>1661.75</v>
      </c>
      <c r="H93" s="3">
        <v>9.8420000000000005</v>
      </c>
      <c r="I93" s="1">
        <v>45479</v>
      </c>
      <c r="J93" s="2">
        <v>0.88032407407407409</v>
      </c>
      <c r="K93">
        <v>0</v>
      </c>
      <c r="L93">
        <v>0</v>
      </c>
      <c r="M93">
        <v>0</v>
      </c>
      <c r="N93">
        <v>0</v>
      </c>
      <c r="O93">
        <v>0</v>
      </c>
      <c r="P93">
        <v>0</v>
      </c>
      <c r="Q93">
        <v>0</v>
      </c>
      <c r="R93">
        <v>0</v>
      </c>
      <c r="S93">
        <v>0</v>
      </c>
      <c r="T93">
        <v>0</v>
      </c>
      <c r="U93">
        <v>0</v>
      </c>
      <c r="V93">
        <v>0</v>
      </c>
      <c r="W93" s="4">
        <f t="shared" si="56"/>
        <v>9.8408800000000003</v>
      </c>
      <c r="Y93">
        <v>4</v>
      </c>
      <c r="Z93" t="s">
        <v>1</v>
      </c>
      <c r="AA93">
        <v>29056</v>
      </c>
      <c r="AB93">
        <v>64</v>
      </c>
      <c r="AC93">
        <v>4</v>
      </c>
      <c r="AD93">
        <v>4</v>
      </c>
      <c r="AU93" s="3">
        <f t="shared" si="57"/>
        <v>8.8155666666666672</v>
      </c>
    </row>
    <row r="94" spans="1:47" x14ac:dyDescent="0.25">
      <c r="A94">
        <v>0</v>
      </c>
      <c r="B94" t="s">
        <v>1</v>
      </c>
      <c r="C94">
        <v>25920</v>
      </c>
      <c r="D94">
        <v>96</v>
      </c>
      <c r="E94">
        <v>1</v>
      </c>
      <c r="F94">
        <v>16</v>
      </c>
      <c r="G94">
        <v>1232.6400000000001</v>
      </c>
      <c r="H94" s="3">
        <v>9.4192</v>
      </c>
      <c r="I94" s="1">
        <v>45319</v>
      </c>
      <c r="J94" s="2">
        <v>0.69664351851851858</v>
      </c>
      <c r="K94">
        <v>0</v>
      </c>
      <c r="L94">
        <v>0</v>
      </c>
      <c r="M94">
        <v>0</v>
      </c>
      <c r="N94">
        <v>0</v>
      </c>
      <c r="O94">
        <v>0</v>
      </c>
      <c r="P94">
        <v>0</v>
      </c>
      <c r="Q94">
        <v>0</v>
      </c>
      <c r="R94">
        <v>0</v>
      </c>
      <c r="S94">
        <v>0</v>
      </c>
      <c r="T94">
        <v>0</v>
      </c>
      <c r="U94">
        <v>0</v>
      </c>
      <c r="V94">
        <v>0</v>
      </c>
      <c r="W94" s="4">
        <f t="shared" ref="W94" si="70">AVERAGE(H94:H98)</f>
        <v>9.3758999999999997</v>
      </c>
      <c r="Y94">
        <v>0</v>
      </c>
      <c r="Z94" t="s">
        <v>1</v>
      </c>
      <c r="AA94">
        <v>25920</v>
      </c>
      <c r="AB94">
        <v>96</v>
      </c>
      <c r="AC94">
        <v>1</v>
      </c>
      <c r="AD94">
        <v>16</v>
      </c>
      <c r="AE94">
        <v>1390.76</v>
      </c>
      <c r="AF94" s="3">
        <v>8.3483999999999998</v>
      </c>
      <c r="AG94" s="1">
        <v>45324</v>
      </c>
      <c r="AH94" s="2">
        <v>0.37481481481481477</v>
      </c>
      <c r="AI94">
        <v>0</v>
      </c>
      <c r="AJ94">
        <v>0</v>
      </c>
      <c r="AK94">
        <v>0</v>
      </c>
      <c r="AL94">
        <v>0</v>
      </c>
      <c r="AM94">
        <v>0</v>
      </c>
      <c r="AN94">
        <v>0</v>
      </c>
      <c r="AO94">
        <v>0</v>
      </c>
      <c r="AP94">
        <v>0</v>
      </c>
      <c r="AQ94">
        <v>0</v>
      </c>
      <c r="AR94">
        <v>0</v>
      </c>
      <c r="AS94">
        <v>0</v>
      </c>
      <c r="AT94">
        <v>0</v>
      </c>
      <c r="AU94" s="3">
        <f t="shared" ref="AU94" si="71">AVERAGE(AF94:AF98)</f>
        <v>8.3480600000000003</v>
      </c>
    </row>
    <row r="95" spans="1:47" x14ac:dyDescent="0.25">
      <c r="A95">
        <v>1</v>
      </c>
      <c r="B95" t="s">
        <v>1</v>
      </c>
      <c r="C95">
        <v>25920</v>
      </c>
      <c r="D95">
        <v>96</v>
      </c>
      <c r="E95">
        <v>1</v>
      </c>
      <c r="F95">
        <v>16</v>
      </c>
      <c r="G95">
        <v>1233.51</v>
      </c>
      <c r="H95" s="3">
        <v>9.4124999999999996</v>
      </c>
      <c r="I95" s="1">
        <v>45320</v>
      </c>
      <c r="J95" s="2">
        <v>0.53781250000000003</v>
      </c>
      <c r="K95">
        <v>0</v>
      </c>
      <c r="L95">
        <v>0</v>
      </c>
      <c r="M95">
        <v>0</v>
      </c>
      <c r="N95">
        <v>0</v>
      </c>
      <c r="O95">
        <v>0</v>
      </c>
      <c r="P95">
        <v>0</v>
      </c>
      <c r="Q95">
        <v>0</v>
      </c>
      <c r="R95">
        <v>0</v>
      </c>
      <c r="S95">
        <v>0</v>
      </c>
      <c r="T95">
        <v>0</v>
      </c>
      <c r="U95">
        <v>0</v>
      </c>
      <c r="V95">
        <v>0</v>
      </c>
      <c r="W95" s="4">
        <f t="shared" ref="W95" si="72">W94</f>
        <v>9.3758999999999997</v>
      </c>
      <c r="Y95">
        <v>1</v>
      </c>
      <c r="Z95" t="s">
        <v>1</v>
      </c>
      <c r="AA95">
        <v>25920</v>
      </c>
      <c r="AB95">
        <v>96</v>
      </c>
      <c r="AC95">
        <v>1</v>
      </c>
      <c r="AD95">
        <v>16</v>
      </c>
      <c r="AE95">
        <v>1391.17</v>
      </c>
      <c r="AF95" s="3">
        <v>8.3458000000000006</v>
      </c>
      <c r="AG95" s="1">
        <v>45325</v>
      </c>
      <c r="AH95" s="2">
        <v>0.27770833333333333</v>
      </c>
      <c r="AI95">
        <v>0</v>
      </c>
      <c r="AJ95">
        <v>0</v>
      </c>
      <c r="AK95">
        <v>0</v>
      </c>
      <c r="AL95">
        <v>0</v>
      </c>
      <c r="AM95">
        <v>0</v>
      </c>
      <c r="AN95">
        <v>0</v>
      </c>
      <c r="AO95">
        <v>0</v>
      </c>
      <c r="AP95">
        <v>0</v>
      </c>
      <c r="AQ95">
        <v>0</v>
      </c>
      <c r="AR95">
        <v>0</v>
      </c>
      <c r="AS95">
        <v>0</v>
      </c>
      <c r="AT95">
        <v>0</v>
      </c>
      <c r="AU95" s="3">
        <f t="shared" ref="AU95" si="73">AU94</f>
        <v>8.3480600000000003</v>
      </c>
    </row>
    <row r="96" spans="1:47" x14ac:dyDescent="0.25">
      <c r="A96">
        <v>2</v>
      </c>
      <c r="B96" t="s">
        <v>1</v>
      </c>
      <c r="C96">
        <v>25920</v>
      </c>
      <c r="D96">
        <v>96</v>
      </c>
      <c r="E96">
        <v>1</v>
      </c>
      <c r="F96">
        <v>16</v>
      </c>
      <c r="G96">
        <v>1240.07</v>
      </c>
      <c r="H96" s="3">
        <v>9.3628</v>
      </c>
      <c r="I96" s="1">
        <v>45321</v>
      </c>
      <c r="J96" s="2">
        <v>0.37966435185185188</v>
      </c>
      <c r="K96">
        <v>0</v>
      </c>
      <c r="L96">
        <v>0</v>
      </c>
      <c r="M96">
        <v>0</v>
      </c>
      <c r="N96">
        <v>0</v>
      </c>
      <c r="O96">
        <v>0</v>
      </c>
      <c r="P96">
        <v>0</v>
      </c>
      <c r="Q96">
        <v>0</v>
      </c>
      <c r="R96">
        <v>0</v>
      </c>
      <c r="S96">
        <v>0</v>
      </c>
      <c r="T96">
        <v>0</v>
      </c>
      <c r="U96">
        <v>0</v>
      </c>
      <c r="V96">
        <v>0</v>
      </c>
      <c r="W96" s="4">
        <f t="shared" si="56"/>
        <v>9.3758999999999997</v>
      </c>
      <c r="Y96">
        <v>2</v>
      </c>
      <c r="Z96" t="s">
        <v>1</v>
      </c>
      <c r="AA96">
        <v>25920</v>
      </c>
      <c r="AB96">
        <v>96</v>
      </c>
      <c r="AC96">
        <v>1</v>
      </c>
      <c r="AD96">
        <v>16</v>
      </c>
      <c r="AE96">
        <v>1390.76</v>
      </c>
      <c r="AF96" s="3">
        <v>8.3483000000000001</v>
      </c>
      <c r="AG96" s="1">
        <v>45326</v>
      </c>
      <c r="AH96" s="2">
        <v>0.19796296296296298</v>
      </c>
      <c r="AI96">
        <v>0</v>
      </c>
      <c r="AJ96">
        <v>0</v>
      </c>
      <c r="AK96">
        <v>0</v>
      </c>
      <c r="AL96">
        <v>0</v>
      </c>
      <c r="AM96">
        <v>0</v>
      </c>
      <c r="AN96">
        <v>0</v>
      </c>
      <c r="AO96">
        <v>0</v>
      </c>
      <c r="AP96">
        <v>0</v>
      </c>
      <c r="AQ96">
        <v>0</v>
      </c>
      <c r="AR96">
        <v>0</v>
      </c>
      <c r="AS96">
        <v>0</v>
      </c>
      <c r="AT96">
        <v>0</v>
      </c>
      <c r="AU96" s="3">
        <f t="shared" si="57"/>
        <v>8.3480600000000003</v>
      </c>
    </row>
    <row r="97" spans="1:47" x14ac:dyDescent="0.25">
      <c r="A97">
        <v>3</v>
      </c>
      <c r="B97" t="s">
        <v>1</v>
      </c>
      <c r="C97">
        <v>25920</v>
      </c>
      <c r="D97">
        <v>96</v>
      </c>
      <c r="E97">
        <v>1</v>
      </c>
      <c r="F97">
        <v>16</v>
      </c>
      <c r="G97">
        <v>1240.23</v>
      </c>
      <c r="H97" s="3">
        <v>9.3615999999999993</v>
      </c>
      <c r="I97" s="1">
        <v>45322</v>
      </c>
      <c r="J97" s="2">
        <v>0.22194444444444447</v>
      </c>
      <c r="K97">
        <v>0</v>
      </c>
      <c r="L97">
        <v>0</v>
      </c>
      <c r="M97">
        <v>0</v>
      </c>
      <c r="N97">
        <v>0</v>
      </c>
      <c r="O97">
        <v>0</v>
      </c>
      <c r="P97">
        <v>0</v>
      </c>
      <c r="Q97">
        <v>0</v>
      </c>
      <c r="R97">
        <v>0</v>
      </c>
      <c r="S97">
        <v>0</v>
      </c>
      <c r="T97">
        <v>0</v>
      </c>
      <c r="U97">
        <v>0</v>
      </c>
      <c r="V97">
        <v>0</v>
      </c>
      <c r="W97" s="4">
        <f t="shared" si="56"/>
        <v>9.3758999999999997</v>
      </c>
      <c r="Y97">
        <v>3</v>
      </c>
      <c r="Z97" t="s">
        <v>1</v>
      </c>
      <c r="AA97">
        <v>25920</v>
      </c>
      <c r="AB97">
        <v>96</v>
      </c>
      <c r="AC97">
        <v>1</v>
      </c>
      <c r="AD97">
        <v>16</v>
      </c>
      <c r="AE97">
        <v>1390.4</v>
      </c>
      <c r="AF97" s="3">
        <v>8.3505000000000003</v>
      </c>
      <c r="AG97" s="1">
        <v>45327</v>
      </c>
      <c r="AH97" s="2">
        <v>0.11747685185185186</v>
      </c>
      <c r="AI97">
        <v>0</v>
      </c>
      <c r="AJ97">
        <v>0</v>
      </c>
      <c r="AK97">
        <v>0</v>
      </c>
      <c r="AL97">
        <v>0</v>
      </c>
      <c r="AM97">
        <v>0</v>
      </c>
      <c r="AN97">
        <v>0</v>
      </c>
      <c r="AO97">
        <v>0</v>
      </c>
      <c r="AP97">
        <v>0</v>
      </c>
      <c r="AQ97">
        <v>0</v>
      </c>
      <c r="AR97">
        <v>0</v>
      </c>
      <c r="AS97">
        <v>0</v>
      </c>
      <c r="AT97">
        <v>0</v>
      </c>
      <c r="AU97" s="3">
        <f t="shared" si="57"/>
        <v>8.3480600000000003</v>
      </c>
    </row>
    <row r="98" spans="1:47" x14ac:dyDescent="0.25">
      <c r="A98">
        <v>4</v>
      </c>
      <c r="B98" t="s">
        <v>1</v>
      </c>
      <c r="C98">
        <v>25920</v>
      </c>
      <c r="D98">
        <v>96</v>
      </c>
      <c r="E98">
        <v>1</v>
      </c>
      <c r="F98">
        <v>16</v>
      </c>
      <c r="G98">
        <v>1245.3</v>
      </c>
      <c r="H98" s="3">
        <v>9.3233999999999995</v>
      </c>
      <c r="I98" s="1">
        <v>45323</v>
      </c>
      <c r="J98" s="2">
        <v>6.4282407407407413E-2</v>
      </c>
      <c r="K98">
        <v>0</v>
      </c>
      <c r="L98">
        <v>0</v>
      </c>
      <c r="M98">
        <v>0</v>
      </c>
      <c r="N98">
        <v>0</v>
      </c>
      <c r="O98">
        <v>0</v>
      </c>
      <c r="P98">
        <v>0</v>
      </c>
      <c r="Q98">
        <v>0</v>
      </c>
      <c r="R98">
        <v>0</v>
      </c>
      <c r="S98">
        <v>0</v>
      </c>
      <c r="T98">
        <v>0</v>
      </c>
      <c r="U98">
        <v>0</v>
      </c>
      <c r="V98">
        <v>0</v>
      </c>
      <c r="W98" s="4">
        <f t="shared" si="56"/>
        <v>9.3758999999999997</v>
      </c>
      <c r="Y98">
        <v>4</v>
      </c>
      <c r="Z98" t="s">
        <v>1</v>
      </c>
      <c r="AA98">
        <v>25920</v>
      </c>
      <c r="AB98">
        <v>96</v>
      </c>
      <c r="AC98">
        <v>1</v>
      </c>
      <c r="AD98">
        <v>16</v>
      </c>
      <c r="AE98">
        <v>1390.92</v>
      </c>
      <c r="AF98" s="3">
        <v>8.3473000000000006</v>
      </c>
      <c r="AG98" s="1">
        <v>45328</v>
      </c>
      <c r="AH98" s="2">
        <v>3.7361111111111109E-2</v>
      </c>
      <c r="AI98">
        <v>0</v>
      </c>
      <c r="AJ98">
        <v>0</v>
      </c>
      <c r="AK98">
        <v>0</v>
      </c>
      <c r="AL98">
        <v>0</v>
      </c>
      <c r="AM98">
        <v>0</v>
      </c>
      <c r="AN98">
        <v>0</v>
      </c>
      <c r="AO98">
        <v>0</v>
      </c>
      <c r="AP98">
        <v>0</v>
      </c>
      <c r="AQ98">
        <v>0</v>
      </c>
      <c r="AR98">
        <v>0</v>
      </c>
      <c r="AS98">
        <v>0</v>
      </c>
      <c r="AT98">
        <v>0</v>
      </c>
      <c r="AU98" s="3">
        <f t="shared" si="57"/>
        <v>8.3480600000000003</v>
      </c>
    </row>
    <row r="99" spans="1:47" x14ac:dyDescent="0.25">
      <c r="A99">
        <v>0</v>
      </c>
      <c r="B99" t="s">
        <v>1</v>
      </c>
      <c r="C99">
        <v>27456</v>
      </c>
      <c r="D99">
        <v>96</v>
      </c>
      <c r="E99">
        <v>1</v>
      </c>
      <c r="F99">
        <v>16</v>
      </c>
      <c r="G99">
        <v>1455.17</v>
      </c>
      <c r="H99" s="3">
        <v>9.4829000000000008</v>
      </c>
      <c r="I99" s="1">
        <v>45319</v>
      </c>
      <c r="J99" s="2">
        <v>0.44570601851851849</v>
      </c>
      <c r="K99">
        <v>0</v>
      </c>
      <c r="L99">
        <v>0</v>
      </c>
      <c r="M99">
        <v>0</v>
      </c>
      <c r="N99">
        <v>0</v>
      </c>
      <c r="O99">
        <v>0</v>
      </c>
      <c r="P99">
        <v>0</v>
      </c>
      <c r="Q99">
        <v>0</v>
      </c>
      <c r="R99">
        <v>0</v>
      </c>
      <c r="S99">
        <v>0</v>
      </c>
      <c r="T99">
        <v>0</v>
      </c>
      <c r="U99">
        <v>0</v>
      </c>
      <c r="V99">
        <v>0</v>
      </c>
      <c r="W99" s="4">
        <f t="shared" ref="W99" si="74">AVERAGE(H99:H103)</f>
        <v>9.4773200000000006</v>
      </c>
      <c r="Y99">
        <v>0</v>
      </c>
      <c r="Z99" t="s">
        <v>1</v>
      </c>
      <c r="AA99">
        <v>27456</v>
      </c>
      <c r="AB99">
        <v>96</v>
      </c>
      <c r="AC99">
        <v>1</v>
      </c>
      <c r="AD99">
        <v>16</v>
      </c>
      <c r="AE99">
        <v>1639.97</v>
      </c>
      <c r="AF99" s="3">
        <v>8.4143000000000008</v>
      </c>
      <c r="AG99" s="1">
        <v>45324</v>
      </c>
      <c r="AH99" s="2">
        <v>0.11072916666666667</v>
      </c>
      <c r="AI99">
        <v>0</v>
      </c>
      <c r="AJ99">
        <v>0</v>
      </c>
      <c r="AK99">
        <v>0</v>
      </c>
      <c r="AL99">
        <v>0</v>
      </c>
      <c r="AM99">
        <v>0</v>
      </c>
      <c r="AN99">
        <v>0</v>
      </c>
      <c r="AO99">
        <v>0</v>
      </c>
      <c r="AP99">
        <v>0</v>
      </c>
      <c r="AQ99">
        <v>0</v>
      </c>
      <c r="AR99">
        <v>0</v>
      </c>
      <c r="AS99">
        <v>0</v>
      </c>
      <c r="AT99">
        <v>0</v>
      </c>
      <c r="AU99" s="3">
        <f t="shared" ref="AU99" si="75">AVERAGE(AF99:AF103)</f>
        <v>8.4121600000000001</v>
      </c>
    </row>
    <row r="100" spans="1:47" x14ac:dyDescent="0.25">
      <c r="A100">
        <v>1</v>
      </c>
      <c r="B100" t="s">
        <v>1</v>
      </c>
      <c r="C100">
        <v>27456</v>
      </c>
      <c r="D100">
        <v>96</v>
      </c>
      <c r="E100">
        <v>1</v>
      </c>
      <c r="F100">
        <v>16</v>
      </c>
      <c r="G100">
        <v>1455.99</v>
      </c>
      <c r="H100" s="3">
        <v>9.4776000000000007</v>
      </c>
      <c r="I100" s="1">
        <v>45320</v>
      </c>
      <c r="J100" s="2">
        <v>0.2867824074074074</v>
      </c>
      <c r="K100">
        <v>0</v>
      </c>
      <c r="L100">
        <v>0</v>
      </c>
      <c r="M100">
        <v>0</v>
      </c>
      <c r="N100">
        <v>0</v>
      </c>
      <c r="O100">
        <v>0</v>
      </c>
      <c r="P100">
        <v>0</v>
      </c>
      <c r="Q100">
        <v>0</v>
      </c>
      <c r="R100">
        <v>0</v>
      </c>
      <c r="S100">
        <v>0</v>
      </c>
      <c r="T100">
        <v>0</v>
      </c>
      <c r="U100">
        <v>0</v>
      </c>
      <c r="V100">
        <v>0</v>
      </c>
      <c r="W100" s="4">
        <f t="shared" ref="W100" si="76">W99</f>
        <v>9.4773200000000006</v>
      </c>
      <c r="Y100">
        <v>1</v>
      </c>
      <c r="Z100" t="s">
        <v>1</v>
      </c>
      <c r="AA100">
        <v>27456</v>
      </c>
      <c r="AB100">
        <v>96</v>
      </c>
      <c r="AC100">
        <v>1</v>
      </c>
      <c r="AD100">
        <v>16</v>
      </c>
      <c r="AE100">
        <v>1640.45</v>
      </c>
      <c r="AF100" s="3">
        <v>8.4118999999999993</v>
      </c>
      <c r="AG100" s="1">
        <v>45325</v>
      </c>
      <c r="AH100" s="2">
        <v>3.0555555555555557E-3</v>
      </c>
      <c r="AI100">
        <v>0</v>
      </c>
      <c r="AJ100">
        <v>0</v>
      </c>
      <c r="AK100">
        <v>0</v>
      </c>
      <c r="AL100">
        <v>0</v>
      </c>
      <c r="AM100">
        <v>0</v>
      </c>
      <c r="AN100">
        <v>0</v>
      </c>
      <c r="AO100">
        <v>0</v>
      </c>
      <c r="AP100">
        <v>0</v>
      </c>
      <c r="AQ100">
        <v>0</v>
      </c>
      <c r="AR100">
        <v>0</v>
      </c>
      <c r="AS100">
        <v>0</v>
      </c>
      <c r="AT100">
        <v>0</v>
      </c>
      <c r="AU100" s="3">
        <f t="shared" ref="AU100" si="77">AU99</f>
        <v>8.4121600000000001</v>
      </c>
    </row>
    <row r="101" spans="1:47" x14ac:dyDescent="0.25">
      <c r="A101">
        <v>2</v>
      </c>
      <c r="B101" t="s">
        <v>1</v>
      </c>
      <c r="C101">
        <v>27456</v>
      </c>
      <c r="D101">
        <v>96</v>
      </c>
      <c r="E101">
        <v>1</v>
      </c>
      <c r="F101">
        <v>16</v>
      </c>
      <c r="G101">
        <v>1455.13</v>
      </c>
      <c r="H101" s="3">
        <v>9.4832000000000001</v>
      </c>
      <c r="I101" s="1">
        <v>45321</v>
      </c>
      <c r="J101" s="2">
        <v>0.12828703703703703</v>
      </c>
      <c r="K101">
        <v>0</v>
      </c>
      <c r="L101">
        <v>0</v>
      </c>
      <c r="M101">
        <v>0</v>
      </c>
      <c r="N101">
        <v>0</v>
      </c>
      <c r="O101">
        <v>0</v>
      </c>
      <c r="P101">
        <v>0</v>
      </c>
      <c r="Q101">
        <v>0</v>
      </c>
      <c r="R101">
        <v>0</v>
      </c>
      <c r="S101">
        <v>0</v>
      </c>
      <c r="T101">
        <v>0</v>
      </c>
      <c r="U101">
        <v>0</v>
      </c>
      <c r="V101">
        <v>0</v>
      </c>
      <c r="W101" s="4">
        <f t="shared" si="56"/>
        <v>9.4773200000000006</v>
      </c>
      <c r="Y101">
        <v>2</v>
      </c>
      <c r="Z101" t="s">
        <v>1</v>
      </c>
      <c r="AA101">
        <v>27456</v>
      </c>
      <c r="AB101">
        <v>96</v>
      </c>
      <c r="AC101">
        <v>1</v>
      </c>
      <c r="AD101">
        <v>16</v>
      </c>
      <c r="AE101">
        <v>1639.76</v>
      </c>
      <c r="AF101" s="3">
        <v>8.4154</v>
      </c>
      <c r="AG101" s="1">
        <v>45325</v>
      </c>
      <c r="AH101" s="2">
        <v>0.9229398148148148</v>
      </c>
      <c r="AI101">
        <v>0</v>
      </c>
      <c r="AJ101">
        <v>0</v>
      </c>
      <c r="AK101">
        <v>0</v>
      </c>
      <c r="AL101">
        <v>0</v>
      </c>
      <c r="AM101">
        <v>0</v>
      </c>
      <c r="AN101">
        <v>0</v>
      </c>
      <c r="AO101">
        <v>0</v>
      </c>
      <c r="AP101">
        <v>0</v>
      </c>
      <c r="AQ101">
        <v>0</v>
      </c>
      <c r="AR101">
        <v>0</v>
      </c>
      <c r="AS101">
        <v>0</v>
      </c>
      <c r="AT101">
        <v>0</v>
      </c>
      <c r="AU101" s="3">
        <f t="shared" si="57"/>
        <v>8.4121600000000001</v>
      </c>
    </row>
    <row r="102" spans="1:47" x14ac:dyDescent="0.25">
      <c r="A102">
        <v>3</v>
      </c>
      <c r="B102" t="s">
        <v>1</v>
      </c>
      <c r="C102">
        <v>27456</v>
      </c>
      <c r="D102">
        <v>96</v>
      </c>
      <c r="E102">
        <v>1</v>
      </c>
      <c r="F102">
        <v>16</v>
      </c>
      <c r="G102">
        <v>1455.96</v>
      </c>
      <c r="H102" s="3">
        <v>9.4778000000000002</v>
      </c>
      <c r="I102" s="1">
        <v>45321</v>
      </c>
      <c r="J102" s="2">
        <v>0.97039351851851852</v>
      </c>
      <c r="K102">
        <v>0</v>
      </c>
      <c r="L102">
        <v>0</v>
      </c>
      <c r="M102">
        <v>0</v>
      </c>
      <c r="N102">
        <v>0</v>
      </c>
      <c r="O102">
        <v>0</v>
      </c>
      <c r="P102">
        <v>0</v>
      </c>
      <c r="Q102">
        <v>0</v>
      </c>
      <c r="R102">
        <v>0</v>
      </c>
      <c r="S102">
        <v>0</v>
      </c>
      <c r="T102">
        <v>0</v>
      </c>
      <c r="U102">
        <v>0</v>
      </c>
      <c r="V102">
        <v>0</v>
      </c>
      <c r="W102" s="4">
        <f t="shared" si="56"/>
        <v>9.4773200000000006</v>
      </c>
      <c r="Y102">
        <v>3</v>
      </c>
      <c r="Z102" t="s">
        <v>1</v>
      </c>
      <c r="AA102">
        <v>27456</v>
      </c>
      <c r="AB102">
        <v>96</v>
      </c>
      <c r="AC102">
        <v>1</v>
      </c>
      <c r="AD102">
        <v>16</v>
      </c>
      <c r="AE102">
        <v>1640.92</v>
      </c>
      <c r="AF102" s="3">
        <v>8.4094999999999995</v>
      </c>
      <c r="AG102" s="1">
        <v>45326</v>
      </c>
      <c r="AH102" s="2">
        <v>0.84285879629629623</v>
      </c>
      <c r="AI102">
        <v>0</v>
      </c>
      <c r="AJ102">
        <v>0</v>
      </c>
      <c r="AK102">
        <v>0</v>
      </c>
      <c r="AL102">
        <v>0</v>
      </c>
      <c r="AM102">
        <v>0</v>
      </c>
      <c r="AN102">
        <v>0</v>
      </c>
      <c r="AO102">
        <v>0</v>
      </c>
      <c r="AP102">
        <v>0</v>
      </c>
      <c r="AQ102">
        <v>0</v>
      </c>
      <c r="AR102">
        <v>0</v>
      </c>
      <c r="AS102">
        <v>0</v>
      </c>
      <c r="AT102">
        <v>0</v>
      </c>
      <c r="AU102" s="3">
        <f t="shared" si="57"/>
        <v>8.4121600000000001</v>
      </c>
    </row>
    <row r="103" spans="1:47" x14ac:dyDescent="0.25">
      <c r="A103">
        <v>4</v>
      </c>
      <c r="B103" t="s">
        <v>1</v>
      </c>
      <c r="C103">
        <v>27456</v>
      </c>
      <c r="D103">
        <v>96</v>
      </c>
      <c r="E103">
        <v>1</v>
      </c>
      <c r="F103">
        <v>16</v>
      </c>
      <c r="G103">
        <v>1457.92</v>
      </c>
      <c r="H103" s="3">
        <v>9.4650999999999996</v>
      </c>
      <c r="I103" s="1">
        <v>45322</v>
      </c>
      <c r="J103" s="2">
        <v>0.812962962962963</v>
      </c>
      <c r="K103">
        <v>0</v>
      </c>
      <c r="L103">
        <v>0</v>
      </c>
      <c r="M103">
        <v>0</v>
      </c>
      <c r="N103">
        <v>0</v>
      </c>
      <c r="O103">
        <v>0</v>
      </c>
      <c r="P103">
        <v>0</v>
      </c>
      <c r="Q103">
        <v>0</v>
      </c>
      <c r="R103">
        <v>0</v>
      </c>
      <c r="S103">
        <v>0</v>
      </c>
      <c r="T103">
        <v>0</v>
      </c>
      <c r="U103">
        <v>0</v>
      </c>
      <c r="V103">
        <v>0</v>
      </c>
      <c r="W103" s="4">
        <f t="shared" si="56"/>
        <v>9.4773200000000006</v>
      </c>
      <c r="Y103">
        <v>4</v>
      </c>
      <c r="Z103" t="s">
        <v>1</v>
      </c>
      <c r="AA103">
        <v>27456</v>
      </c>
      <c r="AB103">
        <v>96</v>
      </c>
      <c r="AC103">
        <v>1</v>
      </c>
      <c r="AD103">
        <v>16</v>
      </c>
      <c r="AE103">
        <v>1640.88</v>
      </c>
      <c r="AF103" s="3">
        <v>8.4097000000000008</v>
      </c>
      <c r="AG103" s="1">
        <v>45327</v>
      </c>
      <c r="AH103" s="2">
        <v>0.76268518518518524</v>
      </c>
      <c r="AI103">
        <v>0</v>
      </c>
      <c r="AJ103">
        <v>0</v>
      </c>
      <c r="AK103">
        <v>0</v>
      </c>
      <c r="AL103">
        <v>0</v>
      </c>
      <c r="AM103">
        <v>0</v>
      </c>
      <c r="AN103">
        <v>0</v>
      </c>
      <c r="AO103">
        <v>0</v>
      </c>
      <c r="AP103">
        <v>0</v>
      </c>
      <c r="AQ103">
        <v>0</v>
      </c>
      <c r="AR103">
        <v>0</v>
      </c>
      <c r="AS103">
        <v>0</v>
      </c>
      <c r="AT103">
        <v>0</v>
      </c>
      <c r="AU103" s="3">
        <f t="shared" si="57"/>
        <v>8.4121600000000001</v>
      </c>
    </row>
    <row r="104" spans="1:47" x14ac:dyDescent="0.25">
      <c r="A104">
        <v>0</v>
      </c>
      <c r="B104" t="s">
        <v>1</v>
      </c>
      <c r="C104">
        <v>28992</v>
      </c>
      <c r="D104">
        <v>96</v>
      </c>
      <c r="E104">
        <v>1</v>
      </c>
      <c r="F104">
        <v>16</v>
      </c>
      <c r="G104">
        <v>1702.08</v>
      </c>
      <c r="H104" s="3">
        <v>9.5454000000000008</v>
      </c>
      <c r="I104" s="1">
        <v>45319</v>
      </c>
      <c r="J104" s="2">
        <v>0.99266203703703704</v>
      </c>
      <c r="K104">
        <v>0</v>
      </c>
      <c r="L104">
        <v>0</v>
      </c>
      <c r="M104">
        <v>0</v>
      </c>
      <c r="N104">
        <v>0</v>
      </c>
      <c r="O104">
        <v>0</v>
      </c>
      <c r="P104">
        <v>0</v>
      </c>
      <c r="Q104">
        <v>0</v>
      </c>
      <c r="R104">
        <v>0</v>
      </c>
      <c r="S104">
        <v>0</v>
      </c>
      <c r="T104">
        <v>0</v>
      </c>
      <c r="U104">
        <v>0</v>
      </c>
      <c r="V104">
        <v>0</v>
      </c>
      <c r="W104" s="4">
        <f t="shared" ref="W104" si="78">AVERAGE(H104:H108)</f>
        <v>9.5436799999999984</v>
      </c>
      <c r="Y104">
        <v>0</v>
      </c>
      <c r="Z104" t="s">
        <v>1</v>
      </c>
      <c r="AA104">
        <v>28992</v>
      </c>
      <c r="AB104">
        <v>96</v>
      </c>
      <c r="AC104">
        <v>1</v>
      </c>
      <c r="AD104">
        <v>16</v>
      </c>
      <c r="AE104">
        <v>1915.95</v>
      </c>
      <c r="AF104" s="3">
        <v>8.4799000000000007</v>
      </c>
      <c r="AG104" s="1">
        <v>45324</v>
      </c>
      <c r="AH104" s="2">
        <v>0.68657407407407411</v>
      </c>
      <c r="AI104">
        <v>0</v>
      </c>
      <c r="AJ104">
        <v>0</v>
      </c>
      <c r="AK104">
        <v>0</v>
      </c>
      <c r="AL104">
        <v>0</v>
      </c>
      <c r="AM104">
        <v>0</v>
      </c>
      <c r="AN104">
        <v>0</v>
      </c>
      <c r="AO104">
        <v>0</v>
      </c>
      <c r="AP104">
        <v>0</v>
      </c>
      <c r="AQ104">
        <v>0</v>
      </c>
      <c r="AR104">
        <v>0</v>
      </c>
      <c r="AS104">
        <v>0</v>
      </c>
      <c r="AT104">
        <v>0</v>
      </c>
      <c r="AU104" s="3">
        <f t="shared" ref="AU104" si="79">AVERAGE(AF104:AF108)</f>
        <v>8.4743999999999993</v>
      </c>
    </row>
    <row r="105" spans="1:47" x14ac:dyDescent="0.25">
      <c r="A105">
        <v>1</v>
      </c>
      <c r="B105" t="s">
        <v>1</v>
      </c>
      <c r="C105">
        <v>28992</v>
      </c>
      <c r="D105">
        <v>96</v>
      </c>
      <c r="E105">
        <v>1</v>
      </c>
      <c r="F105">
        <v>16</v>
      </c>
      <c r="G105">
        <v>1699.38</v>
      </c>
      <c r="H105" s="3">
        <v>9.5606000000000009</v>
      </c>
      <c r="I105" s="1">
        <v>45320</v>
      </c>
      <c r="J105" s="2">
        <v>0.83393518518518517</v>
      </c>
      <c r="K105">
        <v>0</v>
      </c>
      <c r="L105">
        <v>0</v>
      </c>
      <c r="M105">
        <v>0</v>
      </c>
      <c r="N105">
        <v>0</v>
      </c>
      <c r="O105">
        <v>0</v>
      </c>
      <c r="P105">
        <v>0</v>
      </c>
      <c r="Q105">
        <v>0</v>
      </c>
      <c r="R105">
        <v>0</v>
      </c>
      <c r="S105">
        <v>0</v>
      </c>
      <c r="T105">
        <v>0</v>
      </c>
      <c r="U105">
        <v>0</v>
      </c>
      <c r="V105">
        <v>0</v>
      </c>
      <c r="W105" s="4">
        <f t="shared" ref="W105" si="80">W104</f>
        <v>9.5436799999999984</v>
      </c>
      <c r="Y105">
        <v>1</v>
      </c>
      <c r="Z105" t="s">
        <v>1</v>
      </c>
      <c r="AA105">
        <v>28992</v>
      </c>
      <c r="AB105">
        <v>96</v>
      </c>
      <c r="AC105">
        <v>1</v>
      </c>
      <c r="AD105">
        <v>16</v>
      </c>
      <c r="AE105">
        <v>1917.51</v>
      </c>
      <c r="AF105" s="3">
        <v>8.4730000000000008</v>
      </c>
      <c r="AG105" s="1">
        <v>45325</v>
      </c>
      <c r="AH105" s="2">
        <v>0.60053240740740743</v>
      </c>
      <c r="AI105">
        <v>0</v>
      </c>
      <c r="AJ105">
        <v>0</v>
      </c>
      <c r="AK105">
        <v>0</v>
      </c>
      <c r="AL105">
        <v>0</v>
      </c>
      <c r="AM105">
        <v>0</v>
      </c>
      <c r="AN105">
        <v>0</v>
      </c>
      <c r="AO105">
        <v>0</v>
      </c>
      <c r="AP105">
        <v>0</v>
      </c>
      <c r="AQ105">
        <v>0</v>
      </c>
      <c r="AR105">
        <v>0</v>
      </c>
      <c r="AS105">
        <v>0</v>
      </c>
      <c r="AT105">
        <v>0</v>
      </c>
      <c r="AU105" s="3">
        <f t="shared" ref="AU105" si="81">AU104</f>
        <v>8.4743999999999993</v>
      </c>
    </row>
    <row r="106" spans="1:47" x14ac:dyDescent="0.25">
      <c r="A106">
        <v>2</v>
      </c>
      <c r="B106" t="s">
        <v>1</v>
      </c>
      <c r="C106">
        <v>28992</v>
      </c>
      <c r="D106">
        <v>96</v>
      </c>
      <c r="E106">
        <v>1</v>
      </c>
      <c r="F106">
        <v>16</v>
      </c>
      <c r="G106">
        <v>1699.81</v>
      </c>
      <c r="H106" s="3">
        <v>9.5581999999999994</v>
      </c>
      <c r="I106" s="1">
        <v>45321</v>
      </c>
      <c r="J106" s="2">
        <v>0.6761921296296296</v>
      </c>
      <c r="K106">
        <v>0</v>
      </c>
      <c r="L106">
        <v>0</v>
      </c>
      <c r="M106">
        <v>0</v>
      </c>
      <c r="N106">
        <v>0</v>
      </c>
      <c r="O106">
        <v>0</v>
      </c>
      <c r="P106">
        <v>0</v>
      </c>
      <c r="Q106">
        <v>0</v>
      </c>
      <c r="R106">
        <v>0</v>
      </c>
      <c r="S106">
        <v>0</v>
      </c>
      <c r="T106">
        <v>0</v>
      </c>
      <c r="U106">
        <v>0</v>
      </c>
      <c r="V106">
        <v>0</v>
      </c>
      <c r="W106" s="4">
        <f t="shared" si="56"/>
        <v>9.5436799999999984</v>
      </c>
      <c r="Y106">
        <v>2</v>
      </c>
      <c r="Z106" t="s">
        <v>1</v>
      </c>
      <c r="AA106">
        <v>28992</v>
      </c>
      <c r="AB106">
        <v>96</v>
      </c>
      <c r="AC106">
        <v>1</v>
      </c>
      <c r="AD106">
        <v>16</v>
      </c>
      <c r="AE106">
        <v>1917.66</v>
      </c>
      <c r="AF106" s="3">
        <v>8.4724000000000004</v>
      </c>
      <c r="AG106" s="1">
        <v>45326</v>
      </c>
      <c r="AH106" s="2">
        <v>0.5207060185185185</v>
      </c>
      <c r="AI106">
        <v>0</v>
      </c>
      <c r="AJ106">
        <v>0</v>
      </c>
      <c r="AK106">
        <v>0</v>
      </c>
      <c r="AL106">
        <v>0</v>
      </c>
      <c r="AM106">
        <v>0</v>
      </c>
      <c r="AN106">
        <v>0</v>
      </c>
      <c r="AO106">
        <v>0</v>
      </c>
      <c r="AP106">
        <v>0</v>
      </c>
      <c r="AQ106">
        <v>0</v>
      </c>
      <c r="AR106">
        <v>0</v>
      </c>
      <c r="AS106">
        <v>0</v>
      </c>
      <c r="AT106">
        <v>0</v>
      </c>
      <c r="AU106" s="3">
        <f t="shared" si="57"/>
        <v>8.4743999999999993</v>
      </c>
    </row>
    <row r="107" spans="1:47" x14ac:dyDescent="0.25">
      <c r="A107">
        <v>3</v>
      </c>
      <c r="B107" t="s">
        <v>1</v>
      </c>
      <c r="C107">
        <v>28992</v>
      </c>
      <c r="D107">
        <v>96</v>
      </c>
      <c r="E107">
        <v>1</v>
      </c>
      <c r="F107">
        <v>16</v>
      </c>
      <c r="G107">
        <v>1702.54</v>
      </c>
      <c r="H107" s="3">
        <v>9.5428999999999995</v>
      </c>
      <c r="I107" s="1">
        <v>45322</v>
      </c>
      <c r="J107" s="2">
        <v>0.51856481481481487</v>
      </c>
      <c r="K107">
        <v>0</v>
      </c>
      <c r="L107">
        <v>0</v>
      </c>
      <c r="M107">
        <v>0</v>
      </c>
      <c r="N107">
        <v>0</v>
      </c>
      <c r="O107">
        <v>0</v>
      </c>
      <c r="P107">
        <v>0</v>
      </c>
      <c r="Q107">
        <v>0</v>
      </c>
      <c r="R107">
        <v>0</v>
      </c>
      <c r="S107">
        <v>0</v>
      </c>
      <c r="T107">
        <v>0</v>
      </c>
      <c r="U107">
        <v>0</v>
      </c>
      <c r="V107">
        <v>0</v>
      </c>
      <c r="W107" s="4">
        <f t="shared" si="56"/>
        <v>9.5436799999999984</v>
      </c>
      <c r="Y107">
        <v>3</v>
      </c>
      <c r="Z107" t="s">
        <v>1</v>
      </c>
      <c r="AA107">
        <v>28992</v>
      </c>
      <c r="AB107">
        <v>96</v>
      </c>
      <c r="AC107">
        <v>1</v>
      </c>
      <c r="AD107">
        <v>16</v>
      </c>
      <c r="AE107">
        <v>1917.23</v>
      </c>
      <c r="AF107" s="3">
        <v>8.4742999999999995</v>
      </c>
      <c r="AG107" s="1">
        <v>45327</v>
      </c>
      <c r="AH107" s="2">
        <v>0.4409837962962963</v>
      </c>
      <c r="AI107">
        <v>0</v>
      </c>
      <c r="AJ107">
        <v>0</v>
      </c>
      <c r="AK107">
        <v>0</v>
      </c>
      <c r="AL107">
        <v>0</v>
      </c>
      <c r="AM107">
        <v>0</v>
      </c>
      <c r="AN107">
        <v>0</v>
      </c>
      <c r="AO107">
        <v>0</v>
      </c>
      <c r="AP107">
        <v>0</v>
      </c>
      <c r="AQ107">
        <v>0</v>
      </c>
      <c r="AR107">
        <v>0</v>
      </c>
      <c r="AS107">
        <v>0</v>
      </c>
      <c r="AT107">
        <v>0</v>
      </c>
      <c r="AU107" s="3">
        <f t="shared" si="57"/>
        <v>8.4743999999999993</v>
      </c>
    </row>
    <row r="108" spans="1:47" x14ac:dyDescent="0.25">
      <c r="A108">
        <v>4</v>
      </c>
      <c r="B108" t="s">
        <v>1</v>
      </c>
      <c r="C108">
        <v>28992</v>
      </c>
      <c r="D108">
        <v>96</v>
      </c>
      <c r="E108">
        <v>1</v>
      </c>
      <c r="F108">
        <v>16</v>
      </c>
      <c r="G108">
        <v>1708.2</v>
      </c>
      <c r="H108" s="3">
        <v>9.5113000000000003</v>
      </c>
      <c r="I108" s="1">
        <v>45323</v>
      </c>
      <c r="J108" s="2">
        <v>0.36113425925925924</v>
      </c>
      <c r="K108">
        <v>0</v>
      </c>
      <c r="L108">
        <v>0</v>
      </c>
      <c r="M108">
        <v>0</v>
      </c>
      <c r="N108">
        <v>0</v>
      </c>
      <c r="O108">
        <v>0</v>
      </c>
      <c r="P108">
        <v>0</v>
      </c>
      <c r="Q108">
        <v>0</v>
      </c>
      <c r="R108">
        <v>0</v>
      </c>
      <c r="S108">
        <v>0</v>
      </c>
      <c r="T108">
        <v>0</v>
      </c>
      <c r="U108">
        <v>0</v>
      </c>
      <c r="V108">
        <v>0</v>
      </c>
      <c r="W108" s="4">
        <f t="shared" si="56"/>
        <v>9.5436799999999984</v>
      </c>
      <c r="Y108">
        <v>4</v>
      </c>
      <c r="Z108" t="s">
        <v>1</v>
      </c>
      <c r="AA108">
        <v>28992</v>
      </c>
      <c r="AB108">
        <v>96</v>
      </c>
      <c r="AC108">
        <v>1</v>
      </c>
      <c r="AD108">
        <v>16</v>
      </c>
      <c r="AE108">
        <v>1917.65</v>
      </c>
      <c r="AF108" s="3">
        <v>8.4724000000000004</v>
      </c>
      <c r="AG108" s="1">
        <v>45328</v>
      </c>
      <c r="AH108" s="2">
        <v>0.36052083333333335</v>
      </c>
      <c r="AI108">
        <v>0</v>
      </c>
      <c r="AJ108">
        <v>0</v>
      </c>
      <c r="AK108">
        <v>0</v>
      </c>
      <c r="AL108">
        <v>0</v>
      </c>
      <c r="AM108">
        <v>0</v>
      </c>
      <c r="AN108">
        <v>0</v>
      </c>
      <c r="AO108">
        <v>0</v>
      </c>
      <c r="AP108">
        <v>0</v>
      </c>
      <c r="AQ108">
        <v>0</v>
      </c>
      <c r="AR108">
        <v>0</v>
      </c>
      <c r="AS108">
        <v>0</v>
      </c>
      <c r="AT108">
        <v>0</v>
      </c>
      <c r="AU108" s="3">
        <f t="shared" si="57"/>
        <v>8.4743999999999993</v>
      </c>
    </row>
    <row r="109" spans="1:47" x14ac:dyDescent="0.25">
      <c r="A109">
        <v>0</v>
      </c>
      <c r="B109" t="s">
        <v>1</v>
      </c>
      <c r="C109">
        <v>25920</v>
      </c>
      <c r="D109">
        <v>96</v>
      </c>
      <c r="E109">
        <v>2</v>
      </c>
      <c r="F109">
        <v>8</v>
      </c>
      <c r="G109">
        <v>1190.3599999999999</v>
      </c>
      <c r="H109" s="3">
        <v>9.7538</v>
      </c>
      <c r="I109" s="1">
        <v>45319</v>
      </c>
      <c r="J109" s="2">
        <v>0.7117592592592592</v>
      </c>
      <c r="K109">
        <v>0</v>
      </c>
      <c r="L109">
        <v>0</v>
      </c>
      <c r="M109">
        <v>0</v>
      </c>
      <c r="N109">
        <v>0</v>
      </c>
      <c r="O109">
        <v>0</v>
      </c>
      <c r="P109">
        <v>0</v>
      </c>
      <c r="Q109">
        <v>0</v>
      </c>
      <c r="R109">
        <v>0</v>
      </c>
      <c r="S109">
        <v>0</v>
      </c>
      <c r="T109">
        <v>0</v>
      </c>
      <c r="U109">
        <v>0</v>
      </c>
      <c r="V109">
        <v>0</v>
      </c>
      <c r="W109" s="4">
        <f t="shared" ref="W109" si="82">AVERAGE(H109:H113)</f>
        <v>9.6735799999999994</v>
      </c>
      <c r="Y109">
        <v>0</v>
      </c>
      <c r="Z109" t="s">
        <v>1</v>
      </c>
      <c r="AA109">
        <v>25920</v>
      </c>
      <c r="AB109">
        <v>96</v>
      </c>
      <c r="AC109">
        <v>2</v>
      </c>
      <c r="AD109">
        <v>8</v>
      </c>
      <c r="AE109">
        <v>1336.31</v>
      </c>
      <c r="AF109" s="3">
        <v>8.6884999999999994</v>
      </c>
      <c r="AG109" s="1">
        <v>45324</v>
      </c>
      <c r="AH109" s="2">
        <v>0.39061342592592596</v>
      </c>
      <c r="AI109">
        <v>0</v>
      </c>
      <c r="AJ109">
        <v>0</v>
      </c>
      <c r="AK109">
        <v>0</v>
      </c>
      <c r="AL109">
        <v>0</v>
      </c>
      <c r="AM109">
        <v>0</v>
      </c>
      <c r="AN109">
        <v>0</v>
      </c>
      <c r="AO109">
        <v>0</v>
      </c>
      <c r="AP109">
        <v>0</v>
      </c>
      <c r="AQ109">
        <v>0</v>
      </c>
      <c r="AR109">
        <v>0</v>
      </c>
      <c r="AS109">
        <v>0</v>
      </c>
      <c r="AT109">
        <v>0</v>
      </c>
      <c r="AU109" s="3">
        <f t="shared" ref="AU109" si="83">AVERAGE(AF109:AF113)</f>
        <v>8.6877800000000001</v>
      </c>
    </row>
    <row r="110" spans="1:47" x14ac:dyDescent="0.25">
      <c r="A110">
        <v>1</v>
      </c>
      <c r="B110" t="s">
        <v>1</v>
      </c>
      <c r="C110">
        <v>25920</v>
      </c>
      <c r="D110">
        <v>96</v>
      </c>
      <c r="E110">
        <v>2</v>
      </c>
      <c r="F110">
        <v>8</v>
      </c>
      <c r="G110">
        <v>1194.78</v>
      </c>
      <c r="H110" s="3">
        <v>9.7177000000000007</v>
      </c>
      <c r="I110" s="1">
        <v>45320</v>
      </c>
      <c r="J110" s="2">
        <v>0.55298611111111107</v>
      </c>
      <c r="K110">
        <v>0</v>
      </c>
      <c r="L110">
        <v>0</v>
      </c>
      <c r="M110">
        <v>0</v>
      </c>
      <c r="N110">
        <v>0</v>
      </c>
      <c r="O110">
        <v>0</v>
      </c>
      <c r="P110">
        <v>0</v>
      </c>
      <c r="Q110">
        <v>0</v>
      </c>
      <c r="R110">
        <v>0</v>
      </c>
      <c r="S110">
        <v>0</v>
      </c>
      <c r="T110">
        <v>0</v>
      </c>
      <c r="U110">
        <v>0</v>
      </c>
      <c r="V110">
        <v>0</v>
      </c>
      <c r="W110" s="4">
        <f t="shared" ref="W110" si="84">W109</f>
        <v>9.6735799999999994</v>
      </c>
      <c r="Y110">
        <v>1</v>
      </c>
      <c r="Z110" t="s">
        <v>1</v>
      </c>
      <c r="AA110">
        <v>25920</v>
      </c>
      <c r="AB110">
        <v>96</v>
      </c>
      <c r="AC110">
        <v>2</v>
      </c>
      <c r="AD110">
        <v>8</v>
      </c>
      <c r="AE110">
        <v>1335.98</v>
      </c>
      <c r="AF110" s="3">
        <v>8.6905999999999999</v>
      </c>
      <c r="AG110" s="1">
        <v>45325</v>
      </c>
      <c r="AH110" s="2">
        <v>0.29435185185185186</v>
      </c>
      <c r="AI110">
        <v>0</v>
      </c>
      <c r="AJ110">
        <v>0</v>
      </c>
      <c r="AK110">
        <v>0</v>
      </c>
      <c r="AL110">
        <v>0</v>
      </c>
      <c r="AM110">
        <v>0</v>
      </c>
      <c r="AN110">
        <v>0</v>
      </c>
      <c r="AO110">
        <v>0</v>
      </c>
      <c r="AP110">
        <v>0</v>
      </c>
      <c r="AQ110">
        <v>0</v>
      </c>
      <c r="AR110">
        <v>0</v>
      </c>
      <c r="AS110">
        <v>0</v>
      </c>
      <c r="AT110">
        <v>0</v>
      </c>
      <c r="AU110" s="3">
        <f t="shared" ref="AU110" si="85">AU109</f>
        <v>8.6877800000000001</v>
      </c>
    </row>
    <row r="111" spans="1:47" x14ac:dyDescent="0.25">
      <c r="A111">
        <v>2</v>
      </c>
      <c r="B111" t="s">
        <v>1</v>
      </c>
      <c r="C111">
        <v>25920</v>
      </c>
      <c r="D111">
        <v>96</v>
      </c>
      <c r="E111">
        <v>2</v>
      </c>
      <c r="F111">
        <v>8</v>
      </c>
      <c r="G111">
        <v>1199.06</v>
      </c>
      <c r="H111" s="3">
        <v>9.6829999999999998</v>
      </c>
      <c r="I111" s="1">
        <v>45321</v>
      </c>
      <c r="J111" s="2">
        <v>0.3948726851851852</v>
      </c>
      <c r="K111">
        <v>0</v>
      </c>
      <c r="L111">
        <v>0</v>
      </c>
      <c r="M111">
        <v>0</v>
      </c>
      <c r="N111">
        <v>0</v>
      </c>
      <c r="O111">
        <v>0</v>
      </c>
      <c r="P111">
        <v>0</v>
      </c>
      <c r="Q111">
        <v>0</v>
      </c>
      <c r="R111">
        <v>0</v>
      </c>
      <c r="S111">
        <v>0</v>
      </c>
      <c r="T111">
        <v>0</v>
      </c>
      <c r="U111">
        <v>0</v>
      </c>
      <c r="V111">
        <v>0</v>
      </c>
      <c r="W111" s="4">
        <f t="shared" si="56"/>
        <v>9.6735799999999994</v>
      </c>
      <c r="Y111">
        <v>2</v>
      </c>
      <c r="Z111" t="s">
        <v>1</v>
      </c>
      <c r="AA111">
        <v>25920</v>
      </c>
      <c r="AB111">
        <v>96</v>
      </c>
      <c r="AC111">
        <v>2</v>
      </c>
      <c r="AD111">
        <v>8</v>
      </c>
      <c r="AE111">
        <v>1336.48</v>
      </c>
      <c r="AF111" s="3">
        <v>8.6874000000000002</v>
      </c>
      <c r="AG111" s="1">
        <v>45326</v>
      </c>
      <c r="AH111" s="2">
        <v>0.21460648148148151</v>
      </c>
      <c r="AI111">
        <v>0</v>
      </c>
      <c r="AJ111">
        <v>0</v>
      </c>
      <c r="AK111">
        <v>0</v>
      </c>
      <c r="AL111">
        <v>0</v>
      </c>
      <c r="AM111">
        <v>0</v>
      </c>
      <c r="AN111">
        <v>0</v>
      </c>
      <c r="AO111">
        <v>0</v>
      </c>
      <c r="AP111">
        <v>0</v>
      </c>
      <c r="AQ111">
        <v>0</v>
      </c>
      <c r="AR111">
        <v>0</v>
      </c>
      <c r="AS111">
        <v>0</v>
      </c>
      <c r="AT111">
        <v>0</v>
      </c>
      <c r="AU111" s="3">
        <f t="shared" si="57"/>
        <v>8.6877800000000001</v>
      </c>
    </row>
    <row r="112" spans="1:47" x14ac:dyDescent="0.25">
      <c r="A112">
        <v>3</v>
      </c>
      <c r="B112" t="s">
        <v>1</v>
      </c>
      <c r="C112">
        <v>25920</v>
      </c>
      <c r="D112">
        <v>96</v>
      </c>
      <c r="E112">
        <v>2</v>
      </c>
      <c r="F112">
        <v>8</v>
      </c>
      <c r="G112">
        <v>1198.29</v>
      </c>
      <c r="H112" s="3">
        <v>9.6891999999999996</v>
      </c>
      <c r="I112" s="1">
        <v>45322</v>
      </c>
      <c r="J112" s="2">
        <v>0.23716435185185183</v>
      </c>
      <c r="K112">
        <v>0</v>
      </c>
      <c r="L112">
        <v>0</v>
      </c>
      <c r="M112">
        <v>0</v>
      </c>
      <c r="N112">
        <v>0</v>
      </c>
      <c r="O112">
        <v>0</v>
      </c>
      <c r="P112">
        <v>0</v>
      </c>
      <c r="Q112">
        <v>0</v>
      </c>
      <c r="R112">
        <v>0</v>
      </c>
      <c r="S112">
        <v>0</v>
      </c>
      <c r="T112">
        <v>0</v>
      </c>
      <c r="U112">
        <v>0</v>
      </c>
      <c r="V112">
        <v>0</v>
      </c>
      <c r="W112" s="4">
        <f t="shared" si="56"/>
        <v>9.6735799999999994</v>
      </c>
      <c r="Y112">
        <v>3</v>
      </c>
      <c r="Z112" t="s">
        <v>1</v>
      </c>
      <c r="AA112">
        <v>25920</v>
      </c>
      <c r="AB112">
        <v>96</v>
      </c>
      <c r="AC112">
        <v>2</v>
      </c>
      <c r="AD112">
        <v>8</v>
      </c>
      <c r="AE112">
        <v>1335.97</v>
      </c>
      <c r="AF112" s="3">
        <v>8.6906999999999996</v>
      </c>
      <c r="AG112" s="1">
        <v>45327</v>
      </c>
      <c r="AH112" s="2">
        <v>0.1341087962962963</v>
      </c>
      <c r="AI112">
        <v>0</v>
      </c>
      <c r="AJ112">
        <v>0</v>
      </c>
      <c r="AK112">
        <v>0</v>
      </c>
      <c r="AL112">
        <v>0</v>
      </c>
      <c r="AM112">
        <v>0</v>
      </c>
      <c r="AN112">
        <v>0</v>
      </c>
      <c r="AO112">
        <v>0</v>
      </c>
      <c r="AP112">
        <v>0</v>
      </c>
      <c r="AQ112">
        <v>0</v>
      </c>
      <c r="AR112">
        <v>0</v>
      </c>
      <c r="AS112">
        <v>0</v>
      </c>
      <c r="AT112">
        <v>0</v>
      </c>
      <c r="AU112" s="3">
        <f t="shared" si="57"/>
        <v>8.6877800000000001</v>
      </c>
    </row>
    <row r="113" spans="1:47" x14ac:dyDescent="0.25">
      <c r="A113">
        <v>4</v>
      </c>
      <c r="B113" t="s">
        <v>1</v>
      </c>
      <c r="C113">
        <v>25920</v>
      </c>
      <c r="D113">
        <v>96</v>
      </c>
      <c r="E113">
        <v>2</v>
      </c>
      <c r="F113">
        <v>8</v>
      </c>
      <c r="G113">
        <v>1219.05</v>
      </c>
      <c r="H113" s="3">
        <v>9.5242000000000004</v>
      </c>
      <c r="I113" s="1">
        <v>45323</v>
      </c>
      <c r="J113" s="2">
        <v>7.9733796296296303E-2</v>
      </c>
      <c r="K113">
        <v>0</v>
      </c>
      <c r="L113">
        <v>0</v>
      </c>
      <c r="M113">
        <v>0</v>
      </c>
      <c r="N113">
        <v>0</v>
      </c>
      <c r="O113">
        <v>0</v>
      </c>
      <c r="P113">
        <v>0</v>
      </c>
      <c r="Q113">
        <v>0</v>
      </c>
      <c r="R113">
        <v>0</v>
      </c>
      <c r="S113">
        <v>0</v>
      </c>
      <c r="T113">
        <v>0</v>
      </c>
      <c r="U113">
        <v>0</v>
      </c>
      <c r="V113">
        <v>0</v>
      </c>
      <c r="W113" s="4">
        <f t="shared" si="56"/>
        <v>9.6735799999999994</v>
      </c>
      <c r="Y113">
        <v>4</v>
      </c>
      <c r="Z113" t="s">
        <v>1</v>
      </c>
      <c r="AA113">
        <v>25920</v>
      </c>
      <c r="AB113">
        <v>96</v>
      </c>
      <c r="AC113">
        <v>2</v>
      </c>
      <c r="AD113">
        <v>8</v>
      </c>
      <c r="AE113">
        <v>1337.36</v>
      </c>
      <c r="AF113" s="3">
        <v>8.6816999999999993</v>
      </c>
      <c r="AG113" s="1">
        <v>45328</v>
      </c>
      <c r="AH113" s="2">
        <v>5.4016203703703712E-2</v>
      </c>
      <c r="AI113">
        <v>0</v>
      </c>
      <c r="AJ113">
        <v>0</v>
      </c>
      <c r="AK113">
        <v>0</v>
      </c>
      <c r="AL113">
        <v>0</v>
      </c>
      <c r="AM113">
        <v>0</v>
      </c>
      <c r="AN113">
        <v>0</v>
      </c>
      <c r="AO113">
        <v>0</v>
      </c>
      <c r="AP113">
        <v>0</v>
      </c>
      <c r="AQ113">
        <v>0</v>
      </c>
      <c r="AR113">
        <v>0</v>
      </c>
      <c r="AS113">
        <v>0</v>
      </c>
      <c r="AT113">
        <v>0</v>
      </c>
      <c r="AU113" s="3">
        <f t="shared" si="57"/>
        <v>8.6877800000000001</v>
      </c>
    </row>
    <row r="114" spans="1:47" x14ac:dyDescent="0.25">
      <c r="A114">
        <v>0</v>
      </c>
      <c r="B114" t="s">
        <v>1</v>
      </c>
      <c r="C114">
        <v>27456</v>
      </c>
      <c r="D114">
        <v>96</v>
      </c>
      <c r="E114">
        <v>2</v>
      </c>
      <c r="F114">
        <v>8</v>
      </c>
      <c r="G114">
        <v>1409.93</v>
      </c>
      <c r="H114" s="3">
        <v>9.7872000000000003</v>
      </c>
      <c r="I114" s="1">
        <v>45319</v>
      </c>
      <c r="J114" s="2">
        <v>0.4635185185185185</v>
      </c>
      <c r="K114">
        <v>0</v>
      </c>
      <c r="L114">
        <v>0</v>
      </c>
      <c r="M114">
        <v>0</v>
      </c>
      <c r="N114">
        <v>0</v>
      </c>
      <c r="O114">
        <v>0</v>
      </c>
      <c r="P114">
        <v>0</v>
      </c>
      <c r="Q114">
        <v>0</v>
      </c>
      <c r="R114">
        <v>0</v>
      </c>
      <c r="S114">
        <v>0</v>
      </c>
      <c r="T114">
        <v>0</v>
      </c>
      <c r="U114">
        <v>0</v>
      </c>
      <c r="V114">
        <v>0</v>
      </c>
      <c r="W114" s="4">
        <f t="shared" ref="W114" si="86">AVERAGE(H114:H118)</f>
        <v>9.79908</v>
      </c>
      <c r="Y114">
        <v>0</v>
      </c>
      <c r="Z114" t="s">
        <v>1</v>
      </c>
      <c r="AA114">
        <v>27456</v>
      </c>
      <c r="AB114">
        <v>96</v>
      </c>
      <c r="AC114">
        <v>2</v>
      </c>
      <c r="AD114">
        <v>8</v>
      </c>
      <c r="AE114">
        <v>1577.31</v>
      </c>
      <c r="AF114" s="3">
        <v>8.7485999999999997</v>
      </c>
      <c r="AG114" s="1">
        <v>45324</v>
      </c>
      <c r="AH114" s="2">
        <v>0.1293287037037037</v>
      </c>
      <c r="AI114">
        <v>0</v>
      </c>
      <c r="AJ114">
        <v>0</v>
      </c>
      <c r="AK114">
        <v>0</v>
      </c>
      <c r="AL114">
        <v>0</v>
      </c>
      <c r="AM114">
        <v>0</v>
      </c>
      <c r="AN114">
        <v>0</v>
      </c>
      <c r="AO114">
        <v>0</v>
      </c>
      <c r="AP114">
        <v>0</v>
      </c>
      <c r="AQ114">
        <v>0</v>
      </c>
      <c r="AR114">
        <v>0</v>
      </c>
      <c r="AS114">
        <v>0</v>
      </c>
      <c r="AT114">
        <v>0</v>
      </c>
      <c r="AU114" s="3">
        <f t="shared" ref="AU114" si="87">AVERAGE(AF114:AF118)</f>
        <v>8.7472600000000007</v>
      </c>
    </row>
    <row r="115" spans="1:47" x14ac:dyDescent="0.25">
      <c r="A115">
        <v>1</v>
      </c>
      <c r="B115" t="s">
        <v>1</v>
      </c>
      <c r="C115">
        <v>27456</v>
      </c>
      <c r="D115">
        <v>96</v>
      </c>
      <c r="E115">
        <v>2</v>
      </c>
      <c r="F115">
        <v>8</v>
      </c>
      <c r="G115">
        <v>1408.12</v>
      </c>
      <c r="H115" s="3">
        <v>9.7997999999999994</v>
      </c>
      <c r="I115" s="1">
        <v>45320</v>
      </c>
      <c r="J115" s="2">
        <v>0.30457175925925922</v>
      </c>
      <c r="K115">
        <v>0</v>
      </c>
      <c r="L115">
        <v>0</v>
      </c>
      <c r="M115">
        <v>0</v>
      </c>
      <c r="N115">
        <v>0</v>
      </c>
      <c r="O115">
        <v>0</v>
      </c>
      <c r="P115">
        <v>0</v>
      </c>
      <c r="Q115">
        <v>0</v>
      </c>
      <c r="R115">
        <v>0</v>
      </c>
      <c r="S115">
        <v>0</v>
      </c>
      <c r="T115">
        <v>0</v>
      </c>
      <c r="U115">
        <v>0</v>
      </c>
      <c r="V115">
        <v>0</v>
      </c>
      <c r="W115" s="4">
        <f t="shared" ref="W115" si="88">W114</f>
        <v>9.79908</v>
      </c>
      <c r="Y115">
        <v>1</v>
      </c>
      <c r="Z115" t="s">
        <v>1</v>
      </c>
      <c r="AA115">
        <v>27456</v>
      </c>
      <c r="AB115">
        <v>96</v>
      </c>
      <c r="AC115">
        <v>2</v>
      </c>
      <c r="AD115">
        <v>8</v>
      </c>
      <c r="AE115">
        <v>1577.9</v>
      </c>
      <c r="AF115" s="3">
        <v>8.7454000000000001</v>
      </c>
      <c r="AG115" s="1">
        <v>45325</v>
      </c>
      <c r="AH115" s="2">
        <v>2.2523148148148143E-2</v>
      </c>
      <c r="AI115">
        <v>0</v>
      </c>
      <c r="AJ115">
        <v>0</v>
      </c>
      <c r="AK115">
        <v>0</v>
      </c>
      <c r="AL115">
        <v>0</v>
      </c>
      <c r="AM115">
        <v>0</v>
      </c>
      <c r="AN115">
        <v>0</v>
      </c>
      <c r="AO115">
        <v>0</v>
      </c>
      <c r="AP115">
        <v>0</v>
      </c>
      <c r="AQ115">
        <v>0</v>
      </c>
      <c r="AR115">
        <v>0</v>
      </c>
      <c r="AS115">
        <v>0</v>
      </c>
      <c r="AT115">
        <v>0</v>
      </c>
      <c r="AU115" s="3">
        <f t="shared" ref="AU115" si="89">AU114</f>
        <v>8.7472600000000007</v>
      </c>
    </row>
    <row r="116" spans="1:47" x14ac:dyDescent="0.25">
      <c r="A116">
        <v>2</v>
      </c>
      <c r="B116" t="s">
        <v>1</v>
      </c>
      <c r="C116">
        <v>27456</v>
      </c>
      <c r="D116">
        <v>96</v>
      </c>
      <c r="E116">
        <v>2</v>
      </c>
      <c r="F116">
        <v>8</v>
      </c>
      <c r="G116">
        <v>1409.33</v>
      </c>
      <c r="H116" s="3">
        <v>9.7913999999999994</v>
      </c>
      <c r="I116" s="1">
        <v>45321</v>
      </c>
      <c r="J116" s="2">
        <v>0.14608796296296298</v>
      </c>
      <c r="K116">
        <v>0</v>
      </c>
      <c r="L116">
        <v>0</v>
      </c>
      <c r="M116">
        <v>0</v>
      </c>
      <c r="N116">
        <v>0</v>
      </c>
      <c r="O116">
        <v>0</v>
      </c>
      <c r="P116">
        <v>0</v>
      </c>
      <c r="Q116">
        <v>0</v>
      </c>
      <c r="R116">
        <v>0</v>
      </c>
      <c r="S116">
        <v>0</v>
      </c>
      <c r="T116">
        <v>0</v>
      </c>
      <c r="U116">
        <v>0</v>
      </c>
      <c r="V116">
        <v>0</v>
      </c>
      <c r="W116" s="4">
        <f t="shared" si="56"/>
        <v>9.79908</v>
      </c>
      <c r="Y116">
        <v>2</v>
      </c>
      <c r="Z116" t="s">
        <v>1</v>
      </c>
      <c r="AA116">
        <v>27456</v>
      </c>
      <c r="AB116">
        <v>96</v>
      </c>
      <c r="AC116">
        <v>2</v>
      </c>
      <c r="AD116">
        <v>8</v>
      </c>
      <c r="AE116">
        <v>1577.38</v>
      </c>
      <c r="AF116" s="3">
        <v>8.7482000000000006</v>
      </c>
      <c r="AG116" s="1">
        <v>45325</v>
      </c>
      <c r="AH116" s="2">
        <v>0.94240740740740747</v>
      </c>
      <c r="AI116">
        <v>0</v>
      </c>
      <c r="AJ116">
        <v>0</v>
      </c>
      <c r="AK116">
        <v>0</v>
      </c>
      <c r="AL116">
        <v>0</v>
      </c>
      <c r="AM116">
        <v>0</v>
      </c>
      <c r="AN116">
        <v>0</v>
      </c>
      <c r="AO116">
        <v>0</v>
      </c>
      <c r="AP116">
        <v>0</v>
      </c>
      <c r="AQ116">
        <v>0</v>
      </c>
      <c r="AR116">
        <v>0</v>
      </c>
      <c r="AS116">
        <v>0</v>
      </c>
      <c r="AT116">
        <v>0</v>
      </c>
      <c r="AU116" s="3">
        <f t="shared" si="57"/>
        <v>8.7472600000000007</v>
      </c>
    </row>
    <row r="117" spans="1:47" x14ac:dyDescent="0.25">
      <c r="A117">
        <v>3</v>
      </c>
      <c r="B117" t="s">
        <v>1</v>
      </c>
      <c r="C117">
        <v>27456</v>
      </c>
      <c r="D117">
        <v>96</v>
      </c>
      <c r="E117">
        <v>2</v>
      </c>
      <c r="F117">
        <v>8</v>
      </c>
      <c r="G117">
        <v>1406.17</v>
      </c>
      <c r="H117" s="3">
        <v>9.8133999999999997</v>
      </c>
      <c r="I117" s="1">
        <v>45321</v>
      </c>
      <c r="J117" s="2">
        <v>0.98815972222222215</v>
      </c>
      <c r="K117">
        <v>0</v>
      </c>
      <c r="L117">
        <v>0</v>
      </c>
      <c r="M117">
        <v>0</v>
      </c>
      <c r="N117">
        <v>0</v>
      </c>
      <c r="O117">
        <v>0</v>
      </c>
      <c r="P117">
        <v>0</v>
      </c>
      <c r="Q117">
        <v>0</v>
      </c>
      <c r="R117">
        <v>0</v>
      </c>
      <c r="S117">
        <v>0</v>
      </c>
      <c r="T117">
        <v>0</v>
      </c>
      <c r="U117">
        <v>0</v>
      </c>
      <c r="V117">
        <v>0</v>
      </c>
      <c r="W117" s="4">
        <f t="shared" si="56"/>
        <v>9.79908</v>
      </c>
      <c r="Y117">
        <v>3</v>
      </c>
      <c r="Z117" t="s">
        <v>1</v>
      </c>
      <c r="AA117">
        <v>27456</v>
      </c>
      <c r="AB117">
        <v>96</v>
      </c>
      <c r="AC117">
        <v>2</v>
      </c>
      <c r="AD117">
        <v>8</v>
      </c>
      <c r="AE117">
        <v>1578.12</v>
      </c>
      <c r="AF117" s="3">
        <v>8.7440999999999995</v>
      </c>
      <c r="AG117" s="1">
        <v>45326</v>
      </c>
      <c r="AH117" s="2">
        <v>0.86232638888888891</v>
      </c>
      <c r="AI117">
        <v>0</v>
      </c>
      <c r="AJ117">
        <v>0</v>
      </c>
      <c r="AK117">
        <v>0</v>
      </c>
      <c r="AL117">
        <v>0</v>
      </c>
      <c r="AM117">
        <v>0</v>
      </c>
      <c r="AN117">
        <v>0</v>
      </c>
      <c r="AO117">
        <v>0</v>
      </c>
      <c r="AP117">
        <v>0</v>
      </c>
      <c r="AQ117">
        <v>0</v>
      </c>
      <c r="AR117">
        <v>0</v>
      </c>
      <c r="AS117">
        <v>0</v>
      </c>
      <c r="AT117">
        <v>0</v>
      </c>
      <c r="AU117" s="3">
        <f t="shared" si="57"/>
        <v>8.7472600000000007</v>
      </c>
    </row>
    <row r="118" spans="1:47" x14ac:dyDescent="0.25">
      <c r="A118">
        <v>4</v>
      </c>
      <c r="B118" t="s">
        <v>1</v>
      </c>
      <c r="C118">
        <v>27456</v>
      </c>
      <c r="D118">
        <v>96</v>
      </c>
      <c r="E118">
        <v>2</v>
      </c>
      <c r="F118">
        <v>8</v>
      </c>
      <c r="G118">
        <v>1407.57</v>
      </c>
      <c r="H118" s="3">
        <v>9.8035999999999994</v>
      </c>
      <c r="I118" s="1">
        <v>45322</v>
      </c>
      <c r="J118" s="2">
        <v>0.83075231481481471</v>
      </c>
      <c r="K118">
        <v>0</v>
      </c>
      <c r="L118">
        <v>0</v>
      </c>
      <c r="M118">
        <v>0</v>
      </c>
      <c r="N118">
        <v>0</v>
      </c>
      <c r="O118">
        <v>0</v>
      </c>
      <c r="P118">
        <v>0</v>
      </c>
      <c r="Q118">
        <v>0</v>
      </c>
      <c r="R118">
        <v>0</v>
      </c>
      <c r="S118">
        <v>0</v>
      </c>
      <c r="T118">
        <v>0</v>
      </c>
      <c r="U118">
        <v>0</v>
      </c>
      <c r="V118">
        <v>0</v>
      </c>
      <c r="W118" s="4">
        <f t="shared" si="56"/>
        <v>9.79908</v>
      </c>
      <c r="Y118">
        <v>4</v>
      </c>
      <c r="Z118" t="s">
        <v>1</v>
      </c>
      <c r="AA118">
        <v>27456</v>
      </c>
      <c r="AB118">
        <v>96</v>
      </c>
      <c r="AC118">
        <v>2</v>
      </c>
      <c r="AD118">
        <v>8</v>
      </c>
      <c r="AE118">
        <v>1577.06</v>
      </c>
      <c r="AF118" s="3">
        <v>8.75</v>
      </c>
      <c r="AG118" s="1">
        <v>45327</v>
      </c>
      <c r="AH118" s="2">
        <v>0.78215277777777781</v>
      </c>
      <c r="AI118">
        <v>0</v>
      </c>
      <c r="AJ118">
        <v>0</v>
      </c>
      <c r="AK118">
        <v>0</v>
      </c>
      <c r="AL118">
        <v>0</v>
      </c>
      <c r="AM118">
        <v>0</v>
      </c>
      <c r="AN118">
        <v>0</v>
      </c>
      <c r="AO118">
        <v>0</v>
      </c>
      <c r="AP118">
        <v>0</v>
      </c>
      <c r="AQ118">
        <v>0</v>
      </c>
      <c r="AR118">
        <v>0</v>
      </c>
      <c r="AS118">
        <v>0</v>
      </c>
      <c r="AT118">
        <v>0</v>
      </c>
      <c r="AU118" s="3">
        <f t="shared" si="57"/>
        <v>8.7472600000000007</v>
      </c>
    </row>
    <row r="119" spans="1:47" x14ac:dyDescent="0.25">
      <c r="A119">
        <v>0</v>
      </c>
      <c r="B119" t="s">
        <v>1</v>
      </c>
      <c r="C119">
        <v>28992</v>
      </c>
      <c r="D119">
        <v>96</v>
      </c>
      <c r="E119">
        <v>2</v>
      </c>
      <c r="F119">
        <v>8</v>
      </c>
      <c r="G119">
        <v>1647.69</v>
      </c>
      <c r="H119" s="3">
        <v>9.8605999999999998</v>
      </c>
      <c r="I119" s="1">
        <v>45320</v>
      </c>
      <c r="J119" s="2">
        <v>1.3391203703703704E-2</v>
      </c>
      <c r="K119">
        <v>0</v>
      </c>
      <c r="L119">
        <v>0</v>
      </c>
      <c r="M119">
        <v>0</v>
      </c>
      <c r="N119">
        <v>0</v>
      </c>
      <c r="O119">
        <v>0</v>
      </c>
      <c r="P119">
        <v>0</v>
      </c>
      <c r="Q119">
        <v>0</v>
      </c>
      <c r="R119">
        <v>0</v>
      </c>
      <c r="S119">
        <v>0</v>
      </c>
      <c r="T119">
        <v>0</v>
      </c>
      <c r="U119">
        <v>0</v>
      </c>
      <c r="V119">
        <v>0</v>
      </c>
      <c r="W119" s="4">
        <f t="shared" ref="W119" si="90">AVERAGE(H119:H123)</f>
        <v>9.8691600000000008</v>
      </c>
      <c r="Y119">
        <v>0</v>
      </c>
      <c r="Z119" t="s">
        <v>1</v>
      </c>
      <c r="AA119">
        <v>28992</v>
      </c>
      <c r="AB119">
        <v>96</v>
      </c>
      <c r="AC119">
        <v>2</v>
      </c>
      <c r="AD119">
        <v>8</v>
      </c>
      <c r="AE119">
        <v>1847.14</v>
      </c>
      <c r="AF119" s="3">
        <v>8.7957999999999998</v>
      </c>
      <c r="AG119" s="1">
        <v>45324</v>
      </c>
      <c r="AH119" s="2">
        <v>0.70834490740740741</v>
      </c>
      <c r="AI119">
        <v>0</v>
      </c>
      <c r="AJ119">
        <v>0</v>
      </c>
      <c r="AK119">
        <v>0</v>
      </c>
      <c r="AL119">
        <v>0</v>
      </c>
      <c r="AM119">
        <v>0</v>
      </c>
      <c r="AN119">
        <v>0</v>
      </c>
      <c r="AO119">
        <v>0</v>
      </c>
      <c r="AP119">
        <v>0</v>
      </c>
      <c r="AQ119">
        <v>0</v>
      </c>
      <c r="AR119">
        <v>0</v>
      </c>
      <c r="AS119">
        <v>0</v>
      </c>
      <c r="AT119">
        <v>0</v>
      </c>
      <c r="AU119" s="3">
        <f t="shared" ref="AU119" si="91">AVERAGE(AF119:AF123)</f>
        <v>8.7934599999999996</v>
      </c>
    </row>
    <row r="120" spans="1:47" x14ac:dyDescent="0.25">
      <c r="A120">
        <v>1</v>
      </c>
      <c r="B120" t="s">
        <v>1</v>
      </c>
      <c r="C120">
        <v>28992</v>
      </c>
      <c r="D120">
        <v>96</v>
      </c>
      <c r="E120">
        <v>2</v>
      </c>
      <c r="F120">
        <v>8</v>
      </c>
      <c r="G120">
        <v>1644.77</v>
      </c>
      <c r="H120" s="3">
        <v>9.8780999999999999</v>
      </c>
      <c r="I120" s="1">
        <v>45320</v>
      </c>
      <c r="J120" s="2">
        <v>0.85462962962962974</v>
      </c>
      <c r="K120">
        <v>0</v>
      </c>
      <c r="L120">
        <v>0</v>
      </c>
      <c r="M120">
        <v>0</v>
      </c>
      <c r="N120">
        <v>0</v>
      </c>
      <c r="O120">
        <v>0</v>
      </c>
      <c r="P120">
        <v>0</v>
      </c>
      <c r="Q120">
        <v>0</v>
      </c>
      <c r="R120">
        <v>0</v>
      </c>
      <c r="S120">
        <v>0</v>
      </c>
      <c r="T120">
        <v>0</v>
      </c>
      <c r="U120">
        <v>0</v>
      </c>
      <c r="V120">
        <v>0</v>
      </c>
      <c r="W120" s="4">
        <f t="shared" ref="W120" si="92">W119</f>
        <v>9.8691600000000008</v>
      </c>
      <c r="Y120">
        <v>1</v>
      </c>
      <c r="Z120" t="s">
        <v>1</v>
      </c>
      <c r="AA120">
        <v>28992</v>
      </c>
      <c r="AB120">
        <v>96</v>
      </c>
      <c r="AC120">
        <v>2</v>
      </c>
      <c r="AD120">
        <v>8</v>
      </c>
      <c r="AE120">
        <v>1847.3</v>
      </c>
      <c r="AF120" s="3">
        <v>8.7950999999999997</v>
      </c>
      <c r="AG120" s="1">
        <v>45325</v>
      </c>
      <c r="AH120" s="2">
        <v>0.62314814814814812</v>
      </c>
      <c r="AI120">
        <v>0</v>
      </c>
      <c r="AJ120">
        <v>0</v>
      </c>
      <c r="AK120">
        <v>0</v>
      </c>
      <c r="AL120">
        <v>0</v>
      </c>
      <c r="AM120">
        <v>0</v>
      </c>
      <c r="AN120">
        <v>0</v>
      </c>
      <c r="AO120">
        <v>0</v>
      </c>
      <c r="AP120">
        <v>0</v>
      </c>
      <c r="AQ120">
        <v>0</v>
      </c>
      <c r="AR120">
        <v>0</v>
      </c>
      <c r="AS120">
        <v>0</v>
      </c>
      <c r="AT120">
        <v>0</v>
      </c>
      <c r="AU120" s="3">
        <f t="shared" ref="AU120" si="93">AU119</f>
        <v>8.7934599999999996</v>
      </c>
    </row>
    <row r="121" spans="1:47" x14ac:dyDescent="0.25">
      <c r="A121">
        <v>2</v>
      </c>
      <c r="B121" t="s">
        <v>1</v>
      </c>
      <c r="C121">
        <v>28992</v>
      </c>
      <c r="D121">
        <v>96</v>
      </c>
      <c r="E121">
        <v>2</v>
      </c>
      <c r="F121">
        <v>8</v>
      </c>
      <c r="G121">
        <v>1648.04</v>
      </c>
      <c r="H121" s="3">
        <v>9.8584999999999994</v>
      </c>
      <c r="I121" s="1">
        <v>45321</v>
      </c>
      <c r="J121" s="2">
        <v>0.69693287037037033</v>
      </c>
      <c r="K121">
        <v>0</v>
      </c>
      <c r="L121">
        <v>0</v>
      </c>
      <c r="M121">
        <v>0</v>
      </c>
      <c r="N121">
        <v>0</v>
      </c>
      <c r="O121">
        <v>0</v>
      </c>
      <c r="P121">
        <v>0</v>
      </c>
      <c r="Q121">
        <v>0</v>
      </c>
      <c r="R121">
        <v>0</v>
      </c>
      <c r="S121">
        <v>0</v>
      </c>
      <c r="T121">
        <v>0</v>
      </c>
      <c r="U121">
        <v>0</v>
      </c>
      <c r="V121">
        <v>0</v>
      </c>
      <c r="W121" s="4">
        <f t="shared" si="56"/>
        <v>9.8691600000000008</v>
      </c>
      <c r="Y121">
        <v>2</v>
      </c>
      <c r="Z121" t="s">
        <v>1</v>
      </c>
      <c r="AA121">
        <v>28992</v>
      </c>
      <c r="AB121">
        <v>96</v>
      </c>
      <c r="AC121">
        <v>2</v>
      </c>
      <c r="AD121">
        <v>8</v>
      </c>
      <c r="AE121">
        <v>1847.9</v>
      </c>
      <c r="AF121" s="3">
        <v>8.7921999999999993</v>
      </c>
      <c r="AG121" s="1">
        <v>45326</v>
      </c>
      <c r="AH121" s="2">
        <v>0.54334490740740737</v>
      </c>
      <c r="AI121">
        <v>0</v>
      </c>
      <c r="AJ121">
        <v>0</v>
      </c>
      <c r="AK121">
        <v>0</v>
      </c>
      <c r="AL121">
        <v>0</v>
      </c>
      <c r="AM121">
        <v>0</v>
      </c>
      <c r="AN121">
        <v>0</v>
      </c>
      <c r="AO121">
        <v>0</v>
      </c>
      <c r="AP121">
        <v>0</v>
      </c>
      <c r="AQ121">
        <v>0</v>
      </c>
      <c r="AR121">
        <v>0</v>
      </c>
      <c r="AS121">
        <v>0</v>
      </c>
      <c r="AT121">
        <v>0</v>
      </c>
      <c r="AU121" s="3">
        <f t="shared" si="57"/>
        <v>8.7934599999999996</v>
      </c>
    </row>
    <row r="122" spans="1:47" x14ac:dyDescent="0.25">
      <c r="A122">
        <v>3</v>
      </c>
      <c r="B122" t="s">
        <v>1</v>
      </c>
      <c r="C122">
        <v>28992</v>
      </c>
      <c r="D122">
        <v>96</v>
      </c>
      <c r="E122">
        <v>2</v>
      </c>
      <c r="F122">
        <v>8</v>
      </c>
      <c r="G122">
        <v>1648.62</v>
      </c>
      <c r="H122" s="3">
        <v>9.8550000000000004</v>
      </c>
      <c r="I122" s="1">
        <v>45322</v>
      </c>
      <c r="J122" s="2">
        <v>0.53930555555555559</v>
      </c>
      <c r="K122">
        <v>0</v>
      </c>
      <c r="L122">
        <v>0</v>
      </c>
      <c r="M122">
        <v>0</v>
      </c>
      <c r="N122">
        <v>0</v>
      </c>
      <c r="O122">
        <v>0</v>
      </c>
      <c r="P122">
        <v>0</v>
      </c>
      <c r="Q122">
        <v>0</v>
      </c>
      <c r="R122">
        <v>0</v>
      </c>
      <c r="S122">
        <v>0</v>
      </c>
      <c r="T122">
        <v>0</v>
      </c>
      <c r="U122">
        <v>0</v>
      </c>
      <c r="V122">
        <v>0</v>
      </c>
      <c r="W122" s="4">
        <f t="shared" si="56"/>
        <v>9.8691600000000008</v>
      </c>
      <c r="Y122">
        <v>3</v>
      </c>
      <c r="Z122" t="s">
        <v>1</v>
      </c>
      <c r="AA122">
        <v>28992</v>
      </c>
      <c r="AB122">
        <v>96</v>
      </c>
      <c r="AC122">
        <v>2</v>
      </c>
      <c r="AD122">
        <v>8</v>
      </c>
      <c r="AE122">
        <v>1847.61</v>
      </c>
      <c r="AF122" s="3">
        <v>8.7935999999999996</v>
      </c>
      <c r="AG122" s="1">
        <v>45327</v>
      </c>
      <c r="AH122" s="2">
        <v>0.46361111111111114</v>
      </c>
      <c r="AI122">
        <v>0</v>
      </c>
      <c r="AJ122">
        <v>0</v>
      </c>
      <c r="AK122">
        <v>0</v>
      </c>
      <c r="AL122">
        <v>0</v>
      </c>
      <c r="AM122">
        <v>0</v>
      </c>
      <c r="AN122">
        <v>0</v>
      </c>
      <c r="AO122">
        <v>0</v>
      </c>
      <c r="AP122">
        <v>0</v>
      </c>
      <c r="AQ122">
        <v>0</v>
      </c>
      <c r="AR122">
        <v>0</v>
      </c>
      <c r="AS122">
        <v>0</v>
      </c>
      <c r="AT122">
        <v>0</v>
      </c>
      <c r="AU122" s="3">
        <f t="shared" si="57"/>
        <v>8.7934599999999996</v>
      </c>
    </row>
    <row r="123" spans="1:47" x14ac:dyDescent="0.25">
      <c r="A123">
        <v>4</v>
      </c>
      <c r="B123" t="s">
        <v>1</v>
      </c>
      <c r="C123">
        <v>28992</v>
      </c>
      <c r="D123">
        <v>96</v>
      </c>
      <c r="E123">
        <v>2</v>
      </c>
      <c r="F123">
        <v>8</v>
      </c>
      <c r="G123">
        <v>1642.18</v>
      </c>
      <c r="H123" s="3">
        <v>9.8935999999999993</v>
      </c>
      <c r="I123" s="1">
        <v>45323</v>
      </c>
      <c r="J123" s="2">
        <v>0.38180555555555556</v>
      </c>
      <c r="K123">
        <v>0</v>
      </c>
      <c r="L123">
        <v>0</v>
      </c>
      <c r="M123">
        <v>0</v>
      </c>
      <c r="N123">
        <v>0</v>
      </c>
      <c r="O123">
        <v>0</v>
      </c>
      <c r="P123">
        <v>0</v>
      </c>
      <c r="Q123">
        <v>0</v>
      </c>
      <c r="R123">
        <v>0</v>
      </c>
      <c r="S123">
        <v>0</v>
      </c>
      <c r="T123">
        <v>0</v>
      </c>
      <c r="U123">
        <v>0</v>
      </c>
      <c r="V123">
        <v>0</v>
      </c>
      <c r="W123" s="4">
        <f t="shared" si="56"/>
        <v>9.8691600000000008</v>
      </c>
      <c r="Y123">
        <v>4</v>
      </c>
      <c r="Z123" t="s">
        <v>1</v>
      </c>
      <c r="AA123">
        <v>28992</v>
      </c>
      <c r="AB123">
        <v>96</v>
      </c>
      <c r="AC123">
        <v>2</v>
      </c>
      <c r="AD123">
        <v>8</v>
      </c>
      <c r="AE123">
        <v>1848.24</v>
      </c>
      <c r="AF123" s="3">
        <v>8.7905999999999995</v>
      </c>
      <c r="AG123" s="1">
        <v>45328</v>
      </c>
      <c r="AH123" s="2">
        <v>0.38314814814814818</v>
      </c>
      <c r="AI123">
        <v>0</v>
      </c>
      <c r="AJ123">
        <v>0</v>
      </c>
      <c r="AK123">
        <v>0</v>
      </c>
      <c r="AL123">
        <v>0</v>
      </c>
      <c r="AM123">
        <v>0</v>
      </c>
      <c r="AN123">
        <v>0</v>
      </c>
      <c r="AO123">
        <v>0</v>
      </c>
      <c r="AP123">
        <v>0</v>
      </c>
      <c r="AQ123">
        <v>0</v>
      </c>
      <c r="AR123">
        <v>0</v>
      </c>
      <c r="AS123">
        <v>0</v>
      </c>
      <c r="AT123">
        <v>0</v>
      </c>
      <c r="AU123" s="3">
        <f t="shared" si="57"/>
        <v>8.7934599999999996</v>
      </c>
    </row>
    <row r="124" spans="1:47" x14ac:dyDescent="0.25">
      <c r="A124">
        <v>0</v>
      </c>
      <c r="B124" t="s">
        <v>1</v>
      </c>
      <c r="C124">
        <v>25920</v>
      </c>
      <c r="D124">
        <v>96</v>
      </c>
      <c r="E124">
        <v>4</v>
      </c>
      <c r="F124">
        <v>4</v>
      </c>
      <c r="G124">
        <v>1205.3599999999999</v>
      </c>
      <c r="H124" s="3">
        <v>9.6324000000000005</v>
      </c>
      <c r="I124" s="1">
        <v>45319</v>
      </c>
      <c r="J124" s="2">
        <v>0.72704861111111108</v>
      </c>
      <c r="K124">
        <v>0</v>
      </c>
      <c r="L124">
        <v>0</v>
      </c>
      <c r="M124">
        <v>0</v>
      </c>
      <c r="N124">
        <v>0</v>
      </c>
      <c r="O124">
        <v>0</v>
      </c>
      <c r="P124">
        <v>0</v>
      </c>
      <c r="Q124">
        <v>0</v>
      </c>
      <c r="R124">
        <v>0</v>
      </c>
      <c r="S124">
        <v>0</v>
      </c>
      <c r="T124">
        <v>0</v>
      </c>
      <c r="U124">
        <v>0</v>
      </c>
      <c r="V124">
        <v>0</v>
      </c>
      <c r="W124" s="4">
        <f t="shared" ref="W124" si="94">AVERAGE(H124:H128)</f>
        <v>9.5786800000000003</v>
      </c>
      <c r="Y124">
        <v>0</v>
      </c>
      <c r="Z124" t="s">
        <v>1</v>
      </c>
      <c r="AA124">
        <v>25920</v>
      </c>
      <c r="AB124">
        <v>96</v>
      </c>
      <c r="AC124">
        <v>4</v>
      </c>
      <c r="AD124">
        <v>4</v>
      </c>
      <c r="AE124">
        <v>1333.54</v>
      </c>
      <c r="AF124" s="3">
        <v>8.7065000000000001</v>
      </c>
      <c r="AG124" s="1">
        <v>45324</v>
      </c>
      <c r="AH124" s="2">
        <v>0.40636574074074078</v>
      </c>
      <c r="AI124">
        <v>0</v>
      </c>
      <c r="AJ124">
        <v>0</v>
      </c>
      <c r="AK124">
        <v>0</v>
      </c>
      <c r="AL124">
        <v>0</v>
      </c>
      <c r="AM124">
        <v>0</v>
      </c>
      <c r="AN124">
        <v>0</v>
      </c>
      <c r="AO124">
        <v>0</v>
      </c>
      <c r="AP124">
        <v>0</v>
      </c>
      <c r="AQ124">
        <v>0</v>
      </c>
      <c r="AR124">
        <v>0</v>
      </c>
      <c r="AS124">
        <v>0</v>
      </c>
      <c r="AT124">
        <v>0</v>
      </c>
      <c r="AU124" s="3">
        <f t="shared" ref="AU124" si="95">AVERAGE(AF124:AF128)</f>
        <v>8.6922999999999995</v>
      </c>
    </row>
    <row r="125" spans="1:47" x14ac:dyDescent="0.25">
      <c r="A125">
        <v>1</v>
      </c>
      <c r="B125" t="s">
        <v>1</v>
      </c>
      <c r="C125">
        <v>25920</v>
      </c>
      <c r="D125">
        <v>96</v>
      </c>
      <c r="E125">
        <v>4</v>
      </c>
      <c r="F125">
        <v>4</v>
      </c>
      <c r="G125">
        <v>1201.55</v>
      </c>
      <c r="H125" s="3">
        <v>9.6629000000000005</v>
      </c>
      <c r="I125" s="1">
        <v>45320</v>
      </c>
      <c r="J125" s="2">
        <v>0.56822916666666667</v>
      </c>
      <c r="K125">
        <v>0</v>
      </c>
      <c r="L125">
        <v>0</v>
      </c>
      <c r="M125">
        <v>0</v>
      </c>
      <c r="N125">
        <v>0</v>
      </c>
      <c r="O125">
        <v>0</v>
      </c>
      <c r="P125">
        <v>0</v>
      </c>
      <c r="Q125">
        <v>0</v>
      </c>
      <c r="R125">
        <v>0</v>
      </c>
      <c r="S125">
        <v>0</v>
      </c>
      <c r="T125">
        <v>0</v>
      </c>
      <c r="U125">
        <v>0</v>
      </c>
      <c r="V125">
        <v>0</v>
      </c>
      <c r="W125" s="4">
        <f t="shared" ref="W125" si="96">W124</f>
        <v>9.5786800000000003</v>
      </c>
      <c r="Y125">
        <v>1</v>
      </c>
      <c r="Z125" t="s">
        <v>1</v>
      </c>
      <c r="AA125">
        <v>25920</v>
      </c>
      <c r="AB125">
        <v>96</v>
      </c>
      <c r="AC125">
        <v>4</v>
      </c>
      <c r="AD125">
        <v>4</v>
      </c>
      <c r="AE125">
        <v>1333.77</v>
      </c>
      <c r="AF125" s="3">
        <v>8.7050000000000001</v>
      </c>
      <c r="AG125" s="1">
        <v>45325</v>
      </c>
      <c r="AH125" s="2">
        <v>0.31097222222222221</v>
      </c>
      <c r="AI125">
        <v>0</v>
      </c>
      <c r="AJ125">
        <v>0</v>
      </c>
      <c r="AK125">
        <v>0</v>
      </c>
      <c r="AL125">
        <v>0</v>
      </c>
      <c r="AM125">
        <v>0</v>
      </c>
      <c r="AN125">
        <v>0</v>
      </c>
      <c r="AO125">
        <v>0</v>
      </c>
      <c r="AP125">
        <v>0</v>
      </c>
      <c r="AQ125">
        <v>0</v>
      </c>
      <c r="AR125">
        <v>0</v>
      </c>
      <c r="AS125">
        <v>0</v>
      </c>
      <c r="AT125">
        <v>0</v>
      </c>
      <c r="AU125" s="3">
        <f t="shared" ref="AU125" si="97">AU124</f>
        <v>8.6922999999999995</v>
      </c>
    </row>
    <row r="126" spans="1:47" x14ac:dyDescent="0.25">
      <c r="A126">
        <v>2</v>
      </c>
      <c r="B126" t="s">
        <v>1</v>
      </c>
      <c r="C126">
        <v>25920</v>
      </c>
      <c r="D126">
        <v>96</v>
      </c>
      <c r="E126">
        <v>4</v>
      </c>
      <c r="F126">
        <v>4</v>
      </c>
      <c r="G126">
        <v>1223.3399999999999</v>
      </c>
      <c r="H126" s="3">
        <v>9.4908000000000001</v>
      </c>
      <c r="I126" s="1">
        <v>45321</v>
      </c>
      <c r="J126" s="2">
        <v>0.41038194444444448</v>
      </c>
      <c r="K126">
        <v>0</v>
      </c>
      <c r="L126">
        <v>0</v>
      </c>
      <c r="M126">
        <v>0</v>
      </c>
      <c r="N126">
        <v>0</v>
      </c>
      <c r="O126">
        <v>0</v>
      </c>
      <c r="P126">
        <v>0</v>
      </c>
      <c r="Q126">
        <v>0</v>
      </c>
      <c r="R126">
        <v>0</v>
      </c>
      <c r="S126">
        <v>0</v>
      </c>
      <c r="T126">
        <v>0</v>
      </c>
      <c r="U126">
        <v>0</v>
      </c>
      <c r="V126">
        <v>0</v>
      </c>
      <c r="W126" s="4">
        <f t="shared" si="56"/>
        <v>9.5786800000000003</v>
      </c>
      <c r="Y126">
        <v>2</v>
      </c>
      <c r="Z126" t="s">
        <v>1</v>
      </c>
      <c r="AA126">
        <v>25920</v>
      </c>
      <c r="AB126">
        <v>96</v>
      </c>
      <c r="AC126">
        <v>4</v>
      </c>
      <c r="AD126">
        <v>4</v>
      </c>
      <c r="AE126">
        <v>1332.8</v>
      </c>
      <c r="AF126" s="3">
        <v>8.7113999999999994</v>
      </c>
      <c r="AG126" s="1">
        <v>45326</v>
      </c>
      <c r="AH126" s="2">
        <v>0.23121527777777776</v>
      </c>
      <c r="AI126">
        <v>0</v>
      </c>
      <c r="AJ126">
        <v>0</v>
      </c>
      <c r="AK126">
        <v>0</v>
      </c>
      <c r="AL126">
        <v>0</v>
      </c>
      <c r="AM126">
        <v>0</v>
      </c>
      <c r="AN126">
        <v>0</v>
      </c>
      <c r="AO126">
        <v>0</v>
      </c>
      <c r="AP126">
        <v>0</v>
      </c>
      <c r="AQ126">
        <v>0</v>
      </c>
      <c r="AR126">
        <v>0</v>
      </c>
      <c r="AS126">
        <v>0</v>
      </c>
      <c r="AT126">
        <v>0</v>
      </c>
      <c r="AU126" s="3">
        <f t="shared" si="57"/>
        <v>8.6922999999999995</v>
      </c>
    </row>
    <row r="127" spans="1:47" x14ac:dyDescent="0.25">
      <c r="A127">
        <v>3</v>
      </c>
      <c r="B127" t="s">
        <v>1</v>
      </c>
      <c r="C127">
        <v>25920</v>
      </c>
      <c r="D127">
        <v>96</v>
      </c>
      <c r="E127">
        <v>4</v>
      </c>
      <c r="F127">
        <v>4</v>
      </c>
      <c r="G127">
        <v>1212.95</v>
      </c>
      <c r="H127" s="3">
        <v>9.5721000000000007</v>
      </c>
      <c r="I127" s="1">
        <v>45322</v>
      </c>
      <c r="J127" s="2">
        <v>0.25254629629629627</v>
      </c>
      <c r="K127">
        <v>0</v>
      </c>
      <c r="L127">
        <v>0</v>
      </c>
      <c r="M127">
        <v>0</v>
      </c>
      <c r="N127">
        <v>0</v>
      </c>
      <c r="O127">
        <v>0</v>
      </c>
      <c r="P127">
        <v>0</v>
      </c>
      <c r="Q127">
        <v>0</v>
      </c>
      <c r="R127">
        <v>0</v>
      </c>
      <c r="S127">
        <v>0</v>
      </c>
      <c r="T127">
        <v>0</v>
      </c>
      <c r="U127">
        <v>0</v>
      </c>
      <c r="V127">
        <v>0</v>
      </c>
      <c r="W127" s="4">
        <f t="shared" si="56"/>
        <v>9.5786800000000003</v>
      </c>
      <c r="Y127">
        <v>3</v>
      </c>
      <c r="Z127" t="s">
        <v>1</v>
      </c>
      <c r="AA127">
        <v>25920</v>
      </c>
      <c r="AB127">
        <v>96</v>
      </c>
      <c r="AC127">
        <v>4</v>
      </c>
      <c r="AD127">
        <v>4</v>
      </c>
      <c r="AE127">
        <v>1345.92</v>
      </c>
      <c r="AF127" s="3">
        <v>8.6265000000000001</v>
      </c>
      <c r="AG127" s="1">
        <v>45327</v>
      </c>
      <c r="AH127" s="2">
        <v>0.15086805555555557</v>
      </c>
      <c r="AI127">
        <v>0</v>
      </c>
      <c r="AJ127">
        <v>0</v>
      </c>
      <c r="AK127">
        <v>0</v>
      </c>
      <c r="AL127">
        <v>0</v>
      </c>
      <c r="AM127">
        <v>0</v>
      </c>
      <c r="AN127">
        <v>0</v>
      </c>
      <c r="AO127">
        <v>0</v>
      </c>
      <c r="AP127">
        <v>0</v>
      </c>
      <c r="AQ127">
        <v>0</v>
      </c>
      <c r="AR127">
        <v>0</v>
      </c>
      <c r="AS127">
        <v>0</v>
      </c>
      <c r="AT127">
        <v>0</v>
      </c>
      <c r="AU127" s="3">
        <f t="shared" si="57"/>
        <v>8.6922999999999995</v>
      </c>
    </row>
    <row r="128" spans="1:47" x14ac:dyDescent="0.25">
      <c r="A128">
        <v>4</v>
      </c>
      <c r="B128" t="s">
        <v>1</v>
      </c>
      <c r="C128">
        <v>25920</v>
      </c>
      <c r="D128">
        <v>96</v>
      </c>
      <c r="E128">
        <v>4</v>
      </c>
      <c r="F128">
        <v>4</v>
      </c>
      <c r="G128">
        <v>1217.6500000000001</v>
      </c>
      <c r="H128" s="3">
        <v>9.5351999999999997</v>
      </c>
      <c r="I128" s="1">
        <v>45323</v>
      </c>
      <c r="J128" s="2">
        <v>9.5173611111111112E-2</v>
      </c>
      <c r="K128">
        <v>0</v>
      </c>
      <c r="L128">
        <v>0</v>
      </c>
      <c r="M128">
        <v>0</v>
      </c>
      <c r="N128">
        <v>0</v>
      </c>
      <c r="O128">
        <v>0</v>
      </c>
      <c r="P128">
        <v>0</v>
      </c>
      <c r="Q128">
        <v>0</v>
      </c>
      <c r="R128">
        <v>0</v>
      </c>
      <c r="S128">
        <v>0</v>
      </c>
      <c r="T128">
        <v>0</v>
      </c>
      <c r="U128">
        <v>0</v>
      </c>
      <c r="V128">
        <v>0</v>
      </c>
      <c r="W128" s="4">
        <f t="shared" si="56"/>
        <v>9.5786800000000003</v>
      </c>
      <c r="Y128">
        <v>4</v>
      </c>
      <c r="Z128" t="s">
        <v>1</v>
      </c>
      <c r="AA128">
        <v>25920</v>
      </c>
      <c r="AB128">
        <v>96</v>
      </c>
      <c r="AC128">
        <v>4</v>
      </c>
      <c r="AD128">
        <v>4</v>
      </c>
      <c r="AE128">
        <v>1332.69</v>
      </c>
      <c r="AF128" s="3">
        <v>8.7120999999999995</v>
      </c>
      <c r="AG128" s="1">
        <v>45328</v>
      </c>
      <c r="AH128" s="2">
        <v>7.0625000000000007E-2</v>
      </c>
      <c r="AI128">
        <v>0</v>
      </c>
      <c r="AJ128">
        <v>0</v>
      </c>
      <c r="AK128">
        <v>0</v>
      </c>
      <c r="AL128">
        <v>0</v>
      </c>
      <c r="AM128">
        <v>0</v>
      </c>
      <c r="AN128">
        <v>0</v>
      </c>
      <c r="AO128">
        <v>0</v>
      </c>
      <c r="AP128">
        <v>0</v>
      </c>
      <c r="AQ128">
        <v>0</v>
      </c>
      <c r="AR128">
        <v>0</v>
      </c>
      <c r="AS128">
        <v>0</v>
      </c>
      <c r="AT128">
        <v>0</v>
      </c>
      <c r="AU128" s="3">
        <f t="shared" si="57"/>
        <v>8.6922999999999995</v>
      </c>
    </row>
    <row r="129" spans="1:47" x14ac:dyDescent="0.25">
      <c r="A129">
        <v>0</v>
      </c>
      <c r="B129" t="s">
        <v>1</v>
      </c>
      <c r="C129">
        <v>27456</v>
      </c>
      <c r="D129">
        <v>96</v>
      </c>
      <c r="E129">
        <v>4</v>
      </c>
      <c r="F129">
        <v>4</v>
      </c>
      <c r="G129">
        <v>1420.25</v>
      </c>
      <c r="H129" s="3">
        <v>9.7161000000000008</v>
      </c>
      <c r="I129" s="1">
        <v>45319</v>
      </c>
      <c r="J129" s="2">
        <v>0.48145833333333332</v>
      </c>
      <c r="K129">
        <v>0</v>
      </c>
      <c r="L129">
        <v>0</v>
      </c>
      <c r="M129">
        <v>0</v>
      </c>
      <c r="N129">
        <v>0</v>
      </c>
      <c r="O129">
        <v>0</v>
      </c>
      <c r="P129">
        <v>0</v>
      </c>
      <c r="Q129">
        <v>0</v>
      </c>
      <c r="R129">
        <v>0</v>
      </c>
      <c r="S129">
        <v>0</v>
      </c>
      <c r="T129">
        <v>0</v>
      </c>
      <c r="U129">
        <v>0</v>
      </c>
      <c r="V129">
        <v>0</v>
      </c>
      <c r="W129" s="4">
        <f t="shared" ref="W129" si="98">AVERAGE(H129:H133)</f>
        <v>9.7294199999999993</v>
      </c>
      <c r="Y129">
        <v>0</v>
      </c>
      <c r="Z129" t="s">
        <v>1</v>
      </c>
      <c r="AA129">
        <v>27456</v>
      </c>
      <c r="AB129">
        <v>96</v>
      </c>
      <c r="AC129">
        <v>4</v>
      </c>
      <c r="AD129">
        <v>4</v>
      </c>
      <c r="AE129">
        <v>1600.21</v>
      </c>
      <c r="AF129" s="3">
        <v>8.6234000000000002</v>
      </c>
      <c r="AG129" s="1">
        <v>45324</v>
      </c>
      <c r="AH129" s="2">
        <v>0.14820601851851853</v>
      </c>
      <c r="AI129">
        <v>0</v>
      </c>
      <c r="AJ129">
        <v>0</v>
      </c>
      <c r="AK129">
        <v>0</v>
      </c>
      <c r="AL129">
        <v>0</v>
      </c>
      <c r="AM129">
        <v>0</v>
      </c>
      <c r="AN129">
        <v>0</v>
      </c>
      <c r="AO129">
        <v>0</v>
      </c>
      <c r="AP129">
        <v>0</v>
      </c>
      <c r="AQ129">
        <v>0</v>
      </c>
      <c r="AR129">
        <v>0</v>
      </c>
      <c r="AS129">
        <v>0</v>
      </c>
      <c r="AT129">
        <v>0</v>
      </c>
      <c r="AU129" s="3">
        <f t="shared" ref="AU129" si="99">AVERAGE(AF129:AF133)</f>
        <v>8.6753800000000005</v>
      </c>
    </row>
    <row r="130" spans="1:47" x14ac:dyDescent="0.25">
      <c r="A130">
        <v>1</v>
      </c>
      <c r="B130" t="s">
        <v>1</v>
      </c>
      <c r="C130">
        <v>27456</v>
      </c>
      <c r="D130">
        <v>96</v>
      </c>
      <c r="E130">
        <v>4</v>
      </c>
      <c r="F130">
        <v>4</v>
      </c>
      <c r="G130">
        <v>1419.89</v>
      </c>
      <c r="H130" s="3">
        <v>9.7186000000000003</v>
      </c>
      <c r="I130" s="1">
        <v>45320</v>
      </c>
      <c r="J130" s="2">
        <v>0.3225115740740741</v>
      </c>
      <c r="K130">
        <v>0</v>
      </c>
      <c r="L130">
        <v>0</v>
      </c>
      <c r="M130">
        <v>0</v>
      </c>
      <c r="N130">
        <v>0</v>
      </c>
      <c r="O130">
        <v>0</v>
      </c>
      <c r="P130">
        <v>0</v>
      </c>
      <c r="Q130">
        <v>0</v>
      </c>
      <c r="R130">
        <v>0</v>
      </c>
      <c r="S130">
        <v>0</v>
      </c>
      <c r="T130">
        <v>0</v>
      </c>
      <c r="U130">
        <v>0</v>
      </c>
      <c r="V130">
        <v>0</v>
      </c>
      <c r="W130" s="4">
        <f t="shared" ref="W130" si="100">W129</f>
        <v>9.7294199999999993</v>
      </c>
      <c r="Y130">
        <v>1</v>
      </c>
      <c r="Z130" t="s">
        <v>1</v>
      </c>
      <c r="AA130">
        <v>27456</v>
      </c>
      <c r="AB130">
        <v>96</v>
      </c>
      <c r="AC130">
        <v>4</v>
      </c>
      <c r="AD130">
        <v>4</v>
      </c>
      <c r="AE130">
        <v>1588.03</v>
      </c>
      <c r="AF130" s="3">
        <v>8.6896000000000004</v>
      </c>
      <c r="AG130" s="1">
        <v>45325</v>
      </c>
      <c r="AH130" s="2">
        <v>4.2106481481481488E-2</v>
      </c>
      <c r="AI130">
        <v>0</v>
      </c>
      <c r="AJ130">
        <v>0</v>
      </c>
      <c r="AK130">
        <v>0</v>
      </c>
      <c r="AL130">
        <v>0</v>
      </c>
      <c r="AM130">
        <v>0</v>
      </c>
      <c r="AN130">
        <v>0</v>
      </c>
      <c r="AO130">
        <v>0</v>
      </c>
      <c r="AP130">
        <v>0</v>
      </c>
      <c r="AQ130">
        <v>0</v>
      </c>
      <c r="AR130">
        <v>0</v>
      </c>
      <c r="AS130">
        <v>0</v>
      </c>
      <c r="AT130">
        <v>0</v>
      </c>
      <c r="AU130" s="3">
        <f t="shared" ref="AU130" si="101">AU129</f>
        <v>8.6753800000000005</v>
      </c>
    </row>
    <row r="131" spans="1:47" x14ac:dyDescent="0.25">
      <c r="A131">
        <v>2</v>
      </c>
      <c r="B131" t="s">
        <v>1</v>
      </c>
      <c r="C131">
        <v>27456</v>
      </c>
      <c r="D131">
        <v>96</v>
      </c>
      <c r="E131">
        <v>4</v>
      </c>
      <c r="F131">
        <v>4</v>
      </c>
      <c r="G131">
        <v>1419.54</v>
      </c>
      <c r="H131" s="3">
        <v>9.7210000000000001</v>
      </c>
      <c r="I131" s="1">
        <v>45321</v>
      </c>
      <c r="J131" s="2">
        <v>0.16402777777777777</v>
      </c>
      <c r="K131">
        <v>0</v>
      </c>
      <c r="L131">
        <v>0</v>
      </c>
      <c r="M131">
        <v>0</v>
      </c>
      <c r="N131">
        <v>0</v>
      </c>
      <c r="O131">
        <v>0</v>
      </c>
      <c r="P131">
        <v>0</v>
      </c>
      <c r="Q131">
        <v>0</v>
      </c>
      <c r="R131">
        <v>0</v>
      </c>
      <c r="S131">
        <v>0</v>
      </c>
      <c r="T131">
        <v>0</v>
      </c>
      <c r="U131">
        <v>0</v>
      </c>
      <c r="V131">
        <v>0</v>
      </c>
      <c r="W131" s="4">
        <f t="shared" si="56"/>
        <v>9.7294199999999993</v>
      </c>
      <c r="Y131">
        <v>2</v>
      </c>
      <c r="Z131" t="s">
        <v>1</v>
      </c>
      <c r="AA131">
        <v>27456</v>
      </c>
      <c r="AB131">
        <v>96</v>
      </c>
      <c r="AC131">
        <v>4</v>
      </c>
      <c r="AD131">
        <v>4</v>
      </c>
      <c r="AE131">
        <v>1587.36</v>
      </c>
      <c r="AF131" s="3">
        <v>8.6931999999999992</v>
      </c>
      <c r="AG131" s="1">
        <v>45325</v>
      </c>
      <c r="AH131" s="2">
        <v>0.96197916666666661</v>
      </c>
      <c r="AI131">
        <v>0</v>
      </c>
      <c r="AJ131">
        <v>0</v>
      </c>
      <c r="AK131">
        <v>0</v>
      </c>
      <c r="AL131">
        <v>0</v>
      </c>
      <c r="AM131">
        <v>0</v>
      </c>
      <c r="AN131">
        <v>0</v>
      </c>
      <c r="AO131">
        <v>0</v>
      </c>
      <c r="AP131">
        <v>0</v>
      </c>
      <c r="AQ131">
        <v>0</v>
      </c>
      <c r="AR131">
        <v>0</v>
      </c>
      <c r="AS131">
        <v>0</v>
      </c>
      <c r="AT131">
        <v>0</v>
      </c>
      <c r="AU131" s="3">
        <f t="shared" si="57"/>
        <v>8.6753800000000005</v>
      </c>
    </row>
    <row r="132" spans="1:47" x14ac:dyDescent="0.25">
      <c r="A132">
        <v>3</v>
      </c>
      <c r="B132" t="s">
        <v>1</v>
      </c>
      <c r="C132">
        <v>27456</v>
      </c>
      <c r="D132">
        <v>96</v>
      </c>
      <c r="E132">
        <v>4</v>
      </c>
      <c r="F132">
        <v>4</v>
      </c>
      <c r="G132">
        <v>1415.48</v>
      </c>
      <c r="H132" s="3">
        <v>9.7487999999999992</v>
      </c>
      <c r="I132" s="1">
        <v>45322</v>
      </c>
      <c r="J132" s="2">
        <v>6.0416666666666665E-3</v>
      </c>
      <c r="K132">
        <v>0</v>
      </c>
      <c r="L132">
        <v>0</v>
      </c>
      <c r="M132">
        <v>0</v>
      </c>
      <c r="N132">
        <v>0</v>
      </c>
      <c r="O132">
        <v>0</v>
      </c>
      <c r="P132">
        <v>0</v>
      </c>
      <c r="Q132">
        <v>0</v>
      </c>
      <c r="R132">
        <v>0</v>
      </c>
      <c r="S132">
        <v>0</v>
      </c>
      <c r="T132">
        <v>0</v>
      </c>
      <c r="U132">
        <v>0</v>
      </c>
      <c r="V132">
        <v>0</v>
      </c>
      <c r="W132" s="4">
        <f t="shared" si="56"/>
        <v>9.7294199999999993</v>
      </c>
      <c r="Y132">
        <v>3</v>
      </c>
      <c r="Z132" t="s">
        <v>1</v>
      </c>
      <c r="AA132">
        <v>27456</v>
      </c>
      <c r="AB132">
        <v>96</v>
      </c>
      <c r="AC132">
        <v>4</v>
      </c>
      <c r="AD132">
        <v>4</v>
      </c>
      <c r="AE132">
        <v>1588.61</v>
      </c>
      <c r="AF132" s="3">
        <v>8.6864000000000008</v>
      </c>
      <c r="AG132" s="1">
        <v>45326</v>
      </c>
      <c r="AH132" s="2">
        <v>0.88192129629629623</v>
      </c>
      <c r="AI132">
        <v>0</v>
      </c>
      <c r="AJ132">
        <v>0</v>
      </c>
      <c r="AK132">
        <v>0</v>
      </c>
      <c r="AL132">
        <v>0</v>
      </c>
      <c r="AM132">
        <v>0</v>
      </c>
      <c r="AN132">
        <v>0</v>
      </c>
      <c r="AO132">
        <v>0</v>
      </c>
      <c r="AP132">
        <v>0</v>
      </c>
      <c r="AQ132">
        <v>0</v>
      </c>
      <c r="AR132">
        <v>0</v>
      </c>
      <c r="AS132">
        <v>0</v>
      </c>
      <c r="AT132">
        <v>0</v>
      </c>
      <c r="AU132" s="3">
        <f t="shared" si="57"/>
        <v>8.6753800000000005</v>
      </c>
    </row>
    <row r="133" spans="1:47" x14ac:dyDescent="0.25">
      <c r="A133">
        <v>4</v>
      </c>
      <c r="B133" t="s">
        <v>1</v>
      </c>
      <c r="C133">
        <v>27456</v>
      </c>
      <c r="D133">
        <v>96</v>
      </c>
      <c r="E133">
        <v>4</v>
      </c>
      <c r="F133">
        <v>4</v>
      </c>
      <c r="G133">
        <v>1416.39</v>
      </c>
      <c r="H133" s="3">
        <v>9.7425999999999995</v>
      </c>
      <c r="I133" s="1">
        <v>45322</v>
      </c>
      <c r="J133" s="2">
        <v>0.84864583333333332</v>
      </c>
      <c r="K133">
        <v>0</v>
      </c>
      <c r="L133">
        <v>0</v>
      </c>
      <c r="M133">
        <v>0</v>
      </c>
      <c r="N133">
        <v>0</v>
      </c>
      <c r="O133">
        <v>0</v>
      </c>
      <c r="P133">
        <v>0</v>
      </c>
      <c r="Q133">
        <v>0</v>
      </c>
      <c r="R133">
        <v>0</v>
      </c>
      <c r="S133">
        <v>0</v>
      </c>
      <c r="T133">
        <v>0</v>
      </c>
      <c r="U133">
        <v>0</v>
      </c>
      <c r="V133">
        <v>0</v>
      </c>
      <c r="W133" s="4">
        <f t="shared" si="56"/>
        <v>9.7294199999999993</v>
      </c>
      <c r="Y133">
        <v>4</v>
      </c>
      <c r="Z133" t="s">
        <v>1</v>
      </c>
      <c r="AA133">
        <v>27456</v>
      </c>
      <c r="AB133">
        <v>96</v>
      </c>
      <c r="AC133">
        <v>4</v>
      </c>
      <c r="AD133">
        <v>4</v>
      </c>
      <c r="AE133">
        <v>1589</v>
      </c>
      <c r="AF133" s="3">
        <v>8.6843000000000004</v>
      </c>
      <c r="AG133" s="1">
        <v>45327</v>
      </c>
      <c r="AH133" s="2">
        <v>0.80175925925925917</v>
      </c>
      <c r="AI133">
        <v>0</v>
      </c>
      <c r="AJ133">
        <v>0</v>
      </c>
      <c r="AK133">
        <v>0</v>
      </c>
      <c r="AL133">
        <v>0</v>
      </c>
      <c r="AM133">
        <v>0</v>
      </c>
      <c r="AN133">
        <v>0</v>
      </c>
      <c r="AO133">
        <v>0</v>
      </c>
      <c r="AP133">
        <v>0</v>
      </c>
      <c r="AQ133">
        <v>0</v>
      </c>
      <c r="AR133">
        <v>0</v>
      </c>
      <c r="AS133">
        <v>0</v>
      </c>
      <c r="AT133">
        <v>0</v>
      </c>
      <c r="AU133" s="3">
        <f t="shared" si="57"/>
        <v>8.6753800000000005</v>
      </c>
    </row>
    <row r="134" spans="1:47" x14ac:dyDescent="0.25">
      <c r="A134">
        <v>0</v>
      </c>
      <c r="B134" t="s">
        <v>1</v>
      </c>
      <c r="C134">
        <v>28992</v>
      </c>
      <c r="D134">
        <v>96</v>
      </c>
      <c r="E134">
        <v>4</v>
      </c>
      <c r="F134">
        <v>4</v>
      </c>
      <c r="G134">
        <v>1660.53</v>
      </c>
      <c r="H134" s="3">
        <v>9.7843</v>
      </c>
      <c r="I134" s="1">
        <v>45320</v>
      </c>
      <c r="J134" s="2">
        <v>3.4282407407407407E-2</v>
      </c>
      <c r="K134">
        <v>0</v>
      </c>
      <c r="L134">
        <v>0</v>
      </c>
      <c r="M134">
        <v>0</v>
      </c>
      <c r="N134">
        <v>0</v>
      </c>
      <c r="O134">
        <v>0</v>
      </c>
      <c r="P134">
        <v>0</v>
      </c>
      <c r="Q134">
        <v>0</v>
      </c>
      <c r="R134">
        <v>0</v>
      </c>
      <c r="S134">
        <v>0</v>
      </c>
      <c r="T134">
        <v>0</v>
      </c>
      <c r="U134">
        <v>0</v>
      </c>
      <c r="V134">
        <v>0</v>
      </c>
      <c r="W134" s="4">
        <f t="shared" ref="W134" si="102">AVERAGE(H134:H138)</f>
        <v>9.7971600000000016</v>
      </c>
      <c r="Y134">
        <v>0</v>
      </c>
      <c r="Z134" t="s">
        <v>1</v>
      </c>
      <c r="AA134">
        <v>28992</v>
      </c>
      <c r="AB134">
        <v>96</v>
      </c>
      <c r="AC134">
        <v>4</v>
      </c>
      <c r="AD134">
        <v>4</v>
      </c>
      <c r="AE134">
        <v>1840.66</v>
      </c>
      <c r="AF134" s="3">
        <v>8.8268000000000004</v>
      </c>
      <c r="AG134" s="1">
        <v>45324</v>
      </c>
      <c r="AH134" s="2">
        <v>0.73031250000000003</v>
      </c>
      <c r="AI134">
        <v>0</v>
      </c>
      <c r="AJ134">
        <v>0</v>
      </c>
      <c r="AK134">
        <v>0</v>
      </c>
      <c r="AL134">
        <v>0</v>
      </c>
      <c r="AM134">
        <v>0</v>
      </c>
      <c r="AN134">
        <v>0</v>
      </c>
      <c r="AO134">
        <v>0</v>
      </c>
      <c r="AP134">
        <v>0</v>
      </c>
      <c r="AQ134">
        <v>0</v>
      </c>
      <c r="AR134">
        <v>0</v>
      </c>
      <c r="AS134">
        <v>0</v>
      </c>
      <c r="AT134">
        <v>0</v>
      </c>
      <c r="AU134" s="3">
        <f t="shared" ref="AU134" si="103">AVERAGE(AF134:AF138)</f>
        <v>8.8250200000000003</v>
      </c>
    </row>
    <row r="135" spans="1:47" x14ac:dyDescent="0.25">
      <c r="A135">
        <v>1</v>
      </c>
      <c r="B135" t="s">
        <v>1</v>
      </c>
      <c r="C135">
        <v>28992</v>
      </c>
      <c r="D135">
        <v>96</v>
      </c>
      <c r="E135">
        <v>4</v>
      </c>
      <c r="F135">
        <v>4</v>
      </c>
      <c r="G135">
        <v>1658.84</v>
      </c>
      <c r="H135" s="3">
        <v>9.7942999999999998</v>
      </c>
      <c r="I135" s="1">
        <v>45320</v>
      </c>
      <c r="J135" s="2">
        <v>0.87550925925925915</v>
      </c>
      <c r="K135">
        <v>0</v>
      </c>
      <c r="L135">
        <v>0</v>
      </c>
      <c r="M135">
        <v>0</v>
      </c>
      <c r="N135">
        <v>0</v>
      </c>
      <c r="O135">
        <v>0</v>
      </c>
      <c r="P135">
        <v>0</v>
      </c>
      <c r="Q135">
        <v>0</v>
      </c>
      <c r="R135">
        <v>0</v>
      </c>
      <c r="S135">
        <v>0</v>
      </c>
      <c r="T135">
        <v>0</v>
      </c>
      <c r="U135">
        <v>0</v>
      </c>
      <c r="V135">
        <v>0</v>
      </c>
      <c r="W135" s="4">
        <f t="shared" ref="W135" si="104">W134</f>
        <v>9.7971600000000016</v>
      </c>
      <c r="Y135">
        <v>1</v>
      </c>
      <c r="Z135" t="s">
        <v>1</v>
      </c>
      <c r="AA135">
        <v>28992</v>
      </c>
      <c r="AB135">
        <v>96</v>
      </c>
      <c r="AC135">
        <v>4</v>
      </c>
      <c r="AD135">
        <v>4</v>
      </c>
      <c r="AE135">
        <v>1841.49</v>
      </c>
      <c r="AF135" s="3">
        <v>8.8228000000000009</v>
      </c>
      <c r="AG135" s="1">
        <v>45325</v>
      </c>
      <c r="AH135" s="2">
        <v>0.6457060185185185</v>
      </c>
      <c r="AI135">
        <v>0</v>
      </c>
      <c r="AJ135">
        <v>0</v>
      </c>
      <c r="AK135">
        <v>0</v>
      </c>
      <c r="AL135">
        <v>0</v>
      </c>
      <c r="AM135">
        <v>0</v>
      </c>
      <c r="AN135">
        <v>0</v>
      </c>
      <c r="AO135">
        <v>0</v>
      </c>
      <c r="AP135">
        <v>0</v>
      </c>
      <c r="AQ135">
        <v>0</v>
      </c>
      <c r="AR135">
        <v>0</v>
      </c>
      <c r="AS135">
        <v>0</v>
      </c>
      <c r="AT135">
        <v>0</v>
      </c>
      <c r="AU135" s="3">
        <f t="shared" ref="AU135" si="105">AU134</f>
        <v>8.8250200000000003</v>
      </c>
    </row>
    <row r="136" spans="1:47" x14ac:dyDescent="0.25">
      <c r="A136">
        <v>2</v>
      </c>
      <c r="B136" t="s">
        <v>1</v>
      </c>
      <c r="C136">
        <v>28992</v>
      </c>
      <c r="D136">
        <v>96</v>
      </c>
      <c r="E136">
        <v>4</v>
      </c>
      <c r="F136">
        <v>4</v>
      </c>
      <c r="G136">
        <v>1655.65</v>
      </c>
      <c r="H136" s="3">
        <v>9.8132000000000001</v>
      </c>
      <c r="I136" s="1">
        <v>45321</v>
      </c>
      <c r="J136" s="2">
        <v>0.71775462962962966</v>
      </c>
      <c r="K136">
        <v>0</v>
      </c>
      <c r="L136">
        <v>0</v>
      </c>
      <c r="M136">
        <v>0</v>
      </c>
      <c r="N136">
        <v>0</v>
      </c>
      <c r="O136">
        <v>0</v>
      </c>
      <c r="P136">
        <v>0</v>
      </c>
      <c r="Q136">
        <v>0</v>
      </c>
      <c r="R136">
        <v>0</v>
      </c>
      <c r="S136">
        <v>0</v>
      </c>
      <c r="T136">
        <v>0</v>
      </c>
      <c r="U136">
        <v>0</v>
      </c>
      <c r="V136">
        <v>0</v>
      </c>
      <c r="W136" s="4">
        <f t="shared" si="56"/>
        <v>9.7971600000000016</v>
      </c>
      <c r="Y136">
        <v>2</v>
      </c>
      <c r="Z136" t="s">
        <v>1</v>
      </c>
      <c r="AA136">
        <v>28992</v>
      </c>
      <c r="AB136">
        <v>96</v>
      </c>
      <c r="AC136">
        <v>4</v>
      </c>
      <c r="AD136">
        <v>4</v>
      </c>
      <c r="AE136">
        <v>1840.95</v>
      </c>
      <c r="AF136" s="3">
        <v>8.8254000000000001</v>
      </c>
      <c r="AG136" s="1">
        <v>45326</v>
      </c>
      <c r="AH136" s="2">
        <v>0.56589120370370372</v>
      </c>
      <c r="AI136">
        <v>0</v>
      </c>
      <c r="AJ136">
        <v>0</v>
      </c>
      <c r="AK136">
        <v>0</v>
      </c>
      <c r="AL136">
        <v>0</v>
      </c>
      <c r="AM136">
        <v>0</v>
      </c>
      <c r="AN136">
        <v>0</v>
      </c>
      <c r="AO136">
        <v>0</v>
      </c>
      <c r="AP136">
        <v>0</v>
      </c>
      <c r="AQ136">
        <v>0</v>
      </c>
      <c r="AR136">
        <v>0</v>
      </c>
      <c r="AS136">
        <v>0</v>
      </c>
      <c r="AT136">
        <v>0</v>
      </c>
      <c r="AU136" s="3">
        <f t="shared" si="57"/>
        <v>8.8250200000000003</v>
      </c>
    </row>
    <row r="137" spans="1:47" x14ac:dyDescent="0.25">
      <c r="A137">
        <v>3</v>
      </c>
      <c r="B137" t="s">
        <v>1</v>
      </c>
      <c r="C137">
        <v>28992</v>
      </c>
      <c r="D137">
        <v>96</v>
      </c>
      <c r="E137">
        <v>4</v>
      </c>
      <c r="F137">
        <v>4</v>
      </c>
      <c r="G137">
        <v>1656.74</v>
      </c>
      <c r="H137" s="3">
        <v>9.8066999999999993</v>
      </c>
      <c r="I137" s="1">
        <v>45322</v>
      </c>
      <c r="J137" s="2">
        <v>0.56015046296296289</v>
      </c>
      <c r="K137">
        <v>0</v>
      </c>
      <c r="L137">
        <v>0</v>
      </c>
      <c r="M137">
        <v>0</v>
      </c>
      <c r="N137">
        <v>0</v>
      </c>
      <c r="O137">
        <v>0</v>
      </c>
      <c r="P137">
        <v>0</v>
      </c>
      <c r="Q137">
        <v>0</v>
      </c>
      <c r="R137">
        <v>0</v>
      </c>
      <c r="S137">
        <v>0</v>
      </c>
      <c r="T137">
        <v>0</v>
      </c>
      <c r="U137">
        <v>0</v>
      </c>
      <c r="V137">
        <v>0</v>
      </c>
      <c r="W137" s="4">
        <f t="shared" si="56"/>
        <v>9.7971600000000016</v>
      </c>
      <c r="Y137">
        <v>3</v>
      </c>
      <c r="Z137" t="s">
        <v>1</v>
      </c>
      <c r="AA137">
        <v>28992</v>
      </c>
      <c r="AB137">
        <v>96</v>
      </c>
      <c r="AC137">
        <v>4</v>
      </c>
      <c r="AD137">
        <v>4</v>
      </c>
      <c r="AE137">
        <v>1841.58</v>
      </c>
      <c r="AF137" s="3">
        <v>8.8224</v>
      </c>
      <c r="AG137" s="1">
        <v>45327</v>
      </c>
      <c r="AH137" s="2">
        <v>0.48615740740740737</v>
      </c>
      <c r="AI137">
        <v>0</v>
      </c>
      <c r="AJ137">
        <v>0</v>
      </c>
      <c r="AK137">
        <v>0</v>
      </c>
      <c r="AL137">
        <v>0</v>
      </c>
      <c r="AM137">
        <v>0</v>
      </c>
      <c r="AN137">
        <v>0</v>
      </c>
      <c r="AO137">
        <v>0</v>
      </c>
      <c r="AP137">
        <v>0</v>
      </c>
      <c r="AQ137">
        <v>0</v>
      </c>
      <c r="AR137">
        <v>0</v>
      </c>
      <c r="AS137">
        <v>0</v>
      </c>
      <c r="AT137">
        <v>0</v>
      </c>
      <c r="AU137" s="3">
        <f t="shared" si="57"/>
        <v>8.8250200000000003</v>
      </c>
    </row>
    <row r="138" spans="1:47" x14ac:dyDescent="0.25">
      <c r="A138">
        <v>4</v>
      </c>
      <c r="B138" t="s">
        <v>1</v>
      </c>
      <c r="C138">
        <v>28992</v>
      </c>
      <c r="D138">
        <v>96</v>
      </c>
      <c r="E138">
        <v>4</v>
      </c>
      <c r="F138">
        <v>4</v>
      </c>
      <c r="G138">
        <v>1660.03</v>
      </c>
      <c r="H138" s="3">
        <v>9.7873000000000001</v>
      </c>
      <c r="I138" s="1">
        <v>45323</v>
      </c>
      <c r="J138" s="2">
        <v>0.4026851851851852</v>
      </c>
      <c r="K138">
        <v>0</v>
      </c>
      <c r="L138">
        <v>0</v>
      </c>
      <c r="M138">
        <v>0</v>
      </c>
      <c r="N138">
        <v>0</v>
      </c>
      <c r="O138">
        <v>0</v>
      </c>
      <c r="P138">
        <v>0</v>
      </c>
      <c r="Q138">
        <v>0</v>
      </c>
      <c r="R138">
        <v>0</v>
      </c>
      <c r="S138">
        <v>0</v>
      </c>
      <c r="T138">
        <v>0</v>
      </c>
      <c r="U138">
        <v>0</v>
      </c>
      <c r="V138">
        <v>0</v>
      </c>
      <c r="W138" s="4">
        <f t="shared" si="56"/>
        <v>9.7971600000000016</v>
      </c>
      <c r="Y138">
        <v>4</v>
      </c>
      <c r="Z138" t="s">
        <v>1</v>
      </c>
      <c r="AA138">
        <v>28992</v>
      </c>
      <c r="AB138">
        <v>96</v>
      </c>
      <c r="AC138">
        <v>4</v>
      </c>
      <c r="AD138">
        <v>4</v>
      </c>
      <c r="AE138">
        <v>1840.48</v>
      </c>
      <c r="AF138" s="3">
        <v>8.8277000000000001</v>
      </c>
      <c r="AG138" s="1">
        <v>45328</v>
      </c>
      <c r="AH138" s="2">
        <v>0.40569444444444441</v>
      </c>
      <c r="AI138">
        <v>0</v>
      </c>
      <c r="AJ138">
        <v>0</v>
      </c>
      <c r="AK138">
        <v>0</v>
      </c>
      <c r="AL138">
        <v>0</v>
      </c>
      <c r="AM138">
        <v>0</v>
      </c>
      <c r="AN138">
        <v>0</v>
      </c>
      <c r="AO138">
        <v>0</v>
      </c>
      <c r="AP138">
        <v>0</v>
      </c>
      <c r="AQ138">
        <v>0</v>
      </c>
      <c r="AR138">
        <v>0</v>
      </c>
      <c r="AS138">
        <v>0</v>
      </c>
      <c r="AT138">
        <v>0</v>
      </c>
      <c r="AU138" s="3">
        <f t="shared" si="57"/>
        <v>8.8250200000000003</v>
      </c>
    </row>
    <row r="139" spans="1:47" x14ac:dyDescent="0.25">
      <c r="A139">
        <v>0</v>
      </c>
      <c r="B139" t="s">
        <v>1</v>
      </c>
      <c r="C139">
        <v>25984</v>
      </c>
      <c r="D139">
        <v>128</v>
      </c>
      <c r="E139">
        <v>1</v>
      </c>
      <c r="F139">
        <v>16</v>
      </c>
      <c r="G139">
        <v>1278.8</v>
      </c>
      <c r="H139" s="3">
        <v>9.1465999999999994</v>
      </c>
      <c r="I139" s="1">
        <v>45319</v>
      </c>
      <c r="J139" s="2">
        <v>0.64995370370370364</v>
      </c>
      <c r="K139">
        <v>0</v>
      </c>
      <c r="L139">
        <v>0</v>
      </c>
      <c r="M139">
        <v>0</v>
      </c>
      <c r="N139">
        <v>0</v>
      </c>
      <c r="O139">
        <v>0</v>
      </c>
      <c r="P139">
        <v>0</v>
      </c>
      <c r="Q139">
        <v>0</v>
      </c>
      <c r="R139">
        <v>0</v>
      </c>
      <c r="S139">
        <v>0</v>
      </c>
      <c r="T139">
        <v>0</v>
      </c>
      <c r="U139">
        <v>0</v>
      </c>
      <c r="V139">
        <v>0</v>
      </c>
      <c r="W139" s="4">
        <f t="shared" ref="W139" si="106">AVERAGE(H139:H143)</f>
        <v>9.1410799999999988</v>
      </c>
      <c r="Y139">
        <v>0</v>
      </c>
      <c r="Z139" t="s">
        <v>1</v>
      </c>
      <c r="AA139">
        <v>25984</v>
      </c>
      <c r="AB139">
        <v>128</v>
      </c>
      <c r="AC139">
        <v>1</v>
      </c>
      <c r="AD139">
        <v>16</v>
      </c>
      <c r="AE139">
        <v>1451.34</v>
      </c>
      <c r="AF139" s="3">
        <v>8.0592000000000006</v>
      </c>
      <c r="AG139" s="1">
        <v>45324</v>
      </c>
      <c r="AH139" s="2">
        <v>0.32548611111111109</v>
      </c>
      <c r="AI139">
        <v>0</v>
      </c>
      <c r="AJ139">
        <v>0</v>
      </c>
      <c r="AK139">
        <v>0</v>
      </c>
      <c r="AL139">
        <v>0</v>
      </c>
      <c r="AM139">
        <v>0</v>
      </c>
      <c r="AN139">
        <v>0</v>
      </c>
      <c r="AO139">
        <v>0</v>
      </c>
      <c r="AP139">
        <v>0</v>
      </c>
      <c r="AQ139">
        <v>0</v>
      </c>
      <c r="AR139">
        <v>0</v>
      </c>
      <c r="AS139">
        <v>0</v>
      </c>
      <c r="AT139">
        <v>0</v>
      </c>
      <c r="AU139" s="3">
        <f t="shared" ref="AU139" si="107">AVERAGE(AF139:AF143)</f>
        <v>8.0597799999999999</v>
      </c>
    </row>
    <row r="140" spans="1:47" x14ac:dyDescent="0.25">
      <c r="A140">
        <v>1</v>
      </c>
      <c r="B140" t="s">
        <v>1</v>
      </c>
      <c r="C140">
        <v>25984</v>
      </c>
      <c r="D140">
        <v>128</v>
      </c>
      <c r="E140">
        <v>1</v>
      </c>
      <c r="F140">
        <v>16</v>
      </c>
      <c r="G140">
        <v>1279.46</v>
      </c>
      <c r="H140" s="3">
        <v>9.1418999999999997</v>
      </c>
      <c r="I140" s="1">
        <v>45320</v>
      </c>
      <c r="J140" s="2">
        <v>0.49111111111111111</v>
      </c>
      <c r="K140">
        <v>0</v>
      </c>
      <c r="L140">
        <v>0</v>
      </c>
      <c r="M140">
        <v>0</v>
      </c>
      <c r="N140">
        <v>0</v>
      </c>
      <c r="O140">
        <v>0</v>
      </c>
      <c r="P140">
        <v>0</v>
      </c>
      <c r="Q140">
        <v>0</v>
      </c>
      <c r="R140">
        <v>0</v>
      </c>
      <c r="S140">
        <v>0</v>
      </c>
      <c r="T140">
        <v>0</v>
      </c>
      <c r="U140">
        <v>0</v>
      </c>
      <c r="V140">
        <v>0</v>
      </c>
      <c r="W140" s="4">
        <f t="shared" ref="W140:W203" si="108">W139</f>
        <v>9.1410799999999988</v>
      </c>
      <c r="Y140">
        <v>1</v>
      </c>
      <c r="Z140" t="s">
        <v>1</v>
      </c>
      <c r="AA140">
        <v>25984</v>
      </c>
      <c r="AB140">
        <v>128</v>
      </c>
      <c r="AC140">
        <v>1</v>
      </c>
      <c r="AD140">
        <v>16</v>
      </c>
      <c r="AE140">
        <v>1451.18</v>
      </c>
      <c r="AF140" s="3">
        <v>8.0601000000000003</v>
      </c>
      <c r="AG140" s="1">
        <v>45325</v>
      </c>
      <c r="AH140" s="2">
        <v>0.2263425925925926</v>
      </c>
      <c r="AI140">
        <v>0</v>
      </c>
      <c r="AJ140">
        <v>0</v>
      </c>
      <c r="AK140">
        <v>0</v>
      </c>
      <c r="AL140">
        <v>0</v>
      </c>
      <c r="AM140">
        <v>0</v>
      </c>
      <c r="AN140">
        <v>0</v>
      </c>
      <c r="AO140">
        <v>0</v>
      </c>
      <c r="AP140">
        <v>0</v>
      </c>
      <c r="AQ140">
        <v>0</v>
      </c>
      <c r="AR140">
        <v>0</v>
      </c>
      <c r="AS140">
        <v>0</v>
      </c>
      <c r="AT140">
        <v>0</v>
      </c>
      <c r="AU140" s="3">
        <f t="shared" ref="AU140:AU203" si="109">AU139</f>
        <v>8.0597799999999999</v>
      </c>
    </row>
    <row r="141" spans="1:47" x14ac:dyDescent="0.25">
      <c r="A141">
        <v>2</v>
      </c>
      <c r="B141" t="s">
        <v>1</v>
      </c>
      <c r="C141">
        <v>25984</v>
      </c>
      <c r="D141">
        <v>128</v>
      </c>
      <c r="E141">
        <v>1</v>
      </c>
      <c r="F141">
        <v>16</v>
      </c>
      <c r="G141">
        <v>1279.8599999999999</v>
      </c>
      <c r="H141" s="3">
        <v>9.1390999999999991</v>
      </c>
      <c r="I141" s="1">
        <v>45321</v>
      </c>
      <c r="J141" s="2">
        <v>0.33285879629629628</v>
      </c>
      <c r="K141">
        <v>0</v>
      </c>
      <c r="L141">
        <v>0</v>
      </c>
      <c r="M141">
        <v>0</v>
      </c>
      <c r="N141">
        <v>0</v>
      </c>
      <c r="O141">
        <v>0</v>
      </c>
      <c r="P141">
        <v>0</v>
      </c>
      <c r="Q141">
        <v>0</v>
      </c>
      <c r="R141">
        <v>0</v>
      </c>
      <c r="S141">
        <v>0</v>
      </c>
      <c r="T141">
        <v>0</v>
      </c>
      <c r="U141">
        <v>0</v>
      </c>
      <c r="V141">
        <v>0</v>
      </c>
      <c r="W141" s="4">
        <f t="shared" si="108"/>
        <v>9.1410799999999988</v>
      </c>
      <c r="Y141">
        <v>2</v>
      </c>
      <c r="Z141" t="s">
        <v>1</v>
      </c>
      <c r="AA141">
        <v>25984</v>
      </c>
      <c r="AB141">
        <v>128</v>
      </c>
      <c r="AC141">
        <v>1</v>
      </c>
      <c r="AD141">
        <v>16</v>
      </c>
      <c r="AE141">
        <v>1451.44</v>
      </c>
      <c r="AF141" s="3">
        <v>8.0587</v>
      </c>
      <c r="AG141" s="1">
        <v>45326</v>
      </c>
      <c r="AH141" s="2">
        <v>0.14660879629629631</v>
      </c>
      <c r="AI141">
        <v>0</v>
      </c>
      <c r="AJ141">
        <v>0</v>
      </c>
      <c r="AK141">
        <v>0</v>
      </c>
      <c r="AL141">
        <v>0</v>
      </c>
      <c r="AM141">
        <v>0</v>
      </c>
      <c r="AN141">
        <v>0</v>
      </c>
      <c r="AO141">
        <v>0</v>
      </c>
      <c r="AP141">
        <v>0</v>
      </c>
      <c r="AQ141">
        <v>0</v>
      </c>
      <c r="AR141">
        <v>0</v>
      </c>
      <c r="AS141">
        <v>0</v>
      </c>
      <c r="AT141">
        <v>0</v>
      </c>
      <c r="AU141" s="3">
        <f t="shared" si="109"/>
        <v>8.0597799999999999</v>
      </c>
    </row>
    <row r="142" spans="1:47" x14ac:dyDescent="0.25">
      <c r="A142">
        <v>3</v>
      </c>
      <c r="B142" t="s">
        <v>1</v>
      </c>
      <c r="C142">
        <v>25984</v>
      </c>
      <c r="D142">
        <v>128</v>
      </c>
      <c r="E142">
        <v>1</v>
      </c>
      <c r="F142">
        <v>16</v>
      </c>
      <c r="G142">
        <v>1280.0899999999999</v>
      </c>
      <c r="H142" s="3">
        <v>9.1373999999999995</v>
      </c>
      <c r="I142" s="1">
        <v>45322</v>
      </c>
      <c r="J142" s="2">
        <v>0.17509259259259258</v>
      </c>
      <c r="K142">
        <v>0</v>
      </c>
      <c r="L142">
        <v>0</v>
      </c>
      <c r="M142">
        <v>0</v>
      </c>
      <c r="N142">
        <v>0</v>
      </c>
      <c r="O142">
        <v>0</v>
      </c>
      <c r="P142">
        <v>0</v>
      </c>
      <c r="Q142">
        <v>0</v>
      </c>
      <c r="R142">
        <v>0</v>
      </c>
      <c r="S142">
        <v>0</v>
      </c>
      <c r="T142">
        <v>0</v>
      </c>
      <c r="U142">
        <v>0</v>
      </c>
      <c r="V142">
        <v>0</v>
      </c>
      <c r="W142" s="4">
        <f t="shared" si="108"/>
        <v>9.1410799999999988</v>
      </c>
      <c r="Y142">
        <v>3</v>
      </c>
      <c r="Z142" t="s">
        <v>1</v>
      </c>
      <c r="AA142">
        <v>25984</v>
      </c>
      <c r="AB142">
        <v>128</v>
      </c>
      <c r="AC142">
        <v>1</v>
      </c>
      <c r="AD142">
        <v>16</v>
      </c>
      <c r="AE142">
        <v>1450.75</v>
      </c>
      <c r="AF142" s="3">
        <v>8.0625</v>
      </c>
      <c r="AG142" s="1">
        <v>45327</v>
      </c>
      <c r="AH142" s="2">
        <v>6.6145833333333334E-2</v>
      </c>
      <c r="AI142">
        <v>0</v>
      </c>
      <c r="AJ142">
        <v>0</v>
      </c>
      <c r="AK142">
        <v>0</v>
      </c>
      <c r="AL142">
        <v>0</v>
      </c>
      <c r="AM142">
        <v>0</v>
      </c>
      <c r="AN142">
        <v>0</v>
      </c>
      <c r="AO142">
        <v>0</v>
      </c>
      <c r="AP142">
        <v>0</v>
      </c>
      <c r="AQ142">
        <v>0</v>
      </c>
      <c r="AR142">
        <v>0</v>
      </c>
      <c r="AS142">
        <v>0</v>
      </c>
      <c r="AT142">
        <v>0</v>
      </c>
      <c r="AU142" s="3">
        <f t="shared" si="109"/>
        <v>8.0597799999999999</v>
      </c>
    </row>
    <row r="143" spans="1:47" x14ac:dyDescent="0.25">
      <c r="A143">
        <v>4</v>
      </c>
      <c r="B143" t="s">
        <v>1</v>
      </c>
      <c r="C143">
        <v>25984</v>
      </c>
      <c r="D143">
        <v>128</v>
      </c>
      <c r="E143">
        <v>1</v>
      </c>
      <c r="F143">
        <v>16</v>
      </c>
      <c r="G143">
        <v>1279.67</v>
      </c>
      <c r="H143" s="3">
        <v>9.1403999999999996</v>
      </c>
      <c r="I143" s="1">
        <v>45323</v>
      </c>
      <c r="J143" s="2">
        <v>1.7361111111111112E-2</v>
      </c>
      <c r="K143">
        <v>0</v>
      </c>
      <c r="L143">
        <v>0</v>
      </c>
      <c r="M143">
        <v>0</v>
      </c>
      <c r="N143">
        <v>0</v>
      </c>
      <c r="O143">
        <v>0</v>
      </c>
      <c r="P143">
        <v>0</v>
      </c>
      <c r="Q143">
        <v>0</v>
      </c>
      <c r="R143">
        <v>0</v>
      </c>
      <c r="S143">
        <v>0</v>
      </c>
      <c r="T143">
        <v>0</v>
      </c>
      <c r="U143">
        <v>0</v>
      </c>
      <c r="V143">
        <v>0</v>
      </c>
      <c r="W143" s="4">
        <f t="shared" si="108"/>
        <v>9.1410799999999988</v>
      </c>
      <c r="Y143">
        <v>4</v>
      </c>
      <c r="Z143" t="s">
        <v>1</v>
      </c>
      <c r="AA143">
        <v>25984</v>
      </c>
      <c r="AB143">
        <v>128</v>
      </c>
      <c r="AC143">
        <v>1</v>
      </c>
      <c r="AD143">
        <v>16</v>
      </c>
      <c r="AE143">
        <v>1451.5</v>
      </c>
      <c r="AF143" s="3">
        <v>8.0584000000000007</v>
      </c>
      <c r="AG143" s="1">
        <v>45327</v>
      </c>
      <c r="AH143" s="2">
        <v>0.98599537037037033</v>
      </c>
      <c r="AI143">
        <v>0</v>
      </c>
      <c r="AJ143">
        <v>0</v>
      </c>
      <c r="AK143">
        <v>0</v>
      </c>
      <c r="AL143">
        <v>0</v>
      </c>
      <c r="AM143">
        <v>0</v>
      </c>
      <c r="AN143">
        <v>0</v>
      </c>
      <c r="AO143">
        <v>0</v>
      </c>
      <c r="AP143">
        <v>0</v>
      </c>
      <c r="AQ143">
        <v>0</v>
      </c>
      <c r="AR143">
        <v>0</v>
      </c>
      <c r="AS143">
        <v>0</v>
      </c>
      <c r="AT143">
        <v>0</v>
      </c>
      <c r="AU143" s="3">
        <f t="shared" si="109"/>
        <v>8.0597799999999999</v>
      </c>
    </row>
    <row r="144" spans="1:47" x14ac:dyDescent="0.25">
      <c r="A144">
        <v>0</v>
      </c>
      <c r="B144" t="s">
        <v>1</v>
      </c>
      <c r="C144">
        <v>27520</v>
      </c>
      <c r="D144">
        <v>128</v>
      </c>
      <c r="E144">
        <v>1</v>
      </c>
      <c r="F144">
        <v>16</v>
      </c>
      <c r="G144">
        <v>1509.97</v>
      </c>
      <c r="H144" s="3">
        <v>9.2027999999999999</v>
      </c>
      <c r="I144" s="1">
        <v>45319</v>
      </c>
      <c r="J144" s="2">
        <v>0.39081018518518523</v>
      </c>
      <c r="K144">
        <v>0</v>
      </c>
      <c r="L144">
        <v>0</v>
      </c>
      <c r="M144">
        <v>0</v>
      </c>
      <c r="N144">
        <v>0</v>
      </c>
      <c r="O144">
        <v>0</v>
      </c>
      <c r="P144">
        <v>0</v>
      </c>
      <c r="Q144">
        <v>0</v>
      </c>
      <c r="R144">
        <v>0</v>
      </c>
      <c r="S144">
        <v>0</v>
      </c>
      <c r="T144">
        <v>0</v>
      </c>
      <c r="U144">
        <v>0</v>
      </c>
      <c r="V144">
        <v>0</v>
      </c>
      <c r="W144" s="4">
        <f t="shared" ref="W144" si="110">AVERAGE(H144:H148)</f>
        <v>9.2016799999999996</v>
      </c>
      <c r="Y144">
        <v>0</v>
      </c>
      <c r="Z144" t="s">
        <v>1</v>
      </c>
      <c r="AA144">
        <v>27520</v>
      </c>
      <c r="AB144">
        <v>128</v>
      </c>
      <c r="AC144">
        <v>1</v>
      </c>
      <c r="AD144">
        <v>16</v>
      </c>
      <c r="AE144">
        <v>1715.15</v>
      </c>
      <c r="AF144" s="3">
        <v>8.1019000000000005</v>
      </c>
      <c r="AG144" s="1">
        <v>45324</v>
      </c>
      <c r="AH144" s="2">
        <v>5.2337962962962968E-2</v>
      </c>
      <c r="AI144">
        <v>0</v>
      </c>
      <c r="AJ144">
        <v>0</v>
      </c>
      <c r="AK144">
        <v>0</v>
      </c>
      <c r="AL144">
        <v>0</v>
      </c>
      <c r="AM144">
        <v>0</v>
      </c>
      <c r="AN144">
        <v>0</v>
      </c>
      <c r="AO144">
        <v>0</v>
      </c>
      <c r="AP144">
        <v>0</v>
      </c>
      <c r="AQ144">
        <v>0</v>
      </c>
      <c r="AR144">
        <v>0</v>
      </c>
      <c r="AS144">
        <v>0</v>
      </c>
      <c r="AT144">
        <v>0</v>
      </c>
      <c r="AU144" s="3">
        <f t="shared" ref="AU144" si="111">AVERAGE(AF144:AF148)</f>
        <v>8.1036600000000014</v>
      </c>
    </row>
    <row r="145" spans="1:47" x14ac:dyDescent="0.25">
      <c r="A145">
        <v>1</v>
      </c>
      <c r="B145" t="s">
        <v>1</v>
      </c>
      <c r="C145">
        <v>27520</v>
      </c>
      <c r="D145">
        <v>128</v>
      </c>
      <c r="E145">
        <v>1</v>
      </c>
      <c r="F145">
        <v>16</v>
      </c>
      <c r="G145">
        <v>1511.55</v>
      </c>
      <c r="H145" s="3">
        <v>9.1931999999999992</v>
      </c>
      <c r="I145" s="1">
        <v>45320</v>
      </c>
      <c r="J145" s="2">
        <v>0.23188657407407409</v>
      </c>
      <c r="K145">
        <v>0</v>
      </c>
      <c r="L145">
        <v>0</v>
      </c>
      <c r="M145">
        <v>0</v>
      </c>
      <c r="N145">
        <v>0</v>
      </c>
      <c r="O145">
        <v>0</v>
      </c>
      <c r="P145">
        <v>0</v>
      </c>
      <c r="Q145">
        <v>0</v>
      </c>
      <c r="R145">
        <v>0</v>
      </c>
      <c r="S145">
        <v>0</v>
      </c>
      <c r="T145">
        <v>0</v>
      </c>
      <c r="U145">
        <v>0</v>
      </c>
      <c r="V145">
        <v>0</v>
      </c>
      <c r="W145" s="4">
        <f t="shared" ref="W145" si="112">W144</f>
        <v>9.2016799999999996</v>
      </c>
      <c r="Y145">
        <v>1</v>
      </c>
      <c r="Z145" t="s">
        <v>1</v>
      </c>
      <c r="AA145">
        <v>27520</v>
      </c>
      <c r="AB145">
        <v>128</v>
      </c>
      <c r="AC145">
        <v>1</v>
      </c>
      <c r="AD145">
        <v>16</v>
      </c>
      <c r="AE145">
        <v>1714.64</v>
      </c>
      <c r="AF145" s="3">
        <v>8.1043000000000003</v>
      </c>
      <c r="AG145" s="1">
        <v>45324</v>
      </c>
      <c r="AH145" s="2">
        <v>0.94253472222222223</v>
      </c>
      <c r="AI145">
        <v>0</v>
      </c>
      <c r="AJ145">
        <v>0</v>
      </c>
      <c r="AK145">
        <v>0</v>
      </c>
      <c r="AL145">
        <v>0</v>
      </c>
      <c r="AM145">
        <v>0</v>
      </c>
      <c r="AN145">
        <v>0</v>
      </c>
      <c r="AO145">
        <v>0</v>
      </c>
      <c r="AP145">
        <v>0</v>
      </c>
      <c r="AQ145">
        <v>0</v>
      </c>
      <c r="AR145">
        <v>0</v>
      </c>
      <c r="AS145">
        <v>0</v>
      </c>
      <c r="AT145">
        <v>0</v>
      </c>
      <c r="AU145" s="3">
        <f t="shared" ref="AU145" si="113">AU144</f>
        <v>8.1036600000000014</v>
      </c>
    </row>
    <row r="146" spans="1:47" x14ac:dyDescent="0.25">
      <c r="A146">
        <v>2</v>
      </c>
      <c r="B146" t="s">
        <v>1</v>
      </c>
      <c r="C146">
        <v>27520</v>
      </c>
      <c r="D146">
        <v>128</v>
      </c>
      <c r="E146">
        <v>1</v>
      </c>
      <c r="F146">
        <v>16</v>
      </c>
      <c r="G146">
        <v>1509.04</v>
      </c>
      <c r="H146" s="3">
        <v>9.2085000000000008</v>
      </c>
      <c r="I146" s="1">
        <v>45321</v>
      </c>
      <c r="J146" s="2">
        <v>7.3391203703703708E-2</v>
      </c>
      <c r="K146">
        <v>0</v>
      </c>
      <c r="L146">
        <v>0</v>
      </c>
      <c r="M146">
        <v>0</v>
      </c>
      <c r="N146">
        <v>0</v>
      </c>
      <c r="O146">
        <v>0</v>
      </c>
      <c r="P146">
        <v>0</v>
      </c>
      <c r="Q146">
        <v>0</v>
      </c>
      <c r="R146">
        <v>0</v>
      </c>
      <c r="S146">
        <v>0</v>
      </c>
      <c r="T146">
        <v>0</v>
      </c>
      <c r="U146">
        <v>0</v>
      </c>
      <c r="V146">
        <v>0</v>
      </c>
      <c r="W146" s="4">
        <f t="shared" si="108"/>
        <v>9.2016799999999996</v>
      </c>
      <c r="Y146">
        <v>2</v>
      </c>
      <c r="Z146" t="s">
        <v>1</v>
      </c>
      <c r="AA146">
        <v>27520</v>
      </c>
      <c r="AB146">
        <v>128</v>
      </c>
      <c r="AC146">
        <v>1</v>
      </c>
      <c r="AD146">
        <v>16</v>
      </c>
      <c r="AE146">
        <v>1714.92</v>
      </c>
      <c r="AF146" s="3">
        <v>8.1029999999999998</v>
      </c>
      <c r="AG146" s="1">
        <v>45325</v>
      </c>
      <c r="AH146" s="2">
        <v>0.86211805555555554</v>
      </c>
      <c r="AI146">
        <v>0</v>
      </c>
      <c r="AJ146">
        <v>0</v>
      </c>
      <c r="AK146">
        <v>0</v>
      </c>
      <c r="AL146">
        <v>0</v>
      </c>
      <c r="AM146">
        <v>0</v>
      </c>
      <c r="AN146">
        <v>0</v>
      </c>
      <c r="AO146">
        <v>0</v>
      </c>
      <c r="AP146">
        <v>0</v>
      </c>
      <c r="AQ146">
        <v>0</v>
      </c>
      <c r="AR146">
        <v>0</v>
      </c>
      <c r="AS146">
        <v>0</v>
      </c>
      <c r="AT146">
        <v>0</v>
      </c>
      <c r="AU146" s="3">
        <f t="shared" si="109"/>
        <v>8.1036600000000014</v>
      </c>
    </row>
    <row r="147" spans="1:47" x14ac:dyDescent="0.25">
      <c r="A147">
        <v>3</v>
      </c>
      <c r="B147" t="s">
        <v>1</v>
      </c>
      <c r="C147">
        <v>27520</v>
      </c>
      <c r="D147">
        <v>128</v>
      </c>
      <c r="E147">
        <v>1</v>
      </c>
      <c r="F147">
        <v>16</v>
      </c>
      <c r="G147">
        <v>1508.83</v>
      </c>
      <c r="H147" s="3">
        <v>9.2097999999999995</v>
      </c>
      <c r="I147" s="1">
        <v>45321</v>
      </c>
      <c r="J147" s="2">
        <v>0.91545138888888899</v>
      </c>
      <c r="K147">
        <v>0</v>
      </c>
      <c r="L147">
        <v>0</v>
      </c>
      <c r="M147">
        <v>0</v>
      </c>
      <c r="N147">
        <v>0</v>
      </c>
      <c r="O147">
        <v>0</v>
      </c>
      <c r="P147">
        <v>0</v>
      </c>
      <c r="Q147">
        <v>0</v>
      </c>
      <c r="R147">
        <v>0</v>
      </c>
      <c r="S147">
        <v>0</v>
      </c>
      <c r="T147">
        <v>0</v>
      </c>
      <c r="U147">
        <v>0</v>
      </c>
      <c r="V147">
        <v>0</v>
      </c>
      <c r="W147" s="4">
        <f t="shared" si="108"/>
        <v>9.2016799999999996</v>
      </c>
      <c r="Y147">
        <v>3</v>
      </c>
      <c r="Z147" t="s">
        <v>1</v>
      </c>
      <c r="AA147">
        <v>27520</v>
      </c>
      <c r="AB147">
        <v>128</v>
      </c>
      <c r="AC147">
        <v>1</v>
      </c>
      <c r="AD147">
        <v>16</v>
      </c>
      <c r="AE147">
        <v>1714.81</v>
      </c>
      <c r="AF147" s="3">
        <v>8.1035000000000004</v>
      </c>
      <c r="AG147" s="1">
        <v>45326</v>
      </c>
      <c r="AH147" s="2">
        <v>0.78243055555555552</v>
      </c>
      <c r="AI147">
        <v>0</v>
      </c>
      <c r="AJ147">
        <v>0</v>
      </c>
      <c r="AK147">
        <v>0</v>
      </c>
      <c r="AL147">
        <v>0</v>
      </c>
      <c r="AM147">
        <v>0</v>
      </c>
      <c r="AN147">
        <v>0</v>
      </c>
      <c r="AO147">
        <v>0</v>
      </c>
      <c r="AP147">
        <v>0</v>
      </c>
      <c r="AQ147">
        <v>0</v>
      </c>
      <c r="AR147">
        <v>0</v>
      </c>
      <c r="AS147">
        <v>0</v>
      </c>
      <c r="AT147">
        <v>0</v>
      </c>
      <c r="AU147" s="3">
        <f t="shared" si="109"/>
        <v>8.1036600000000014</v>
      </c>
    </row>
    <row r="148" spans="1:47" x14ac:dyDescent="0.25">
      <c r="A148">
        <v>4</v>
      </c>
      <c r="B148" t="s">
        <v>1</v>
      </c>
      <c r="C148">
        <v>27520</v>
      </c>
      <c r="D148">
        <v>128</v>
      </c>
      <c r="E148">
        <v>1</v>
      </c>
      <c r="F148">
        <v>16</v>
      </c>
      <c r="G148">
        <v>1511.41</v>
      </c>
      <c r="H148" s="3">
        <v>9.1941000000000006</v>
      </c>
      <c r="I148" s="1">
        <v>45322</v>
      </c>
      <c r="J148" s="2">
        <v>0.75800925925925933</v>
      </c>
      <c r="K148">
        <v>0</v>
      </c>
      <c r="L148">
        <v>0</v>
      </c>
      <c r="M148">
        <v>0</v>
      </c>
      <c r="N148">
        <v>0</v>
      </c>
      <c r="O148">
        <v>0</v>
      </c>
      <c r="P148">
        <v>0</v>
      </c>
      <c r="Q148">
        <v>0</v>
      </c>
      <c r="R148">
        <v>0</v>
      </c>
      <c r="S148">
        <v>0</v>
      </c>
      <c r="T148">
        <v>0</v>
      </c>
      <c r="U148">
        <v>0</v>
      </c>
      <c r="V148">
        <v>0</v>
      </c>
      <c r="W148" s="4">
        <f t="shared" si="108"/>
        <v>9.2016799999999996</v>
      </c>
      <c r="Y148">
        <v>4</v>
      </c>
      <c r="Z148" t="s">
        <v>1</v>
      </c>
      <c r="AA148">
        <v>27520</v>
      </c>
      <c r="AB148">
        <v>128</v>
      </c>
      <c r="AC148">
        <v>1</v>
      </c>
      <c r="AD148">
        <v>16</v>
      </c>
      <c r="AE148">
        <v>1714.37</v>
      </c>
      <c r="AF148" s="3">
        <v>8.1056000000000008</v>
      </c>
      <c r="AG148" s="1">
        <v>45327</v>
      </c>
      <c r="AH148" s="2">
        <v>0.70223379629629623</v>
      </c>
      <c r="AI148">
        <v>0</v>
      </c>
      <c r="AJ148">
        <v>0</v>
      </c>
      <c r="AK148">
        <v>0</v>
      </c>
      <c r="AL148">
        <v>0</v>
      </c>
      <c r="AM148">
        <v>0</v>
      </c>
      <c r="AN148">
        <v>0</v>
      </c>
      <c r="AO148">
        <v>0</v>
      </c>
      <c r="AP148">
        <v>0</v>
      </c>
      <c r="AQ148">
        <v>0</v>
      </c>
      <c r="AR148">
        <v>0</v>
      </c>
      <c r="AS148">
        <v>0</v>
      </c>
      <c r="AT148">
        <v>0</v>
      </c>
      <c r="AU148" s="3">
        <f t="shared" si="109"/>
        <v>8.1036600000000014</v>
      </c>
    </row>
    <row r="149" spans="1:47" x14ac:dyDescent="0.25">
      <c r="A149">
        <v>0</v>
      </c>
      <c r="B149" t="s">
        <v>1</v>
      </c>
      <c r="C149">
        <v>29056</v>
      </c>
      <c r="D149">
        <v>128</v>
      </c>
      <c r="E149">
        <v>1</v>
      </c>
      <c r="F149">
        <v>16</v>
      </c>
      <c r="G149">
        <v>1758.75</v>
      </c>
      <c r="H149" s="3">
        <v>9.2992000000000008</v>
      </c>
      <c r="I149" s="1">
        <v>45319</v>
      </c>
      <c r="J149" s="2">
        <v>0.92879629629629623</v>
      </c>
      <c r="K149">
        <v>0</v>
      </c>
      <c r="L149">
        <v>0</v>
      </c>
      <c r="M149">
        <v>0</v>
      </c>
      <c r="N149">
        <v>0</v>
      </c>
      <c r="O149">
        <v>0</v>
      </c>
      <c r="P149">
        <v>0</v>
      </c>
      <c r="Q149">
        <v>0</v>
      </c>
      <c r="R149">
        <v>0</v>
      </c>
      <c r="S149">
        <v>0</v>
      </c>
      <c r="T149">
        <v>0</v>
      </c>
      <c r="U149">
        <v>0</v>
      </c>
      <c r="V149">
        <v>0</v>
      </c>
      <c r="W149" s="4">
        <f t="shared" ref="W149" si="114">AVERAGE(H149:H153)</f>
        <v>9.2985599999999984</v>
      </c>
      <c r="Y149">
        <v>0</v>
      </c>
      <c r="Z149" t="s">
        <v>1</v>
      </c>
      <c r="AA149">
        <v>29056</v>
      </c>
      <c r="AB149">
        <v>128</v>
      </c>
      <c r="AC149">
        <v>1</v>
      </c>
      <c r="AD149">
        <v>16</v>
      </c>
      <c r="AE149">
        <v>1993.81</v>
      </c>
      <c r="AF149" s="3">
        <v>8.2028999999999996</v>
      </c>
      <c r="AG149" s="1">
        <v>45324</v>
      </c>
      <c r="AH149" s="2">
        <v>0.61902777777777784</v>
      </c>
      <c r="AI149">
        <v>0</v>
      </c>
      <c r="AJ149">
        <v>0</v>
      </c>
      <c r="AK149">
        <v>0</v>
      </c>
      <c r="AL149">
        <v>0</v>
      </c>
      <c r="AM149">
        <v>0</v>
      </c>
      <c r="AN149">
        <v>0</v>
      </c>
      <c r="AO149">
        <v>0</v>
      </c>
      <c r="AP149">
        <v>0</v>
      </c>
      <c r="AQ149">
        <v>0</v>
      </c>
      <c r="AR149">
        <v>0</v>
      </c>
      <c r="AS149">
        <v>0</v>
      </c>
      <c r="AT149">
        <v>0</v>
      </c>
      <c r="AU149" s="3">
        <f t="shared" ref="AU149" si="115">AVERAGE(AF149:AF153)</f>
        <v>8.1985599999999987</v>
      </c>
    </row>
    <row r="150" spans="1:47" x14ac:dyDescent="0.25">
      <c r="A150">
        <v>1</v>
      </c>
      <c r="B150" t="s">
        <v>1</v>
      </c>
      <c r="C150">
        <v>29056</v>
      </c>
      <c r="D150">
        <v>128</v>
      </c>
      <c r="E150">
        <v>1</v>
      </c>
      <c r="F150">
        <v>16</v>
      </c>
      <c r="G150">
        <v>1759.27</v>
      </c>
      <c r="H150" s="3">
        <v>9.2965</v>
      </c>
      <c r="I150" s="1">
        <v>45320</v>
      </c>
      <c r="J150" s="2">
        <v>0.77009259259259266</v>
      </c>
      <c r="K150">
        <v>0</v>
      </c>
      <c r="L150">
        <v>0</v>
      </c>
      <c r="M150">
        <v>0</v>
      </c>
      <c r="N150">
        <v>0</v>
      </c>
      <c r="O150">
        <v>0</v>
      </c>
      <c r="P150">
        <v>0</v>
      </c>
      <c r="Q150">
        <v>0</v>
      </c>
      <c r="R150">
        <v>0</v>
      </c>
      <c r="S150">
        <v>0</v>
      </c>
      <c r="T150">
        <v>0</v>
      </c>
      <c r="U150">
        <v>0</v>
      </c>
      <c r="V150">
        <v>0</v>
      </c>
      <c r="W150" s="4">
        <f t="shared" ref="W150" si="116">W149</f>
        <v>9.2985599999999984</v>
      </c>
      <c r="Y150">
        <v>1</v>
      </c>
      <c r="Z150" t="s">
        <v>1</v>
      </c>
      <c r="AA150">
        <v>29056</v>
      </c>
      <c r="AB150">
        <v>128</v>
      </c>
      <c r="AC150">
        <v>1</v>
      </c>
      <c r="AD150">
        <v>16</v>
      </c>
      <c r="AE150">
        <v>1994.39</v>
      </c>
      <c r="AF150" s="3">
        <v>8.2004999999999999</v>
      </c>
      <c r="AG150" s="1">
        <v>45325</v>
      </c>
      <c r="AH150" s="2">
        <v>0.5307291666666667</v>
      </c>
      <c r="AI150">
        <v>0</v>
      </c>
      <c r="AJ150">
        <v>0</v>
      </c>
      <c r="AK150">
        <v>0</v>
      </c>
      <c r="AL150">
        <v>0</v>
      </c>
      <c r="AM150">
        <v>0</v>
      </c>
      <c r="AN150">
        <v>0</v>
      </c>
      <c r="AO150">
        <v>0</v>
      </c>
      <c r="AP150">
        <v>0</v>
      </c>
      <c r="AQ150">
        <v>0</v>
      </c>
      <c r="AR150">
        <v>0</v>
      </c>
      <c r="AS150">
        <v>0</v>
      </c>
      <c r="AT150">
        <v>0</v>
      </c>
      <c r="AU150" s="3">
        <f t="shared" ref="AU150" si="117">AU149</f>
        <v>8.1985599999999987</v>
      </c>
    </row>
    <row r="151" spans="1:47" x14ac:dyDescent="0.25">
      <c r="A151">
        <v>2</v>
      </c>
      <c r="B151" t="s">
        <v>1</v>
      </c>
      <c r="C151">
        <v>29056</v>
      </c>
      <c r="D151">
        <v>128</v>
      </c>
      <c r="E151">
        <v>1</v>
      </c>
      <c r="F151">
        <v>16</v>
      </c>
      <c r="G151">
        <v>1758.36</v>
      </c>
      <c r="H151" s="3">
        <v>9.3012999999999995</v>
      </c>
      <c r="I151" s="1">
        <v>45321</v>
      </c>
      <c r="J151" s="2">
        <v>0.61234953703703698</v>
      </c>
      <c r="K151">
        <v>0</v>
      </c>
      <c r="L151">
        <v>0</v>
      </c>
      <c r="M151">
        <v>0</v>
      </c>
      <c r="N151">
        <v>0</v>
      </c>
      <c r="O151">
        <v>0</v>
      </c>
      <c r="P151">
        <v>0</v>
      </c>
      <c r="Q151">
        <v>0</v>
      </c>
      <c r="R151">
        <v>0</v>
      </c>
      <c r="S151">
        <v>0</v>
      </c>
      <c r="T151">
        <v>0</v>
      </c>
      <c r="U151">
        <v>0</v>
      </c>
      <c r="V151">
        <v>0</v>
      </c>
      <c r="W151" s="4">
        <f t="shared" si="108"/>
        <v>9.2985599999999984</v>
      </c>
      <c r="Y151">
        <v>2</v>
      </c>
      <c r="Z151" t="s">
        <v>1</v>
      </c>
      <c r="AA151">
        <v>29056</v>
      </c>
      <c r="AB151">
        <v>128</v>
      </c>
      <c r="AC151">
        <v>1</v>
      </c>
      <c r="AD151">
        <v>16</v>
      </c>
      <c r="AE151">
        <v>1994.69</v>
      </c>
      <c r="AF151" s="3">
        <v>8.1991999999999994</v>
      </c>
      <c r="AG151" s="1">
        <v>45326</v>
      </c>
      <c r="AH151" s="2">
        <v>0.45089120370370367</v>
      </c>
      <c r="AI151">
        <v>0</v>
      </c>
      <c r="AJ151">
        <v>0</v>
      </c>
      <c r="AK151">
        <v>0</v>
      </c>
      <c r="AL151">
        <v>0</v>
      </c>
      <c r="AM151">
        <v>0</v>
      </c>
      <c r="AN151">
        <v>0</v>
      </c>
      <c r="AO151">
        <v>0</v>
      </c>
      <c r="AP151">
        <v>0</v>
      </c>
      <c r="AQ151">
        <v>0</v>
      </c>
      <c r="AR151">
        <v>0</v>
      </c>
      <c r="AS151">
        <v>0</v>
      </c>
      <c r="AT151">
        <v>0</v>
      </c>
      <c r="AU151" s="3">
        <f t="shared" si="109"/>
        <v>8.1985599999999987</v>
      </c>
    </row>
    <row r="152" spans="1:47" x14ac:dyDescent="0.25">
      <c r="A152">
        <v>3</v>
      </c>
      <c r="B152" t="s">
        <v>1</v>
      </c>
      <c r="C152">
        <v>29056</v>
      </c>
      <c r="D152">
        <v>128</v>
      </c>
      <c r="E152">
        <v>1</v>
      </c>
      <c r="F152">
        <v>16</v>
      </c>
      <c r="G152">
        <v>1760.06</v>
      </c>
      <c r="H152" s="3">
        <v>9.2922999999999991</v>
      </c>
      <c r="I152" s="1">
        <v>45322</v>
      </c>
      <c r="J152" s="2">
        <v>0.45469907407407412</v>
      </c>
      <c r="K152">
        <v>0</v>
      </c>
      <c r="L152">
        <v>0</v>
      </c>
      <c r="M152">
        <v>0</v>
      </c>
      <c r="N152">
        <v>0</v>
      </c>
      <c r="O152">
        <v>0</v>
      </c>
      <c r="P152">
        <v>0</v>
      </c>
      <c r="Q152">
        <v>0</v>
      </c>
      <c r="R152">
        <v>0</v>
      </c>
      <c r="S152">
        <v>0</v>
      </c>
      <c r="T152">
        <v>0</v>
      </c>
      <c r="U152">
        <v>0</v>
      </c>
      <c r="V152">
        <v>0</v>
      </c>
      <c r="W152" s="4">
        <f t="shared" si="108"/>
        <v>9.2985599999999984</v>
      </c>
      <c r="Y152">
        <v>3</v>
      </c>
      <c r="Z152" t="s">
        <v>1</v>
      </c>
      <c r="AA152">
        <v>29056</v>
      </c>
      <c r="AB152">
        <v>128</v>
      </c>
      <c r="AC152">
        <v>1</v>
      </c>
      <c r="AD152">
        <v>16</v>
      </c>
      <c r="AE152">
        <v>1995.5</v>
      </c>
      <c r="AF152" s="3">
        <v>8.1959</v>
      </c>
      <c r="AG152" s="1">
        <v>45327</v>
      </c>
      <c r="AH152" s="2">
        <v>0.37113425925925925</v>
      </c>
      <c r="AI152">
        <v>0</v>
      </c>
      <c r="AJ152">
        <v>0</v>
      </c>
      <c r="AK152">
        <v>0</v>
      </c>
      <c r="AL152">
        <v>0</v>
      </c>
      <c r="AM152">
        <v>0</v>
      </c>
      <c r="AN152">
        <v>0</v>
      </c>
      <c r="AO152">
        <v>0</v>
      </c>
      <c r="AP152">
        <v>0</v>
      </c>
      <c r="AQ152">
        <v>0</v>
      </c>
      <c r="AR152">
        <v>0</v>
      </c>
      <c r="AS152">
        <v>0</v>
      </c>
      <c r="AT152">
        <v>0</v>
      </c>
      <c r="AU152" s="3">
        <f t="shared" si="109"/>
        <v>8.1985599999999987</v>
      </c>
    </row>
    <row r="153" spans="1:47" x14ac:dyDescent="0.25">
      <c r="A153">
        <v>4</v>
      </c>
      <c r="B153" t="s">
        <v>1</v>
      </c>
      <c r="C153">
        <v>29056</v>
      </c>
      <c r="D153">
        <v>128</v>
      </c>
      <c r="E153">
        <v>1</v>
      </c>
      <c r="F153">
        <v>16</v>
      </c>
      <c r="G153">
        <v>1757.94</v>
      </c>
      <c r="H153" s="3">
        <v>9.3034999999999997</v>
      </c>
      <c r="I153" s="1">
        <v>45323</v>
      </c>
      <c r="J153" s="2">
        <v>0.29719907407407409</v>
      </c>
      <c r="K153">
        <v>0</v>
      </c>
      <c r="L153">
        <v>0</v>
      </c>
      <c r="M153">
        <v>0</v>
      </c>
      <c r="N153">
        <v>0</v>
      </c>
      <c r="O153">
        <v>0</v>
      </c>
      <c r="P153">
        <v>0</v>
      </c>
      <c r="Q153">
        <v>0</v>
      </c>
      <c r="R153">
        <v>0</v>
      </c>
      <c r="S153">
        <v>0</v>
      </c>
      <c r="T153">
        <v>0</v>
      </c>
      <c r="U153">
        <v>0</v>
      </c>
      <c r="V153">
        <v>0</v>
      </c>
      <c r="W153" s="4">
        <f t="shared" si="108"/>
        <v>9.2985599999999984</v>
      </c>
      <c r="Y153">
        <v>4</v>
      </c>
      <c r="Z153" t="s">
        <v>1</v>
      </c>
      <c r="AA153">
        <v>29056</v>
      </c>
      <c r="AB153">
        <v>128</v>
      </c>
      <c r="AC153">
        <v>1</v>
      </c>
      <c r="AD153">
        <v>16</v>
      </c>
      <c r="AE153">
        <v>1995.9</v>
      </c>
      <c r="AF153" s="3">
        <v>8.1943000000000001</v>
      </c>
      <c r="AG153" s="1">
        <v>45328</v>
      </c>
      <c r="AH153" s="2">
        <v>0.2907986111111111</v>
      </c>
      <c r="AI153">
        <v>0</v>
      </c>
      <c r="AJ153">
        <v>0</v>
      </c>
      <c r="AK153">
        <v>0</v>
      </c>
      <c r="AL153">
        <v>0</v>
      </c>
      <c r="AM153">
        <v>0</v>
      </c>
      <c r="AN153">
        <v>0</v>
      </c>
      <c r="AO153">
        <v>0</v>
      </c>
      <c r="AP153">
        <v>0</v>
      </c>
      <c r="AQ153">
        <v>0</v>
      </c>
      <c r="AR153">
        <v>0</v>
      </c>
      <c r="AS153">
        <v>0</v>
      </c>
      <c r="AT153">
        <v>0</v>
      </c>
      <c r="AU153" s="3">
        <f t="shared" si="109"/>
        <v>8.1985599999999987</v>
      </c>
    </row>
    <row r="154" spans="1:47" x14ac:dyDescent="0.25">
      <c r="A154">
        <v>0</v>
      </c>
      <c r="B154" t="s">
        <v>1</v>
      </c>
      <c r="C154">
        <v>25984</v>
      </c>
      <c r="D154">
        <v>128</v>
      </c>
      <c r="E154">
        <v>2</v>
      </c>
      <c r="F154">
        <v>8</v>
      </c>
      <c r="G154">
        <v>1222.9100000000001</v>
      </c>
      <c r="H154" s="3">
        <v>9.5646000000000004</v>
      </c>
      <c r="I154" s="1">
        <v>45319</v>
      </c>
      <c r="J154" s="2">
        <v>0.66547453703703707</v>
      </c>
      <c r="K154">
        <v>0</v>
      </c>
      <c r="L154">
        <v>0</v>
      </c>
      <c r="M154">
        <v>0</v>
      </c>
      <c r="N154">
        <v>0</v>
      </c>
      <c r="O154">
        <v>0</v>
      </c>
      <c r="P154">
        <v>0</v>
      </c>
      <c r="Q154">
        <v>0</v>
      </c>
      <c r="R154">
        <v>0</v>
      </c>
      <c r="S154">
        <v>0</v>
      </c>
      <c r="T154">
        <v>0</v>
      </c>
      <c r="U154">
        <v>0</v>
      </c>
      <c r="V154">
        <v>0</v>
      </c>
      <c r="W154" s="4">
        <f t="shared" ref="W154" si="118">AVERAGE(H154:H158)</f>
        <v>9.5605999999999991</v>
      </c>
      <c r="Y154">
        <v>0</v>
      </c>
      <c r="Z154" t="s">
        <v>1</v>
      </c>
      <c r="AA154">
        <v>25984</v>
      </c>
      <c r="AB154">
        <v>128</v>
      </c>
      <c r="AC154">
        <v>2</v>
      </c>
      <c r="AD154">
        <v>8</v>
      </c>
      <c r="AE154">
        <v>1386.8</v>
      </c>
      <c r="AF154" s="3">
        <v>8.4343000000000004</v>
      </c>
      <c r="AG154" s="1">
        <v>45324</v>
      </c>
      <c r="AH154" s="2">
        <v>0.34243055555555557</v>
      </c>
      <c r="AI154">
        <v>0</v>
      </c>
      <c r="AJ154">
        <v>0</v>
      </c>
      <c r="AK154">
        <v>0</v>
      </c>
      <c r="AL154">
        <v>0</v>
      </c>
      <c r="AM154">
        <v>0</v>
      </c>
      <c r="AN154">
        <v>0</v>
      </c>
      <c r="AO154">
        <v>0</v>
      </c>
      <c r="AP154">
        <v>0</v>
      </c>
      <c r="AQ154">
        <v>0</v>
      </c>
      <c r="AR154">
        <v>0</v>
      </c>
      <c r="AS154">
        <v>0</v>
      </c>
      <c r="AT154">
        <v>0</v>
      </c>
      <c r="AU154" s="3">
        <f t="shared" ref="AU154" si="119">AVERAGE(AF154:AF158)</f>
        <v>8.4330999999999996</v>
      </c>
    </row>
    <row r="155" spans="1:47" x14ac:dyDescent="0.25">
      <c r="A155">
        <v>1</v>
      </c>
      <c r="B155" t="s">
        <v>1</v>
      </c>
      <c r="C155">
        <v>25984</v>
      </c>
      <c r="D155">
        <v>128</v>
      </c>
      <c r="E155">
        <v>2</v>
      </c>
      <c r="F155">
        <v>8</v>
      </c>
      <c r="G155">
        <v>1222.75</v>
      </c>
      <c r="H155" s="3">
        <v>9.5660000000000007</v>
      </c>
      <c r="I155" s="1">
        <v>45320</v>
      </c>
      <c r="J155" s="2">
        <v>0.50663194444444448</v>
      </c>
      <c r="K155">
        <v>0</v>
      </c>
      <c r="L155">
        <v>0</v>
      </c>
      <c r="M155">
        <v>0</v>
      </c>
      <c r="N155">
        <v>0</v>
      </c>
      <c r="O155">
        <v>0</v>
      </c>
      <c r="P155">
        <v>0</v>
      </c>
      <c r="Q155">
        <v>0</v>
      </c>
      <c r="R155">
        <v>0</v>
      </c>
      <c r="S155">
        <v>0</v>
      </c>
      <c r="T155">
        <v>0</v>
      </c>
      <c r="U155">
        <v>0</v>
      </c>
      <c r="V155">
        <v>0</v>
      </c>
      <c r="W155" s="4">
        <f t="shared" ref="W155" si="120">W154</f>
        <v>9.5605999999999991</v>
      </c>
      <c r="Y155">
        <v>1</v>
      </c>
      <c r="Z155" t="s">
        <v>1</v>
      </c>
      <c r="AA155">
        <v>25984</v>
      </c>
      <c r="AB155">
        <v>128</v>
      </c>
      <c r="AC155">
        <v>2</v>
      </c>
      <c r="AD155">
        <v>8</v>
      </c>
      <c r="AE155">
        <v>1387.27</v>
      </c>
      <c r="AF155" s="3">
        <v>8.4314999999999998</v>
      </c>
      <c r="AG155" s="1">
        <v>45325</v>
      </c>
      <c r="AH155" s="2">
        <v>0.24358796296296295</v>
      </c>
      <c r="AI155">
        <v>0</v>
      </c>
      <c r="AJ155">
        <v>0</v>
      </c>
      <c r="AK155">
        <v>0</v>
      </c>
      <c r="AL155">
        <v>0</v>
      </c>
      <c r="AM155">
        <v>0</v>
      </c>
      <c r="AN155">
        <v>0</v>
      </c>
      <c r="AO155">
        <v>0</v>
      </c>
      <c r="AP155">
        <v>0</v>
      </c>
      <c r="AQ155">
        <v>0</v>
      </c>
      <c r="AR155">
        <v>0</v>
      </c>
      <c r="AS155">
        <v>0</v>
      </c>
      <c r="AT155">
        <v>0</v>
      </c>
      <c r="AU155" s="3">
        <f t="shared" ref="AU155" si="121">AU154</f>
        <v>8.4330999999999996</v>
      </c>
    </row>
    <row r="156" spans="1:47" x14ac:dyDescent="0.25">
      <c r="A156">
        <v>2</v>
      </c>
      <c r="B156" t="s">
        <v>1</v>
      </c>
      <c r="C156">
        <v>25984</v>
      </c>
      <c r="D156">
        <v>128</v>
      </c>
      <c r="E156">
        <v>2</v>
      </c>
      <c r="F156">
        <v>8</v>
      </c>
      <c r="G156">
        <v>1223.3399999999999</v>
      </c>
      <c r="H156" s="3">
        <v>9.5612999999999992</v>
      </c>
      <c r="I156" s="1">
        <v>45321</v>
      </c>
      <c r="J156" s="2">
        <v>0.34839120370370374</v>
      </c>
      <c r="K156">
        <v>0</v>
      </c>
      <c r="L156">
        <v>0</v>
      </c>
      <c r="M156">
        <v>0</v>
      </c>
      <c r="N156">
        <v>0</v>
      </c>
      <c r="O156">
        <v>0</v>
      </c>
      <c r="P156">
        <v>0</v>
      </c>
      <c r="Q156">
        <v>0</v>
      </c>
      <c r="R156">
        <v>0</v>
      </c>
      <c r="S156">
        <v>0</v>
      </c>
      <c r="T156">
        <v>0</v>
      </c>
      <c r="U156">
        <v>0</v>
      </c>
      <c r="V156">
        <v>0</v>
      </c>
      <c r="W156" s="4">
        <f t="shared" si="108"/>
        <v>9.5605999999999991</v>
      </c>
      <c r="Y156">
        <v>2</v>
      </c>
      <c r="Z156" t="s">
        <v>1</v>
      </c>
      <c r="AA156">
        <v>25984</v>
      </c>
      <c r="AB156">
        <v>128</v>
      </c>
      <c r="AC156">
        <v>2</v>
      </c>
      <c r="AD156">
        <v>8</v>
      </c>
      <c r="AE156">
        <v>1387.23</v>
      </c>
      <c r="AF156" s="3">
        <v>8.4316999999999993</v>
      </c>
      <c r="AG156" s="1">
        <v>45326</v>
      </c>
      <c r="AH156" s="2">
        <v>0.16385416666666666</v>
      </c>
      <c r="AI156">
        <v>0</v>
      </c>
      <c r="AJ156">
        <v>0</v>
      </c>
      <c r="AK156">
        <v>0</v>
      </c>
      <c r="AL156">
        <v>0</v>
      </c>
      <c r="AM156">
        <v>0</v>
      </c>
      <c r="AN156">
        <v>0</v>
      </c>
      <c r="AO156">
        <v>0</v>
      </c>
      <c r="AP156">
        <v>0</v>
      </c>
      <c r="AQ156">
        <v>0</v>
      </c>
      <c r="AR156">
        <v>0</v>
      </c>
      <c r="AS156">
        <v>0</v>
      </c>
      <c r="AT156">
        <v>0</v>
      </c>
      <c r="AU156" s="3">
        <f t="shared" si="109"/>
        <v>8.4330999999999996</v>
      </c>
    </row>
    <row r="157" spans="1:47" x14ac:dyDescent="0.25">
      <c r="A157">
        <v>3</v>
      </c>
      <c r="B157" t="s">
        <v>1</v>
      </c>
      <c r="C157">
        <v>25984</v>
      </c>
      <c r="D157">
        <v>128</v>
      </c>
      <c r="E157">
        <v>2</v>
      </c>
      <c r="F157">
        <v>8</v>
      </c>
      <c r="G157">
        <v>1224.1600000000001</v>
      </c>
      <c r="H157" s="3">
        <v>9.5548999999999999</v>
      </c>
      <c r="I157" s="1">
        <v>45322</v>
      </c>
      <c r="J157" s="2">
        <v>0.19062500000000002</v>
      </c>
      <c r="K157">
        <v>0</v>
      </c>
      <c r="L157">
        <v>0</v>
      </c>
      <c r="M157">
        <v>0</v>
      </c>
      <c r="N157">
        <v>0</v>
      </c>
      <c r="O157">
        <v>0</v>
      </c>
      <c r="P157">
        <v>0</v>
      </c>
      <c r="Q157">
        <v>0</v>
      </c>
      <c r="R157">
        <v>0</v>
      </c>
      <c r="S157">
        <v>0</v>
      </c>
      <c r="T157">
        <v>0</v>
      </c>
      <c r="U157">
        <v>0</v>
      </c>
      <c r="V157">
        <v>0</v>
      </c>
      <c r="W157" s="4">
        <f t="shared" si="108"/>
        <v>9.5605999999999991</v>
      </c>
      <c r="Y157">
        <v>3</v>
      </c>
      <c r="Z157" t="s">
        <v>1</v>
      </c>
      <c r="AA157">
        <v>25984</v>
      </c>
      <c r="AB157">
        <v>128</v>
      </c>
      <c r="AC157">
        <v>2</v>
      </c>
      <c r="AD157">
        <v>8</v>
      </c>
      <c r="AE157">
        <v>1386.45</v>
      </c>
      <c r="AF157" s="3">
        <v>8.4365000000000006</v>
      </c>
      <c r="AG157" s="1">
        <v>45327</v>
      </c>
      <c r="AH157" s="2">
        <v>8.3379629629629637E-2</v>
      </c>
      <c r="AI157">
        <v>0</v>
      </c>
      <c r="AJ157">
        <v>0</v>
      </c>
      <c r="AK157">
        <v>0</v>
      </c>
      <c r="AL157">
        <v>0</v>
      </c>
      <c r="AM157">
        <v>0</v>
      </c>
      <c r="AN157">
        <v>0</v>
      </c>
      <c r="AO157">
        <v>0</v>
      </c>
      <c r="AP157">
        <v>0</v>
      </c>
      <c r="AQ157">
        <v>0</v>
      </c>
      <c r="AR157">
        <v>0</v>
      </c>
      <c r="AS157">
        <v>0</v>
      </c>
      <c r="AT157">
        <v>0</v>
      </c>
      <c r="AU157" s="3">
        <f t="shared" si="109"/>
        <v>8.4330999999999996</v>
      </c>
    </row>
    <row r="158" spans="1:47" x14ac:dyDescent="0.25">
      <c r="A158">
        <v>4</v>
      </c>
      <c r="B158" t="s">
        <v>1</v>
      </c>
      <c r="C158">
        <v>25984</v>
      </c>
      <c r="D158">
        <v>128</v>
      </c>
      <c r="E158">
        <v>2</v>
      </c>
      <c r="F158">
        <v>8</v>
      </c>
      <c r="G158">
        <v>1224</v>
      </c>
      <c r="H158" s="3">
        <v>9.5562000000000005</v>
      </c>
      <c r="I158" s="1">
        <v>45323</v>
      </c>
      <c r="J158" s="2">
        <v>3.290509259259259E-2</v>
      </c>
      <c r="K158">
        <v>0</v>
      </c>
      <c r="L158">
        <v>0</v>
      </c>
      <c r="M158">
        <v>0</v>
      </c>
      <c r="N158">
        <v>0</v>
      </c>
      <c r="O158">
        <v>0</v>
      </c>
      <c r="P158">
        <v>0</v>
      </c>
      <c r="Q158">
        <v>0</v>
      </c>
      <c r="R158">
        <v>0</v>
      </c>
      <c r="S158">
        <v>0</v>
      </c>
      <c r="T158">
        <v>0</v>
      </c>
      <c r="U158">
        <v>0</v>
      </c>
      <c r="V158">
        <v>0</v>
      </c>
      <c r="W158" s="4">
        <f t="shared" si="108"/>
        <v>9.5605999999999991</v>
      </c>
      <c r="Y158">
        <v>4</v>
      </c>
      <c r="Z158" t="s">
        <v>1</v>
      </c>
      <c r="AA158">
        <v>25984</v>
      </c>
      <c r="AB158">
        <v>128</v>
      </c>
      <c r="AC158">
        <v>2</v>
      </c>
      <c r="AD158">
        <v>8</v>
      </c>
      <c r="AE158">
        <v>1387.26</v>
      </c>
      <c r="AF158" s="3">
        <v>8.4314999999999998</v>
      </c>
      <c r="AG158" s="1">
        <v>45328</v>
      </c>
      <c r="AH158" s="2">
        <v>3.2407407407407406E-3</v>
      </c>
      <c r="AI158">
        <v>0</v>
      </c>
      <c r="AJ158">
        <v>0</v>
      </c>
      <c r="AK158">
        <v>0</v>
      </c>
      <c r="AL158">
        <v>0</v>
      </c>
      <c r="AM158">
        <v>0</v>
      </c>
      <c r="AN158">
        <v>0</v>
      </c>
      <c r="AO158">
        <v>0</v>
      </c>
      <c r="AP158">
        <v>0</v>
      </c>
      <c r="AQ158">
        <v>0</v>
      </c>
      <c r="AR158">
        <v>0</v>
      </c>
      <c r="AS158">
        <v>0</v>
      </c>
      <c r="AT158">
        <v>0</v>
      </c>
      <c r="AU158" s="3">
        <f t="shared" si="109"/>
        <v>8.4330999999999996</v>
      </c>
    </row>
    <row r="159" spans="1:47" x14ac:dyDescent="0.25">
      <c r="A159">
        <v>0</v>
      </c>
      <c r="B159" t="s">
        <v>1</v>
      </c>
      <c r="C159">
        <v>27520</v>
      </c>
      <c r="D159">
        <v>128</v>
      </c>
      <c r="E159">
        <v>2</v>
      </c>
      <c r="F159">
        <v>8</v>
      </c>
      <c r="G159">
        <v>1448.62</v>
      </c>
      <c r="H159" s="3">
        <v>9.5925999999999991</v>
      </c>
      <c r="I159" s="1">
        <v>45319</v>
      </c>
      <c r="J159" s="2">
        <v>0.40908564814814818</v>
      </c>
      <c r="K159">
        <v>0</v>
      </c>
      <c r="L159">
        <v>0</v>
      </c>
      <c r="M159">
        <v>0</v>
      </c>
      <c r="N159">
        <v>0</v>
      </c>
      <c r="O159">
        <v>0</v>
      </c>
      <c r="P159">
        <v>0</v>
      </c>
      <c r="Q159">
        <v>0</v>
      </c>
      <c r="R159">
        <v>0</v>
      </c>
      <c r="S159">
        <v>0</v>
      </c>
      <c r="T159">
        <v>0</v>
      </c>
      <c r="U159">
        <v>0</v>
      </c>
      <c r="V159">
        <v>0</v>
      </c>
      <c r="W159" s="4">
        <f t="shared" ref="W159" si="122">AVERAGE(H159:H163)</f>
        <v>9.5863600000000009</v>
      </c>
      <c r="Y159">
        <v>0</v>
      </c>
      <c r="Z159" t="s">
        <v>1</v>
      </c>
      <c r="AA159">
        <v>27520</v>
      </c>
      <c r="AB159">
        <v>128</v>
      </c>
      <c r="AC159">
        <v>2</v>
      </c>
      <c r="AD159">
        <v>8</v>
      </c>
      <c r="AE159">
        <v>1655.93</v>
      </c>
      <c r="AF159" s="3">
        <v>8.3916000000000004</v>
      </c>
      <c r="AG159" s="1">
        <v>45324</v>
      </c>
      <c r="AH159" s="2">
        <v>7.1851851851851847E-2</v>
      </c>
      <c r="AI159">
        <v>0</v>
      </c>
      <c r="AJ159">
        <v>0</v>
      </c>
      <c r="AK159">
        <v>0</v>
      </c>
      <c r="AL159">
        <v>0</v>
      </c>
      <c r="AM159">
        <v>0</v>
      </c>
      <c r="AN159">
        <v>0</v>
      </c>
      <c r="AO159">
        <v>0</v>
      </c>
      <c r="AP159">
        <v>0</v>
      </c>
      <c r="AQ159">
        <v>0</v>
      </c>
      <c r="AR159">
        <v>0</v>
      </c>
      <c r="AS159">
        <v>0</v>
      </c>
      <c r="AT159">
        <v>0</v>
      </c>
      <c r="AU159" s="3">
        <f t="shared" ref="AU159" si="123">AVERAGE(AF159:AF163)</f>
        <v>8.3785000000000007</v>
      </c>
    </row>
    <row r="160" spans="1:47" x14ac:dyDescent="0.25">
      <c r="A160">
        <v>1</v>
      </c>
      <c r="B160" t="s">
        <v>1</v>
      </c>
      <c r="C160">
        <v>27520</v>
      </c>
      <c r="D160">
        <v>128</v>
      </c>
      <c r="E160">
        <v>2</v>
      </c>
      <c r="F160">
        <v>8</v>
      </c>
      <c r="G160">
        <v>1448.86</v>
      </c>
      <c r="H160" s="3">
        <v>9.5909999999999993</v>
      </c>
      <c r="I160" s="1">
        <v>45320</v>
      </c>
      <c r="J160" s="2">
        <v>0.25016203703703704</v>
      </c>
      <c r="K160">
        <v>0</v>
      </c>
      <c r="L160">
        <v>0</v>
      </c>
      <c r="M160">
        <v>0</v>
      </c>
      <c r="N160">
        <v>0</v>
      </c>
      <c r="O160">
        <v>0</v>
      </c>
      <c r="P160">
        <v>0</v>
      </c>
      <c r="Q160">
        <v>0</v>
      </c>
      <c r="R160">
        <v>0</v>
      </c>
      <c r="S160">
        <v>0</v>
      </c>
      <c r="T160">
        <v>0</v>
      </c>
      <c r="U160">
        <v>0</v>
      </c>
      <c r="V160">
        <v>0</v>
      </c>
      <c r="W160" s="4">
        <f t="shared" ref="W160" si="124">W159</f>
        <v>9.5863600000000009</v>
      </c>
      <c r="Y160">
        <v>1</v>
      </c>
      <c r="Z160" t="s">
        <v>1</v>
      </c>
      <c r="AA160">
        <v>27520</v>
      </c>
      <c r="AB160">
        <v>128</v>
      </c>
      <c r="AC160">
        <v>2</v>
      </c>
      <c r="AD160">
        <v>8</v>
      </c>
      <c r="AE160">
        <v>1664.68</v>
      </c>
      <c r="AF160" s="3">
        <v>8.3475999999999999</v>
      </c>
      <c r="AG160" s="1">
        <v>45324</v>
      </c>
      <c r="AH160" s="2">
        <v>0.96300925925925929</v>
      </c>
      <c r="AI160">
        <v>0</v>
      </c>
      <c r="AJ160">
        <v>0</v>
      </c>
      <c r="AK160">
        <v>0</v>
      </c>
      <c r="AL160">
        <v>0</v>
      </c>
      <c r="AM160">
        <v>0</v>
      </c>
      <c r="AN160">
        <v>0</v>
      </c>
      <c r="AO160">
        <v>0</v>
      </c>
      <c r="AP160">
        <v>0</v>
      </c>
      <c r="AQ160">
        <v>0</v>
      </c>
      <c r="AR160">
        <v>0</v>
      </c>
      <c r="AS160">
        <v>0</v>
      </c>
      <c r="AT160">
        <v>0</v>
      </c>
      <c r="AU160" s="3">
        <f t="shared" ref="AU160" si="125">AU159</f>
        <v>8.3785000000000007</v>
      </c>
    </row>
    <row r="161" spans="1:47" x14ac:dyDescent="0.25">
      <c r="A161">
        <v>2</v>
      </c>
      <c r="B161" t="s">
        <v>1</v>
      </c>
      <c r="C161">
        <v>27520</v>
      </c>
      <c r="D161">
        <v>128</v>
      </c>
      <c r="E161">
        <v>2</v>
      </c>
      <c r="F161">
        <v>8</v>
      </c>
      <c r="G161">
        <v>1449.14</v>
      </c>
      <c r="H161" s="3">
        <v>9.5891000000000002</v>
      </c>
      <c r="I161" s="1">
        <v>45321</v>
      </c>
      <c r="J161" s="2">
        <v>9.1666666666666674E-2</v>
      </c>
      <c r="K161">
        <v>0</v>
      </c>
      <c r="L161">
        <v>0</v>
      </c>
      <c r="M161">
        <v>0</v>
      </c>
      <c r="N161">
        <v>0</v>
      </c>
      <c r="O161">
        <v>0</v>
      </c>
      <c r="P161">
        <v>0</v>
      </c>
      <c r="Q161">
        <v>0</v>
      </c>
      <c r="R161">
        <v>0</v>
      </c>
      <c r="S161">
        <v>0</v>
      </c>
      <c r="T161">
        <v>0</v>
      </c>
      <c r="U161">
        <v>0</v>
      </c>
      <c r="V161">
        <v>0</v>
      </c>
      <c r="W161" s="4">
        <f t="shared" si="108"/>
        <v>9.5863600000000009</v>
      </c>
      <c r="Y161">
        <v>2</v>
      </c>
      <c r="Z161" t="s">
        <v>1</v>
      </c>
      <c r="AA161">
        <v>27520</v>
      </c>
      <c r="AB161">
        <v>128</v>
      </c>
      <c r="AC161">
        <v>2</v>
      </c>
      <c r="AD161">
        <v>8</v>
      </c>
      <c r="AE161">
        <v>1656.61</v>
      </c>
      <c r="AF161" s="3">
        <v>8.3881999999999994</v>
      </c>
      <c r="AG161" s="1">
        <v>45325</v>
      </c>
      <c r="AH161" s="2">
        <v>0.88249999999999995</v>
      </c>
      <c r="AI161">
        <v>0</v>
      </c>
      <c r="AJ161">
        <v>0</v>
      </c>
      <c r="AK161">
        <v>0</v>
      </c>
      <c r="AL161">
        <v>0</v>
      </c>
      <c r="AM161">
        <v>0</v>
      </c>
      <c r="AN161">
        <v>0</v>
      </c>
      <c r="AO161">
        <v>0</v>
      </c>
      <c r="AP161">
        <v>0</v>
      </c>
      <c r="AQ161">
        <v>0</v>
      </c>
      <c r="AR161">
        <v>0</v>
      </c>
      <c r="AS161">
        <v>0</v>
      </c>
      <c r="AT161">
        <v>0</v>
      </c>
      <c r="AU161" s="3">
        <f t="shared" si="109"/>
        <v>8.3785000000000007</v>
      </c>
    </row>
    <row r="162" spans="1:47" x14ac:dyDescent="0.25">
      <c r="A162">
        <v>3</v>
      </c>
      <c r="B162" t="s">
        <v>1</v>
      </c>
      <c r="C162">
        <v>27520</v>
      </c>
      <c r="D162">
        <v>128</v>
      </c>
      <c r="E162">
        <v>2</v>
      </c>
      <c r="F162">
        <v>8</v>
      </c>
      <c r="G162">
        <v>1451.19</v>
      </c>
      <c r="H162" s="3">
        <v>9.5755999999999997</v>
      </c>
      <c r="I162" s="1">
        <v>45321</v>
      </c>
      <c r="J162" s="2">
        <v>0.93374999999999997</v>
      </c>
      <c r="K162">
        <v>0</v>
      </c>
      <c r="L162">
        <v>0</v>
      </c>
      <c r="M162">
        <v>0</v>
      </c>
      <c r="N162">
        <v>0</v>
      </c>
      <c r="O162">
        <v>0</v>
      </c>
      <c r="P162">
        <v>0</v>
      </c>
      <c r="Q162">
        <v>0</v>
      </c>
      <c r="R162">
        <v>0</v>
      </c>
      <c r="S162">
        <v>0</v>
      </c>
      <c r="T162">
        <v>0</v>
      </c>
      <c r="U162">
        <v>0</v>
      </c>
      <c r="V162">
        <v>0</v>
      </c>
      <c r="W162" s="4">
        <f t="shared" si="108"/>
        <v>9.5863600000000009</v>
      </c>
      <c r="Y162">
        <v>3</v>
      </c>
      <c r="Z162" t="s">
        <v>1</v>
      </c>
      <c r="AA162">
        <v>27520</v>
      </c>
      <c r="AB162">
        <v>128</v>
      </c>
      <c r="AC162">
        <v>2</v>
      </c>
      <c r="AD162">
        <v>8</v>
      </c>
      <c r="AE162">
        <v>1656.19</v>
      </c>
      <c r="AF162" s="3">
        <v>8.3902999999999999</v>
      </c>
      <c r="AG162" s="1">
        <v>45326</v>
      </c>
      <c r="AH162" s="2">
        <v>0.80281249999999993</v>
      </c>
      <c r="AI162">
        <v>0</v>
      </c>
      <c r="AJ162">
        <v>0</v>
      </c>
      <c r="AK162">
        <v>0</v>
      </c>
      <c r="AL162">
        <v>0</v>
      </c>
      <c r="AM162">
        <v>0</v>
      </c>
      <c r="AN162">
        <v>0</v>
      </c>
      <c r="AO162">
        <v>0</v>
      </c>
      <c r="AP162">
        <v>0</v>
      </c>
      <c r="AQ162">
        <v>0</v>
      </c>
      <c r="AR162">
        <v>0</v>
      </c>
      <c r="AS162">
        <v>0</v>
      </c>
      <c r="AT162">
        <v>0</v>
      </c>
      <c r="AU162" s="3">
        <f t="shared" si="109"/>
        <v>8.3785000000000007</v>
      </c>
    </row>
    <row r="163" spans="1:47" x14ac:dyDescent="0.25">
      <c r="A163">
        <v>4</v>
      </c>
      <c r="B163" t="s">
        <v>1</v>
      </c>
      <c r="C163">
        <v>27520</v>
      </c>
      <c r="D163">
        <v>128</v>
      </c>
      <c r="E163">
        <v>2</v>
      </c>
      <c r="F163">
        <v>8</v>
      </c>
      <c r="G163">
        <v>1449.99</v>
      </c>
      <c r="H163" s="3">
        <v>9.5835000000000008</v>
      </c>
      <c r="I163" s="1">
        <v>45322</v>
      </c>
      <c r="J163" s="2">
        <v>0.77629629629629626</v>
      </c>
      <c r="K163">
        <v>0</v>
      </c>
      <c r="L163">
        <v>0</v>
      </c>
      <c r="M163">
        <v>0</v>
      </c>
      <c r="N163">
        <v>0</v>
      </c>
      <c r="O163">
        <v>0</v>
      </c>
      <c r="P163">
        <v>0</v>
      </c>
      <c r="Q163">
        <v>0</v>
      </c>
      <c r="R163">
        <v>0</v>
      </c>
      <c r="S163">
        <v>0</v>
      </c>
      <c r="T163">
        <v>0</v>
      </c>
      <c r="U163">
        <v>0</v>
      </c>
      <c r="V163">
        <v>0</v>
      </c>
      <c r="W163" s="4">
        <f t="shared" si="108"/>
        <v>9.5863600000000009</v>
      </c>
      <c r="Y163">
        <v>4</v>
      </c>
      <c r="Z163" t="s">
        <v>1</v>
      </c>
      <c r="AA163">
        <v>27520</v>
      </c>
      <c r="AB163">
        <v>128</v>
      </c>
      <c r="AC163">
        <v>2</v>
      </c>
      <c r="AD163">
        <v>8</v>
      </c>
      <c r="AE163">
        <v>1659.26</v>
      </c>
      <c r="AF163" s="3">
        <v>8.3748000000000005</v>
      </c>
      <c r="AG163" s="1">
        <v>45327</v>
      </c>
      <c r="AH163" s="2">
        <v>0.72263888888888894</v>
      </c>
      <c r="AI163">
        <v>0</v>
      </c>
      <c r="AJ163">
        <v>0</v>
      </c>
      <c r="AK163">
        <v>0</v>
      </c>
      <c r="AL163">
        <v>0</v>
      </c>
      <c r="AM163">
        <v>0</v>
      </c>
      <c r="AN163">
        <v>0</v>
      </c>
      <c r="AO163">
        <v>0</v>
      </c>
      <c r="AP163">
        <v>0</v>
      </c>
      <c r="AQ163">
        <v>0</v>
      </c>
      <c r="AR163">
        <v>0</v>
      </c>
      <c r="AS163">
        <v>0</v>
      </c>
      <c r="AT163">
        <v>0</v>
      </c>
      <c r="AU163" s="3">
        <f t="shared" si="109"/>
        <v>8.3785000000000007</v>
      </c>
    </row>
    <row r="164" spans="1:47" x14ac:dyDescent="0.25">
      <c r="A164">
        <v>0</v>
      </c>
      <c r="B164" t="s">
        <v>1</v>
      </c>
      <c r="C164">
        <v>29056</v>
      </c>
      <c r="D164">
        <v>128</v>
      </c>
      <c r="E164">
        <v>2</v>
      </c>
      <c r="F164">
        <v>8</v>
      </c>
      <c r="G164">
        <v>1688.69</v>
      </c>
      <c r="H164" s="3">
        <v>9.6850000000000005</v>
      </c>
      <c r="I164" s="1">
        <v>45319</v>
      </c>
      <c r="J164" s="2">
        <v>0.95003472222222218</v>
      </c>
      <c r="K164">
        <v>0</v>
      </c>
      <c r="L164">
        <v>0</v>
      </c>
      <c r="M164">
        <v>0</v>
      </c>
      <c r="N164">
        <v>0</v>
      </c>
      <c r="O164">
        <v>0</v>
      </c>
      <c r="P164">
        <v>0</v>
      </c>
      <c r="Q164">
        <v>0</v>
      </c>
      <c r="R164">
        <v>0</v>
      </c>
      <c r="S164">
        <v>0</v>
      </c>
      <c r="T164">
        <v>0</v>
      </c>
      <c r="U164">
        <v>0</v>
      </c>
      <c r="V164">
        <v>0</v>
      </c>
      <c r="W164" s="4">
        <f t="shared" ref="W164" si="126">AVERAGE(H164:H168)</f>
        <v>9.6924399999999995</v>
      </c>
      <c r="Y164">
        <v>0</v>
      </c>
      <c r="Z164" t="s">
        <v>1</v>
      </c>
      <c r="AA164">
        <v>29056</v>
      </c>
      <c r="AB164">
        <v>128</v>
      </c>
      <c r="AC164">
        <v>2</v>
      </c>
      <c r="AD164">
        <v>8</v>
      </c>
      <c r="AE164">
        <v>1911.01</v>
      </c>
      <c r="AF164" s="3">
        <v>8.5582999999999991</v>
      </c>
      <c r="AG164" s="1">
        <v>45324</v>
      </c>
      <c r="AH164" s="2">
        <v>0.64177083333333329</v>
      </c>
      <c r="AI164">
        <v>0</v>
      </c>
      <c r="AJ164">
        <v>0</v>
      </c>
      <c r="AK164">
        <v>0</v>
      </c>
      <c r="AL164">
        <v>0</v>
      </c>
      <c r="AM164">
        <v>0</v>
      </c>
      <c r="AN164">
        <v>0</v>
      </c>
      <c r="AO164">
        <v>0</v>
      </c>
      <c r="AP164">
        <v>0</v>
      </c>
      <c r="AQ164">
        <v>0</v>
      </c>
      <c r="AR164">
        <v>0</v>
      </c>
      <c r="AS164">
        <v>0</v>
      </c>
      <c r="AT164">
        <v>0</v>
      </c>
      <c r="AU164" s="3">
        <f t="shared" ref="AU164" si="127">AVERAGE(AF164:AF168)</f>
        <v>8.5572799999999987</v>
      </c>
    </row>
    <row r="165" spans="1:47" x14ac:dyDescent="0.25">
      <c r="A165">
        <v>1</v>
      </c>
      <c r="B165" t="s">
        <v>1</v>
      </c>
      <c r="C165">
        <v>29056</v>
      </c>
      <c r="D165">
        <v>128</v>
      </c>
      <c r="E165">
        <v>2</v>
      </c>
      <c r="F165">
        <v>8</v>
      </c>
      <c r="G165">
        <v>1686.67</v>
      </c>
      <c r="H165" s="3">
        <v>9.6966000000000001</v>
      </c>
      <c r="I165" s="1">
        <v>45320</v>
      </c>
      <c r="J165" s="2">
        <v>0.79130787037037031</v>
      </c>
      <c r="K165">
        <v>0</v>
      </c>
      <c r="L165">
        <v>0</v>
      </c>
      <c r="M165">
        <v>0</v>
      </c>
      <c r="N165">
        <v>0</v>
      </c>
      <c r="O165">
        <v>0</v>
      </c>
      <c r="P165">
        <v>0</v>
      </c>
      <c r="Q165">
        <v>0</v>
      </c>
      <c r="R165">
        <v>0</v>
      </c>
      <c r="S165">
        <v>0</v>
      </c>
      <c r="T165">
        <v>0</v>
      </c>
      <c r="U165">
        <v>0</v>
      </c>
      <c r="V165">
        <v>0</v>
      </c>
      <c r="W165" s="4">
        <f t="shared" ref="W165" si="128">W164</f>
        <v>9.6924399999999995</v>
      </c>
      <c r="Y165">
        <v>1</v>
      </c>
      <c r="Z165" t="s">
        <v>1</v>
      </c>
      <c r="AA165">
        <v>29056</v>
      </c>
      <c r="AB165">
        <v>128</v>
      </c>
      <c r="AC165">
        <v>2</v>
      </c>
      <c r="AD165">
        <v>8</v>
      </c>
      <c r="AE165">
        <v>1911.15</v>
      </c>
      <c r="AF165" s="3">
        <v>8.5577000000000005</v>
      </c>
      <c r="AG165" s="1">
        <v>45325</v>
      </c>
      <c r="AH165" s="2">
        <v>0.55409722222222224</v>
      </c>
      <c r="AI165">
        <v>0</v>
      </c>
      <c r="AJ165">
        <v>0</v>
      </c>
      <c r="AK165">
        <v>0</v>
      </c>
      <c r="AL165">
        <v>0</v>
      </c>
      <c r="AM165">
        <v>0</v>
      </c>
      <c r="AN165">
        <v>0</v>
      </c>
      <c r="AO165">
        <v>0</v>
      </c>
      <c r="AP165">
        <v>0</v>
      </c>
      <c r="AQ165">
        <v>0</v>
      </c>
      <c r="AR165">
        <v>0</v>
      </c>
      <c r="AS165">
        <v>0</v>
      </c>
      <c r="AT165">
        <v>0</v>
      </c>
      <c r="AU165" s="3">
        <f t="shared" ref="AU165" si="129">AU164</f>
        <v>8.5572799999999987</v>
      </c>
    </row>
    <row r="166" spans="1:47" x14ac:dyDescent="0.25">
      <c r="A166">
        <v>2</v>
      </c>
      <c r="B166" t="s">
        <v>1</v>
      </c>
      <c r="C166">
        <v>29056</v>
      </c>
      <c r="D166">
        <v>128</v>
      </c>
      <c r="E166">
        <v>2</v>
      </c>
      <c r="F166">
        <v>8</v>
      </c>
      <c r="G166">
        <v>1688.38</v>
      </c>
      <c r="H166" s="3">
        <v>9.6867999999999999</v>
      </c>
      <c r="I166" s="1">
        <v>45321</v>
      </c>
      <c r="J166" s="2">
        <v>0.63358796296296294</v>
      </c>
      <c r="K166">
        <v>0</v>
      </c>
      <c r="L166">
        <v>0</v>
      </c>
      <c r="M166">
        <v>0</v>
      </c>
      <c r="N166">
        <v>0</v>
      </c>
      <c r="O166">
        <v>0</v>
      </c>
      <c r="P166">
        <v>0</v>
      </c>
      <c r="Q166">
        <v>0</v>
      </c>
      <c r="R166">
        <v>0</v>
      </c>
      <c r="S166">
        <v>0</v>
      </c>
      <c r="T166">
        <v>0</v>
      </c>
      <c r="U166">
        <v>0</v>
      </c>
      <c r="V166">
        <v>0</v>
      </c>
      <c r="W166" s="4">
        <f t="shared" si="108"/>
        <v>9.6924399999999995</v>
      </c>
      <c r="Y166">
        <v>2</v>
      </c>
      <c r="Z166" t="s">
        <v>1</v>
      </c>
      <c r="AA166">
        <v>29056</v>
      </c>
      <c r="AB166">
        <v>128</v>
      </c>
      <c r="AC166">
        <v>2</v>
      </c>
      <c r="AD166">
        <v>8</v>
      </c>
      <c r="AE166">
        <v>1910.94</v>
      </c>
      <c r="AF166" s="3">
        <v>8.5586000000000002</v>
      </c>
      <c r="AG166" s="1">
        <v>45326</v>
      </c>
      <c r="AH166" s="2">
        <v>0.47427083333333336</v>
      </c>
      <c r="AI166">
        <v>0</v>
      </c>
      <c r="AJ166">
        <v>0</v>
      </c>
      <c r="AK166">
        <v>0</v>
      </c>
      <c r="AL166">
        <v>0</v>
      </c>
      <c r="AM166">
        <v>0</v>
      </c>
      <c r="AN166">
        <v>0</v>
      </c>
      <c r="AO166">
        <v>0</v>
      </c>
      <c r="AP166">
        <v>0</v>
      </c>
      <c r="AQ166">
        <v>0</v>
      </c>
      <c r="AR166">
        <v>0</v>
      </c>
      <c r="AS166">
        <v>0</v>
      </c>
      <c r="AT166">
        <v>0</v>
      </c>
      <c r="AU166" s="3">
        <f t="shared" si="109"/>
        <v>8.5572799999999987</v>
      </c>
    </row>
    <row r="167" spans="1:47" x14ac:dyDescent="0.25">
      <c r="A167">
        <v>3</v>
      </c>
      <c r="B167" t="s">
        <v>1</v>
      </c>
      <c r="C167">
        <v>29056</v>
      </c>
      <c r="D167">
        <v>128</v>
      </c>
      <c r="E167">
        <v>2</v>
      </c>
      <c r="F167">
        <v>8</v>
      </c>
      <c r="G167">
        <v>1686.09</v>
      </c>
      <c r="H167" s="3">
        <v>9.6998999999999995</v>
      </c>
      <c r="I167" s="1">
        <v>45322</v>
      </c>
      <c r="J167" s="2">
        <v>0.47591435185185182</v>
      </c>
      <c r="K167">
        <v>0</v>
      </c>
      <c r="L167">
        <v>0</v>
      </c>
      <c r="M167">
        <v>0</v>
      </c>
      <c r="N167">
        <v>0</v>
      </c>
      <c r="O167">
        <v>0</v>
      </c>
      <c r="P167">
        <v>0</v>
      </c>
      <c r="Q167">
        <v>0</v>
      </c>
      <c r="R167">
        <v>0</v>
      </c>
      <c r="S167">
        <v>0</v>
      </c>
      <c r="T167">
        <v>0</v>
      </c>
      <c r="U167">
        <v>0</v>
      </c>
      <c r="V167">
        <v>0</v>
      </c>
      <c r="W167" s="4">
        <f t="shared" si="108"/>
        <v>9.6924399999999995</v>
      </c>
      <c r="Y167">
        <v>3</v>
      </c>
      <c r="Z167" t="s">
        <v>1</v>
      </c>
      <c r="AA167">
        <v>29056</v>
      </c>
      <c r="AB167">
        <v>128</v>
      </c>
      <c r="AC167">
        <v>2</v>
      </c>
      <c r="AD167">
        <v>8</v>
      </c>
      <c r="AE167">
        <v>1910.84</v>
      </c>
      <c r="AF167" s="3">
        <v>8.5589999999999993</v>
      </c>
      <c r="AG167" s="1">
        <v>45327</v>
      </c>
      <c r="AH167" s="2">
        <v>0.39450231481481479</v>
      </c>
      <c r="AI167">
        <v>0</v>
      </c>
      <c r="AJ167">
        <v>0</v>
      </c>
      <c r="AK167">
        <v>0</v>
      </c>
      <c r="AL167">
        <v>0</v>
      </c>
      <c r="AM167">
        <v>0</v>
      </c>
      <c r="AN167">
        <v>0</v>
      </c>
      <c r="AO167">
        <v>0</v>
      </c>
      <c r="AP167">
        <v>0</v>
      </c>
      <c r="AQ167">
        <v>0</v>
      </c>
      <c r="AR167">
        <v>0</v>
      </c>
      <c r="AS167">
        <v>0</v>
      </c>
      <c r="AT167">
        <v>0</v>
      </c>
      <c r="AU167" s="3">
        <f t="shared" si="109"/>
        <v>8.5572799999999987</v>
      </c>
    </row>
    <row r="168" spans="1:47" x14ac:dyDescent="0.25">
      <c r="A168">
        <v>4</v>
      </c>
      <c r="B168" t="s">
        <v>1</v>
      </c>
      <c r="C168">
        <v>29056</v>
      </c>
      <c r="D168">
        <v>128</v>
      </c>
      <c r="E168">
        <v>2</v>
      </c>
      <c r="F168">
        <v>8</v>
      </c>
      <c r="G168">
        <v>1687.14</v>
      </c>
      <c r="H168" s="3">
        <v>9.6938999999999993</v>
      </c>
      <c r="I168" s="1">
        <v>45323</v>
      </c>
      <c r="J168" s="2">
        <v>0.31842592592592595</v>
      </c>
      <c r="K168">
        <v>0</v>
      </c>
      <c r="L168">
        <v>0</v>
      </c>
      <c r="M168">
        <v>0</v>
      </c>
      <c r="N168">
        <v>0</v>
      </c>
      <c r="O168">
        <v>0</v>
      </c>
      <c r="P168">
        <v>0</v>
      </c>
      <c r="Q168">
        <v>0</v>
      </c>
      <c r="R168">
        <v>0</v>
      </c>
      <c r="S168">
        <v>0</v>
      </c>
      <c r="T168">
        <v>0</v>
      </c>
      <c r="U168">
        <v>0</v>
      </c>
      <c r="V168">
        <v>0</v>
      </c>
      <c r="W168" s="4">
        <f t="shared" si="108"/>
        <v>9.6924399999999995</v>
      </c>
      <c r="Y168">
        <v>4</v>
      </c>
      <c r="Z168" t="s">
        <v>1</v>
      </c>
      <c r="AA168">
        <v>29056</v>
      </c>
      <c r="AB168">
        <v>128</v>
      </c>
      <c r="AC168">
        <v>2</v>
      </c>
      <c r="AD168">
        <v>8</v>
      </c>
      <c r="AE168">
        <v>1912.23</v>
      </c>
      <c r="AF168" s="3">
        <v>8.5527999999999995</v>
      </c>
      <c r="AG168" s="1">
        <v>45328</v>
      </c>
      <c r="AH168" s="2">
        <v>0.31418981481481484</v>
      </c>
      <c r="AI168">
        <v>0</v>
      </c>
      <c r="AJ168">
        <v>0</v>
      </c>
      <c r="AK168">
        <v>0</v>
      </c>
      <c r="AL168">
        <v>0</v>
      </c>
      <c r="AM168">
        <v>0</v>
      </c>
      <c r="AN168">
        <v>0</v>
      </c>
      <c r="AO168">
        <v>0</v>
      </c>
      <c r="AP168">
        <v>0</v>
      </c>
      <c r="AQ168">
        <v>0</v>
      </c>
      <c r="AR168">
        <v>0</v>
      </c>
      <c r="AS168">
        <v>0</v>
      </c>
      <c r="AT168">
        <v>0</v>
      </c>
      <c r="AU168" s="3">
        <f t="shared" si="109"/>
        <v>8.5572799999999987</v>
      </c>
    </row>
    <row r="169" spans="1:47" x14ac:dyDescent="0.25">
      <c r="A169">
        <v>0</v>
      </c>
      <c r="B169" t="s">
        <v>1</v>
      </c>
      <c r="C169">
        <v>25984</v>
      </c>
      <c r="D169">
        <v>128</v>
      </c>
      <c r="E169">
        <v>4</v>
      </c>
      <c r="F169">
        <v>4</v>
      </c>
      <c r="G169">
        <v>1228.27</v>
      </c>
      <c r="H169" s="3">
        <v>9.5228999999999999</v>
      </c>
      <c r="I169" s="1">
        <v>45319</v>
      </c>
      <c r="J169" s="2">
        <v>0.68103009259259262</v>
      </c>
      <c r="K169">
        <v>0</v>
      </c>
      <c r="L169">
        <v>0</v>
      </c>
      <c r="M169">
        <v>0</v>
      </c>
      <c r="N169">
        <v>0</v>
      </c>
      <c r="O169">
        <v>0</v>
      </c>
      <c r="P169">
        <v>0</v>
      </c>
      <c r="Q169">
        <v>0</v>
      </c>
      <c r="R169">
        <v>0</v>
      </c>
      <c r="S169">
        <v>0</v>
      </c>
      <c r="T169">
        <v>0</v>
      </c>
      <c r="U169">
        <v>0</v>
      </c>
      <c r="V169">
        <v>0</v>
      </c>
      <c r="W169" s="4">
        <f t="shared" ref="W169" si="130">AVERAGE(H169:H173)</f>
        <v>9.503680000000001</v>
      </c>
      <c r="Y169">
        <v>0</v>
      </c>
      <c r="Z169" t="s">
        <v>1</v>
      </c>
      <c r="AA169">
        <v>25984</v>
      </c>
      <c r="AB169">
        <v>128</v>
      </c>
      <c r="AC169">
        <v>4</v>
      </c>
      <c r="AD169">
        <v>4</v>
      </c>
      <c r="AE169">
        <v>1352.3</v>
      </c>
      <c r="AF169" s="3">
        <v>8.6494999999999997</v>
      </c>
      <c r="AG169" s="1">
        <v>45324</v>
      </c>
      <c r="AH169" s="2">
        <v>0.35840277777777779</v>
      </c>
      <c r="AI169">
        <v>0</v>
      </c>
      <c r="AJ169">
        <v>0</v>
      </c>
      <c r="AK169">
        <v>0</v>
      </c>
      <c r="AL169">
        <v>0</v>
      </c>
      <c r="AM169">
        <v>0</v>
      </c>
      <c r="AN169">
        <v>0</v>
      </c>
      <c r="AO169">
        <v>0</v>
      </c>
      <c r="AP169">
        <v>0</v>
      </c>
      <c r="AQ169">
        <v>0</v>
      </c>
      <c r="AR169">
        <v>0</v>
      </c>
      <c r="AS169">
        <v>0</v>
      </c>
      <c r="AT169">
        <v>0</v>
      </c>
      <c r="AU169" s="3">
        <f t="shared" ref="AU169" si="131">AVERAGE(AF169:AF173)</f>
        <v>8.6457200000000007</v>
      </c>
    </row>
    <row r="170" spans="1:47" x14ac:dyDescent="0.25">
      <c r="A170">
        <v>1</v>
      </c>
      <c r="B170" t="s">
        <v>1</v>
      </c>
      <c r="C170">
        <v>25984</v>
      </c>
      <c r="D170">
        <v>128</v>
      </c>
      <c r="E170">
        <v>4</v>
      </c>
      <c r="F170">
        <v>4</v>
      </c>
      <c r="G170">
        <v>1228.18</v>
      </c>
      <c r="H170" s="3">
        <v>9.5236000000000001</v>
      </c>
      <c r="I170" s="1">
        <v>45320</v>
      </c>
      <c r="J170" s="2">
        <v>0.52218750000000003</v>
      </c>
      <c r="K170">
        <v>0</v>
      </c>
      <c r="L170">
        <v>0</v>
      </c>
      <c r="M170">
        <v>0</v>
      </c>
      <c r="N170">
        <v>0</v>
      </c>
      <c r="O170">
        <v>0</v>
      </c>
      <c r="P170">
        <v>0</v>
      </c>
      <c r="Q170">
        <v>0</v>
      </c>
      <c r="R170">
        <v>0</v>
      </c>
      <c r="S170">
        <v>0</v>
      </c>
      <c r="T170">
        <v>0</v>
      </c>
      <c r="U170">
        <v>0</v>
      </c>
      <c r="V170">
        <v>0</v>
      </c>
      <c r="W170" s="4">
        <f t="shared" ref="W170" si="132">W169</f>
        <v>9.503680000000001</v>
      </c>
      <c r="Y170">
        <v>1</v>
      </c>
      <c r="Z170" t="s">
        <v>1</v>
      </c>
      <c r="AA170">
        <v>25984</v>
      </c>
      <c r="AB170">
        <v>128</v>
      </c>
      <c r="AC170">
        <v>4</v>
      </c>
      <c r="AD170">
        <v>4</v>
      </c>
      <c r="AE170">
        <v>1353.46</v>
      </c>
      <c r="AF170" s="3">
        <v>8.6420999999999992</v>
      </c>
      <c r="AG170" s="1">
        <v>45325</v>
      </c>
      <c r="AH170" s="2">
        <v>0.26042824074074072</v>
      </c>
      <c r="AI170">
        <v>0</v>
      </c>
      <c r="AJ170">
        <v>0</v>
      </c>
      <c r="AK170">
        <v>0</v>
      </c>
      <c r="AL170">
        <v>0</v>
      </c>
      <c r="AM170">
        <v>0</v>
      </c>
      <c r="AN170">
        <v>0</v>
      </c>
      <c r="AO170">
        <v>0</v>
      </c>
      <c r="AP170">
        <v>0</v>
      </c>
      <c r="AQ170">
        <v>0</v>
      </c>
      <c r="AR170">
        <v>0</v>
      </c>
      <c r="AS170">
        <v>0</v>
      </c>
      <c r="AT170">
        <v>0</v>
      </c>
      <c r="AU170" s="3">
        <f t="shared" ref="AU170" si="133">AU169</f>
        <v>8.6457200000000007</v>
      </c>
    </row>
    <row r="171" spans="1:47" x14ac:dyDescent="0.25">
      <c r="A171">
        <v>2</v>
      </c>
      <c r="B171" t="s">
        <v>1</v>
      </c>
      <c r="C171">
        <v>25984</v>
      </c>
      <c r="D171">
        <v>128</v>
      </c>
      <c r="E171">
        <v>4</v>
      </c>
      <c r="F171">
        <v>4</v>
      </c>
      <c r="G171">
        <v>1229.48</v>
      </c>
      <c r="H171" s="3">
        <v>9.5135000000000005</v>
      </c>
      <c r="I171" s="1">
        <v>45321</v>
      </c>
      <c r="J171" s="2">
        <v>0.36396990740740742</v>
      </c>
      <c r="K171">
        <v>0</v>
      </c>
      <c r="L171">
        <v>0</v>
      </c>
      <c r="M171">
        <v>0</v>
      </c>
      <c r="N171">
        <v>0</v>
      </c>
      <c r="O171">
        <v>0</v>
      </c>
      <c r="P171">
        <v>0</v>
      </c>
      <c r="Q171">
        <v>0</v>
      </c>
      <c r="R171">
        <v>0</v>
      </c>
      <c r="S171">
        <v>0</v>
      </c>
      <c r="T171">
        <v>0</v>
      </c>
      <c r="U171">
        <v>0</v>
      </c>
      <c r="V171">
        <v>0</v>
      </c>
      <c r="W171" s="4">
        <f t="shared" si="108"/>
        <v>9.503680000000001</v>
      </c>
      <c r="Y171">
        <v>2</v>
      </c>
      <c r="Z171" t="s">
        <v>1</v>
      </c>
      <c r="AA171">
        <v>25984</v>
      </c>
      <c r="AB171">
        <v>128</v>
      </c>
      <c r="AC171">
        <v>4</v>
      </c>
      <c r="AD171">
        <v>4</v>
      </c>
      <c r="AE171">
        <v>1352.63</v>
      </c>
      <c r="AF171" s="3">
        <v>8.6473999999999993</v>
      </c>
      <c r="AG171" s="1">
        <v>45326</v>
      </c>
      <c r="AH171" s="2">
        <v>0.18068287037037037</v>
      </c>
      <c r="AI171">
        <v>0</v>
      </c>
      <c r="AJ171">
        <v>0</v>
      </c>
      <c r="AK171">
        <v>0</v>
      </c>
      <c r="AL171">
        <v>0</v>
      </c>
      <c r="AM171">
        <v>0</v>
      </c>
      <c r="AN171">
        <v>0</v>
      </c>
      <c r="AO171">
        <v>0</v>
      </c>
      <c r="AP171">
        <v>0</v>
      </c>
      <c r="AQ171">
        <v>0</v>
      </c>
      <c r="AR171">
        <v>0</v>
      </c>
      <c r="AS171">
        <v>0</v>
      </c>
      <c r="AT171">
        <v>0</v>
      </c>
      <c r="AU171" s="3">
        <f t="shared" si="109"/>
        <v>8.6457200000000007</v>
      </c>
    </row>
    <row r="172" spans="1:47" x14ac:dyDescent="0.25">
      <c r="A172">
        <v>3</v>
      </c>
      <c r="B172" t="s">
        <v>1</v>
      </c>
      <c r="C172">
        <v>25984</v>
      </c>
      <c r="D172">
        <v>128</v>
      </c>
      <c r="E172">
        <v>4</v>
      </c>
      <c r="F172">
        <v>4</v>
      </c>
      <c r="G172">
        <v>1234.06</v>
      </c>
      <c r="H172" s="3">
        <v>9.4783000000000008</v>
      </c>
      <c r="I172" s="1">
        <v>45322</v>
      </c>
      <c r="J172" s="2">
        <v>0.20625000000000002</v>
      </c>
      <c r="K172">
        <v>0</v>
      </c>
      <c r="L172">
        <v>0</v>
      </c>
      <c r="M172">
        <v>0</v>
      </c>
      <c r="N172">
        <v>0</v>
      </c>
      <c r="O172">
        <v>0</v>
      </c>
      <c r="P172">
        <v>0</v>
      </c>
      <c r="Q172">
        <v>0</v>
      </c>
      <c r="R172">
        <v>0</v>
      </c>
      <c r="S172">
        <v>0</v>
      </c>
      <c r="T172">
        <v>0</v>
      </c>
      <c r="U172">
        <v>0</v>
      </c>
      <c r="V172">
        <v>0</v>
      </c>
      <c r="W172" s="4">
        <f t="shared" si="108"/>
        <v>9.503680000000001</v>
      </c>
      <c r="Y172">
        <v>3</v>
      </c>
      <c r="Z172" t="s">
        <v>1</v>
      </c>
      <c r="AA172">
        <v>25984</v>
      </c>
      <c r="AB172">
        <v>128</v>
      </c>
      <c r="AC172">
        <v>4</v>
      </c>
      <c r="AD172">
        <v>4</v>
      </c>
      <c r="AE172">
        <v>1352.23</v>
      </c>
      <c r="AF172" s="3">
        <v>8.65</v>
      </c>
      <c r="AG172" s="1">
        <v>45327</v>
      </c>
      <c r="AH172" s="2">
        <v>0.10020833333333334</v>
      </c>
      <c r="AI172">
        <v>0</v>
      </c>
      <c r="AJ172">
        <v>0</v>
      </c>
      <c r="AK172">
        <v>0</v>
      </c>
      <c r="AL172">
        <v>0</v>
      </c>
      <c r="AM172">
        <v>0</v>
      </c>
      <c r="AN172">
        <v>0</v>
      </c>
      <c r="AO172">
        <v>0</v>
      </c>
      <c r="AP172">
        <v>0</v>
      </c>
      <c r="AQ172">
        <v>0</v>
      </c>
      <c r="AR172">
        <v>0</v>
      </c>
      <c r="AS172">
        <v>0</v>
      </c>
      <c r="AT172">
        <v>0</v>
      </c>
      <c r="AU172" s="3">
        <f t="shared" si="109"/>
        <v>8.6457200000000007</v>
      </c>
    </row>
    <row r="173" spans="1:47" x14ac:dyDescent="0.25">
      <c r="A173">
        <v>4</v>
      </c>
      <c r="B173" t="s">
        <v>1</v>
      </c>
      <c r="C173">
        <v>25984</v>
      </c>
      <c r="D173">
        <v>128</v>
      </c>
      <c r="E173">
        <v>4</v>
      </c>
      <c r="F173">
        <v>4</v>
      </c>
      <c r="G173">
        <v>1233.82</v>
      </c>
      <c r="H173" s="3">
        <v>9.4801000000000002</v>
      </c>
      <c r="I173" s="1">
        <v>45323</v>
      </c>
      <c r="J173" s="2">
        <v>4.853009259259259E-2</v>
      </c>
      <c r="K173">
        <v>0</v>
      </c>
      <c r="L173">
        <v>0</v>
      </c>
      <c r="M173">
        <v>0</v>
      </c>
      <c r="N173">
        <v>0</v>
      </c>
      <c r="O173">
        <v>0</v>
      </c>
      <c r="P173">
        <v>0</v>
      </c>
      <c r="Q173">
        <v>0</v>
      </c>
      <c r="R173">
        <v>0</v>
      </c>
      <c r="S173">
        <v>0</v>
      </c>
      <c r="T173">
        <v>0</v>
      </c>
      <c r="U173">
        <v>0</v>
      </c>
      <c r="V173">
        <v>0</v>
      </c>
      <c r="W173" s="4">
        <f t="shared" si="108"/>
        <v>9.503680000000001</v>
      </c>
      <c r="Y173">
        <v>4</v>
      </c>
      <c r="Z173" t="s">
        <v>1</v>
      </c>
      <c r="AA173">
        <v>25984</v>
      </c>
      <c r="AB173">
        <v>128</v>
      </c>
      <c r="AC173">
        <v>4</v>
      </c>
      <c r="AD173">
        <v>4</v>
      </c>
      <c r="AE173">
        <v>1353.84</v>
      </c>
      <c r="AF173" s="3">
        <v>8.6395999999999997</v>
      </c>
      <c r="AG173" s="1">
        <v>45328</v>
      </c>
      <c r="AH173" s="2">
        <v>2.0081018518518519E-2</v>
      </c>
      <c r="AI173">
        <v>0</v>
      </c>
      <c r="AJ173">
        <v>0</v>
      </c>
      <c r="AK173">
        <v>0</v>
      </c>
      <c r="AL173">
        <v>0</v>
      </c>
      <c r="AM173">
        <v>0</v>
      </c>
      <c r="AN173">
        <v>0</v>
      </c>
      <c r="AO173">
        <v>0</v>
      </c>
      <c r="AP173">
        <v>0</v>
      </c>
      <c r="AQ173">
        <v>0</v>
      </c>
      <c r="AR173">
        <v>0</v>
      </c>
      <c r="AS173">
        <v>0</v>
      </c>
      <c r="AT173">
        <v>0</v>
      </c>
      <c r="AU173" s="3">
        <f t="shared" si="109"/>
        <v>8.6457200000000007</v>
      </c>
    </row>
    <row r="174" spans="1:47" x14ac:dyDescent="0.25">
      <c r="A174">
        <v>0</v>
      </c>
      <c r="B174" t="s">
        <v>1</v>
      </c>
      <c r="C174">
        <v>27520</v>
      </c>
      <c r="D174">
        <v>128</v>
      </c>
      <c r="E174">
        <v>4</v>
      </c>
      <c r="F174">
        <v>4</v>
      </c>
      <c r="G174">
        <v>1449.52</v>
      </c>
      <c r="H174" s="3">
        <v>9.5866000000000007</v>
      </c>
      <c r="I174" s="1">
        <v>45319</v>
      </c>
      <c r="J174" s="2">
        <v>0.42736111111111108</v>
      </c>
      <c r="K174">
        <v>0</v>
      </c>
      <c r="L174">
        <v>0</v>
      </c>
      <c r="M174">
        <v>0</v>
      </c>
      <c r="N174">
        <v>0</v>
      </c>
      <c r="O174">
        <v>0</v>
      </c>
      <c r="P174">
        <v>0</v>
      </c>
      <c r="Q174">
        <v>0</v>
      </c>
      <c r="R174">
        <v>0</v>
      </c>
      <c r="S174">
        <v>0</v>
      </c>
      <c r="T174">
        <v>0</v>
      </c>
      <c r="U174">
        <v>0</v>
      </c>
      <c r="V174">
        <v>0</v>
      </c>
      <c r="W174" s="4">
        <f t="shared" ref="W174" si="134">AVERAGE(H174:H178)</f>
        <v>9.5828600000000002</v>
      </c>
      <c r="Y174">
        <v>0</v>
      </c>
      <c r="Z174" t="s">
        <v>1</v>
      </c>
      <c r="AA174">
        <v>27520</v>
      </c>
      <c r="AB174">
        <v>128</v>
      </c>
      <c r="AC174">
        <v>4</v>
      </c>
      <c r="AD174">
        <v>4</v>
      </c>
      <c r="AE174">
        <v>1608.7</v>
      </c>
      <c r="AF174" s="3">
        <v>8.6379999999999999</v>
      </c>
      <c r="AG174" s="1">
        <v>45324</v>
      </c>
      <c r="AH174" s="2">
        <v>9.1400462962962961E-2</v>
      </c>
      <c r="AI174">
        <v>0</v>
      </c>
      <c r="AJ174">
        <v>0</v>
      </c>
      <c r="AK174">
        <v>0</v>
      </c>
      <c r="AL174">
        <v>0</v>
      </c>
      <c r="AM174">
        <v>0</v>
      </c>
      <c r="AN174">
        <v>0</v>
      </c>
      <c r="AO174">
        <v>0</v>
      </c>
      <c r="AP174">
        <v>0</v>
      </c>
      <c r="AQ174">
        <v>0</v>
      </c>
      <c r="AR174">
        <v>0</v>
      </c>
      <c r="AS174">
        <v>0</v>
      </c>
      <c r="AT174">
        <v>0</v>
      </c>
      <c r="AU174" s="3">
        <f t="shared" ref="AU174" si="135">AVERAGE(AF174:AF178)</f>
        <v>8.5977199999999989</v>
      </c>
    </row>
    <row r="175" spans="1:47" x14ac:dyDescent="0.25">
      <c r="A175">
        <v>1</v>
      </c>
      <c r="B175" t="s">
        <v>1</v>
      </c>
      <c r="C175">
        <v>27520</v>
      </c>
      <c r="D175">
        <v>128</v>
      </c>
      <c r="E175">
        <v>4</v>
      </c>
      <c r="F175">
        <v>4</v>
      </c>
      <c r="G175">
        <v>1449.4</v>
      </c>
      <c r="H175" s="3">
        <v>9.5874000000000006</v>
      </c>
      <c r="I175" s="1">
        <v>45320</v>
      </c>
      <c r="J175" s="2">
        <v>0.2684375</v>
      </c>
      <c r="K175">
        <v>0</v>
      </c>
      <c r="L175">
        <v>0</v>
      </c>
      <c r="M175">
        <v>0</v>
      </c>
      <c r="N175">
        <v>0</v>
      </c>
      <c r="O175">
        <v>0</v>
      </c>
      <c r="P175">
        <v>0</v>
      </c>
      <c r="Q175">
        <v>0</v>
      </c>
      <c r="R175">
        <v>0</v>
      </c>
      <c r="S175">
        <v>0</v>
      </c>
      <c r="T175">
        <v>0</v>
      </c>
      <c r="U175">
        <v>0</v>
      </c>
      <c r="V175">
        <v>0</v>
      </c>
      <c r="W175" s="4">
        <f t="shared" ref="W175" si="136">W174</f>
        <v>9.5828600000000002</v>
      </c>
      <c r="Y175">
        <v>1</v>
      </c>
      <c r="Z175" t="s">
        <v>1</v>
      </c>
      <c r="AA175">
        <v>27520</v>
      </c>
      <c r="AB175">
        <v>128</v>
      </c>
      <c r="AC175">
        <v>4</v>
      </c>
      <c r="AD175">
        <v>4</v>
      </c>
      <c r="AE175">
        <v>1610.12</v>
      </c>
      <c r="AF175" s="3">
        <v>8.6303999999999998</v>
      </c>
      <c r="AG175" s="1">
        <v>45324</v>
      </c>
      <c r="AH175" s="2">
        <v>0.98285879629629624</v>
      </c>
      <c r="AI175">
        <v>0</v>
      </c>
      <c r="AJ175">
        <v>0</v>
      </c>
      <c r="AK175">
        <v>0</v>
      </c>
      <c r="AL175">
        <v>0</v>
      </c>
      <c r="AM175">
        <v>0</v>
      </c>
      <c r="AN175">
        <v>0</v>
      </c>
      <c r="AO175">
        <v>0</v>
      </c>
      <c r="AP175">
        <v>0</v>
      </c>
      <c r="AQ175">
        <v>0</v>
      </c>
      <c r="AR175">
        <v>0</v>
      </c>
      <c r="AS175">
        <v>0</v>
      </c>
      <c r="AT175">
        <v>0</v>
      </c>
      <c r="AU175" s="3">
        <f t="shared" ref="AU175" si="137">AU174</f>
        <v>8.5977199999999989</v>
      </c>
    </row>
    <row r="176" spans="1:47" x14ac:dyDescent="0.25">
      <c r="A176">
        <v>2</v>
      </c>
      <c r="B176" t="s">
        <v>1</v>
      </c>
      <c r="C176">
        <v>27520</v>
      </c>
      <c r="D176">
        <v>128</v>
      </c>
      <c r="E176">
        <v>4</v>
      </c>
      <c r="F176">
        <v>4</v>
      </c>
      <c r="G176">
        <v>1449.48</v>
      </c>
      <c r="H176" s="3">
        <v>9.5869</v>
      </c>
      <c r="I176" s="1">
        <v>45321</v>
      </c>
      <c r="J176" s="2">
        <v>0.10994212962962963</v>
      </c>
      <c r="K176">
        <v>0</v>
      </c>
      <c r="L176">
        <v>0</v>
      </c>
      <c r="M176">
        <v>0</v>
      </c>
      <c r="N176">
        <v>0</v>
      </c>
      <c r="O176">
        <v>0</v>
      </c>
      <c r="P176">
        <v>0</v>
      </c>
      <c r="Q176">
        <v>0</v>
      </c>
      <c r="R176">
        <v>0</v>
      </c>
      <c r="S176">
        <v>0</v>
      </c>
      <c r="T176">
        <v>0</v>
      </c>
      <c r="U176">
        <v>0</v>
      </c>
      <c r="V176">
        <v>0</v>
      </c>
      <c r="W176" s="4">
        <f t="shared" si="108"/>
        <v>9.5828600000000002</v>
      </c>
      <c r="Y176">
        <v>2</v>
      </c>
      <c r="Z176" t="s">
        <v>1</v>
      </c>
      <c r="AA176">
        <v>27520</v>
      </c>
      <c r="AB176">
        <v>128</v>
      </c>
      <c r="AC176">
        <v>4</v>
      </c>
      <c r="AD176">
        <v>4</v>
      </c>
      <c r="AE176">
        <v>1645.04</v>
      </c>
      <c r="AF176" s="3">
        <v>8.4472000000000005</v>
      </c>
      <c r="AG176" s="1">
        <v>45325</v>
      </c>
      <c r="AH176" s="2">
        <v>0.9027546296296296</v>
      </c>
      <c r="AI176">
        <v>0</v>
      </c>
      <c r="AJ176">
        <v>0</v>
      </c>
      <c r="AK176">
        <v>0</v>
      </c>
      <c r="AL176">
        <v>0</v>
      </c>
      <c r="AM176">
        <v>0</v>
      </c>
      <c r="AN176">
        <v>0</v>
      </c>
      <c r="AO176">
        <v>0</v>
      </c>
      <c r="AP176">
        <v>0</v>
      </c>
      <c r="AQ176">
        <v>0</v>
      </c>
      <c r="AR176">
        <v>0</v>
      </c>
      <c r="AS176">
        <v>0</v>
      </c>
      <c r="AT176">
        <v>0</v>
      </c>
      <c r="AU176" s="3">
        <f t="shared" si="109"/>
        <v>8.5977199999999989</v>
      </c>
    </row>
    <row r="177" spans="1:47" x14ac:dyDescent="0.25">
      <c r="A177">
        <v>3</v>
      </c>
      <c r="B177" t="s">
        <v>1</v>
      </c>
      <c r="C177">
        <v>27520</v>
      </c>
      <c r="D177">
        <v>128</v>
      </c>
      <c r="E177">
        <v>4</v>
      </c>
      <c r="F177">
        <v>4</v>
      </c>
      <c r="G177">
        <v>1450.7</v>
      </c>
      <c r="H177" s="3">
        <v>9.5787999999999993</v>
      </c>
      <c r="I177" s="1">
        <v>45321</v>
      </c>
      <c r="J177" s="2">
        <v>0.95203703703703713</v>
      </c>
      <c r="K177">
        <v>0</v>
      </c>
      <c r="L177">
        <v>0</v>
      </c>
      <c r="M177">
        <v>0</v>
      </c>
      <c r="N177">
        <v>0</v>
      </c>
      <c r="O177">
        <v>0</v>
      </c>
      <c r="P177">
        <v>0</v>
      </c>
      <c r="Q177">
        <v>0</v>
      </c>
      <c r="R177">
        <v>0</v>
      </c>
      <c r="S177">
        <v>0</v>
      </c>
      <c r="T177">
        <v>0</v>
      </c>
      <c r="U177">
        <v>0</v>
      </c>
      <c r="V177">
        <v>0</v>
      </c>
      <c r="W177" s="4">
        <f t="shared" si="108"/>
        <v>9.5828600000000002</v>
      </c>
      <c r="Y177">
        <v>3</v>
      </c>
      <c r="Z177" t="s">
        <v>1</v>
      </c>
      <c r="AA177">
        <v>27520</v>
      </c>
      <c r="AB177">
        <v>128</v>
      </c>
      <c r="AC177">
        <v>4</v>
      </c>
      <c r="AD177">
        <v>4</v>
      </c>
      <c r="AE177">
        <v>1609.12</v>
      </c>
      <c r="AF177" s="3">
        <v>8.6357999999999997</v>
      </c>
      <c r="AG177" s="1">
        <v>45326</v>
      </c>
      <c r="AH177" s="2">
        <v>0.82263888888888881</v>
      </c>
      <c r="AI177">
        <v>0</v>
      </c>
      <c r="AJ177">
        <v>0</v>
      </c>
      <c r="AK177">
        <v>0</v>
      </c>
      <c r="AL177">
        <v>0</v>
      </c>
      <c r="AM177">
        <v>0</v>
      </c>
      <c r="AN177">
        <v>0</v>
      </c>
      <c r="AO177">
        <v>0</v>
      </c>
      <c r="AP177">
        <v>0</v>
      </c>
      <c r="AQ177">
        <v>0</v>
      </c>
      <c r="AR177">
        <v>0</v>
      </c>
      <c r="AS177">
        <v>0</v>
      </c>
      <c r="AT177">
        <v>0</v>
      </c>
      <c r="AU177" s="3">
        <f t="shared" si="109"/>
        <v>8.5977199999999989</v>
      </c>
    </row>
    <row r="178" spans="1:47" x14ac:dyDescent="0.25">
      <c r="A178">
        <v>4</v>
      </c>
      <c r="B178" t="s">
        <v>1</v>
      </c>
      <c r="C178">
        <v>27520</v>
      </c>
      <c r="D178">
        <v>128</v>
      </c>
      <c r="E178">
        <v>4</v>
      </c>
      <c r="F178">
        <v>4</v>
      </c>
      <c r="G178">
        <v>1451.34</v>
      </c>
      <c r="H178" s="3">
        <v>9.5746000000000002</v>
      </c>
      <c r="I178" s="1">
        <v>45322</v>
      </c>
      <c r="J178" s="2">
        <v>0.79458333333333331</v>
      </c>
      <c r="K178">
        <v>0</v>
      </c>
      <c r="L178">
        <v>0</v>
      </c>
      <c r="M178">
        <v>0</v>
      </c>
      <c r="N178">
        <v>0</v>
      </c>
      <c r="O178">
        <v>0</v>
      </c>
      <c r="P178">
        <v>0</v>
      </c>
      <c r="Q178">
        <v>0</v>
      </c>
      <c r="R178">
        <v>0</v>
      </c>
      <c r="S178">
        <v>0</v>
      </c>
      <c r="T178">
        <v>0</v>
      </c>
      <c r="U178">
        <v>0</v>
      </c>
      <c r="V178">
        <v>0</v>
      </c>
      <c r="W178" s="4">
        <f t="shared" si="108"/>
        <v>9.5828600000000002</v>
      </c>
      <c r="Y178">
        <v>4</v>
      </c>
      <c r="Z178" t="s">
        <v>1</v>
      </c>
      <c r="AA178">
        <v>27520</v>
      </c>
      <c r="AB178">
        <v>128</v>
      </c>
      <c r="AC178">
        <v>4</v>
      </c>
      <c r="AD178">
        <v>4</v>
      </c>
      <c r="AE178">
        <v>1608.86</v>
      </c>
      <c r="AF178" s="3">
        <v>8.6372</v>
      </c>
      <c r="AG178" s="1">
        <v>45327</v>
      </c>
      <c r="AH178" s="2">
        <v>0.74247685185185175</v>
      </c>
      <c r="AI178">
        <v>0</v>
      </c>
      <c r="AJ178">
        <v>0</v>
      </c>
      <c r="AK178">
        <v>0</v>
      </c>
      <c r="AL178">
        <v>0</v>
      </c>
      <c r="AM178">
        <v>0</v>
      </c>
      <c r="AN178">
        <v>0</v>
      </c>
      <c r="AO178">
        <v>0</v>
      </c>
      <c r="AP178">
        <v>0</v>
      </c>
      <c r="AQ178">
        <v>0</v>
      </c>
      <c r="AR178">
        <v>0</v>
      </c>
      <c r="AS178">
        <v>0</v>
      </c>
      <c r="AT178">
        <v>0</v>
      </c>
      <c r="AU178" s="3">
        <f t="shared" si="109"/>
        <v>8.5977199999999989</v>
      </c>
    </row>
    <row r="179" spans="1:47" x14ac:dyDescent="0.25">
      <c r="A179">
        <v>0</v>
      </c>
      <c r="B179" t="s">
        <v>1</v>
      </c>
      <c r="C179">
        <v>29056</v>
      </c>
      <c r="D179">
        <v>128</v>
      </c>
      <c r="E179">
        <v>4</v>
      </c>
      <c r="F179">
        <v>4</v>
      </c>
      <c r="G179">
        <v>1692.68</v>
      </c>
      <c r="H179" s="3">
        <v>9.6622000000000003</v>
      </c>
      <c r="I179" s="1">
        <v>45319</v>
      </c>
      <c r="J179" s="2">
        <v>0.97129629629629621</v>
      </c>
      <c r="K179">
        <v>0</v>
      </c>
      <c r="L179">
        <v>0</v>
      </c>
      <c r="M179">
        <v>0</v>
      </c>
      <c r="N179">
        <v>0</v>
      </c>
      <c r="O179">
        <v>0</v>
      </c>
      <c r="P179">
        <v>0</v>
      </c>
      <c r="Q179">
        <v>0</v>
      </c>
      <c r="R179">
        <v>0</v>
      </c>
      <c r="S179">
        <v>0</v>
      </c>
      <c r="T179">
        <v>0</v>
      </c>
      <c r="U179">
        <v>0</v>
      </c>
      <c r="V179">
        <v>0</v>
      </c>
      <c r="W179" s="4">
        <f t="shared" ref="W179" si="138">AVERAGE(H179:H183)</f>
        <v>9.6569000000000003</v>
      </c>
      <c r="Y179">
        <v>0</v>
      </c>
      <c r="Z179" t="s">
        <v>1</v>
      </c>
      <c r="AA179">
        <v>29056</v>
      </c>
      <c r="AB179">
        <v>128</v>
      </c>
      <c r="AC179">
        <v>4</v>
      </c>
      <c r="AD179">
        <v>4</v>
      </c>
      <c r="AE179">
        <v>1869.59</v>
      </c>
      <c r="AF179" s="3">
        <v>8.7478999999999996</v>
      </c>
      <c r="AG179" s="1">
        <v>45324</v>
      </c>
      <c r="AH179" s="2">
        <v>0.66401620370370373</v>
      </c>
      <c r="AI179">
        <v>0</v>
      </c>
      <c r="AJ179">
        <v>0</v>
      </c>
      <c r="AK179">
        <v>0</v>
      </c>
      <c r="AL179">
        <v>0</v>
      </c>
      <c r="AM179">
        <v>0</v>
      </c>
      <c r="AN179">
        <v>0</v>
      </c>
      <c r="AO179">
        <v>0</v>
      </c>
      <c r="AP179">
        <v>0</v>
      </c>
      <c r="AQ179">
        <v>0</v>
      </c>
      <c r="AR179">
        <v>0</v>
      </c>
      <c r="AS179">
        <v>0</v>
      </c>
      <c r="AT179">
        <v>0</v>
      </c>
      <c r="AU179" s="3">
        <f t="shared" ref="AU179" si="139">AVERAGE(AF179:AF183)</f>
        <v>8.7161200000000001</v>
      </c>
    </row>
    <row r="180" spans="1:47" x14ac:dyDescent="0.25">
      <c r="A180">
        <v>1</v>
      </c>
      <c r="B180" t="s">
        <v>1</v>
      </c>
      <c r="C180">
        <v>29056</v>
      </c>
      <c r="D180">
        <v>128</v>
      </c>
      <c r="E180">
        <v>4</v>
      </c>
      <c r="F180">
        <v>4</v>
      </c>
      <c r="G180">
        <v>1695.37</v>
      </c>
      <c r="H180" s="3">
        <v>9.6468000000000007</v>
      </c>
      <c r="I180" s="1">
        <v>45320</v>
      </c>
      <c r="J180" s="2">
        <v>0.81260416666666668</v>
      </c>
      <c r="K180">
        <v>0</v>
      </c>
      <c r="L180">
        <v>0</v>
      </c>
      <c r="M180">
        <v>0</v>
      </c>
      <c r="N180">
        <v>0</v>
      </c>
      <c r="O180">
        <v>0</v>
      </c>
      <c r="P180">
        <v>0</v>
      </c>
      <c r="Q180">
        <v>0</v>
      </c>
      <c r="R180">
        <v>0</v>
      </c>
      <c r="S180">
        <v>0</v>
      </c>
      <c r="T180">
        <v>0</v>
      </c>
      <c r="U180">
        <v>0</v>
      </c>
      <c r="V180">
        <v>0</v>
      </c>
      <c r="W180" s="4">
        <f t="shared" ref="W180" si="140">W179</f>
        <v>9.6569000000000003</v>
      </c>
      <c r="Y180">
        <v>1</v>
      </c>
      <c r="Z180" t="s">
        <v>1</v>
      </c>
      <c r="AA180">
        <v>29056</v>
      </c>
      <c r="AB180">
        <v>128</v>
      </c>
      <c r="AC180">
        <v>4</v>
      </c>
      <c r="AD180">
        <v>4</v>
      </c>
      <c r="AE180">
        <v>1879.43</v>
      </c>
      <c r="AF180" s="3">
        <v>8.7020999999999997</v>
      </c>
      <c r="AG180" s="1">
        <v>45325</v>
      </c>
      <c r="AH180" s="2">
        <v>0.57709490740740743</v>
      </c>
      <c r="AI180">
        <v>0</v>
      </c>
      <c r="AJ180">
        <v>0</v>
      </c>
      <c r="AK180">
        <v>0</v>
      </c>
      <c r="AL180">
        <v>0</v>
      </c>
      <c r="AM180">
        <v>0</v>
      </c>
      <c r="AN180">
        <v>0</v>
      </c>
      <c r="AO180">
        <v>0</v>
      </c>
      <c r="AP180">
        <v>0</v>
      </c>
      <c r="AQ180">
        <v>0</v>
      </c>
      <c r="AR180">
        <v>0</v>
      </c>
      <c r="AS180">
        <v>0</v>
      </c>
      <c r="AT180">
        <v>0</v>
      </c>
      <c r="AU180" s="3">
        <f t="shared" ref="AU180" si="141">AU179</f>
        <v>8.7161200000000001</v>
      </c>
    </row>
    <row r="181" spans="1:47" x14ac:dyDescent="0.25">
      <c r="A181">
        <v>2</v>
      </c>
      <c r="B181" t="s">
        <v>1</v>
      </c>
      <c r="C181">
        <v>29056</v>
      </c>
      <c r="D181">
        <v>128</v>
      </c>
      <c r="E181">
        <v>4</v>
      </c>
      <c r="F181">
        <v>4</v>
      </c>
      <c r="G181">
        <v>1693.3</v>
      </c>
      <c r="H181" s="3">
        <v>9.6585999999999999</v>
      </c>
      <c r="I181" s="1">
        <v>45321</v>
      </c>
      <c r="J181" s="2">
        <v>0.65484953703703697</v>
      </c>
      <c r="K181">
        <v>0</v>
      </c>
      <c r="L181">
        <v>0</v>
      </c>
      <c r="M181">
        <v>0</v>
      </c>
      <c r="N181">
        <v>0</v>
      </c>
      <c r="O181">
        <v>0</v>
      </c>
      <c r="P181">
        <v>0</v>
      </c>
      <c r="Q181">
        <v>0</v>
      </c>
      <c r="R181">
        <v>0</v>
      </c>
      <c r="S181">
        <v>0</v>
      </c>
      <c r="T181">
        <v>0</v>
      </c>
      <c r="U181">
        <v>0</v>
      </c>
      <c r="V181">
        <v>0</v>
      </c>
      <c r="W181" s="4">
        <f t="shared" si="108"/>
        <v>9.6569000000000003</v>
      </c>
      <c r="Y181">
        <v>2</v>
      </c>
      <c r="Z181" t="s">
        <v>1</v>
      </c>
      <c r="AA181">
        <v>29056</v>
      </c>
      <c r="AB181">
        <v>128</v>
      </c>
      <c r="AC181">
        <v>4</v>
      </c>
      <c r="AD181">
        <v>4</v>
      </c>
      <c r="AE181">
        <v>1879.65</v>
      </c>
      <c r="AF181" s="3">
        <v>8.7011000000000003</v>
      </c>
      <c r="AG181" s="1">
        <v>45326</v>
      </c>
      <c r="AH181" s="2">
        <v>0.49726851851851855</v>
      </c>
      <c r="AI181">
        <v>0</v>
      </c>
      <c r="AJ181">
        <v>0</v>
      </c>
      <c r="AK181">
        <v>0</v>
      </c>
      <c r="AL181">
        <v>0</v>
      </c>
      <c r="AM181">
        <v>0</v>
      </c>
      <c r="AN181">
        <v>0</v>
      </c>
      <c r="AO181">
        <v>0</v>
      </c>
      <c r="AP181">
        <v>0</v>
      </c>
      <c r="AQ181">
        <v>0</v>
      </c>
      <c r="AR181">
        <v>0</v>
      </c>
      <c r="AS181">
        <v>0</v>
      </c>
      <c r="AT181">
        <v>0</v>
      </c>
      <c r="AU181" s="3">
        <f t="shared" si="109"/>
        <v>8.7161200000000001</v>
      </c>
    </row>
    <row r="182" spans="1:47" x14ac:dyDescent="0.25">
      <c r="A182">
        <v>3</v>
      </c>
      <c r="B182" t="s">
        <v>1</v>
      </c>
      <c r="C182">
        <v>29056</v>
      </c>
      <c r="D182">
        <v>128</v>
      </c>
      <c r="E182">
        <v>4</v>
      </c>
      <c r="F182">
        <v>4</v>
      </c>
      <c r="G182">
        <v>1694.14</v>
      </c>
      <c r="H182" s="3">
        <v>9.6538000000000004</v>
      </c>
      <c r="I182" s="1">
        <v>45322</v>
      </c>
      <c r="J182" s="2">
        <v>0.49718749999999995</v>
      </c>
      <c r="K182">
        <v>0</v>
      </c>
      <c r="L182">
        <v>0</v>
      </c>
      <c r="M182">
        <v>0</v>
      </c>
      <c r="N182">
        <v>0</v>
      </c>
      <c r="O182">
        <v>0</v>
      </c>
      <c r="P182">
        <v>0</v>
      </c>
      <c r="Q182">
        <v>0</v>
      </c>
      <c r="R182">
        <v>0</v>
      </c>
      <c r="S182">
        <v>0</v>
      </c>
      <c r="T182">
        <v>0</v>
      </c>
      <c r="U182">
        <v>0</v>
      </c>
      <c r="V182">
        <v>0</v>
      </c>
      <c r="W182" s="4">
        <f t="shared" si="108"/>
        <v>9.6569000000000003</v>
      </c>
      <c r="Y182">
        <v>3</v>
      </c>
      <c r="Z182" t="s">
        <v>1</v>
      </c>
      <c r="AA182">
        <v>29056</v>
      </c>
      <c r="AB182">
        <v>128</v>
      </c>
      <c r="AC182">
        <v>4</v>
      </c>
      <c r="AD182">
        <v>4</v>
      </c>
      <c r="AE182">
        <v>1883.44</v>
      </c>
      <c r="AF182" s="3">
        <v>8.6836000000000002</v>
      </c>
      <c r="AG182" s="1">
        <v>45327</v>
      </c>
      <c r="AH182" s="2">
        <v>0.4175462962962963</v>
      </c>
      <c r="AI182">
        <v>0</v>
      </c>
      <c r="AJ182">
        <v>0</v>
      </c>
      <c r="AK182">
        <v>0</v>
      </c>
      <c r="AL182">
        <v>0</v>
      </c>
      <c r="AM182">
        <v>0</v>
      </c>
      <c r="AN182">
        <v>0</v>
      </c>
      <c r="AO182">
        <v>0</v>
      </c>
      <c r="AP182">
        <v>0</v>
      </c>
      <c r="AQ182">
        <v>0</v>
      </c>
      <c r="AR182">
        <v>0</v>
      </c>
      <c r="AS182">
        <v>0</v>
      </c>
      <c r="AT182">
        <v>0</v>
      </c>
      <c r="AU182" s="3">
        <f t="shared" si="109"/>
        <v>8.7161200000000001</v>
      </c>
    </row>
    <row r="183" spans="1:47" x14ac:dyDescent="0.25">
      <c r="A183">
        <v>4</v>
      </c>
      <c r="B183" t="s">
        <v>1</v>
      </c>
      <c r="C183">
        <v>29056</v>
      </c>
      <c r="D183">
        <v>128</v>
      </c>
      <c r="E183">
        <v>4</v>
      </c>
      <c r="F183">
        <v>4</v>
      </c>
      <c r="G183">
        <v>1692.52</v>
      </c>
      <c r="H183" s="3">
        <v>9.6631</v>
      </c>
      <c r="I183" s="1">
        <v>45323</v>
      </c>
      <c r="J183" s="2">
        <v>0.33968749999999998</v>
      </c>
      <c r="K183">
        <v>0</v>
      </c>
      <c r="L183">
        <v>0</v>
      </c>
      <c r="M183">
        <v>0</v>
      </c>
      <c r="N183">
        <v>0</v>
      </c>
      <c r="O183">
        <v>0</v>
      </c>
      <c r="P183">
        <v>0</v>
      </c>
      <c r="Q183">
        <v>0</v>
      </c>
      <c r="R183">
        <v>0</v>
      </c>
      <c r="S183">
        <v>0</v>
      </c>
      <c r="T183">
        <v>0</v>
      </c>
      <c r="U183">
        <v>0</v>
      </c>
      <c r="V183">
        <v>0</v>
      </c>
      <c r="W183" s="4">
        <f t="shared" si="108"/>
        <v>9.6569000000000003</v>
      </c>
      <c r="Y183">
        <v>4</v>
      </c>
      <c r="Z183" t="s">
        <v>1</v>
      </c>
      <c r="AA183">
        <v>29056</v>
      </c>
      <c r="AB183">
        <v>128</v>
      </c>
      <c r="AC183">
        <v>4</v>
      </c>
      <c r="AD183">
        <v>4</v>
      </c>
      <c r="AE183">
        <v>1870.02</v>
      </c>
      <c r="AF183" s="3">
        <v>8.7459000000000007</v>
      </c>
      <c r="AG183" s="1">
        <v>45328</v>
      </c>
      <c r="AH183" s="2">
        <v>0.33707175925925931</v>
      </c>
      <c r="AI183">
        <v>0</v>
      </c>
      <c r="AJ183">
        <v>0</v>
      </c>
      <c r="AK183">
        <v>0</v>
      </c>
      <c r="AL183">
        <v>0</v>
      </c>
      <c r="AM183">
        <v>0</v>
      </c>
      <c r="AN183">
        <v>0</v>
      </c>
      <c r="AO183">
        <v>0</v>
      </c>
      <c r="AP183">
        <v>0</v>
      </c>
      <c r="AQ183">
        <v>0</v>
      </c>
      <c r="AR183">
        <v>0</v>
      </c>
      <c r="AS183">
        <v>0</v>
      </c>
      <c r="AT183">
        <v>0</v>
      </c>
      <c r="AU183" s="3">
        <f t="shared" si="109"/>
        <v>8.7161200000000001</v>
      </c>
    </row>
    <row r="184" spans="1:47" x14ac:dyDescent="0.25">
      <c r="A184">
        <v>0</v>
      </c>
      <c r="B184" t="s">
        <v>1</v>
      </c>
      <c r="C184">
        <v>25920</v>
      </c>
      <c r="D184">
        <v>160</v>
      </c>
      <c r="E184">
        <v>1</v>
      </c>
      <c r="F184">
        <v>16</v>
      </c>
      <c r="G184">
        <v>1292.51</v>
      </c>
      <c r="H184" s="3">
        <v>8.9829000000000008</v>
      </c>
      <c r="I184" s="1">
        <v>45319</v>
      </c>
      <c r="J184" s="2">
        <v>0.55457175925925928</v>
      </c>
      <c r="K184">
        <v>0</v>
      </c>
      <c r="L184">
        <v>0</v>
      </c>
      <c r="M184">
        <v>0</v>
      </c>
      <c r="N184">
        <v>0</v>
      </c>
      <c r="O184">
        <v>0</v>
      </c>
      <c r="P184">
        <v>0</v>
      </c>
      <c r="Q184">
        <v>0</v>
      </c>
      <c r="R184">
        <v>0</v>
      </c>
      <c r="S184">
        <v>0</v>
      </c>
      <c r="T184">
        <v>0</v>
      </c>
      <c r="U184">
        <v>0</v>
      </c>
      <c r="V184">
        <v>0</v>
      </c>
      <c r="W184" s="4">
        <f t="shared" ref="W184" si="142">AVERAGE(H184:H188)</f>
        <v>8.9756800000000005</v>
      </c>
      <c r="Y184">
        <v>0</v>
      </c>
      <c r="Z184" t="s">
        <v>1</v>
      </c>
      <c r="AA184">
        <v>25920</v>
      </c>
      <c r="AB184">
        <v>160</v>
      </c>
      <c r="AC184">
        <v>1</v>
      </c>
      <c r="AD184">
        <v>16</v>
      </c>
      <c r="AE184">
        <v>1458.35</v>
      </c>
      <c r="AF184" s="3">
        <v>7.9614000000000003</v>
      </c>
      <c r="AG184" s="1">
        <v>45324</v>
      </c>
      <c r="AH184" s="2">
        <v>0.22452546296296297</v>
      </c>
      <c r="AI184">
        <v>0</v>
      </c>
      <c r="AJ184">
        <v>0</v>
      </c>
      <c r="AK184">
        <v>0</v>
      </c>
      <c r="AL184">
        <v>0</v>
      </c>
      <c r="AM184">
        <v>0</v>
      </c>
      <c r="AN184">
        <v>0</v>
      </c>
      <c r="AO184">
        <v>0</v>
      </c>
      <c r="AP184">
        <v>0</v>
      </c>
      <c r="AQ184">
        <v>0</v>
      </c>
      <c r="AR184">
        <v>0</v>
      </c>
      <c r="AS184">
        <v>0</v>
      </c>
      <c r="AT184">
        <v>0</v>
      </c>
      <c r="AU184" s="3">
        <f t="shared" ref="AU184" si="143">AVERAGE(AF184:AF188)</f>
        <v>7.9623999999999997</v>
      </c>
    </row>
    <row r="185" spans="1:47" x14ac:dyDescent="0.25">
      <c r="A185">
        <v>1</v>
      </c>
      <c r="B185" t="s">
        <v>1</v>
      </c>
      <c r="C185">
        <v>25920</v>
      </c>
      <c r="D185">
        <v>160</v>
      </c>
      <c r="E185">
        <v>1</v>
      </c>
      <c r="F185">
        <v>16</v>
      </c>
      <c r="G185">
        <v>1291.8399999999999</v>
      </c>
      <c r="H185" s="3">
        <v>8.9876000000000005</v>
      </c>
      <c r="I185" s="1">
        <v>45320</v>
      </c>
      <c r="J185" s="2">
        <v>0.3956365740740741</v>
      </c>
      <c r="K185">
        <v>0</v>
      </c>
      <c r="L185">
        <v>0</v>
      </c>
      <c r="M185">
        <v>0</v>
      </c>
      <c r="N185">
        <v>0</v>
      </c>
      <c r="O185">
        <v>0</v>
      </c>
      <c r="P185">
        <v>0</v>
      </c>
      <c r="Q185">
        <v>0</v>
      </c>
      <c r="R185">
        <v>0</v>
      </c>
      <c r="S185">
        <v>0</v>
      </c>
      <c r="T185">
        <v>0</v>
      </c>
      <c r="U185">
        <v>0</v>
      </c>
      <c r="V185">
        <v>0</v>
      </c>
      <c r="W185" s="4">
        <f t="shared" ref="W185" si="144">W184</f>
        <v>8.9756800000000005</v>
      </c>
      <c r="Y185">
        <v>1</v>
      </c>
      <c r="Z185" t="s">
        <v>1</v>
      </c>
      <c r="AA185">
        <v>25920</v>
      </c>
      <c r="AB185">
        <v>160</v>
      </c>
      <c r="AC185">
        <v>1</v>
      </c>
      <c r="AD185">
        <v>16</v>
      </c>
      <c r="AE185">
        <v>1457.61</v>
      </c>
      <c r="AF185" s="3">
        <v>7.9653999999999998</v>
      </c>
      <c r="AG185" s="1">
        <v>45325</v>
      </c>
      <c r="AH185" s="2">
        <v>0.121875</v>
      </c>
      <c r="AI185">
        <v>0</v>
      </c>
      <c r="AJ185">
        <v>0</v>
      </c>
      <c r="AK185">
        <v>0</v>
      </c>
      <c r="AL185">
        <v>0</v>
      </c>
      <c r="AM185">
        <v>0</v>
      </c>
      <c r="AN185">
        <v>0</v>
      </c>
      <c r="AO185">
        <v>0</v>
      </c>
      <c r="AP185">
        <v>0</v>
      </c>
      <c r="AQ185">
        <v>0</v>
      </c>
      <c r="AR185">
        <v>0</v>
      </c>
      <c r="AS185">
        <v>0</v>
      </c>
      <c r="AT185">
        <v>0</v>
      </c>
      <c r="AU185" s="3">
        <f t="shared" ref="AU185" si="145">AU184</f>
        <v>7.9623999999999997</v>
      </c>
    </row>
    <row r="186" spans="1:47" x14ac:dyDescent="0.25">
      <c r="A186">
        <v>2</v>
      </c>
      <c r="B186" t="s">
        <v>1</v>
      </c>
      <c r="C186">
        <v>25920</v>
      </c>
      <c r="D186">
        <v>160</v>
      </c>
      <c r="E186">
        <v>1</v>
      </c>
      <c r="F186">
        <v>16</v>
      </c>
      <c r="G186">
        <v>1294.54</v>
      </c>
      <c r="H186" s="3">
        <v>8.9687999999999999</v>
      </c>
      <c r="I186" s="1">
        <v>45321</v>
      </c>
      <c r="J186" s="2">
        <v>0.23724537037037038</v>
      </c>
      <c r="K186">
        <v>0</v>
      </c>
      <c r="L186">
        <v>0</v>
      </c>
      <c r="M186">
        <v>0</v>
      </c>
      <c r="N186">
        <v>0</v>
      </c>
      <c r="O186">
        <v>0</v>
      </c>
      <c r="P186">
        <v>0</v>
      </c>
      <c r="Q186">
        <v>0</v>
      </c>
      <c r="R186">
        <v>0</v>
      </c>
      <c r="S186">
        <v>0</v>
      </c>
      <c r="T186">
        <v>0</v>
      </c>
      <c r="U186">
        <v>0</v>
      </c>
      <c r="V186">
        <v>0</v>
      </c>
      <c r="W186" s="4">
        <f t="shared" si="108"/>
        <v>8.9756800000000005</v>
      </c>
      <c r="Y186">
        <v>2</v>
      </c>
      <c r="Z186" t="s">
        <v>1</v>
      </c>
      <c r="AA186">
        <v>25920</v>
      </c>
      <c r="AB186">
        <v>160</v>
      </c>
      <c r="AC186">
        <v>1</v>
      </c>
      <c r="AD186">
        <v>16</v>
      </c>
      <c r="AE186">
        <v>1458.3</v>
      </c>
      <c r="AF186" s="3">
        <v>7.9617000000000004</v>
      </c>
      <c r="AG186" s="1">
        <v>45326</v>
      </c>
      <c r="AH186" s="2">
        <v>4.2129629629629628E-2</v>
      </c>
      <c r="AI186">
        <v>0</v>
      </c>
      <c r="AJ186">
        <v>0</v>
      </c>
      <c r="AK186">
        <v>0</v>
      </c>
      <c r="AL186">
        <v>0</v>
      </c>
      <c r="AM186">
        <v>0</v>
      </c>
      <c r="AN186">
        <v>0</v>
      </c>
      <c r="AO186">
        <v>0</v>
      </c>
      <c r="AP186">
        <v>0</v>
      </c>
      <c r="AQ186">
        <v>0</v>
      </c>
      <c r="AR186">
        <v>0</v>
      </c>
      <c r="AS186">
        <v>0</v>
      </c>
      <c r="AT186">
        <v>0</v>
      </c>
      <c r="AU186" s="3">
        <f t="shared" si="109"/>
        <v>7.9623999999999997</v>
      </c>
    </row>
    <row r="187" spans="1:47" x14ac:dyDescent="0.25">
      <c r="A187">
        <v>3</v>
      </c>
      <c r="B187" t="s">
        <v>1</v>
      </c>
      <c r="C187">
        <v>25920</v>
      </c>
      <c r="D187">
        <v>160</v>
      </c>
      <c r="E187">
        <v>1</v>
      </c>
      <c r="F187">
        <v>16</v>
      </c>
      <c r="G187">
        <v>1294.54</v>
      </c>
      <c r="H187" s="3">
        <v>8.9688999999999997</v>
      </c>
      <c r="I187" s="1">
        <v>45322</v>
      </c>
      <c r="J187" s="2">
        <v>7.9166666666666663E-2</v>
      </c>
      <c r="K187">
        <v>0</v>
      </c>
      <c r="L187">
        <v>0</v>
      </c>
      <c r="M187">
        <v>0</v>
      </c>
      <c r="N187">
        <v>0</v>
      </c>
      <c r="O187">
        <v>0</v>
      </c>
      <c r="P187">
        <v>0</v>
      </c>
      <c r="Q187">
        <v>0</v>
      </c>
      <c r="R187">
        <v>0</v>
      </c>
      <c r="S187">
        <v>0</v>
      </c>
      <c r="T187">
        <v>0</v>
      </c>
      <c r="U187">
        <v>0</v>
      </c>
      <c r="V187">
        <v>0</v>
      </c>
      <c r="W187" s="4">
        <f t="shared" si="108"/>
        <v>8.9756800000000005</v>
      </c>
      <c r="Y187">
        <v>3</v>
      </c>
      <c r="Z187" t="s">
        <v>1</v>
      </c>
      <c r="AA187">
        <v>25920</v>
      </c>
      <c r="AB187">
        <v>160</v>
      </c>
      <c r="AC187">
        <v>1</v>
      </c>
      <c r="AD187">
        <v>16</v>
      </c>
      <c r="AE187">
        <v>1457.9</v>
      </c>
      <c r="AF187" s="3">
        <v>7.9638</v>
      </c>
      <c r="AG187" s="1">
        <v>45326</v>
      </c>
      <c r="AH187" s="2">
        <v>0.9617013888888889</v>
      </c>
      <c r="AI187">
        <v>0</v>
      </c>
      <c r="AJ187">
        <v>0</v>
      </c>
      <c r="AK187">
        <v>0</v>
      </c>
      <c r="AL187">
        <v>0</v>
      </c>
      <c r="AM187">
        <v>0</v>
      </c>
      <c r="AN187">
        <v>0</v>
      </c>
      <c r="AO187">
        <v>0</v>
      </c>
      <c r="AP187">
        <v>0</v>
      </c>
      <c r="AQ187">
        <v>0</v>
      </c>
      <c r="AR187">
        <v>0</v>
      </c>
      <c r="AS187">
        <v>0</v>
      </c>
      <c r="AT187">
        <v>0</v>
      </c>
      <c r="AU187" s="3">
        <f t="shared" si="109"/>
        <v>7.9623999999999997</v>
      </c>
    </row>
    <row r="188" spans="1:47" x14ac:dyDescent="0.25">
      <c r="A188">
        <v>4</v>
      </c>
      <c r="B188" t="s">
        <v>1</v>
      </c>
      <c r="C188">
        <v>25920</v>
      </c>
      <c r="D188">
        <v>160</v>
      </c>
      <c r="E188">
        <v>1</v>
      </c>
      <c r="F188">
        <v>16</v>
      </c>
      <c r="G188">
        <v>1294.3399999999999</v>
      </c>
      <c r="H188" s="3">
        <v>8.9702000000000002</v>
      </c>
      <c r="I188" s="1">
        <v>45322</v>
      </c>
      <c r="J188" s="2">
        <v>0.92180555555555566</v>
      </c>
      <c r="K188">
        <v>0</v>
      </c>
      <c r="L188">
        <v>0</v>
      </c>
      <c r="M188">
        <v>0</v>
      </c>
      <c r="N188">
        <v>0</v>
      </c>
      <c r="O188">
        <v>0</v>
      </c>
      <c r="P188">
        <v>0</v>
      </c>
      <c r="Q188">
        <v>0</v>
      </c>
      <c r="R188">
        <v>0</v>
      </c>
      <c r="S188">
        <v>0</v>
      </c>
      <c r="T188">
        <v>0</v>
      </c>
      <c r="U188">
        <v>0</v>
      </c>
      <c r="V188">
        <v>0</v>
      </c>
      <c r="W188" s="4">
        <f t="shared" si="108"/>
        <v>8.9756800000000005</v>
      </c>
      <c r="Y188">
        <v>4</v>
      </c>
      <c r="Z188" t="s">
        <v>1</v>
      </c>
      <c r="AA188">
        <v>25920</v>
      </c>
      <c r="AB188">
        <v>160</v>
      </c>
      <c r="AC188">
        <v>1</v>
      </c>
      <c r="AD188">
        <v>16</v>
      </c>
      <c r="AE188">
        <v>1458.66</v>
      </c>
      <c r="AF188" s="3">
        <v>7.9596999999999998</v>
      </c>
      <c r="AG188" s="1">
        <v>45327</v>
      </c>
      <c r="AH188" s="2">
        <v>0.88150462962962972</v>
      </c>
      <c r="AI188">
        <v>0</v>
      </c>
      <c r="AJ188">
        <v>0</v>
      </c>
      <c r="AK188">
        <v>0</v>
      </c>
      <c r="AL188">
        <v>0</v>
      </c>
      <c r="AM188">
        <v>0</v>
      </c>
      <c r="AN188">
        <v>0</v>
      </c>
      <c r="AO188">
        <v>0</v>
      </c>
      <c r="AP188">
        <v>0</v>
      </c>
      <c r="AQ188">
        <v>0</v>
      </c>
      <c r="AR188">
        <v>0</v>
      </c>
      <c r="AS188">
        <v>0</v>
      </c>
      <c r="AT188">
        <v>0</v>
      </c>
      <c r="AU188" s="3">
        <f t="shared" si="109"/>
        <v>7.9623999999999997</v>
      </c>
    </row>
    <row r="189" spans="1:47" x14ac:dyDescent="0.25">
      <c r="A189">
        <v>0</v>
      </c>
      <c r="B189" t="s">
        <v>1</v>
      </c>
      <c r="C189">
        <v>27520</v>
      </c>
      <c r="D189">
        <v>160</v>
      </c>
      <c r="E189">
        <v>1</v>
      </c>
      <c r="F189">
        <v>16</v>
      </c>
      <c r="G189">
        <v>1538.48</v>
      </c>
      <c r="H189" s="3">
        <v>9.0322999999999993</v>
      </c>
      <c r="I189" s="1">
        <v>45319</v>
      </c>
      <c r="J189" s="2">
        <v>0.27870370370370373</v>
      </c>
      <c r="K189">
        <v>0</v>
      </c>
      <c r="L189">
        <v>0</v>
      </c>
      <c r="M189">
        <v>0</v>
      </c>
      <c r="N189">
        <v>0</v>
      </c>
      <c r="O189">
        <v>0</v>
      </c>
      <c r="P189">
        <v>0</v>
      </c>
      <c r="Q189">
        <v>0</v>
      </c>
      <c r="R189">
        <v>0</v>
      </c>
      <c r="S189">
        <v>0</v>
      </c>
      <c r="T189">
        <v>0</v>
      </c>
      <c r="U189">
        <v>0</v>
      </c>
      <c r="V189">
        <v>0</v>
      </c>
      <c r="W189" s="4">
        <f t="shared" ref="W189" si="146">AVERAGE(H189:H193)</f>
        <v>9.0373600000000014</v>
      </c>
      <c r="Y189">
        <v>0</v>
      </c>
      <c r="Z189" t="s">
        <v>1</v>
      </c>
      <c r="AA189">
        <v>27520</v>
      </c>
      <c r="AB189">
        <v>160</v>
      </c>
      <c r="AC189">
        <v>1</v>
      </c>
      <c r="AD189">
        <v>16</v>
      </c>
      <c r="AE189">
        <v>1742.96</v>
      </c>
      <c r="AF189" s="3">
        <v>7.9725999999999999</v>
      </c>
      <c r="AG189" s="1">
        <v>45323</v>
      </c>
      <c r="AH189" s="2">
        <v>0.93289351851851843</v>
      </c>
      <c r="AI189">
        <v>0</v>
      </c>
      <c r="AJ189">
        <v>0</v>
      </c>
      <c r="AK189">
        <v>0</v>
      </c>
      <c r="AL189">
        <v>0</v>
      </c>
      <c r="AM189">
        <v>0</v>
      </c>
      <c r="AN189">
        <v>0</v>
      </c>
      <c r="AO189">
        <v>0</v>
      </c>
      <c r="AP189">
        <v>0</v>
      </c>
      <c r="AQ189">
        <v>0</v>
      </c>
      <c r="AR189">
        <v>0</v>
      </c>
      <c r="AS189">
        <v>0</v>
      </c>
      <c r="AT189">
        <v>0</v>
      </c>
      <c r="AU189" s="3">
        <f t="shared" ref="AU189" si="147">AVERAGE(AF189:AF193)</f>
        <v>7.9848200000000009</v>
      </c>
    </row>
    <row r="190" spans="1:47" x14ac:dyDescent="0.25">
      <c r="A190">
        <v>1</v>
      </c>
      <c r="B190" t="s">
        <v>1</v>
      </c>
      <c r="C190">
        <v>27520</v>
      </c>
      <c r="D190">
        <v>160</v>
      </c>
      <c r="E190">
        <v>1</v>
      </c>
      <c r="F190">
        <v>16</v>
      </c>
      <c r="G190">
        <v>1535.96</v>
      </c>
      <c r="H190" s="3">
        <v>9.0471000000000004</v>
      </c>
      <c r="I190" s="1">
        <v>45320</v>
      </c>
      <c r="J190" s="2">
        <v>0.1198263888888889</v>
      </c>
      <c r="K190">
        <v>0</v>
      </c>
      <c r="L190">
        <v>0</v>
      </c>
      <c r="M190">
        <v>0</v>
      </c>
      <c r="N190">
        <v>0</v>
      </c>
      <c r="O190">
        <v>0</v>
      </c>
      <c r="P190">
        <v>0</v>
      </c>
      <c r="Q190">
        <v>0</v>
      </c>
      <c r="R190">
        <v>0</v>
      </c>
      <c r="S190">
        <v>0</v>
      </c>
      <c r="T190">
        <v>0</v>
      </c>
      <c r="U190">
        <v>0</v>
      </c>
      <c r="V190">
        <v>0</v>
      </c>
      <c r="W190" s="4">
        <f t="shared" ref="W190" si="148">W189</f>
        <v>9.0373600000000014</v>
      </c>
      <c r="Y190">
        <v>1</v>
      </c>
      <c r="Z190" t="s">
        <v>1</v>
      </c>
      <c r="AA190">
        <v>27520</v>
      </c>
      <c r="AB190">
        <v>160</v>
      </c>
      <c r="AC190">
        <v>1</v>
      </c>
      <c r="AD190">
        <v>16</v>
      </c>
      <c r="AE190">
        <v>1739.5</v>
      </c>
      <c r="AF190" s="3">
        <v>7.9885000000000002</v>
      </c>
      <c r="AG190" s="1">
        <v>45324</v>
      </c>
      <c r="AH190" s="2">
        <v>0.82056712962962963</v>
      </c>
      <c r="AI190">
        <v>0</v>
      </c>
      <c r="AJ190">
        <v>0</v>
      </c>
      <c r="AK190">
        <v>0</v>
      </c>
      <c r="AL190">
        <v>0</v>
      </c>
      <c r="AM190">
        <v>0</v>
      </c>
      <c r="AN190">
        <v>0</v>
      </c>
      <c r="AO190">
        <v>0</v>
      </c>
      <c r="AP190">
        <v>0</v>
      </c>
      <c r="AQ190">
        <v>0</v>
      </c>
      <c r="AR190">
        <v>0</v>
      </c>
      <c r="AS190">
        <v>0</v>
      </c>
      <c r="AT190">
        <v>0</v>
      </c>
      <c r="AU190" s="3">
        <f t="shared" ref="AU190" si="149">AU189</f>
        <v>7.9848200000000009</v>
      </c>
    </row>
    <row r="191" spans="1:47" x14ac:dyDescent="0.25">
      <c r="A191">
        <v>2</v>
      </c>
      <c r="B191" t="s">
        <v>1</v>
      </c>
      <c r="C191">
        <v>27520</v>
      </c>
      <c r="D191">
        <v>160</v>
      </c>
      <c r="E191">
        <v>1</v>
      </c>
      <c r="F191">
        <v>16</v>
      </c>
      <c r="G191">
        <v>1536.39</v>
      </c>
      <c r="H191" s="3">
        <v>9.0446000000000009</v>
      </c>
      <c r="I191" s="1">
        <v>45320</v>
      </c>
      <c r="J191" s="2">
        <v>0.96122685185185175</v>
      </c>
      <c r="K191">
        <v>0</v>
      </c>
      <c r="L191">
        <v>0</v>
      </c>
      <c r="M191">
        <v>0</v>
      </c>
      <c r="N191">
        <v>0</v>
      </c>
      <c r="O191">
        <v>0</v>
      </c>
      <c r="P191">
        <v>0</v>
      </c>
      <c r="Q191">
        <v>0</v>
      </c>
      <c r="R191">
        <v>0</v>
      </c>
      <c r="S191">
        <v>0</v>
      </c>
      <c r="T191">
        <v>0</v>
      </c>
      <c r="U191">
        <v>0</v>
      </c>
      <c r="V191">
        <v>0</v>
      </c>
      <c r="W191" s="4">
        <f t="shared" si="108"/>
        <v>9.0373600000000014</v>
      </c>
      <c r="Y191">
        <v>2</v>
      </c>
      <c r="Z191" t="s">
        <v>1</v>
      </c>
      <c r="AA191">
        <v>27520</v>
      </c>
      <c r="AB191">
        <v>160</v>
      </c>
      <c r="AC191">
        <v>1</v>
      </c>
      <c r="AD191">
        <v>16</v>
      </c>
      <c r="AE191">
        <v>1739.99</v>
      </c>
      <c r="AF191" s="3">
        <v>7.9862000000000002</v>
      </c>
      <c r="AG191" s="1">
        <v>45325</v>
      </c>
      <c r="AH191" s="2">
        <v>0.73932870370370374</v>
      </c>
      <c r="AI191">
        <v>0</v>
      </c>
      <c r="AJ191">
        <v>0</v>
      </c>
      <c r="AK191">
        <v>0</v>
      </c>
      <c r="AL191">
        <v>0</v>
      </c>
      <c r="AM191">
        <v>0</v>
      </c>
      <c r="AN191">
        <v>0</v>
      </c>
      <c r="AO191">
        <v>0</v>
      </c>
      <c r="AP191">
        <v>0</v>
      </c>
      <c r="AQ191">
        <v>0</v>
      </c>
      <c r="AR191">
        <v>0</v>
      </c>
      <c r="AS191">
        <v>0</v>
      </c>
      <c r="AT191">
        <v>0</v>
      </c>
      <c r="AU191" s="3">
        <f t="shared" si="109"/>
        <v>7.9848200000000009</v>
      </c>
    </row>
    <row r="192" spans="1:47" x14ac:dyDescent="0.25">
      <c r="A192">
        <v>3</v>
      </c>
      <c r="B192" t="s">
        <v>1</v>
      </c>
      <c r="C192">
        <v>27520</v>
      </c>
      <c r="D192">
        <v>160</v>
      </c>
      <c r="E192">
        <v>1</v>
      </c>
      <c r="F192">
        <v>16</v>
      </c>
      <c r="G192">
        <v>1536.87</v>
      </c>
      <c r="H192" s="3">
        <v>9.0417000000000005</v>
      </c>
      <c r="I192" s="1">
        <v>45321</v>
      </c>
      <c r="J192" s="2">
        <v>0.80328703703703708</v>
      </c>
      <c r="K192">
        <v>0</v>
      </c>
      <c r="L192">
        <v>0</v>
      </c>
      <c r="M192">
        <v>0</v>
      </c>
      <c r="N192">
        <v>0</v>
      </c>
      <c r="O192">
        <v>0</v>
      </c>
      <c r="P192">
        <v>0</v>
      </c>
      <c r="Q192">
        <v>0</v>
      </c>
      <c r="R192">
        <v>0</v>
      </c>
      <c r="S192">
        <v>0</v>
      </c>
      <c r="T192">
        <v>0</v>
      </c>
      <c r="U192">
        <v>0</v>
      </c>
      <c r="V192">
        <v>0</v>
      </c>
      <c r="W192" s="4">
        <f t="shared" si="108"/>
        <v>9.0373600000000014</v>
      </c>
      <c r="Y192">
        <v>3</v>
      </c>
      <c r="Z192" t="s">
        <v>1</v>
      </c>
      <c r="AA192">
        <v>27520</v>
      </c>
      <c r="AB192">
        <v>160</v>
      </c>
      <c r="AC192">
        <v>1</v>
      </c>
      <c r="AD192">
        <v>16</v>
      </c>
      <c r="AE192">
        <v>1739.14</v>
      </c>
      <c r="AF192" s="3">
        <v>7.9901999999999997</v>
      </c>
      <c r="AG192" s="1">
        <v>45326</v>
      </c>
      <c r="AH192" s="2">
        <v>0.65990740740740739</v>
      </c>
      <c r="AI192">
        <v>0</v>
      </c>
      <c r="AJ192">
        <v>0</v>
      </c>
      <c r="AK192">
        <v>0</v>
      </c>
      <c r="AL192">
        <v>0</v>
      </c>
      <c r="AM192">
        <v>0</v>
      </c>
      <c r="AN192">
        <v>0</v>
      </c>
      <c r="AO192">
        <v>0</v>
      </c>
      <c r="AP192">
        <v>0</v>
      </c>
      <c r="AQ192">
        <v>0</v>
      </c>
      <c r="AR192">
        <v>0</v>
      </c>
      <c r="AS192">
        <v>0</v>
      </c>
      <c r="AT192">
        <v>0</v>
      </c>
      <c r="AU192" s="3">
        <f t="shared" si="109"/>
        <v>7.9848200000000009</v>
      </c>
    </row>
    <row r="193" spans="1:47" x14ac:dyDescent="0.25">
      <c r="A193">
        <v>4</v>
      </c>
      <c r="B193" t="s">
        <v>1</v>
      </c>
      <c r="C193">
        <v>27520</v>
      </c>
      <c r="D193">
        <v>160</v>
      </c>
      <c r="E193">
        <v>1</v>
      </c>
      <c r="F193">
        <v>16</v>
      </c>
      <c r="G193">
        <v>1540.38</v>
      </c>
      <c r="H193" s="3">
        <v>9.0211000000000006</v>
      </c>
      <c r="I193" s="1">
        <v>45322</v>
      </c>
      <c r="J193" s="2">
        <v>0.64586805555555549</v>
      </c>
      <c r="K193">
        <v>0</v>
      </c>
      <c r="L193">
        <v>0</v>
      </c>
      <c r="M193">
        <v>0</v>
      </c>
      <c r="N193">
        <v>0</v>
      </c>
      <c r="O193">
        <v>0</v>
      </c>
      <c r="P193">
        <v>0</v>
      </c>
      <c r="Q193">
        <v>0</v>
      </c>
      <c r="R193">
        <v>0</v>
      </c>
      <c r="S193">
        <v>0</v>
      </c>
      <c r="T193">
        <v>0</v>
      </c>
      <c r="U193">
        <v>0</v>
      </c>
      <c r="V193">
        <v>0</v>
      </c>
      <c r="W193" s="4">
        <f t="shared" si="108"/>
        <v>9.0373600000000014</v>
      </c>
      <c r="Y193">
        <v>4</v>
      </c>
      <c r="Z193" t="s">
        <v>1</v>
      </c>
      <c r="AA193">
        <v>27520</v>
      </c>
      <c r="AB193">
        <v>160</v>
      </c>
      <c r="AC193">
        <v>1</v>
      </c>
      <c r="AD193">
        <v>16</v>
      </c>
      <c r="AE193">
        <v>1739.91</v>
      </c>
      <c r="AF193" s="3">
        <v>7.9866000000000001</v>
      </c>
      <c r="AG193" s="1">
        <v>45327</v>
      </c>
      <c r="AH193" s="2">
        <v>0.57967592592592598</v>
      </c>
      <c r="AI193">
        <v>0</v>
      </c>
      <c r="AJ193">
        <v>0</v>
      </c>
      <c r="AK193">
        <v>0</v>
      </c>
      <c r="AL193">
        <v>0</v>
      </c>
      <c r="AM193">
        <v>0</v>
      </c>
      <c r="AN193">
        <v>0</v>
      </c>
      <c r="AO193">
        <v>0</v>
      </c>
      <c r="AP193">
        <v>0</v>
      </c>
      <c r="AQ193">
        <v>0</v>
      </c>
      <c r="AR193">
        <v>0</v>
      </c>
      <c r="AS193">
        <v>0</v>
      </c>
      <c r="AT193">
        <v>0</v>
      </c>
      <c r="AU193" s="3">
        <f t="shared" si="109"/>
        <v>7.9848200000000009</v>
      </c>
    </row>
    <row r="194" spans="1:47" x14ac:dyDescent="0.25">
      <c r="A194">
        <v>0</v>
      </c>
      <c r="B194" t="s">
        <v>1</v>
      </c>
      <c r="C194">
        <v>28960</v>
      </c>
      <c r="D194">
        <v>160</v>
      </c>
      <c r="E194">
        <v>1</v>
      </c>
      <c r="F194">
        <v>16</v>
      </c>
      <c r="G194">
        <v>1775.49</v>
      </c>
      <c r="H194" s="3">
        <v>9.1204999999999998</v>
      </c>
      <c r="I194" s="1">
        <v>45319</v>
      </c>
      <c r="J194" s="2">
        <v>0.79869212962962965</v>
      </c>
      <c r="K194">
        <v>0</v>
      </c>
      <c r="L194">
        <v>0</v>
      </c>
      <c r="M194">
        <v>0</v>
      </c>
      <c r="N194">
        <v>0</v>
      </c>
      <c r="O194">
        <v>0</v>
      </c>
      <c r="P194">
        <v>0</v>
      </c>
      <c r="Q194">
        <v>0</v>
      </c>
      <c r="R194">
        <v>0</v>
      </c>
      <c r="S194">
        <v>0</v>
      </c>
      <c r="T194">
        <v>0</v>
      </c>
      <c r="U194">
        <v>0</v>
      </c>
      <c r="V194">
        <v>0</v>
      </c>
      <c r="W194" s="4">
        <f t="shared" ref="W194" si="150">AVERAGE(H194:H198)</f>
        <v>9.1201399999999975</v>
      </c>
      <c r="Y194">
        <v>0</v>
      </c>
      <c r="Z194" t="s">
        <v>1</v>
      </c>
      <c r="AA194">
        <v>28960</v>
      </c>
      <c r="AB194">
        <v>160</v>
      </c>
      <c r="AC194">
        <v>1</v>
      </c>
      <c r="AD194">
        <v>16</v>
      </c>
      <c r="AE194">
        <v>1998.24</v>
      </c>
      <c r="AF194" s="3">
        <v>8.1037999999999997</v>
      </c>
      <c r="AG194" s="1">
        <v>45324</v>
      </c>
      <c r="AH194" s="2">
        <v>0.4826273148148148</v>
      </c>
      <c r="AI194">
        <v>0</v>
      </c>
      <c r="AJ194">
        <v>0</v>
      </c>
      <c r="AK194">
        <v>0</v>
      </c>
      <c r="AL194">
        <v>0</v>
      </c>
      <c r="AM194">
        <v>0</v>
      </c>
      <c r="AN194">
        <v>0</v>
      </c>
      <c r="AO194">
        <v>0</v>
      </c>
      <c r="AP194">
        <v>0</v>
      </c>
      <c r="AQ194">
        <v>0</v>
      </c>
      <c r="AR194">
        <v>0</v>
      </c>
      <c r="AS194">
        <v>0</v>
      </c>
      <c r="AT194">
        <v>0</v>
      </c>
      <c r="AU194" s="3">
        <f t="shared" ref="AU194" si="151">AVERAGE(AF194:AF198)</f>
        <v>8.1071799999999996</v>
      </c>
    </row>
    <row r="195" spans="1:47" x14ac:dyDescent="0.25">
      <c r="A195">
        <v>1</v>
      </c>
      <c r="B195" t="s">
        <v>1</v>
      </c>
      <c r="C195">
        <v>28960</v>
      </c>
      <c r="D195">
        <v>160</v>
      </c>
      <c r="E195">
        <v>1</v>
      </c>
      <c r="F195">
        <v>16</v>
      </c>
      <c r="G195">
        <v>1772.57</v>
      </c>
      <c r="H195" s="3">
        <v>9.1356000000000002</v>
      </c>
      <c r="I195" s="1">
        <v>45320</v>
      </c>
      <c r="J195" s="2">
        <v>0.63988425925925929</v>
      </c>
      <c r="K195">
        <v>0</v>
      </c>
      <c r="L195">
        <v>0</v>
      </c>
      <c r="M195">
        <v>0</v>
      </c>
      <c r="N195">
        <v>0</v>
      </c>
      <c r="O195">
        <v>0</v>
      </c>
      <c r="P195">
        <v>0</v>
      </c>
      <c r="Q195">
        <v>0</v>
      </c>
      <c r="R195">
        <v>0</v>
      </c>
      <c r="S195">
        <v>0</v>
      </c>
      <c r="T195">
        <v>0</v>
      </c>
      <c r="U195">
        <v>0</v>
      </c>
      <c r="V195">
        <v>0</v>
      </c>
      <c r="W195" s="4">
        <f t="shared" ref="W195" si="152">W194</f>
        <v>9.1201399999999975</v>
      </c>
      <c r="Y195">
        <v>1</v>
      </c>
      <c r="Z195" t="s">
        <v>1</v>
      </c>
      <c r="AA195">
        <v>28960</v>
      </c>
      <c r="AB195">
        <v>160</v>
      </c>
      <c r="AC195">
        <v>1</v>
      </c>
      <c r="AD195">
        <v>16</v>
      </c>
      <c r="AE195">
        <v>1996.95</v>
      </c>
      <c r="AF195" s="3">
        <v>8.1090999999999998</v>
      </c>
      <c r="AG195" s="1">
        <v>45325</v>
      </c>
      <c r="AH195" s="2">
        <v>0.3894097222222222</v>
      </c>
      <c r="AI195">
        <v>0</v>
      </c>
      <c r="AJ195">
        <v>0</v>
      </c>
      <c r="AK195">
        <v>0</v>
      </c>
      <c r="AL195">
        <v>0</v>
      </c>
      <c r="AM195">
        <v>0</v>
      </c>
      <c r="AN195">
        <v>0</v>
      </c>
      <c r="AO195">
        <v>0</v>
      </c>
      <c r="AP195">
        <v>0</v>
      </c>
      <c r="AQ195">
        <v>0</v>
      </c>
      <c r="AR195">
        <v>0</v>
      </c>
      <c r="AS195">
        <v>0</v>
      </c>
      <c r="AT195">
        <v>0</v>
      </c>
      <c r="AU195" s="3">
        <f t="shared" ref="AU195" si="153">AU194</f>
        <v>8.1071799999999996</v>
      </c>
    </row>
    <row r="196" spans="1:47" x14ac:dyDescent="0.25">
      <c r="A196">
        <v>2</v>
      </c>
      <c r="B196" t="s">
        <v>1</v>
      </c>
      <c r="C196">
        <v>28960</v>
      </c>
      <c r="D196">
        <v>160</v>
      </c>
      <c r="E196">
        <v>1</v>
      </c>
      <c r="F196">
        <v>16</v>
      </c>
      <c r="G196">
        <v>1774.7</v>
      </c>
      <c r="H196" s="3">
        <v>9.1245999999999992</v>
      </c>
      <c r="I196" s="1">
        <v>45321</v>
      </c>
      <c r="J196" s="2">
        <v>0.48217592592592595</v>
      </c>
      <c r="K196">
        <v>0</v>
      </c>
      <c r="L196">
        <v>0</v>
      </c>
      <c r="M196">
        <v>0</v>
      </c>
      <c r="N196">
        <v>0</v>
      </c>
      <c r="O196">
        <v>0</v>
      </c>
      <c r="P196">
        <v>0</v>
      </c>
      <c r="Q196">
        <v>0</v>
      </c>
      <c r="R196">
        <v>0</v>
      </c>
      <c r="S196">
        <v>0</v>
      </c>
      <c r="T196">
        <v>0</v>
      </c>
      <c r="U196">
        <v>0</v>
      </c>
      <c r="V196">
        <v>0</v>
      </c>
      <c r="W196" s="4">
        <f t="shared" si="108"/>
        <v>9.1201399999999975</v>
      </c>
      <c r="Y196">
        <v>2</v>
      </c>
      <c r="Z196" t="s">
        <v>1</v>
      </c>
      <c r="AA196">
        <v>28960</v>
      </c>
      <c r="AB196">
        <v>160</v>
      </c>
      <c r="AC196">
        <v>1</v>
      </c>
      <c r="AD196">
        <v>16</v>
      </c>
      <c r="AE196">
        <v>1997.25</v>
      </c>
      <c r="AF196" s="3">
        <v>8.1079000000000008</v>
      </c>
      <c r="AG196" s="1">
        <v>45326</v>
      </c>
      <c r="AH196" s="2">
        <v>0.30953703703703705</v>
      </c>
      <c r="AI196">
        <v>0</v>
      </c>
      <c r="AJ196">
        <v>0</v>
      </c>
      <c r="AK196">
        <v>0</v>
      </c>
      <c r="AL196">
        <v>0</v>
      </c>
      <c r="AM196">
        <v>0</v>
      </c>
      <c r="AN196">
        <v>0</v>
      </c>
      <c r="AO196">
        <v>0</v>
      </c>
      <c r="AP196">
        <v>0</v>
      </c>
      <c r="AQ196">
        <v>0</v>
      </c>
      <c r="AR196">
        <v>0</v>
      </c>
      <c r="AS196">
        <v>0</v>
      </c>
      <c r="AT196">
        <v>0</v>
      </c>
      <c r="AU196" s="3">
        <f t="shared" si="109"/>
        <v>8.1071799999999996</v>
      </c>
    </row>
    <row r="197" spans="1:47" x14ac:dyDescent="0.25">
      <c r="A197">
        <v>3</v>
      </c>
      <c r="B197" t="s">
        <v>1</v>
      </c>
      <c r="C197">
        <v>28960</v>
      </c>
      <c r="D197">
        <v>160</v>
      </c>
      <c r="E197">
        <v>1</v>
      </c>
      <c r="F197">
        <v>16</v>
      </c>
      <c r="G197">
        <v>1776.94</v>
      </c>
      <c r="H197" s="3">
        <v>9.1130999999999993</v>
      </c>
      <c r="I197" s="1">
        <v>45322</v>
      </c>
      <c r="J197" s="2">
        <v>0.32447916666666665</v>
      </c>
      <c r="K197">
        <v>0</v>
      </c>
      <c r="L197">
        <v>0</v>
      </c>
      <c r="M197">
        <v>0</v>
      </c>
      <c r="N197">
        <v>0</v>
      </c>
      <c r="O197">
        <v>0</v>
      </c>
      <c r="P197">
        <v>0</v>
      </c>
      <c r="Q197">
        <v>0</v>
      </c>
      <c r="R197">
        <v>0</v>
      </c>
      <c r="S197">
        <v>0</v>
      </c>
      <c r="T197">
        <v>0</v>
      </c>
      <c r="U197">
        <v>0</v>
      </c>
      <c r="V197">
        <v>0</v>
      </c>
      <c r="W197" s="4">
        <f t="shared" si="108"/>
        <v>9.1201399999999975</v>
      </c>
      <c r="Y197">
        <v>3</v>
      </c>
      <c r="Z197" t="s">
        <v>1</v>
      </c>
      <c r="AA197">
        <v>28960</v>
      </c>
      <c r="AB197">
        <v>160</v>
      </c>
      <c r="AC197">
        <v>1</v>
      </c>
      <c r="AD197">
        <v>16</v>
      </c>
      <c r="AE197">
        <v>1997.71</v>
      </c>
      <c r="AF197" s="3">
        <v>8.1059999999999999</v>
      </c>
      <c r="AG197" s="1">
        <v>45327</v>
      </c>
      <c r="AH197" s="2">
        <v>0.22935185185185183</v>
      </c>
      <c r="AI197">
        <v>0</v>
      </c>
      <c r="AJ197">
        <v>0</v>
      </c>
      <c r="AK197">
        <v>0</v>
      </c>
      <c r="AL197">
        <v>0</v>
      </c>
      <c r="AM197">
        <v>0</v>
      </c>
      <c r="AN197">
        <v>0</v>
      </c>
      <c r="AO197">
        <v>0</v>
      </c>
      <c r="AP197">
        <v>0</v>
      </c>
      <c r="AQ197">
        <v>0</v>
      </c>
      <c r="AR197">
        <v>0</v>
      </c>
      <c r="AS197">
        <v>0</v>
      </c>
      <c r="AT197">
        <v>0</v>
      </c>
      <c r="AU197" s="3">
        <f t="shared" si="109"/>
        <v>8.1071799999999996</v>
      </c>
    </row>
    <row r="198" spans="1:47" x14ac:dyDescent="0.25">
      <c r="A198">
        <v>4</v>
      </c>
      <c r="B198" t="s">
        <v>1</v>
      </c>
      <c r="C198">
        <v>28960</v>
      </c>
      <c r="D198">
        <v>160</v>
      </c>
      <c r="E198">
        <v>1</v>
      </c>
      <c r="F198">
        <v>16</v>
      </c>
      <c r="G198">
        <v>1778.14</v>
      </c>
      <c r="H198" s="3">
        <v>9.1068999999999996</v>
      </c>
      <c r="I198" s="1">
        <v>45323</v>
      </c>
      <c r="J198" s="2">
        <v>0.16693287037037038</v>
      </c>
      <c r="K198">
        <v>0</v>
      </c>
      <c r="L198">
        <v>0</v>
      </c>
      <c r="M198">
        <v>0</v>
      </c>
      <c r="N198">
        <v>0</v>
      </c>
      <c r="O198">
        <v>0</v>
      </c>
      <c r="P198">
        <v>0</v>
      </c>
      <c r="Q198">
        <v>0</v>
      </c>
      <c r="R198">
        <v>0</v>
      </c>
      <c r="S198">
        <v>0</v>
      </c>
      <c r="T198">
        <v>0</v>
      </c>
      <c r="U198">
        <v>0</v>
      </c>
      <c r="V198">
        <v>0</v>
      </c>
      <c r="W198" s="4">
        <f t="shared" si="108"/>
        <v>9.1201399999999975</v>
      </c>
      <c r="Y198">
        <v>4</v>
      </c>
      <c r="Z198" t="s">
        <v>1</v>
      </c>
      <c r="AA198">
        <v>28960</v>
      </c>
      <c r="AB198">
        <v>160</v>
      </c>
      <c r="AC198">
        <v>1</v>
      </c>
      <c r="AD198">
        <v>16</v>
      </c>
      <c r="AE198">
        <v>1996.93</v>
      </c>
      <c r="AF198" s="3">
        <v>8.1090999999999998</v>
      </c>
      <c r="AG198" s="1">
        <v>45328</v>
      </c>
      <c r="AH198" s="2">
        <v>0.14896990740740743</v>
      </c>
      <c r="AI198">
        <v>0</v>
      </c>
      <c r="AJ198">
        <v>0</v>
      </c>
      <c r="AK198">
        <v>0</v>
      </c>
      <c r="AL198">
        <v>0</v>
      </c>
      <c r="AM198">
        <v>0</v>
      </c>
      <c r="AN198">
        <v>0</v>
      </c>
      <c r="AO198">
        <v>0</v>
      </c>
      <c r="AP198">
        <v>0</v>
      </c>
      <c r="AQ198">
        <v>0</v>
      </c>
      <c r="AR198">
        <v>0</v>
      </c>
      <c r="AS198">
        <v>0</v>
      </c>
      <c r="AT198">
        <v>0</v>
      </c>
      <c r="AU198" s="3">
        <f t="shared" si="109"/>
        <v>8.1071799999999996</v>
      </c>
    </row>
    <row r="199" spans="1:47" x14ac:dyDescent="0.25">
      <c r="A199">
        <v>0</v>
      </c>
      <c r="B199" t="s">
        <v>1</v>
      </c>
      <c r="C199">
        <v>25920</v>
      </c>
      <c r="D199">
        <v>160</v>
      </c>
      <c r="E199">
        <v>2</v>
      </c>
      <c r="F199">
        <v>8</v>
      </c>
      <c r="G199">
        <v>1223.1199999999999</v>
      </c>
      <c r="H199" s="3">
        <v>9.4925999999999995</v>
      </c>
      <c r="I199" s="1">
        <v>45319</v>
      </c>
      <c r="J199" s="2">
        <v>0.5700925925925926</v>
      </c>
      <c r="K199">
        <v>0</v>
      </c>
      <c r="L199">
        <v>0</v>
      </c>
      <c r="M199">
        <v>0</v>
      </c>
      <c r="N199">
        <v>0</v>
      </c>
      <c r="O199">
        <v>0</v>
      </c>
      <c r="P199">
        <v>0</v>
      </c>
      <c r="Q199">
        <v>0</v>
      </c>
      <c r="R199">
        <v>0</v>
      </c>
      <c r="S199">
        <v>0</v>
      </c>
      <c r="T199">
        <v>0</v>
      </c>
      <c r="U199">
        <v>0</v>
      </c>
      <c r="V199">
        <v>0</v>
      </c>
      <c r="W199" s="4">
        <f t="shared" ref="W199" si="154">AVERAGE(H199:H203)</f>
        <v>9.4663799999999991</v>
      </c>
      <c r="Y199">
        <v>0</v>
      </c>
      <c r="Z199" t="s">
        <v>1</v>
      </c>
      <c r="AA199">
        <v>25920</v>
      </c>
      <c r="AB199">
        <v>160</v>
      </c>
      <c r="AC199">
        <v>2</v>
      </c>
      <c r="AD199">
        <v>8</v>
      </c>
      <c r="AE199">
        <v>1371.82</v>
      </c>
      <c r="AF199" s="3">
        <v>8.4635999999999996</v>
      </c>
      <c r="AG199" s="1">
        <v>45324</v>
      </c>
      <c r="AH199" s="2">
        <v>0.24072916666666666</v>
      </c>
      <c r="AI199">
        <v>0</v>
      </c>
      <c r="AJ199">
        <v>0</v>
      </c>
      <c r="AK199">
        <v>0</v>
      </c>
      <c r="AL199">
        <v>0</v>
      </c>
      <c r="AM199">
        <v>0</v>
      </c>
      <c r="AN199">
        <v>0</v>
      </c>
      <c r="AO199">
        <v>0</v>
      </c>
      <c r="AP199">
        <v>0</v>
      </c>
      <c r="AQ199">
        <v>0</v>
      </c>
      <c r="AR199">
        <v>0</v>
      </c>
      <c r="AS199">
        <v>0</v>
      </c>
      <c r="AT199">
        <v>0</v>
      </c>
      <c r="AU199" s="3">
        <f t="shared" ref="AU199" si="155">AVERAGE(AF199:AF203)</f>
        <v>8.4623400000000011</v>
      </c>
    </row>
    <row r="200" spans="1:47" x14ac:dyDescent="0.25">
      <c r="A200">
        <v>1</v>
      </c>
      <c r="B200" t="s">
        <v>1</v>
      </c>
      <c r="C200">
        <v>25920</v>
      </c>
      <c r="D200">
        <v>160</v>
      </c>
      <c r="E200">
        <v>2</v>
      </c>
      <c r="F200">
        <v>8</v>
      </c>
      <c r="G200">
        <v>1226.28</v>
      </c>
      <c r="H200" s="3">
        <v>9.4680999999999997</v>
      </c>
      <c r="I200" s="1">
        <v>45320</v>
      </c>
      <c r="J200" s="2">
        <v>0.41120370370370374</v>
      </c>
      <c r="K200">
        <v>0</v>
      </c>
      <c r="L200">
        <v>0</v>
      </c>
      <c r="M200">
        <v>0</v>
      </c>
      <c r="N200">
        <v>0</v>
      </c>
      <c r="O200">
        <v>0</v>
      </c>
      <c r="P200">
        <v>0</v>
      </c>
      <c r="Q200">
        <v>0</v>
      </c>
      <c r="R200">
        <v>0</v>
      </c>
      <c r="S200">
        <v>0</v>
      </c>
      <c r="T200">
        <v>0</v>
      </c>
      <c r="U200">
        <v>0</v>
      </c>
      <c r="V200">
        <v>0</v>
      </c>
      <c r="W200" s="4">
        <f t="shared" ref="W200" si="156">W199</f>
        <v>9.4663799999999991</v>
      </c>
      <c r="Y200">
        <v>1</v>
      </c>
      <c r="Z200" t="s">
        <v>1</v>
      </c>
      <c r="AA200">
        <v>25920</v>
      </c>
      <c r="AB200">
        <v>160</v>
      </c>
      <c r="AC200">
        <v>2</v>
      </c>
      <c r="AD200">
        <v>8</v>
      </c>
      <c r="AE200">
        <v>1372.52</v>
      </c>
      <c r="AF200" s="3">
        <v>8.4593000000000007</v>
      </c>
      <c r="AG200" s="1">
        <v>45325</v>
      </c>
      <c r="AH200" s="2">
        <v>0.13894675925925926</v>
      </c>
      <c r="AI200">
        <v>0</v>
      </c>
      <c r="AJ200">
        <v>0</v>
      </c>
      <c r="AK200">
        <v>0</v>
      </c>
      <c r="AL200">
        <v>0</v>
      </c>
      <c r="AM200">
        <v>0</v>
      </c>
      <c r="AN200">
        <v>0</v>
      </c>
      <c r="AO200">
        <v>0</v>
      </c>
      <c r="AP200">
        <v>0</v>
      </c>
      <c r="AQ200">
        <v>0</v>
      </c>
      <c r="AR200">
        <v>0</v>
      </c>
      <c r="AS200">
        <v>0</v>
      </c>
      <c r="AT200">
        <v>0</v>
      </c>
      <c r="AU200" s="3">
        <f t="shared" ref="AU200" si="157">AU199</f>
        <v>8.4623400000000011</v>
      </c>
    </row>
    <row r="201" spans="1:47" x14ac:dyDescent="0.25">
      <c r="A201">
        <v>2</v>
      </c>
      <c r="B201" t="s">
        <v>1</v>
      </c>
      <c r="C201">
        <v>25920</v>
      </c>
      <c r="D201">
        <v>160</v>
      </c>
      <c r="E201">
        <v>2</v>
      </c>
      <c r="F201">
        <v>8</v>
      </c>
      <c r="G201">
        <v>1227.93</v>
      </c>
      <c r="H201" s="3">
        <v>9.4552999999999994</v>
      </c>
      <c r="I201" s="1">
        <v>45321</v>
      </c>
      <c r="J201" s="2">
        <v>0.25283564814814813</v>
      </c>
      <c r="K201">
        <v>0</v>
      </c>
      <c r="L201">
        <v>0</v>
      </c>
      <c r="M201">
        <v>0</v>
      </c>
      <c r="N201">
        <v>0</v>
      </c>
      <c r="O201">
        <v>0</v>
      </c>
      <c r="P201">
        <v>0</v>
      </c>
      <c r="Q201">
        <v>0</v>
      </c>
      <c r="R201">
        <v>0</v>
      </c>
      <c r="S201">
        <v>0</v>
      </c>
      <c r="T201">
        <v>0</v>
      </c>
      <c r="U201">
        <v>0</v>
      </c>
      <c r="V201">
        <v>0</v>
      </c>
      <c r="W201" s="4">
        <f t="shared" si="108"/>
        <v>9.4663799999999991</v>
      </c>
      <c r="Y201">
        <v>2</v>
      </c>
      <c r="Z201" t="s">
        <v>1</v>
      </c>
      <c r="AA201">
        <v>25920</v>
      </c>
      <c r="AB201">
        <v>160</v>
      </c>
      <c r="AC201">
        <v>2</v>
      </c>
      <c r="AD201">
        <v>8</v>
      </c>
      <c r="AE201">
        <v>1372.21</v>
      </c>
      <c r="AF201" s="3">
        <v>8.4611999999999998</v>
      </c>
      <c r="AG201" s="1">
        <v>45326</v>
      </c>
      <c r="AH201" s="2">
        <v>5.9201388888888894E-2</v>
      </c>
      <c r="AI201">
        <v>0</v>
      </c>
      <c r="AJ201">
        <v>0</v>
      </c>
      <c r="AK201">
        <v>0</v>
      </c>
      <c r="AL201">
        <v>0</v>
      </c>
      <c r="AM201">
        <v>0</v>
      </c>
      <c r="AN201">
        <v>0</v>
      </c>
      <c r="AO201">
        <v>0</v>
      </c>
      <c r="AP201">
        <v>0</v>
      </c>
      <c r="AQ201">
        <v>0</v>
      </c>
      <c r="AR201">
        <v>0</v>
      </c>
      <c r="AS201">
        <v>0</v>
      </c>
      <c r="AT201">
        <v>0</v>
      </c>
      <c r="AU201" s="3">
        <f t="shared" si="109"/>
        <v>8.4623400000000011</v>
      </c>
    </row>
    <row r="202" spans="1:47" x14ac:dyDescent="0.25">
      <c r="A202">
        <v>3</v>
      </c>
      <c r="B202" t="s">
        <v>1</v>
      </c>
      <c r="C202">
        <v>25920</v>
      </c>
      <c r="D202">
        <v>160</v>
      </c>
      <c r="E202">
        <v>2</v>
      </c>
      <c r="F202">
        <v>8</v>
      </c>
      <c r="G202">
        <v>1231.8399999999999</v>
      </c>
      <c r="H202" s="3">
        <v>9.4253</v>
      </c>
      <c r="I202" s="1">
        <v>45322</v>
      </c>
      <c r="J202" s="2">
        <v>9.4791666666666663E-2</v>
      </c>
      <c r="K202">
        <v>0</v>
      </c>
      <c r="L202">
        <v>0</v>
      </c>
      <c r="M202">
        <v>0</v>
      </c>
      <c r="N202">
        <v>0</v>
      </c>
      <c r="O202">
        <v>0</v>
      </c>
      <c r="P202">
        <v>0</v>
      </c>
      <c r="Q202">
        <v>0</v>
      </c>
      <c r="R202">
        <v>0</v>
      </c>
      <c r="S202">
        <v>0</v>
      </c>
      <c r="T202">
        <v>0</v>
      </c>
      <c r="U202">
        <v>0</v>
      </c>
      <c r="V202">
        <v>0</v>
      </c>
      <c r="W202" s="4">
        <f t="shared" si="108"/>
        <v>9.4663799999999991</v>
      </c>
      <c r="Y202">
        <v>3</v>
      </c>
      <c r="Z202" t="s">
        <v>1</v>
      </c>
      <c r="AA202">
        <v>25920</v>
      </c>
      <c r="AB202">
        <v>160</v>
      </c>
      <c r="AC202">
        <v>2</v>
      </c>
      <c r="AD202">
        <v>8</v>
      </c>
      <c r="AE202">
        <v>1371.9</v>
      </c>
      <c r="AF202" s="3">
        <v>8.4631000000000007</v>
      </c>
      <c r="AG202" s="1">
        <v>45326</v>
      </c>
      <c r="AH202" s="2">
        <v>0.97876157407407405</v>
      </c>
      <c r="AI202">
        <v>0</v>
      </c>
      <c r="AJ202">
        <v>0</v>
      </c>
      <c r="AK202">
        <v>0</v>
      </c>
      <c r="AL202">
        <v>0</v>
      </c>
      <c r="AM202">
        <v>0</v>
      </c>
      <c r="AN202">
        <v>0</v>
      </c>
      <c r="AO202">
        <v>0</v>
      </c>
      <c r="AP202">
        <v>0</v>
      </c>
      <c r="AQ202">
        <v>0</v>
      </c>
      <c r="AR202">
        <v>0</v>
      </c>
      <c r="AS202">
        <v>0</v>
      </c>
      <c r="AT202">
        <v>0</v>
      </c>
      <c r="AU202" s="3">
        <f t="shared" si="109"/>
        <v>8.4623400000000011</v>
      </c>
    </row>
    <row r="203" spans="1:47" x14ac:dyDescent="0.25">
      <c r="A203">
        <v>4</v>
      </c>
      <c r="B203" t="s">
        <v>1</v>
      </c>
      <c r="C203">
        <v>25920</v>
      </c>
      <c r="D203">
        <v>160</v>
      </c>
      <c r="E203">
        <v>2</v>
      </c>
      <c r="F203">
        <v>8</v>
      </c>
      <c r="G203">
        <v>1223.3699999999999</v>
      </c>
      <c r="H203" s="3">
        <v>9.4906000000000006</v>
      </c>
      <c r="I203" s="1">
        <v>45322</v>
      </c>
      <c r="J203" s="2">
        <v>0.93733796296296301</v>
      </c>
      <c r="K203">
        <v>0</v>
      </c>
      <c r="L203">
        <v>0</v>
      </c>
      <c r="M203">
        <v>0</v>
      </c>
      <c r="N203">
        <v>0</v>
      </c>
      <c r="O203">
        <v>0</v>
      </c>
      <c r="P203">
        <v>0</v>
      </c>
      <c r="Q203">
        <v>0</v>
      </c>
      <c r="R203">
        <v>0</v>
      </c>
      <c r="S203">
        <v>0</v>
      </c>
      <c r="T203">
        <v>0</v>
      </c>
      <c r="U203">
        <v>0</v>
      </c>
      <c r="V203">
        <v>0</v>
      </c>
      <c r="W203" s="4">
        <f t="shared" si="108"/>
        <v>9.4663799999999991</v>
      </c>
      <c r="Y203">
        <v>4</v>
      </c>
      <c r="Z203" t="s">
        <v>1</v>
      </c>
      <c r="AA203">
        <v>25920</v>
      </c>
      <c r="AB203">
        <v>160</v>
      </c>
      <c r="AC203">
        <v>2</v>
      </c>
      <c r="AD203">
        <v>8</v>
      </c>
      <c r="AE203">
        <v>1371.67</v>
      </c>
      <c r="AF203" s="3">
        <v>8.4644999999999992</v>
      </c>
      <c r="AG203" s="1">
        <v>45327</v>
      </c>
      <c r="AH203" s="2">
        <v>0.89856481481481476</v>
      </c>
      <c r="AI203">
        <v>0</v>
      </c>
      <c r="AJ203">
        <v>0</v>
      </c>
      <c r="AK203">
        <v>0</v>
      </c>
      <c r="AL203">
        <v>0</v>
      </c>
      <c r="AM203">
        <v>0</v>
      </c>
      <c r="AN203">
        <v>0</v>
      </c>
      <c r="AO203">
        <v>0</v>
      </c>
      <c r="AP203">
        <v>0</v>
      </c>
      <c r="AQ203">
        <v>0</v>
      </c>
      <c r="AR203">
        <v>0</v>
      </c>
      <c r="AS203">
        <v>0</v>
      </c>
      <c r="AT203">
        <v>0</v>
      </c>
      <c r="AU203" s="3">
        <f t="shared" si="109"/>
        <v>8.4623400000000011</v>
      </c>
    </row>
    <row r="204" spans="1:47" x14ac:dyDescent="0.25">
      <c r="A204">
        <v>0</v>
      </c>
      <c r="B204" t="s">
        <v>1</v>
      </c>
      <c r="C204">
        <v>27520</v>
      </c>
      <c r="D204">
        <v>160</v>
      </c>
      <c r="E204">
        <v>2</v>
      </c>
      <c r="F204">
        <v>8</v>
      </c>
      <c r="G204">
        <v>1455.06</v>
      </c>
      <c r="H204" s="3">
        <v>9.5501000000000005</v>
      </c>
      <c r="I204" s="1">
        <v>45319</v>
      </c>
      <c r="J204" s="2">
        <v>0.29706018518518518</v>
      </c>
      <c r="K204">
        <v>0</v>
      </c>
      <c r="L204">
        <v>0</v>
      </c>
      <c r="M204">
        <v>0</v>
      </c>
      <c r="N204">
        <v>0</v>
      </c>
      <c r="O204">
        <v>0</v>
      </c>
      <c r="P204">
        <v>0</v>
      </c>
      <c r="Q204">
        <v>0</v>
      </c>
      <c r="R204">
        <v>0</v>
      </c>
      <c r="S204">
        <v>0</v>
      </c>
      <c r="T204">
        <v>0</v>
      </c>
      <c r="U204">
        <v>0</v>
      </c>
      <c r="V204">
        <v>0</v>
      </c>
      <c r="W204" s="4">
        <f t="shared" ref="W204" si="158">AVERAGE(H204:H208)</f>
        <v>9.5506400000000014</v>
      </c>
      <c r="Y204">
        <v>0</v>
      </c>
      <c r="Z204" t="s">
        <v>1</v>
      </c>
      <c r="AA204">
        <v>27520</v>
      </c>
      <c r="AB204">
        <v>160</v>
      </c>
      <c r="AC204">
        <v>2</v>
      </c>
      <c r="AD204">
        <v>8</v>
      </c>
      <c r="AE204">
        <v>1633.49</v>
      </c>
      <c r="AF204" s="3">
        <v>8.5069999999999997</v>
      </c>
      <c r="AG204" s="1">
        <v>45323</v>
      </c>
      <c r="AH204" s="2">
        <v>0.95215277777777774</v>
      </c>
      <c r="AI204">
        <v>0</v>
      </c>
      <c r="AJ204">
        <v>0</v>
      </c>
      <c r="AK204">
        <v>0</v>
      </c>
      <c r="AL204">
        <v>0</v>
      </c>
      <c r="AM204">
        <v>0</v>
      </c>
      <c r="AN204">
        <v>0</v>
      </c>
      <c r="AO204">
        <v>0</v>
      </c>
      <c r="AP204">
        <v>0</v>
      </c>
      <c r="AQ204">
        <v>0</v>
      </c>
      <c r="AR204">
        <v>0</v>
      </c>
      <c r="AS204">
        <v>0</v>
      </c>
      <c r="AT204">
        <v>0</v>
      </c>
      <c r="AU204" s="3">
        <f t="shared" ref="AU204" si="159">AVERAGE(AF204:AF208)</f>
        <v>8.5068200000000012</v>
      </c>
    </row>
    <row r="205" spans="1:47" x14ac:dyDescent="0.25">
      <c r="A205">
        <v>1</v>
      </c>
      <c r="B205" t="s">
        <v>1</v>
      </c>
      <c r="C205">
        <v>27520</v>
      </c>
      <c r="D205">
        <v>160</v>
      </c>
      <c r="E205">
        <v>2</v>
      </c>
      <c r="F205">
        <v>8</v>
      </c>
      <c r="G205">
        <v>1456.65</v>
      </c>
      <c r="H205" s="3">
        <v>9.5396999999999998</v>
      </c>
      <c r="I205" s="1">
        <v>45320</v>
      </c>
      <c r="J205" s="2">
        <v>0.13820601851851852</v>
      </c>
      <c r="K205">
        <v>0</v>
      </c>
      <c r="L205">
        <v>0</v>
      </c>
      <c r="M205">
        <v>0</v>
      </c>
      <c r="N205">
        <v>0</v>
      </c>
      <c r="O205">
        <v>0</v>
      </c>
      <c r="P205">
        <v>0</v>
      </c>
      <c r="Q205">
        <v>0</v>
      </c>
      <c r="R205">
        <v>0</v>
      </c>
      <c r="S205">
        <v>0</v>
      </c>
      <c r="T205">
        <v>0</v>
      </c>
      <c r="U205">
        <v>0</v>
      </c>
      <c r="V205">
        <v>0</v>
      </c>
      <c r="W205" s="4">
        <f t="shared" ref="W205:W268" si="160">W204</f>
        <v>9.5506400000000014</v>
      </c>
      <c r="Y205">
        <v>1</v>
      </c>
      <c r="Z205" t="s">
        <v>1</v>
      </c>
      <c r="AA205">
        <v>27520</v>
      </c>
      <c r="AB205">
        <v>160</v>
      </c>
      <c r="AC205">
        <v>2</v>
      </c>
      <c r="AD205">
        <v>8</v>
      </c>
      <c r="AE205">
        <v>1633.7</v>
      </c>
      <c r="AF205" s="3">
        <v>8.5059000000000005</v>
      </c>
      <c r="AG205" s="1">
        <v>45324</v>
      </c>
      <c r="AH205" s="2">
        <v>0.84012731481481484</v>
      </c>
      <c r="AI205">
        <v>0</v>
      </c>
      <c r="AJ205">
        <v>0</v>
      </c>
      <c r="AK205">
        <v>0</v>
      </c>
      <c r="AL205">
        <v>0</v>
      </c>
      <c r="AM205">
        <v>0</v>
      </c>
      <c r="AN205">
        <v>0</v>
      </c>
      <c r="AO205">
        <v>0</v>
      </c>
      <c r="AP205">
        <v>0</v>
      </c>
      <c r="AQ205">
        <v>0</v>
      </c>
      <c r="AR205">
        <v>0</v>
      </c>
      <c r="AS205">
        <v>0</v>
      </c>
      <c r="AT205">
        <v>0</v>
      </c>
      <c r="AU205" s="3">
        <f t="shared" ref="AU205:AU268" si="161">AU204</f>
        <v>8.5068200000000012</v>
      </c>
    </row>
    <row r="206" spans="1:47" x14ac:dyDescent="0.25">
      <c r="A206">
        <v>2</v>
      </c>
      <c r="B206" t="s">
        <v>1</v>
      </c>
      <c r="C206">
        <v>27520</v>
      </c>
      <c r="D206">
        <v>160</v>
      </c>
      <c r="E206">
        <v>2</v>
      </c>
      <c r="F206">
        <v>8</v>
      </c>
      <c r="G206">
        <v>1451.91</v>
      </c>
      <c r="H206" s="3">
        <v>9.5708000000000002</v>
      </c>
      <c r="I206" s="1">
        <v>45320</v>
      </c>
      <c r="J206" s="2">
        <v>0.97954861111111102</v>
      </c>
      <c r="K206">
        <v>0</v>
      </c>
      <c r="L206">
        <v>0</v>
      </c>
      <c r="M206">
        <v>0</v>
      </c>
      <c r="N206">
        <v>0</v>
      </c>
      <c r="O206">
        <v>0</v>
      </c>
      <c r="P206">
        <v>0</v>
      </c>
      <c r="Q206">
        <v>0</v>
      </c>
      <c r="R206">
        <v>0</v>
      </c>
      <c r="S206">
        <v>0</v>
      </c>
      <c r="T206">
        <v>0</v>
      </c>
      <c r="U206">
        <v>0</v>
      </c>
      <c r="V206">
        <v>0</v>
      </c>
      <c r="W206" s="4">
        <f t="shared" si="160"/>
        <v>9.5506400000000014</v>
      </c>
      <c r="Y206">
        <v>2</v>
      </c>
      <c r="Z206" t="s">
        <v>1</v>
      </c>
      <c r="AA206">
        <v>27520</v>
      </c>
      <c r="AB206">
        <v>160</v>
      </c>
      <c r="AC206">
        <v>2</v>
      </c>
      <c r="AD206">
        <v>8</v>
      </c>
      <c r="AE206">
        <v>1633.21</v>
      </c>
      <c r="AF206" s="3">
        <v>8.5084</v>
      </c>
      <c r="AG206" s="1">
        <v>45325</v>
      </c>
      <c r="AH206" s="2">
        <v>0.75945601851851852</v>
      </c>
      <c r="AI206">
        <v>0</v>
      </c>
      <c r="AJ206">
        <v>0</v>
      </c>
      <c r="AK206">
        <v>0</v>
      </c>
      <c r="AL206">
        <v>0</v>
      </c>
      <c r="AM206">
        <v>0</v>
      </c>
      <c r="AN206">
        <v>0</v>
      </c>
      <c r="AO206">
        <v>0</v>
      </c>
      <c r="AP206">
        <v>0</v>
      </c>
      <c r="AQ206">
        <v>0</v>
      </c>
      <c r="AR206">
        <v>0</v>
      </c>
      <c r="AS206">
        <v>0</v>
      </c>
      <c r="AT206">
        <v>0</v>
      </c>
      <c r="AU206" s="3">
        <f t="shared" si="161"/>
        <v>8.5068200000000012</v>
      </c>
    </row>
    <row r="207" spans="1:47" x14ac:dyDescent="0.25">
      <c r="A207">
        <v>3</v>
      </c>
      <c r="B207" t="s">
        <v>1</v>
      </c>
      <c r="C207">
        <v>27520</v>
      </c>
      <c r="D207">
        <v>160</v>
      </c>
      <c r="E207">
        <v>2</v>
      </c>
      <c r="F207">
        <v>8</v>
      </c>
      <c r="G207">
        <v>1454.61</v>
      </c>
      <c r="H207" s="3">
        <v>9.5531000000000006</v>
      </c>
      <c r="I207" s="1">
        <v>45321</v>
      </c>
      <c r="J207" s="2">
        <v>0.82164351851851858</v>
      </c>
      <c r="K207">
        <v>0</v>
      </c>
      <c r="L207">
        <v>0</v>
      </c>
      <c r="M207">
        <v>0</v>
      </c>
      <c r="N207">
        <v>0</v>
      </c>
      <c r="O207">
        <v>0</v>
      </c>
      <c r="P207">
        <v>0</v>
      </c>
      <c r="Q207">
        <v>0</v>
      </c>
      <c r="R207">
        <v>0</v>
      </c>
      <c r="S207">
        <v>0</v>
      </c>
      <c r="T207">
        <v>0</v>
      </c>
      <c r="U207">
        <v>0</v>
      </c>
      <c r="V207">
        <v>0</v>
      </c>
      <c r="W207" s="4">
        <f t="shared" si="160"/>
        <v>9.5506400000000014</v>
      </c>
      <c r="Y207">
        <v>3</v>
      </c>
      <c r="Z207" t="s">
        <v>1</v>
      </c>
      <c r="AA207">
        <v>27520</v>
      </c>
      <c r="AB207">
        <v>160</v>
      </c>
      <c r="AC207">
        <v>2</v>
      </c>
      <c r="AD207">
        <v>8</v>
      </c>
      <c r="AE207">
        <v>1633.62</v>
      </c>
      <c r="AF207" s="3">
        <v>8.5061999999999998</v>
      </c>
      <c r="AG207" s="1">
        <v>45326</v>
      </c>
      <c r="AH207" s="2">
        <v>0.68002314814814813</v>
      </c>
      <c r="AI207">
        <v>0</v>
      </c>
      <c r="AJ207">
        <v>0</v>
      </c>
      <c r="AK207">
        <v>0</v>
      </c>
      <c r="AL207">
        <v>0</v>
      </c>
      <c r="AM207">
        <v>0</v>
      </c>
      <c r="AN207">
        <v>0</v>
      </c>
      <c r="AO207">
        <v>0</v>
      </c>
      <c r="AP207">
        <v>0</v>
      </c>
      <c r="AQ207">
        <v>0</v>
      </c>
      <c r="AR207">
        <v>0</v>
      </c>
      <c r="AS207">
        <v>0</v>
      </c>
      <c r="AT207">
        <v>0</v>
      </c>
      <c r="AU207" s="3">
        <f t="shared" si="161"/>
        <v>8.5068200000000012</v>
      </c>
    </row>
    <row r="208" spans="1:47" x14ac:dyDescent="0.25">
      <c r="A208">
        <v>4</v>
      </c>
      <c r="B208" t="s">
        <v>1</v>
      </c>
      <c r="C208">
        <v>27520</v>
      </c>
      <c r="D208">
        <v>160</v>
      </c>
      <c r="E208">
        <v>2</v>
      </c>
      <c r="F208">
        <v>8</v>
      </c>
      <c r="G208">
        <v>1456.69</v>
      </c>
      <c r="H208" s="3">
        <v>9.5395000000000003</v>
      </c>
      <c r="I208" s="1">
        <v>45322</v>
      </c>
      <c r="J208" s="2">
        <v>0.66424768518518518</v>
      </c>
      <c r="K208">
        <v>0</v>
      </c>
      <c r="L208">
        <v>0</v>
      </c>
      <c r="M208">
        <v>0</v>
      </c>
      <c r="N208">
        <v>0</v>
      </c>
      <c r="O208">
        <v>0</v>
      </c>
      <c r="P208">
        <v>0</v>
      </c>
      <c r="Q208">
        <v>0</v>
      </c>
      <c r="R208">
        <v>0</v>
      </c>
      <c r="S208">
        <v>0</v>
      </c>
      <c r="T208">
        <v>0</v>
      </c>
      <c r="U208">
        <v>0</v>
      </c>
      <c r="V208">
        <v>0</v>
      </c>
      <c r="W208" s="4">
        <f t="shared" si="160"/>
        <v>9.5506400000000014</v>
      </c>
      <c r="Y208">
        <v>4</v>
      </c>
      <c r="Z208" t="s">
        <v>1</v>
      </c>
      <c r="AA208">
        <v>27520</v>
      </c>
      <c r="AB208">
        <v>160</v>
      </c>
      <c r="AC208">
        <v>2</v>
      </c>
      <c r="AD208">
        <v>8</v>
      </c>
      <c r="AE208">
        <v>1633.56</v>
      </c>
      <c r="AF208" s="3">
        <v>8.5066000000000006</v>
      </c>
      <c r="AG208" s="1">
        <v>45327</v>
      </c>
      <c r="AH208" s="2">
        <v>0.59979166666666661</v>
      </c>
      <c r="AI208">
        <v>0</v>
      </c>
      <c r="AJ208">
        <v>0</v>
      </c>
      <c r="AK208">
        <v>0</v>
      </c>
      <c r="AL208">
        <v>0</v>
      </c>
      <c r="AM208">
        <v>0</v>
      </c>
      <c r="AN208">
        <v>0</v>
      </c>
      <c r="AO208">
        <v>0</v>
      </c>
      <c r="AP208">
        <v>0</v>
      </c>
      <c r="AQ208">
        <v>0</v>
      </c>
      <c r="AR208">
        <v>0</v>
      </c>
      <c r="AS208">
        <v>0</v>
      </c>
      <c r="AT208">
        <v>0</v>
      </c>
      <c r="AU208" s="3">
        <f t="shared" si="161"/>
        <v>8.5068200000000012</v>
      </c>
    </row>
    <row r="209" spans="1:47" x14ac:dyDescent="0.25">
      <c r="A209">
        <v>0</v>
      </c>
      <c r="B209" t="s">
        <v>1</v>
      </c>
      <c r="C209">
        <v>28960</v>
      </c>
      <c r="D209">
        <v>160</v>
      </c>
      <c r="E209">
        <v>2</v>
      </c>
      <c r="F209">
        <v>8</v>
      </c>
      <c r="G209">
        <v>1681.87</v>
      </c>
      <c r="H209" s="3">
        <v>9.6281999999999996</v>
      </c>
      <c r="I209" s="1">
        <v>45319</v>
      </c>
      <c r="J209" s="2">
        <v>0.81983796296296296</v>
      </c>
      <c r="K209">
        <v>0</v>
      </c>
      <c r="L209">
        <v>0</v>
      </c>
      <c r="M209">
        <v>0</v>
      </c>
      <c r="N209">
        <v>0</v>
      </c>
      <c r="O209">
        <v>0</v>
      </c>
      <c r="P209">
        <v>0</v>
      </c>
      <c r="Q209">
        <v>0</v>
      </c>
      <c r="R209">
        <v>0</v>
      </c>
      <c r="S209">
        <v>0</v>
      </c>
      <c r="T209">
        <v>0</v>
      </c>
      <c r="U209">
        <v>0</v>
      </c>
      <c r="V209">
        <v>0</v>
      </c>
      <c r="W209" s="4">
        <f t="shared" ref="W209" si="162">AVERAGE(H209:H213)</f>
        <v>9.6245399999999997</v>
      </c>
      <c r="Y209">
        <v>0</v>
      </c>
      <c r="Z209" t="s">
        <v>1</v>
      </c>
      <c r="AA209">
        <v>28960</v>
      </c>
      <c r="AB209">
        <v>160</v>
      </c>
      <c r="AC209">
        <v>2</v>
      </c>
      <c r="AD209">
        <v>8</v>
      </c>
      <c r="AE209">
        <v>1890.27</v>
      </c>
      <c r="AF209" s="3">
        <v>8.5667000000000009</v>
      </c>
      <c r="AG209" s="1">
        <v>45324</v>
      </c>
      <c r="AH209" s="2">
        <v>0.50488425925925928</v>
      </c>
      <c r="AI209">
        <v>0</v>
      </c>
      <c r="AJ209">
        <v>0</v>
      </c>
      <c r="AK209">
        <v>0</v>
      </c>
      <c r="AL209">
        <v>0</v>
      </c>
      <c r="AM209">
        <v>0</v>
      </c>
      <c r="AN209">
        <v>0</v>
      </c>
      <c r="AO209">
        <v>0</v>
      </c>
      <c r="AP209">
        <v>0</v>
      </c>
      <c r="AQ209">
        <v>0</v>
      </c>
      <c r="AR209">
        <v>0</v>
      </c>
      <c r="AS209">
        <v>0</v>
      </c>
      <c r="AT209">
        <v>0</v>
      </c>
      <c r="AU209" s="3">
        <f t="shared" ref="AU209" si="163">AVERAGE(AF209:AF213)</f>
        <v>8.5683600000000002</v>
      </c>
    </row>
    <row r="210" spans="1:47" x14ac:dyDescent="0.25">
      <c r="A210">
        <v>1</v>
      </c>
      <c r="B210" t="s">
        <v>1</v>
      </c>
      <c r="C210">
        <v>28960</v>
      </c>
      <c r="D210">
        <v>160</v>
      </c>
      <c r="E210">
        <v>2</v>
      </c>
      <c r="F210">
        <v>8</v>
      </c>
      <c r="G210">
        <v>1680.36</v>
      </c>
      <c r="H210" s="3">
        <v>9.6369000000000007</v>
      </c>
      <c r="I210" s="1">
        <v>45320</v>
      </c>
      <c r="J210" s="2">
        <v>0.66100694444444441</v>
      </c>
      <c r="K210">
        <v>0</v>
      </c>
      <c r="L210">
        <v>0</v>
      </c>
      <c r="M210">
        <v>0</v>
      </c>
      <c r="N210">
        <v>0</v>
      </c>
      <c r="O210">
        <v>0</v>
      </c>
      <c r="P210">
        <v>0</v>
      </c>
      <c r="Q210">
        <v>0</v>
      </c>
      <c r="R210">
        <v>0</v>
      </c>
      <c r="S210">
        <v>0</v>
      </c>
      <c r="T210">
        <v>0</v>
      </c>
      <c r="U210">
        <v>0</v>
      </c>
      <c r="V210">
        <v>0</v>
      </c>
      <c r="W210" s="4">
        <f t="shared" ref="W210" si="164">W209</f>
        <v>9.6245399999999997</v>
      </c>
      <c r="Y210">
        <v>1</v>
      </c>
      <c r="Z210" t="s">
        <v>1</v>
      </c>
      <c r="AA210">
        <v>28960</v>
      </c>
      <c r="AB210">
        <v>160</v>
      </c>
      <c r="AC210">
        <v>2</v>
      </c>
      <c r="AD210">
        <v>8</v>
      </c>
      <c r="AE210">
        <v>1890.09</v>
      </c>
      <c r="AF210" s="3">
        <v>8.5675000000000008</v>
      </c>
      <c r="AG210" s="1">
        <v>45325</v>
      </c>
      <c r="AH210" s="2">
        <v>0.41253472222222221</v>
      </c>
      <c r="AI210">
        <v>0</v>
      </c>
      <c r="AJ210">
        <v>0</v>
      </c>
      <c r="AK210">
        <v>0</v>
      </c>
      <c r="AL210">
        <v>0</v>
      </c>
      <c r="AM210">
        <v>0</v>
      </c>
      <c r="AN210">
        <v>0</v>
      </c>
      <c r="AO210">
        <v>0</v>
      </c>
      <c r="AP210">
        <v>0</v>
      </c>
      <c r="AQ210">
        <v>0</v>
      </c>
      <c r="AR210">
        <v>0</v>
      </c>
      <c r="AS210">
        <v>0</v>
      </c>
      <c r="AT210">
        <v>0</v>
      </c>
      <c r="AU210" s="3">
        <f t="shared" ref="AU210" si="165">AU209</f>
        <v>8.5683600000000002</v>
      </c>
    </row>
    <row r="211" spans="1:47" x14ac:dyDescent="0.25">
      <c r="A211">
        <v>2</v>
      </c>
      <c r="B211" t="s">
        <v>1</v>
      </c>
      <c r="C211">
        <v>28960</v>
      </c>
      <c r="D211">
        <v>160</v>
      </c>
      <c r="E211">
        <v>2</v>
      </c>
      <c r="F211">
        <v>8</v>
      </c>
      <c r="G211">
        <v>1682.12</v>
      </c>
      <c r="H211" s="3">
        <v>9.6267999999999994</v>
      </c>
      <c r="I211" s="1">
        <v>45321</v>
      </c>
      <c r="J211" s="2">
        <v>0.50332175925925926</v>
      </c>
      <c r="K211">
        <v>0</v>
      </c>
      <c r="L211">
        <v>0</v>
      </c>
      <c r="M211">
        <v>0</v>
      </c>
      <c r="N211">
        <v>0</v>
      </c>
      <c r="O211">
        <v>0</v>
      </c>
      <c r="P211">
        <v>0</v>
      </c>
      <c r="Q211">
        <v>0</v>
      </c>
      <c r="R211">
        <v>0</v>
      </c>
      <c r="S211">
        <v>0</v>
      </c>
      <c r="T211">
        <v>0</v>
      </c>
      <c r="U211">
        <v>0</v>
      </c>
      <c r="V211">
        <v>0</v>
      </c>
      <c r="W211" s="4">
        <f t="shared" si="160"/>
        <v>9.6245399999999997</v>
      </c>
      <c r="Y211">
        <v>2</v>
      </c>
      <c r="Z211" t="s">
        <v>1</v>
      </c>
      <c r="AA211">
        <v>28960</v>
      </c>
      <c r="AB211">
        <v>160</v>
      </c>
      <c r="AC211">
        <v>2</v>
      </c>
      <c r="AD211">
        <v>8</v>
      </c>
      <c r="AE211">
        <v>1889.08</v>
      </c>
      <c r="AF211" s="3">
        <v>8.5721000000000007</v>
      </c>
      <c r="AG211" s="1">
        <v>45326</v>
      </c>
      <c r="AH211" s="2">
        <v>0.33265046296296297</v>
      </c>
      <c r="AI211">
        <v>0</v>
      </c>
      <c r="AJ211">
        <v>0</v>
      </c>
      <c r="AK211">
        <v>0</v>
      </c>
      <c r="AL211">
        <v>0</v>
      </c>
      <c r="AM211">
        <v>0</v>
      </c>
      <c r="AN211">
        <v>0</v>
      </c>
      <c r="AO211">
        <v>0</v>
      </c>
      <c r="AP211">
        <v>0</v>
      </c>
      <c r="AQ211">
        <v>0</v>
      </c>
      <c r="AR211">
        <v>0</v>
      </c>
      <c r="AS211">
        <v>0</v>
      </c>
      <c r="AT211">
        <v>0</v>
      </c>
      <c r="AU211" s="3">
        <f t="shared" si="161"/>
        <v>8.5683600000000002</v>
      </c>
    </row>
    <row r="212" spans="1:47" x14ac:dyDescent="0.25">
      <c r="A212">
        <v>3</v>
      </c>
      <c r="B212" t="s">
        <v>1</v>
      </c>
      <c r="C212">
        <v>28960</v>
      </c>
      <c r="D212">
        <v>160</v>
      </c>
      <c r="E212">
        <v>2</v>
      </c>
      <c r="F212">
        <v>8</v>
      </c>
      <c r="G212">
        <v>1683.88</v>
      </c>
      <c r="H212" s="3">
        <v>9.6166999999999998</v>
      </c>
      <c r="I212" s="1">
        <v>45322</v>
      </c>
      <c r="J212" s="2">
        <v>0.34563657407407405</v>
      </c>
      <c r="K212">
        <v>0</v>
      </c>
      <c r="L212">
        <v>0</v>
      </c>
      <c r="M212">
        <v>0</v>
      </c>
      <c r="N212">
        <v>0</v>
      </c>
      <c r="O212">
        <v>0</v>
      </c>
      <c r="P212">
        <v>0</v>
      </c>
      <c r="Q212">
        <v>0</v>
      </c>
      <c r="R212">
        <v>0</v>
      </c>
      <c r="S212">
        <v>0</v>
      </c>
      <c r="T212">
        <v>0</v>
      </c>
      <c r="U212">
        <v>0</v>
      </c>
      <c r="V212">
        <v>0</v>
      </c>
      <c r="W212" s="4">
        <f t="shared" si="160"/>
        <v>9.6245399999999997</v>
      </c>
      <c r="Y212">
        <v>3</v>
      </c>
      <c r="Z212" t="s">
        <v>1</v>
      </c>
      <c r="AA212">
        <v>28960</v>
      </c>
      <c r="AB212">
        <v>160</v>
      </c>
      <c r="AC212">
        <v>2</v>
      </c>
      <c r="AD212">
        <v>8</v>
      </c>
      <c r="AE212">
        <v>1890.33</v>
      </c>
      <c r="AF212" s="3">
        <v>8.5663999999999998</v>
      </c>
      <c r="AG212" s="1">
        <v>45327</v>
      </c>
      <c r="AH212" s="2">
        <v>0.25248842592592591</v>
      </c>
      <c r="AI212">
        <v>0</v>
      </c>
      <c r="AJ212">
        <v>0</v>
      </c>
      <c r="AK212">
        <v>0</v>
      </c>
      <c r="AL212">
        <v>0</v>
      </c>
      <c r="AM212">
        <v>0</v>
      </c>
      <c r="AN212">
        <v>0</v>
      </c>
      <c r="AO212">
        <v>0</v>
      </c>
      <c r="AP212">
        <v>0</v>
      </c>
      <c r="AQ212">
        <v>0</v>
      </c>
      <c r="AR212">
        <v>0</v>
      </c>
      <c r="AS212">
        <v>0</v>
      </c>
      <c r="AT212">
        <v>0</v>
      </c>
      <c r="AU212" s="3">
        <f t="shared" si="161"/>
        <v>8.5683600000000002</v>
      </c>
    </row>
    <row r="213" spans="1:47" x14ac:dyDescent="0.25">
      <c r="A213">
        <v>4</v>
      </c>
      <c r="B213" t="s">
        <v>1</v>
      </c>
      <c r="C213">
        <v>28960</v>
      </c>
      <c r="D213">
        <v>160</v>
      </c>
      <c r="E213">
        <v>2</v>
      </c>
      <c r="F213">
        <v>8</v>
      </c>
      <c r="G213">
        <v>1684.34</v>
      </c>
      <c r="H213" s="3">
        <v>9.6141000000000005</v>
      </c>
      <c r="I213" s="1">
        <v>45323</v>
      </c>
      <c r="J213" s="2">
        <v>0.18810185185185188</v>
      </c>
      <c r="K213">
        <v>0</v>
      </c>
      <c r="L213">
        <v>0</v>
      </c>
      <c r="M213">
        <v>0</v>
      </c>
      <c r="N213">
        <v>0</v>
      </c>
      <c r="O213">
        <v>0</v>
      </c>
      <c r="P213">
        <v>0</v>
      </c>
      <c r="Q213">
        <v>0</v>
      </c>
      <c r="R213">
        <v>0</v>
      </c>
      <c r="S213">
        <v>0</v>
      </c>
      <c r="T213">
        <v>0</v>
      </c>
      <c r="U213">
        <v>0</v>
      </c>
      <c r="V213">
        <v>0</v>
      </c>
      <c r="W213" s="4">
        <f t="shared" si="160"/>
        <v>9.6245399999999997</v>
      </c>
      <c r="Y213">
        <v>4</v>
      </c>
      <c r="Z213" t="s">
        <v>1</v>
      </c>
      <c r="AA213">
        <v>28960</v>
      </c>
      <c r="AB213">
        <v>160</v>
      </c>
      <c r="AC213">
        <v>2</v>
      </c>
      <c r="AD213">
        <v>8</v>
      </c>
      <c r="AE213">
        <v>1889.73</v>
      </c>
      <c r="AF213" s="3">
        <v>8.5691000000000006</v>
      </c>
      <c r="AG213" s="1">
        <v>45328</v>
      </c>
      <c r="AH213" s="2">
        <v>0.17208333333333334</v>
      </c>
      <c r="AI213">
        <v>0</v>
      </c>
      <c r="AJ213">
        <v>0</v>
      </c>
      <c r="AK213">
        <v>0</v>
      </c>
      <c r="AL213">
        <v>0</v>
      </c>
      <c r="AM213">
        <v>0</v>
      </c>
      <c r="AN213">
        <v>0</v>
      </c>
      <c r="AO213">
        <v>0</v>
      </c>
      <c r="AP213">
        <v>0</v>
      </c>
      <c r="AQ213">
        <v>0</v>
      </c>
      <c r="AR213">
        <v>0</v>
      </c>
      <c r="AS213">
        <v>0</v>
      </c>
      <c r="AT213">
        <v>0</v>
      </c>
      <c r="AU213" s="3">
        <f t="shared" si="161"/>
        <v>8.5683600000000002</v>
      </c>
    </row>
    <row r="214" spans="1:47" x14ac:dyDescent="0.25">
      <c r="A214">
        <v>0</v>
      </c>
      <c r="B214" t="s">
        <v>1</v>
      </c>
      <c r="C214">
        <v>25920</v>
      </c>
      <c r="D214">
        <v>160</v>
      </c>
      <c r="E214">
        <v>4</v>
      </c>
      <c r="F214">
        <v>4</v>
      </c>
      <c r="G214">
        <v>1228.25</v>
      </c>
      <c r="H214" s="3">
        <v>9.4528999999999996</v>
      </c>
      <c r="I214" s="1">
        <v>45319</v>
      </c>
      <c r="J214" s="2">
        <v>0.58567129629629633</v>
      </c>
      <c r="K214">
        <v>0</v>
      </c>
      <c r="L214">
        <v>0</v>
      </c>
      <c r="M214">
        <v>0</v>
      </c>
      <c r="N214">
        <v>0</v>
      </c>
      <c r="O214">
        <v>0</v>
      </c>
      <c r="P214">
        <v>0</v>
      </c>
      <c r="Q214">
        <v>0</v>
      </c>
      <c r="R214">
        <v>0</v>
      </c>
      <c r="S214">
        <v>0</v>
      </c>
      <c r="T214">
        <v>0</v>
      </c>
      <c r="U214">
        <v>0</v>
      </c>
      <c r="V214">
        <v>0</v>
      </c>
      <c r="W214" s="4">
        <f t="shared" ref="W214" si="166">AVERAGE(H214:H218)</f>
        <v>9.4558</v>
      </c>
      <c r="Y214">
        <v>0</v>
      </c>
      <c r="Z214" t="s">
        <v>1</v>
      </c>
      <c r="AA214">
        <v>25920</v>
      </c>
      <c r="AB214">
        <v>160</v>
      </c>
      <c r="AC214">
        <v>4</v>
      </c>
      <c r="AD214">
        <v>4</v>
      </c>
      <c r="AE214">
        <v>1362.99</v>
      </c>
      <c r="AF214" s="3">
        <v>8.5183999999999997</v>
      </c>
      <c r="AG214" s="1">
        <v>45324</v>
      </c>
      <c r="AH214" s="2">
        <v>0.25710648148148146</v>
      </c>
      <c r="AI214">
        <v>0</v>
      </c>
      <c r="AJ214">
        <v>0</v>
      </c>
      <c r="AK214">
        <v>0</v>
      </c>
      <c r="AL214">
        <v>0</v>
      </c>
      <c r="AM214">
        <v>0</v>
      </c>
      <c r="AN214">
        <v>0</v>
      </c>
      <c r="AO214">
        <v>0</v>
      </c>
      <c r="AP214">
        <v>0</v>
      </c>
      <c r="AQ214">
        <v>0</v>
      </c>
      <c r="AR214">
        <v>0</v>
      </c>
      <c r="AS214">
        <v>0</v>
      </c>
      <c r="AT214">
        <v>0</v>
      </c>
      <c r="AU214" s="3">
        <f t="shared" ref="AU214" si="167">AVERAGE(AF214:AF218)</f>
        <v>8.5682599999999987</v>
      </c>
    </row>
    <row r="215" spans="1:47" x14ac:dyDescent="0.25">
      <c r="A215">
        <v>1</v>
      </c>
      <c r="B215" t="s">
        <v>1</v>
      </c>
      <c r="C215">
        <v>25920</v>
      </c>
      <c r="D215">
        <v>160</v>
      </c>
      <c r="E215">
        <v>4</v>
      </c>
      <c r="F215">
        <v>4</v>
      </c>
      <c r="G215">
        <v>1226.8</v>
      </c>
      <c r="H215" s="3">
        <v>9.4641000000000002</v>
      </c>
      <c r="I215" s="1">
        <v>45320</v>
      </c>
      <c r="J215" s="2">
        <v>0.42675925925925928</v>
      </c>
      <c r="K215">
        <v>0</v>
      </c>
      <c r="L215">
        <v>0</v>
      </c>
      <c r="M215">
        <v>0</v>
      </c>
      <c r="N215">
        <v>0</v>
      </c>
      <c r="O215">
        <v>0</v>
      </c>
      <c r="P215">
        <v>0</v>
      </c>
      <c r="Q215">
        <v>0</v>
      </c>
      <c r="R215">
        <v>0</v>
      </c>
      <c r="S215">
        <v>0</v>
      </c>
      <c r="T215">
        <v>0</v>
      </c>
      <c r="U215">
        <v>0</v>
      </c>
      <c r="V215">
        <v>0</v>
      </c>
      <c r="W215" s="4">
        <f t="shared" ref="W215" si="168">W214</f>
        <v>9.4558</v>
      </c>
      <c r="Y215">
        <v>1</v>
      </c>
      <c r="Z215" t="s">
        <v>1</v>
      </c>
      <c r="AA215">
        <v>25920</v>
      </c>
      <c r="AB215">
        <v>160</v>
      </c>
      <c r="AC215">
        <v>4</v>
      </c>
      <c r="AD215">
        <v>4</v>
      </c>
      <c r="AE215">
        <v>1351.92</v>
      </c>
      <c r="AF215" s="3">
        <v>8.5882000000000005</v>
      </c>
      <c r="AG215" s="1">
        <v>45325</v>
      </c>
      <c r="AH215" s="2">
        <v>0.15577546296296296</v>
      </c>
      <c r="AI215">
        <v>0</v>
      </c>
      <c r="AJ215">
        <v>0</v>
      </c>
      <c r="AK215">
        <v>0</v>
      </c>
      <c r="AL215">
        <v>0</v>
      </c>
      <c r="AM215">
        <v>0</v>
      </c>
      <c r="AN215">
        <v>0</v>
      </c>
      <c r="AO215">
        <v>0</v>
      </c>
      <c r="AP215">
        <v>0</v>
      </c>
      <c r="AQ215">
        <v>0</v>
      </c>
      <c r="AR215">
        <v>0</v>
      </c>
      <c r="AS215">
        <v>0</v>
      </c>
      <c r="AT215">
        <v>0</v>
      </c>
      <c r="AU215" s="3">
        <f t="shared" ref="AU215" si="169">AU214</f>
        <v>8.5682599999999987</v>
      </c>
    </row>
    <row r="216" spans="1:47" x14ac:dyDescent="0.25">
      <c r="A216">
        <v>2</v>
      </c>
      <c r="B216" t="s">
        <v>1</v>
      </c>
      <c r="C216">
        <v>25920</v>
      </c>
      <c r="D216">
        <v>160</v>
      </c>
      <c r="E216">
        <v>4</v>
      </c>
      <c r="F216">
        <v>4</v>
      </c>
      <c r="G216">
        <v>1229.0899999999999</v>
      </c>
      <c r="H216" s="3">
        <v>9.4465000000000003</v>
      </c>
      <c r="I216" s="1">
        <v>45321</v>
      </c>
      <c r="J216" s="2">
        <v>0.26841435185185186</v>
      </c>
      <c r="K216">
        <v>0</v>
      </c>
      <c r="L216">
        <v>0</v>
      </c>
      <c r="M216">
        <v>0</v>
      </c>
      <c r="N216">
        <v>0</v>
      </c>
      <c r="O216">
        <v>0</v>
      </c>
      <c r="P216">
        <v>0</v>
      </c>
      <c r="Q216">
        <v>0</v>
      </c>
      <c r="R216">
        <v>0</v>
      </c>
      <c r="S216">
        <v>0</v>
      </c>
      <c r="T216">
        <v>0</v>
      </c>
      <c r="U216">
        <v>0</v>
      </c>
      <c r="V216">
        <v>0</v>
      </c>
      <c r="W216" s="4">
        <f t="shared" si="160"/>
        <v>9.4558</v>
      </c>
      <c r="Y216">
        <v>2</v>
      </c>
      <c r="Z216" t="s">
        <v>1</v>
      </c>
      <c r="AA216">
        <v>25920</v>
      </c>
      <c r="AB216">
        <v>160</v>
      </c>
      <c r="AC216">
        <v>4</v>
      </c>
      <c r="AD216">
        <v>4</v>
      </c>
      <c r="AE216">
        <v>1352.76</v>
      </c>
      <c r="AF216" s="3">
        <v>8.5828000000000007</v>
      </c>
      <c r="AG216" s="1">
        <v>45326</v>
      </c>
      <c r="AH216" s="2">
        <v>7.6030092592592594E-2</v>
      </c>
      <c r="AI216">
        <v>0</v>
      </c>
      <c r="AJ216">
        <v>0</v>
      </c>
      <c r="AK216">
        <v>0</v>
      </c>
      <c r="AL216">
        <v>0</v>
      </c>
      <c r="AM216">
        <v>0</v>
      </c>
      <c r="AN216">
        <v>0</v>
      </c>
      <c r="AO216">
        <v>0</v>
      </c>
      <c r="AP216">
        <v>0</v>
      </c>
      <c r="AQ216">
        <v>0</v>
      </c>
      <c r="AR216">
        <v>0</v>
      </c>
      <c r="AS216">
        <v>0</v>
      </c>
      <c r="AT216">
        <v>0</v>
      </c>
      <c r="AU216" s="3">
        <f t="shared" si="161"/>
        <v>8.5682599999999987</v>
      </c>
    </row>
    <row r="217" spans="1:47" x14ac:dyDescent="0.25">
      <c r="A217">
        <v>3</v>
      </c>
      <c r="B217" t="s">
        <v>1</v>
      </c>
      <c r="C217">
        <v>25920</v>
      </c>
      <c r="D217">
        <v>160</v>
      </c>
      <c r="E217">
        <v>4</v>
      </c>
      <c r="F217">
        <v>4</v>
      </c>
      <c r="G217">
        <v>1229.0999999999999</v>
      </c>
      <c r="H217" s="3">
        <v>9.4463000000000008</v>
      </c>
      <c r="I217" s="1">
        <v>45322</v>
      </c>
      <c r="J217" s="2">
        <v>0.11037037037037038</v>
      </c>
      <c r="K217">
        <v>0</v>
      </c>
      <c r="L217">
        <v>0</v>
      </c>
      <c r="M217">
        <v>0</v>
      </c>
      <c r="N217">
        <v>0</v>
      </c>
      <c r="O217">
        <v>0</v>
      </c>
      <c r="P217">
        <v>0</v>
      </c>
      <c r="Q217">
        <v>0</v>
      </c>
      <c r="R217">
        <v>0</v>
      </c>
      <c r="S217">
        <v>0</v>
      </c>
      <c r="T217">
        <v>0</v>
      </c>
      <c r="U217">
        <v>0</v>
      </c>
      <c r="V217">
        <v>0</v>
      </c>
      <c r="W217" s="4">
        <f t="shared" si="160"/>
        <v>9.4558</v>
      </c>
      <c r="Y217">
        <v>3</v>
      </c>
      <c r="Z217" t="s">
        <v>1</v>
      </c>
      <c r="AA217">
        <v>25920</v>
      </c>
      <c r="AB217">
        <v>160</v>
      </c>
      <c r="AC217">
        <v>4</v>
      </c>
      <c r="AD217">
        <v>4</v>
      </c>
      <c r="AE217">
        <v>1352.22</v>
      </c>
      <c r="AF217" s="3">
        <v>8.5861999999999998</v>
      </c>
      <c r="AG217" s="1">
        <v>45326</v>
      </c>
      <c r="AH217" s="2">
        <v>0.99559027777777775</v>
      </c>
      <c r="AI217">
        <v>0</v>
      </c>
      <c r="AJ217">
        <v>0</v>
      </c>
      <c r="AK217">
        <v>0</v>
      </c>
      <c r="AL217">
        <v>0</v>
      </c>
      <c r="AM217">
        <v>0</v>
      </c>
      <c r="AN217">
        <v>0</v>
      </c>
      <c r="AO217">
        <v>0</v>
      </c>
      <c r="AP217">
        <v>0</v>
      </c>
      <c r="AQ217">
        <v>0</v>
      </c>
      <c r="AR217">
        <v>0</v>
      </c>
      <c r="AS217">
        <v>0</v>
      </c>
      <c r="AT217">
        <v>0</v>
      </c>
      <c r="AU217" s="3">
        <f t="shared" si="161"/>
        <v>8.5682599999999987</v>
      </c>
    </row>
    <row r="218" spans="1:47" x14ac:dyDescent="0.25">
      <c r="A218">
        <v>4</v>
      </c>
      <c r="B218" t="s">
        <v>1</v>
      </c>
      <c r="C218">
        <v>25920</v>
      </c>
      <c r="D218">
        <v>160</v>
      </c>
      <c r="E218">
        <v>4</v>
      </c>
      <c r="F218">
        <v>4</v>
      </c>
      <c r="G218">
        <v>1226.1400000000001</v>
      </c>
      <c r="H218" s="3">
        <v>9.4692000000000007</v>
      </c>
      <c r="I218" s="1">
        <v>45322</v>
      </c>
      <c r="J218" s="2">
        <v>0.95288194444444441</v>
      </c>
      <c r="K218">
        <v>0</v>
      </c>
      <c r="L218">
        <v>0</v>
      </c>
      <c r="M218">
        <v>0</v>
      </c>
      <c r="N218">
        <v>0</v>
      </c>
      <c r="O218">
        <v>0</v>
      </c>
      <c r="P218">
        <v>0</v>
      </c>
      <c r="Q218">
        <v>0</v>
      </c>
      <c r="R218">
        <v>0</v>
      </c>
      <c r="S218">
        <v>0</v>
      </c>
      <c r="T218">
        <v>0</v>
      </c>
      <c r="U218">
        <v>0</v>
      </c>
      <c r="V218">
        <v>0</v>
      </c>
      <c r="W218" s="4">
        <f t="shared" si="160"/>
        <v>9.4558</v>
      </c>
      <c r="Y218">
        <v>4</v>
      </c>
      <c r="Z218" t="s">
        <v>1</v>
      </c>
      <c r="AA218">
        <v>25920</v>
      </c>
      <c r="AB218">
        <v>160</v>
      </c>
      <c r="AC218">
        <v>4</v>
      </c>
      <c r="AD218">
        <v>4</v>
      </c>
      <c r="AE218">
        <v>1355.47</v>
      </c>
      <c r="AF218" s="3">
        <v>8.5656999999999996</v>
      </c>
      <c r="AG218" s="1">
        <v>45327</v>
      </c>
      <c r="AH218" s="2">
        <v>0.91543981481481485</v>
      </c>
      <c r="AI218">
        <v>0</v>
      </c>
      <c r="AJ218">
        <v>0</v>
      </c>
      <c r="AK218">
        <v>0</v>
      </c>
      <c r="AL218">
        <v>0</v>
      </c>
      <c r="AM218">
        <v>0</v>
      </c>
      <c r="AN218">
        <v>0</v>
      </c>
      <c r="AO218">
        <v>0</v>
      </c>
      <c r="AP218">
        <v>0</v>
      </c>
      <c r="AQ218">
        <v>0</v>
      </c>
      <c r="AR218">
        <v>0</v>
      </c>
      <c r="AS218">
        <v>0</v>
      </c>
      <c r="AT218">
        <v>0</v>
      </c>
      <c r="AU218" s="3">
        <f t="shared" si="161"/>
        <v>8.5682599999999987</v>
      </c>
    </row>
    <row r="219" spans="1:47" x14ac:dyDescent="0.25">
      <c r="A219">
        <v>0</v>
      </c>
      <c r="B219" t="s">
        <v>1</v>
      </c>
      <c r="C219">
        <v>27520</v>
      </c>
      <c r="D219">
        <v>160</v>
      </c>
      <c r="E219">
        <v>4</v>
      </c>
      <c r="F219">
        <v>4</v>
      </c>
      <c r="G219">
        <v>1454.22</v>
      </c>
      <c r="H219" s="3">
        <v>9.5556000000000001</v>
      </c>
      <c r="I219" s="1">
        <v>45319</v>
      </c>
      <c r="J219" s="2">
        <v>0.31538194444444445</v>
      </c>
      <c r="K219">
        <v>0</v>
      </c>
      <c r="L219">
        <v>0</v>
      </c>
      <c r="M219">
        <v>0</v>
      </c>
      <c r="N219">
        <v>0</v>
      </c>
      <c r="O219">
        <v>0</v>
      </c>
      <c r="P219">
        <v>0</v>
      </c>
      <c r="Q219">
        <v>0</v>
      </c>
      <c r="R219">
        <v>0</v>
      </c>
      <c r="S219">
        <v>0</v>
      </c>
      <c r="T219">
        <v>0</v>
      </c>
      <c r="U219">
        <v>0</v>
      </c>
      <c r="V219">
        <v>0</v>
      </c>
      <c r="W219" s="4">
        <f t="shared" ref="W219" si="170">AVERAGE(H219:H223)</f>
        <v>9.5339800000000015</v>
      </c>
      <c r="Y219">
        <v>0</v>
      </c>
      <c r="Z219" t="s">
        <v>1</v>
      </c>
      <c r="AA219">
        <v>27520</v>
      </c>
      <c r="AB219">
        <v>160</v>
      </c>
      <c r="AC219">
        <v>4</v>
      </c>
      <c r="AD219">
        <v>4</v>
      </c>
      <c r="AE219">
        <v>1606.56</v>
      </c>
      <c r="AF219" s="3">
        <v>8.6494999999999997</v>
      </c>
      <c r="AG219" s="1">
        <v>45323</v>
      </c>
      <c r="AH219" s="2">
        <v>0.97137731481481471</v>
      </c>
      <c r="AI219">
        <v>0</v>
      </c>
      <c r="AJ219">
        <v>0</v>
      </c>
      <c r="AK219">
        <v>0</v>
      </c>
      <c r="AL219">
        <v>0</v>
      </c>
      <c r="AM219">
        <v>0</v>
      </c>
      <c r="AN219">
        <v>0</v>
      </c>
      <c r="AO219">
        <v>0</v>
      </c>
      <c r="AP219">
        <v>0</v>
      </c>
      <c r="AQ219">
        <v>0</v>
      </c>
      <c r="AR219">
        <v>0</v>
      </c>
      <c r="AS219">
        <v>0</v>
      </c>
      <c r="AT219">
        <v>0</v>
      </c>
      <c r="AU219" s="3">
        <f t="shared" ref="AU219" si="171">AVERAGE(AF219:AF223)</f>
        <v>8.6957399999999971</v>
      </c>
    </row>
    <row r="220" spans="1:47" x14ac:dyDescent="0.25">
      <c r="A220">
        <v>1</v>
      </c>
      <c r="B220" t="s">
        <v>1</v>
      </c>
      <c r="C220">
        <v>27520</v>
      </c>
      <c r="D220">
        <v>160</v>
      </c>
      <c r="E220">
        <v>4</v>
      </c>
      <c r="F220">
        <v>4</v>
      </c>
      <c r="G220">
        <v>1455.7</v>
      </c>
      <c r="H220" s="3">
        <v>9.5458999999999996</v>
      </c>
      <c r="I220" s="1">
        <v>45320</v>
      </c>
      <c r="J220" s="2">
        <v>0.15653935185185186</v>
      </c>
      <c r="K220">
        <v>0</v>
      </c>
      <c r="L220">
        <v>0</v>
      </c>
      <c r="M220">
        <v>0</v>
      </c>
      <c r="N220">
        <v>0</v>
      </c>
      <c r="O220">
        <v>0</v>
      </c>
      <c r="P220">
        <v>0</v>
      </c>
      <c r="Q220">
        <v>0</v>
      </c>
      <c r="R220">
        <v>0</v>
      </c>
      <c r="S220">
        <v>0</v>
      </c>
      <c r="T220">
        <v>0</v>
      </c>
      <c r="U220">
        <v>0</v>
      </c>
      <c r="V220">
        <v>0</v>
      </c>
      <c r="W220" s="4">
        <f t="shared" ref="W220" si="172">W219</f>
        <v>9.5339800000000015</v>
      </c>
      <c r="Y220">
        <v>1</v>
      </c>
      <c r="Z220" t="s">
        <v>1</v>
      </c>
      <c r="AA220">
        <v>27520</v>
      </c>
      <c r="AB220">
        <v>160</v>
      </c>
      <c r="AC220">
        <v>4</v>
      </c>
      <c r="AD220">
        <v>4</v>
      </c>
      <c r="AE220">
        <v>1595.2</v>
      </c>
      <c r="AF220" s="3">
        <v>8.7111000000000001</v>
      </c>
      <c r="AG220" s="1">
        <v>45324</v>
      </c>
      <c r="AH220" s="2">
        <v>0.85980324074074066</v>
      </c>
      <c r="AI220">
        <v>0</v>
      </c>
      <c r="AJ220">
        <v>0</v>
      </c>
      <c r="AK220">
        <v>0</v>
      </c>
      <c r="AL220">
        <v>0</v>
      </c>
      <c r="AM220">
        <v>0</v>
      </c>
      <c r="AN220">
        <v>0</v>
      </c>
      <c r="AO220">
        <v>0</v>
      </c>
      <c r="AP220">
        <v>0</v>
      </c>
      <c r="AQ220">
        <v>0</v>
      </c>
      <c r="AR220">
        <v>0</v>
      </c>
      <c r="AS220">
        <v>0</v>
      </c>
      <c r="AT220">
        <v>0</v>
      </c>
      <c r="AU220" s="3">
        <f t="shared" ref="AU220" si="173">AU219</f>
        <v>8.6957399999999971</v>
      </c>
    </row>
    <row r="221" spans="1:47" x14ac:dyDescent="0.25">
      <c r="A221">
        <v>2</v>
      </c>
      <c r="B221" t="s">
        <v>1</v>
      </c>
      <c r="C221">
        <v>27520</v>
      </c>
      <c r="D221">
        <v>160</v>
      </c>
      <c r="E221">
        <v>4</v>
      </c>
      <c r="F221">
        <v>4</v>
      </c>
      <c r="G221">
        <v>1465.15</v>
      </c>
      <c r="H221" s="3">
        <v>9.4844000000000008</v>
      </c>
      <c r="I221" s="1">
        <v>45320</v>
      </c>
      <c r="J221" s="2">
        <v>0.99799768518518517</v>
      </c>
      <c r="K221">
        <v>0</v>
      </c>
      <c r="L221">
        <v>0</v>
      </c>
      <c r="M221">
        <v>0</v>
      </c>
      <c r="N221">
        <v>0</v>
      </c>
      <c r="O221">
        <v>0</v>
      </c>
      <c r="P221">
        <v>0</v>
      </c>
      <c r="Q221">
        <v>0</v>
      </c>
      <c r="R221">
        <v>0</v>
      </c>
      <c r="S221">
        <v>0</v>
      </c>
      <c r="T221">
        <v>0</v>
      </c>
      <c r="U221">
        <v>0</v>
      </c>
      <c r="V221">
        <v>0</v>
      </c>
      <c r="W221" s="4">
        <f t="shared" si="160"/>
        <v>9.5339800000000015</v>
      </c>
      <c r="Y221">
        <v>2</v>
      </c>
      <c r="Z221" t="s">
        <v>1</v>
      </c>
      <c r="AA221">
        <v>27520</v>
      </c>
      <c r="AB221">
        <v>160</v>
      </c>
      <c r="AC221">
        <v>4</v>
      </c>
      <c r="AD221">
        <v>4</v>
      </c>
      <c r="AE221">
        <v>1596.26</v>
      </c>
      <c r="AF221" s="3">
        <v>8.7053999999999991</v>
      </c>
      <c r="AG221" s="1">
        <v>45325</v>
      </c>
      <c r="AH221" s="2">
        <v>0.77913194444444445</v>
      </c>
      <c r="AI221">
        <v>0</v>
      </c>
      <c r="AJ221">
        <v>0</v>
      </c>
      <c r="AK221">
        <v>0</v>
      </c>
      <c r="AL221">
        <v>0</v>
      </c>
      <c r="AM221">
        <v>0</v>
      </c>
      <c r="AN221">
        <v>0</v>
      </c>
      <c r="AO221">
        <v>0</v>
      </c>
      <c r="AP221">
        <v>0</v>
      </c>
      <c r="AQ221">
        <v>0</v>
      </c>
      <c r="AR221">
        <v>0</v>
      </c>
      <c r="AS221">
        <v>0</v>
      </c>
      <c r="AT221">
        <v>0</v>
      </c>
      <c r="AU221" s="3">
        <f t="shared" si="161"/>
        <v>8.6957399999999971</v>
      </c>
    </row>
    <row r="222" spans="1:47" x14ac:dyDescent="0.25">
      <c r="A222">
        <v>3</v>
      </c>
      <c r="B222" t="s">
        <v>1</v>
      </c>
      <c r="C222">
        <v>27520</v>
      </c>
      <c r="D222">
        <v>160</v>
      </c>
      <c r="E222">
        <v>4</v>
      </c>
      <c r="F222">
        <v>4</v>
      </c>
      <c r="G222">
        <v>1456.5</v>
      </c>
      <c r="H222" s="3">
        <v>9.5406999999999993</v>
      </c>
      <c r="I222" s="1">
        <v>45321</v>
      </c>
      <c r="J222" s="2">
        <v>0.83998842592592593</v>
      </c>
      <c r="K222">
        <v>0</v>
      </c>
      <c r="L222">
        <v>0</v>
      </c>
      <c r="M222">
        <v>0</v>
      </c>
      <c r="N222">
        <v>0</v>
      </c>
      <c r="O222">
        <v>0</v>
      </c>
      <c r="P222">
        <v>0</v>
      </c>
      <c r="Q222">
        <v>0</v>
      </c>
      <c r="R222">
        <v>0</v>
      </c>
      <c r="S222">
        <v>0</v>
      </c>
      <c r="T222">
        <v>0</v>
      </c>
      <c r="U222">
        <v>0</v>
      </c>
      <c r="V222">
        <v>0</v>
      </c>
      <c r="W222" s="4">
        <f t="shared" si="160"/>
        <v>9.5339800000000015</v>
      </c>
      <c r="Y222">
        <v>3</v>
      </c>
      <c r="Z222" t="s">
        <v>1</v>
      </c>
      <c r="AA222">
        <v>27520</v>
      </c>
      <c r="AB222">
        <v>160</v>
      </c>
      <c r="AC222">
        <v>4</v>
      </c>
      <c r="AD222">
        <v>4</v>
      </c>
      <c r="AE222">
        <v>1595.74</v>
      </c>
      <c r="AF222" s="3">
        <v>8.7081999999999997</v>
      </c>
      <c r="AG222" s="1">
        <v>45326</v>
      </c>
      <c r="AH222" s="2">
        <v>0.69969907407407417</v>
      </c>
      <c r="AI222">
        <v>0</v>
      </c>
      <c r="AJ222">
        <v>0</v>
      </c>
      <c r="AK222">
        <v>0</v>
      </c>
      <c r="AL222">
        <v>0</v>
      </c>
      <c r="AM222">
        <v>0</v>
      </c>
      <c r="AN222">
        <v>0</v>
      </c>
      <c r="AO222">
        <v>0</v>
      </c>
      <c r="AP222">
        <v>0</v>
      </c>
      <c r="AQ222">
        <v>0</v>
      </c>
      <c r="AR222">
        <v>0</v>
      </c>
      <c r="AS222">
        <v>0</v>
      </c>
      <c r="AT222">
        <v>0</v>
      </c>
      <c r="AU222" s="3">
        <f t="shared" si="161"/>
        <v>8.6957399999999971</v>
      </c>
    </row>
    <row r="223" spans="1:47" x14ac:dyDescent="0.25">
      <c r="A223">
        <v>4</v>
      </c>
      <c r="B223" t="s">
        <v>1</v>
      </c>
      <c r="C223">
        <v>27520</v>
      </c>
      <c r="D223">
        <v>160</v>
      </c>
      <c r="E223">
        <v>4</v>
      </c>
      <c r="F223">
        <v>4</v>
      </c>
      <c r="G223">
        <v>1456.11</v>
      </c>
      <c r="H223" s="3">
        <v>9.5433000000000003</v>
      </c>
      <c r="I223" s="1">
        <v>45322</v>
      </c>
      <c r="J223" s="2">
        <v>0.68259259259259253</v>
      </c>
      <c r="K223">
        <v>0</v>
      </c>
      <c r="L223">
        <v>0</v>
      </c>
      <c r="M223">
        <v>0</v>
      </c>
      <c r="N223">
        <v>0</v>
      </c>
      <c r="O223">
        <v>0</v>
      </c>
      <c r="P223">
        <v>0</v>
      </c>
      <c r="Q223">
        <v>0</v>
      </c>
      <c r="R223">
        <v>0</v>
      </c>
      <c r="S223">
        <v>0</v>
      </c>
      <c r="T223">
        <v>0</v>
      </c>
      <c r="U223">
        <v>0</v>
      </c>
      <c r="V223">
        <v>0</v>
      </c>
      <c r="W223" s="4">
        <f t="shared" si="160"/>
        <v>9.5339800000000015</v>
      </c>
      <c r="Y223">
        <v>4</v>
      </c>
      <c r="Z223" t="s">
        <v>1</v>
      </c>
      <c r="AA223">
        <v>27520</v>
      </c>
      <c r="AB223">
        <v>160</v>
      </c>
      <c r="AC223">
        <v>4</v>
      </c>
      <c r="AD223">
        <v>4</v>
      </c>
      <c r="AE223">
        <v>1596.42</v>
      </c>
      <c r="AF223" s="3">
        <v>8.7044999999999995</v>
      </c>
      <c r="AG223" s="1">
        <v>45327</v>
      </c>
      <c r="AH223" s="2">
        <v>0.61947916666666669</v>
      </c>
      <c r="AI223">
        <v>0</v>
      </c>
      <c r="AJ223">
        <v>0</v>
      </c>
      <c r="AK223">
        <v>0</v>
      </c>
      <c r="AL223">
        <v>0</v>
      </c>
      <c r="AM223">
        <v>0</v>
      </c>
      <c r="AN223">
        <v>0</v>
      </c>
      <c r="AO223">
        <v>0</v>
      </c>
      <c r="AP223">
        <v>0</v>
      </c>
      <c r="AQ223">
        <v>0</v>
      </c>
      <c r="AR223">
        <v>0</v>
      </c>
      <c r="AS223">
        <v>0</v>
      </c>
      <c r="AT223">
        <v>0</v>
      </c>
      <c r="AU223" s="3">
        <f t="shared" si="161"/>
        <v>8.6957399999999971</v>
      </c>
    </row>
    <row r="224" spans="1:47" x14ac:dyDescent="0.25">
      <c r="A224">
        <v>0</v>
      </c>
      <c r="B224" t="s">
        <v>1</v>
      </c>
      <c r="C224">
        <v>28960</v>
      </c>
      <c r="D224">
        <v>160</v>
      </c>
      <c r="E224">
        <v>4</v>
      </c>
      <c r="F224">
        <v>4</v>
      </c>
      <c r="G224">
        <v>1683.36</v>
      </c>
      <c r="H224" s="3">
        <v>9.6196999999999999</v>
      </c>
      <c r="I224" s="1">
        <v>45319</v>
      </c>
      <c r="J224" s="2">
        <v>0.84100694444444446</v>
      </c>
      <c r="K224">
        <v>0</v>
      </c>
      <c r="L224">
        <v>0</v>
      </c>
      <c r="M224">
        <v>0</v>
      </c>
      <c r="N224">
        <v>0</v>
      </c>
      <c r="O224">
        <v>0</v>
      </c>
      <c r="P224">
        <v>0</v>
      </c>
      <c r="Q224">
        <v>0</v>
      </c>
      <c r="R224">
        <v>0</v>
      </c>
      <c r="S224">
        <v>0</v>
      </c>
      <c r="T224">
        <v>0</v>
      </c>
      <c r="U224">
        <v>0</v>
      </c>
      <c r="V224">
        <v>0</v>
      </c>
      <c r="W224" s="4">
        <f t="shared" ref="W224" si="174">AVERAGE(H224:H228)</f>
        <v>9.6189399999999985</v>
      </c>
      <c r="Y224">
        <v>0</v>
      </c>
      <c r="Z224" t="s">
        <v>1</v>
      </c>
      <c r="AA224">
        <v>28960</v>
      </c>
      <c r="AB224">
        <v>160</v>
      </c>
      <c r="AC224">
        <v>4</v>
      </c>
      <c r="AD224">
        <v>4</v>
      </c>
      <c r="AE224">
        <v>1845.66</v>
      </c>
      <c r="AF224" s="3">
        <v>8.7737999999999996</v>
      </c>
      <c r="AG224" s="1">
        <v>45324</v>
      </c>
      <c r="AH224" s="2">
        <v>0.52664351851851854</v>
      </c>
      <c r="AI224">
        <v>0</v>
      </c>
      <c r="AJ224">
        <v>0</v>
      </c>
      <c r="AK224">
        <v>0</v>
      </c>
      <c r="AL224">
        <v>0</v>
      </c>
      <c r="AM224">
        <v>0</v>
      </c>
      <c r="AN224">
        <v>0</v>
      </c>
      <c r="AO224">
        <v>0</v>
      </c>
      <c r="AP224">
        <v>0</v>
      </c>
      <c r="AQ224">
        <v>0</v>
      </c>
      <c r="AR224">
        <v>0</v>
      </c>
      <c r="AS224">
        <v>0</v>
      </c>
      <c r="AT224">
        <v>0</v>
      </c>
      <c r="AU224" s="3">
        <f t="shared" ref="AU224" si="175">AVERAGE(AF224:AF228)</f>
        <v>8.7570999999999994</v>
      </c>
    </row>
    <row r="225" spans="1:47" x14ac:dyDescent="0.25">
      <c r="A225">
        <v>1</v>
      </c>
      <c r="B225" t="s">
        <v>1</v>
      </c>
      <c r="C225">
        <v>28960</v>
      </c>
      <c r="D225">
        <v>160</v>
      </c>
      <c r="E225">
        <v>4</v>
      </c>
      <c r="F225">
        <v>4</v>
      </c>
      <c r="G225">
        <v>1685.4</v>
      </c>
      <c r="H225" s="3">
        <v>9.6080000000000005</v>
      </c>
      <c r="I225" s="1">
        <v>45320</v>
      </c>
      <c r="J225" s="2">
        <v>0.68221064814814814</v>
      </c>
      <c r="K225">
        <v>0</v>
      </c>
      <c r="L225">
        <v>0</v>
      </c>
      <c r="M225">
        <v>0</v>
      </c>
      <c r="N225">
        <v>0</v>
      </c>
      <c r="O225">
        <v>0</v>
      </c>
      <c r="P225">
        <v>0</v>
      </c>
      <c r="Q225">
        <v>0</v>
      </c>
      <c r="R225">
        <v>0</v>
      </c>
      <c r="S225">
        <v>0</v>
      </c>
      <c r="T225">
        <v>0</v>
      </c>
      <c r="U225">
        <v>0</v>
      </c>
      <c r="V225">
        <v>0</v>
      </c>
      <c r="W225" s="4">
        <f t="shared" ref="W225" si="176">W224</f>
        <v>9.6189399999999985</v>
      </c>
      <c r="Y225">
        <v>1</v>
      </c>
      <c r="Z225" t="s">
        <v>1</v>
      </c>
      <c r="AA225">
        <v>28960</v>
      </c>
      <c r="AB225">
        <v>160</v>
      </c>
      <c r="AC225">
        <v>4</v>
      </c>
      <c r="AD225">
        <v>4</v>
      </c>
      <c r="AE225">
        <v>1847.91</v>
      </c>
      <c r="AF225" s="3">
        <v>8.7630999999999997</v>
      </c>
      <c r="AG225" s="1">
        <v>45325</v>
      </c>
      <c r="AH225" s="2">
        <v>0.43517361111111108</v>
      </c>
      <c r="AI225">
        <v>0</v>
      </c>
      <c r="AJ225">
        <v>0</v>
      </c>
      <c r="AK225">
        <v>0</v>
      </c>
      <c r="AL225">
        <v>0</v>
      </c>
      <c r="AM225">
        <v>0</v>
      </c>
      <c r="AN225">
        <v>0</v>
      </c>
      <c r="AO225">
        <v>0</v>
      </c>
      <c r="AP225">
        <v>0</v>
      </c>
      <c r="AQ225">
        <v>0</v>
      </c>
      <c r="AR225">
        <v>0</v>
      </c>
      <c r="AS225">
        <v>0</v>
      </c>
      <c r="AT225">
        <v>0</v>
      </c>
      <c r="AU225" s="3">
        <f t="shared" ref="AU225" si="177">AU224</f>
        <v>8.7570999999999994</v>
      </c>
    </row>
    <row r="226" spans="1:47" x14ac:dyDescent="0.25">
      <c r="A226">
        <v>2</v>
      </c>
      <c r="B226" t="s">
        <v>1</v>
      </c>
      <c r="C226">
        <v>28960</v>
      </c>
      <c r="D226">
        <v>160</v>
      </c>
      <c r="E226">
        <v>4</v>
      </c>
      <c r="F226">
        <v>4</v>
      </c>
      <c r="G226">
        <v>1681.25</v>
      </c>
      <c r="H226" s="3">
        <v>9.6318000000000001</v>
      </c>
      <c r="I226" s="1">
        <v>45321</v>
      </c>
      <c r="J226" s="2">
        <v>0.52446759259259257</v>
      </c>
      <c r="K226">
        <v>0</v>
      </c>
      <c r="L226">
        <v>0</v>
      </c>
      <c r="M226">
        <v>0</v>
      </c>
      <c r="N226">
        <v>0</v>
      </c>
      <c r="O226">
        <v>0</v>
      </c>
      <c r="P226">
        <v>0</v>
      </c>
      <c r="Q226">
        <v>0</v>
      </c>
      <c r="R226">
        <v>0</v>
      </c>
      <c r="S226">
        <v>0</v>
      </c>
      <c r="T226">
        <v>0</v>
      </c>
      <c r="U226">
        <v>0</v>
      </c>
      <c r="V226">
        <v>0</v>
      </c>
      <c r="W226" s="4">
        <f t="shared" si="160"/>
        <v>9.6189399999999985</v>
      </c>
      <c r="Y226">
        <v>2</v>
      </c>
      <c r="Z226" t="s">
        <v>1</v>
      </c>
      <c r="AA226">
        <v>28960</v>
      </c>
      <c r="AB226">
        <v>160</v>
      </c>
      <c r="AC226">
        <v>4</v>
      </c>
      <c r="AD226">
        <v>4</v>
      </c>
      <c r="AE226">
        <v>1845.9</v>
      </c>
      <c r="AF226" s="3">
        <v>8.7726000000000006</v>
      </c>
      <c r="AG226" s="1">
        <v>45326</v>
      </c>
      <c r="AH226" s="2">
        <v>0.35526620370370371</v>
      </c>
      <c r="AI226">
        <v>0</v>
      </c>
      <c r="AJ226">
        <v>0</v>
      </c>
      <c r="AK226">
        <v>0</v>
      </c>
      <c r="AL226">
        <v>0</v>
      </c>
      <c r="AM226">
        <v>0</v>
      </c>
      <c r="AN226">
        <v>0</v>
      </c>
      <c r="AO226">
        <v>0</v>
      </c>
      <c r="AP226">
        <v>0</v>
      </c>
      <c r="AQ226">
        <v>0</v>
      </c>
      <c r="AR226">
        <v>0</v>
      </c>
      <c r="AS226">
        <v>0</v>
      </c>
      <c r="AT226">
        <v>0</v>
      </c>
      <c r="AU226" s="3">
        <f t="shared" si="161"/>
        <v>8.7570999999999994</v>
      </c>
    </row>
    <row r="227" spans="1:47" x14ac:dyDescent="0.25">
      <c r="A227">
        <v>3</v>
      </c>
      <c r="B227" t="s">
        <v>1</v>
      </c>
      <c r="C227">
        <v>28960</v>
      </c>
      <c r="D227">
        <v>160</v>
      </c>
      <c r="E227">
        <v>4</v>
      </c>
      <c r="F227">
        <v>4</v>
      </c>
      <c r="G227">
        <v>1681.62</v>
      </c>
      <c r="H227" s="3">
        <v>9.6295999999999999</v>
      </c>
      <c r="I227" s="1">
        <v>45322</v>
      </c>
      <c r="J227" s="2">
        <v>0.36679398148148151</v>
      </c>
      <c r="K227">
        <v>0</v>
      </c>
      <c r="L227">
        <v>0</v>
      </c>
      <c r="M227">
        <v>0</v>
      </c>
      <c r="N227">
        <v>0</v>
      </c>
      <c r="O227">
        <v>0</v>
      </c>
      <c r="P227">
        <v>0</v>
      </c>
      <c r="Q227">
        <v>0</v>
      </c>
      <c r="R227">
        <v>0</v>
      </c>
      <c r="S227">
        <v>0</v>
      </c>
      <c r="T227">
        <v>0</v>
      </c>
      <c r="U227">
        <v>0</v>
      </c>
      <c r="V227">
        <v>0</v>
      </c>
      <c r="W227" s="4">
        <f t="shared" si="160"/>
        <v>9.6189399999999985</v>
      </c>
      <c r="Y227">
        <v>3</v>
      </c>
      <c r="Z227" t="s">
        <v>1</v>
      </c>
      <c r="AA227">
        <v>28960</v>
      </c>
      <c r="AB227">
        <v>160</v>
      </c>
      <c r="AC227">
        <v>4</v>
      </c>
      <c r="AD227">
        <v>4</v>
      </c>
      <c r="AE227">
        <v>1859.05</v>
      </c>
      <c r="AF227" s="3">
        <v>8.7105999999999995</v>
      </c>
      <c r="AG227" s="1">
        <v>45327</v>
      </c>
      <c r="AH227" s="2">
        <v>0.2752546296296296</v>
      </c>
      <c r="AI227">
        <v>0</v>
      </c>
      <c r="AJ227">
        <v>0</v>
      </c>
      <c r="AK227">
        <v>0</v>
      </c>
      <c r="AL227">
        <v>0</v>
      </c>
      <c r="AM227">
        <v>0</v>
      </c>
      <c r="AN227">
        <v>0</v>
      </c>
      <c r="AO227">
        <v>0</v>
      </c>
      <c r="AP227">
        <v>0</v>
      </c>
      <c r="AQ227">
        <v>0</v>
      </c>
      <c r="AR227">
        <v>0</v>
      </c>
      <c r="AS227">
        <v>0</v>
      </c>
      <c r="AT227">
        <v>0</v>
      </c>
      <c r="AU227" s="3">
        <f t="shared" si="161"/>
        <v>8.7570999999999994</v>
      </c>
    </row>
    <row r="228" spans="1:47" x14ac:dyDescent="0.25">
      <c r="A228">
        <v>4</v>
      </c>
      <c r="B228" t="s">
        <v>1</v>
      </c>
      <c r="C228">
        <v>28960</v>
      </c>
      <c r="D228">
        <v>160</v>
      </c>
      <c r="E228">
        <v>4</v>
      </c>
      <c r="F228">
        <v>4</v>
      </c>
      <c r="G228">
        <v>1685.82</v>
      </c>
      <c r="H228" s="3">
        <v>9.6056000000000008</v>
      </c>
      <c r="I228" s="1">
        <v>45323</v>
      </c>
      <c r="J228" s="2">
        <v>0.20930555555555555</v>
      </c>
      <c r="K228">
        <v>0</v>
      </c>
      <c r="L228">
        <v>0</v>
      </c>
      <c r="M228">
        <v>0</v>
      </c>
      <c r="N228">
        <v>0</v>
      </c>
      <c r="O228">
        <v>0</v>
      </c>
      <c r="P228">
        <v>0</v>
      </c>
      <c r="Q228">
        <v>0</v>
      </c>
      <c r="R228">
        <v>0</v>
      </c>
      <c r="S228">
        <v>0</v>
      </c>
      <c r="T228">
        <v>0</v>
      </c>
      <c r="U228">
        <v>0</v>
      </c>
      <c r="V228">
        <v>0</v>
      </c>
      <c r="W228" s="4">
        <f t="shared" si="160"/>
        <v>9.6189399999999985</v>
      </c>
      <c r="Y228">
        <v>4</v>
      </c>
      <c r="Z228" t="s">
        <v>1</v>
      </c>
      <c r="AA228">
        <v>28960</v>
      </c>
      <c r="AB228">
        <v>160</v>
      </c>
      <c r="AC228">
        <v>4</v>
      </c>
      <c r="AD228">
        <v>4</v>
      </c>
      <c r="AE228">
        <v>1847.41</v>
      </c>
      <c r="AF228" s="3">
        <v>8.7653999999999996</v>
      </c>
      <c r="AG228" s="1">
        <v>45328</v>
      </c>
      <c r="AH228" s="2">
        <v>0.19471064814814812</v>
      </c>
      <c r="AI228">
        <v>0</v>
      </c>
      <c r="AJ228">
        <v>0</v>
      </c>
      <c r="AK228">
        <v>0</v>
      </c>
      <c r="AL228">
        <v>0</v>
      </c>
      <c r="AM228">
        <v>0</v>
      </c>
      <c r="AN228">
        <v>0</v>
      </c>
      <c r="AO228">
        <v>0</v>
      </c>
      <c r="AP228">
        <v>0</v>
      </c>
      <c r="AQ228">
        <v>0</v>
      </c>
      <c r="AR228">
        <v>0</v>
      </c>
      <c r="AS228">
        <v>0</v>
      </c>
      <c r="AT228">
        <v>0</v>
      </c>
      <c r="AU228" s="3">
        <f t="shared" si="161"/>
        <v>8.7570999999999994</v>
      </c>
    </row>
    <row r="229" spans="1:47" x14ac:dyDescent="0.25">
      <c r="A229">
        <v>0</v>
      </c>
      <c r="B229" t="s">
        <v>1</v>
      </c>
      <c r="C229">
        <v>25920</v>
      </c>
      <c r="D229">
        <v>192</v>
      </c>
      <c r="E229">
        <v>1</v>
      </c>
      <c r="F229">
        <v>16</v>
      </c>
      <c r="G229">
        <v>1325.02</v>
      </c>
      <c r="H229" s="3">
        <v>8.7624999999999993</v>
      </c>
      <c r="I229" s="1">
        <v>45319</v>
      </c>
      <c r="J229" s="2">
        <v>0.60241898148148143</v>
      </c>
      <c r="K229">
        <v>0</v>
      </c>
      <c r="L229">
        <v>0</v>
      </c>
      <c r="M229">
        <v>0</v>
      </c>
      <c r="N229">
        <v>0</v>
      </c>
      <c r="O229">
        <v>0</v>
      </c>
      <c r="P229">
        <v>0</v>
      </c>
      <c r="Q229">
        <v>0</v>
      </c>
      <c r="R229">
        <v>0</v>
      </c>
      <c r="S229">
        <v>0</v>
      </c>
      <c r="T229">
        <v>0</v>
      </c>
      <c r="U229">
        <v>0</v>
      </c>
      <c r="V229">
        <v>0</v>
      </c>
      <c r="W229" s="4">
        <f t="shared" ref="W229" si="178">AVERAGE(H229:H233)</f>
        <v>8.7433399999999999</v>
      </c>
      <c r="Y229">
        <v>0</v>
      </c>
      <c r="Z229" t="s">
        <v>1</v>
      </c>
      <c r="AA229">
        <v>25920</v>
      </c>
      <c r="AB229">
        <v>192</v>
      </c>
      <c r="AC229">
        <v>1</v>
      </c>
      <c r="AD229">
        <v>16</v>
      </c>
      <c r="AE229">
        <v>1478.84</v>
      </c>
      <c r="AF229" s="3">
        <v>7.8510999999999997</v>
      </c>
      <c r="AG229" s="1">
        <v>45324</v>
      </c>
      <c r="AH229" s="2">
        <v>0.27456018518518516</v>
      </c>
      <c r="AI229">
        <v>0</v>
      </c>
      <c r="AJ229">
        <v>0</v>
      </c>
      <c r="AK229">
        <v>0</v>
      </c>
      <c r="AL229">
        <v>0</v>
      </c>
      <c r="AM229">
        <v>0</v>
      </c>
      <c r="AN229">
        <v>0</v>
      </c>
      <c r="AO229">
        <v>0</v>
      </c>
      <c r="AP229">
        <v>0</v>
      </c>
      <c r="AQ229">
        <v>0</v>
      </c>
      <c r="AR229">
        <v>0</v>
      </c>
      <c r="AS229">
        <v>0</v>
      </c>
      <c r="AT229">
        <v>0</v>
      </c>
      <c r="AU229" s="3">
        <f t="shared" ref="AU229" si="179">AVERAGE(AF229:AF233)</f>
        <v>7.8493599999999999</v>
      </c>
    </row>
    <row r="230" spans="1:47" x14ac:dyDescent="0.25">
      <c r="A230">
        <v>1</v>
      </c>
      <c r="B230" t="s">
        <v>1</v>
      </c>
      <c r="C230">
        <v>25920</v>
      </c>
      <c r="D230">
        <v>192</v>
      </c>
      <c r="E230">
        <v>1</v>
      </c>
      <c r="F230">
        <v>16</v>
      </c>
      <c r="G230">
        <v>1327.27</v>
      </c>
      <c r="H230" s="3">
        <v>8.7477</v>
      </c>
      <c r="I230" s="1">
        <v>45320</v>
      </c>
      <c r="J230" s="2">
        <v>0.44353009259259263</v>
      </c>
      <c r="K230">
        <v>0</v>
      </c>
      <c r="L230">
        <v>0</v>
      </c>
      <c r="M230">
        <v>0</v>
      </c>
      <c r="N230">
        <v>0</v>
      </c>
      <c r="O230">
        <v>0</v>
      </c>
      <c r="P230">
        <v>0</v>
      </c>
      <c r="Q230">
        <v>0</v>
      </c>
      <c r="R230">
        <v>0</v>
      </c>
      <c r="S230">
        <v>0</v>
      </c>
      <c r="T230">
        <v>0</v>
      </c>
      <c r="U230">
        <v>0</v>
      </c>
      <c r="V230">
        <v>0</v>
      </c>
      <c r="W230" s="4">
        <f t="shared" ref="W230" si="180">W229</f>
        <v>8.7433399999999999</v>
      </c>
      <c r="Y230">
        <v>1</v>
      </c>
      <c r="Z230" t="s">
        <v>1</v>
      </c>
      <c r="AA230">
        <v>25920</v>
      </c>
      <c r="AB230">
        <v>192</v>
      </c>
      <c r="AC230">
        <v>1</v>
      </c>
      <c r="AD230">
        <v>16</v>
      </c>
      <c r="AE230">
        <v>1479.16</v>
      </c>
      <c r="AF230" s="3">
        <v>7.8494000000000002</v>
      </c>
      <c r="AG230" s="1">
        <v>45325</v>
      </c>
      <c r="AH230" s="2">
        <v>0.17408564814814817</v>
      </c>
      <c r="AI230">
        <v>0</v>
      </c>
      <c r="AJ230">
        <v>0</v>
      </c>
      <c r="AK230">
        <v>0</v>
      </c>
      <c r="AL230">
        <v>0</v>
      </c>
      <c r="AM230">
        <v>0</v>
      </c>
      <c r="AN230">
        <v>0</v>
      </c>
      <c r="AO230">
        <v>0</v>
      </c>
      <c r="AP230">
        <v>0</v>
      </c>
      <c r="AQ230">
        <v>0</v>
      </c>
      <c r="AR230">
        <v>0</v>
      </c>
      <c r="AS230">
        <v>0</v>
      </c>
      <c r="AT230">
        <v>0</v>
      </c>
      <c r="AU230" s="3">
        <f t="shared" ref="AU230" si="181">AU229</f>
        <v>7.8493599999999999</v>
      </c>
    </row>
    <row r="231" spans="1:47" x14ac:dyDescent="0.25">
      <c r="A231">
        <v>2</v>
      </c>
      <c r="B231" t="s">
        <v>1</v>
      </c>
      <c r="C231">
        <v>25920</v>
      </c>
      <c r="D231">
        <v>192</v>
      </c>
      <c r="E231">
        <v>1</v>
      </c>
      <c r="F231">
        <v>16</v>
      </c>
      <c r="G231">
        <v>1326.65</v>
      </c>
      <c r="H231" s="3">
        <v>8.7517999999999994</v>
      </c>
      <c r="I231" s="1">
        <v>45321</v>
      </c>
      <c r="J231" s="2">
        <v>0.28517361111111111</v>
      </c>
      <c r="K231">
        <v>0</v>
      </c>
      <c r="L231">
        <v>0</v>
      </c>
      <c r="M231">
        <v>0</v>
      </c>
      <c r="N231">
        <v>0</v>
      </c>
      <c r="O231">
        <v>0</v>
      </c>
      <c r="P231">
        <v>0</v>
      </c>
      <c r="Q231">
        <v>0</v>
      </c>
      <c r="R231">
        <v>0</v>
      </c>
      <c r="S231">
        <v>0</v>
      </c>
      <c r="T231">
        <v>0</v>
      </c>
      <c r="U231">
        <v>0</v>
      </c>
      <c r="V231">
        <v>0</v>
      </c>
      <c r="W231" s="4">
        <f t="shared" si="160"/>
        <v>8.7433399999999999</v>
      </c>
      <c r="Y231">
        <v>2</v>
      </c>
      <c r="Z231" t="s">
        <v>1</v>
      </c>
      <c r="AA231">
        <v>25920</v>
      </c>
      <c r="AB231">
        <v>192</v>
      </c>
      <c r="AC231">
        <v>1</v>
      </c>
      <c r="AD231">
        <v>16</v>
      </c>
      <c r="AE231">
        <v>1479.5</v>
      </c>
      <c r="AF231" s="3">
        <v>7.8475999999999999</v>
      </c>
      <c r="AG231" s="1">
        <v>45326</v>
      </c>
      <c r="AH231" s="2">
        <v>9.4351851851851853E-2</v>
      </c>
      <c r="AI231">
        <v>0</v>
      </c>
      <c r="AJ231">
        <v>0</v>
      </c>
      <c r="AK231">
        <v>0</v>
      </c>
      <c r="AL231">
        <v>0</v>
      </c>
      <c r="AM231">
        <v>0</v>
      </c>
      <c r="AN231">
        <v>0</v>
      </c>
      <c r="AO231">
        <v>0</v>
      </c>
      <c r="AP231">
        <v>0</v>
      </c>
      <c r="AQ231">
        <v>0</v>
      </c>
      <c r="AR231">
        <v>0</v>
      </c>
      <c r="AS231">
        <v>0</v>
      </c>
      <c r="AT231">
        <v>0</v>
      </c>
      <c r="AU231" s="3">
        <f t="shared" si="161"/>
        <v>7.8493599999999999</v>
      </c>
    </row>
    <row r="232" spans="1:47" x14ac:dyDescent="0.25">
      <c r="A232">
        <v>3</v>
      </c>
      <c r="B232" t="s">
        <v>1</v>
      </c>
      <c r="C232">
        <v>25920</v>
      </c>
      <c r="D232">
        <v>192</v>
      </c>
      <c r="E232">
        <v>1</v>
      </c>
      <c r="F232">
        <v>16</v>
      </c>
      <c r="G232">
        <v>1331.88</v>
      </c>
      <c r="H232" s="3">
        <v>8.7173999999999996</v>
      </c>
      <c r="I232" s="1">
        <v>45322</v>
      </c>
      <c r="J232" s="2">
        <v>0.12719907407407408</v>
      </c>
      <c r="K232">
        <v>0</v>
      </c>
      <c r="L232">
        <v>0</v>
      </c>
      <c r="M232">
        <v>0</v>
      </c>
      <c r="N232">
        <v>0</v>
      </c>
      <c r="O232">
        <v>0</v>
      </c>
      <c r="P232">
        <v>0</v>
      </c>
      <c r="Q232">
        <v>0</v>
      </c>
      <c r="R232">
        <v>0</v>
      </c>
      <c r="S232">
        <v>0</v>
      </c>
      <c r="T232">
        <v>0</v>
      </c>
      <c r="U232">
        <v>0</v>
      </c>
      <c r="V232">
        <v>0</v>
      </c>
      <c r="W232" s="4">
        <f t="shared" si="160"/>
        <v>8.7433399999999999</v>
      </c>
      <c r="Y232">
        <v>3</v>
      </c>
      <c r="Z232" t="s">
        <v>1</v>
      </c>
      <c r="AA232">
        <v>25920</v>
      </c>
      <c r="AB232">
        <v>192</v>
      </c>
      <c r="AC232">
        <v>1</v>
      </c>
      <c r="AD232">
        <v>16</v>
      </c>
      <c r="AE232">
        <v>1479.36</v>
      </c>
      <c r="AF232" s="3">
        <v>7.8483000000000001</v>
      </c>
      <c r="AG232" s="1">
        <v>45327</v>
      </c>
      <c r="AH232" s="2">
        <v>1.3912037037037037E-2</v>
      </c>
      <c r="AI232">
        <v>0</v>
      </c>
      <c r="AJ232">
        <v>0</v>
      </c>
      <c r="AK232">
        <v>0</v>
      </c>
      <c r="AL232">
        <v>0</v>
      </c>
      <c r="AM232">
        <v>0</v>
      </c>
      <c r="AN232">
        <v>0</v>
      </c>
      <c r="AO232">
        <v>0</v>
      </c>
      <c r="AP232">
        <v>0</v>
      </c>
      <c r="AQ232">
        <v>0</v>
      </c>
      <c r="AR232">
        <v>0</v>
      </c>
      <c r="AS232">
        <v>0</v>
      </c>
      <c r="AT232">
        <v>0</v>
      </c>
      <c r="AU232" s="3">
        <f t="shared" si="161"/>
        <v>7.8493599999999999</v>
      </c>
    </row>
    <row r="233" spans="1:47" x14ac:dyDescent="0.25">
      <c r="A233">
        <v>4</v>
      </c>
      <c r="B233" t="s">
        <v>1</v>
      </c>
      <c r="C233">
        <v>25920</v>
      </c>
      <c r="D233">
        <v>192</v>
      </c>
      <c r="E233">
        <v>1</v>
      </c>
      <c r="F233">
        <v>16</v>
      </c>
      <c r="G233">
        <v>1328.84</v>
      </c>
      <c r="H233" s="3">
        <v>8.7372999999999994</v>
      </c>
      <c r="I233" s="1">
        <v>45322</v>
      </c>
      <c r="J233" s="2">
        <v>0.96967592592592589</v>
      </c>
      <c r="K233">
        <v>0</v>
      </c>
      <c r="L233">
        <v>0</v>
      </c>
      <c r="M233">
        <v>0</v>
      </c>
      <c r="N233">
        <v>0</v>
      </c>
      <c r="O233">
        <v>0</v>
      </c>
      <c r="P233">
        <v>0</v>
      </c>
      <c r="Q233">
        <v>0</v>
      </c>
      <c r="R233">
        <v>0</v>
      </c>
      <c r="S233">
        <v>0</v>
      </c>
      <c r="T233">
        <v>0</v>
      </c>
      <c r="U233">
        <v>0</v>
      </c>
      <c r="V233">
        <v>0</v>
      </c>
      <c r="W233" s="4">
        <f t="shared" si="160"/>
        <v>8.7433399999999999</v>
      </c>
      <c r="Y233">
        <v>4</v>
      </c>
      <c r="Z233" t="s">
        <v>1</v>
      </c>
      <c r="AA233">
        <v>25920</v>
      </c>
      <c r="AB233">
        <v>192</v>
      </c>
      <c r="AC233">
        <v>1</v>
      </c>
      <c r="AD233">
        <v>16</v>
      </c>
      <c r="AE233">
        <v>1478.96</v>
      </c>
      <c r="AF233" s="3">
        <v>7.8503999999999996</v>
      </c>
      <c r="AG233" s="1">
        <v>45327</v>
      </c>
      <c r="AH233" s="2">
        <v>0.93374999999999997</v>
      </c>
      <c r="AI233">
        <v>0</v>
      </c>
      <c r="AJ233">
        <v>0</v>
      </c>
      <c r="AK233">
        <v>0</v>
      </c>
      <c r="AL233">
        <v>0</v>
      </c>
      <c r="AM233">
        <v>0</v>
      </c>
      <c r="AN233">
        <v>0</v>
      </c>
      <c r="AO233">
        <v>0</v>
      </c>
      <c r="AP233">
        <v>0</v>
      </c>
      <c r="AQ233">
        <v>0</v>
      </c>
      <c r="AR233">
        <v>0</v>
      </c>
      <c r="AS233">
        <v>0</v>
      </c>
      <c r="AT233">
        <v>0</v>
      </c>
      <c r="AU233" s="3">
        <f t="shared" si="161"/>
        <v>7.8493599999999999</v>
      </c>
    </row>
    <row r="234" spans="1:47" x14ac:dyDescent="0.25">
      <c r="A234">
        <v>0</v>
      </c>
      <c r="B234" t="s">
        <v>1</v>
      </c>
      <c r="C234">
        <v>27456</v>
      </c>
      <c r="D234">
        <v>192</v>
      </c>
      <c r="E234">
        <v>1</v>
      </c>
      <c r="F234">
        <v>16</v>
      </c>
      <c r="G234">
        <v>1557.1</v>
      </c>
      <c r="H234" s="3">
        <v>8.8621999999999996</v>
      </c>
      <c r="I234" s="1">
        <v>45319</v>
      </c>
      <c r="J234" s="2">
        <v>0.33489583333333334</v>
      </c>
      <c r="K234">
        <v>0</v>
      </c>
      <c r="L234">
        <v>0</v>
      </c>
      <c r="M234">
        <v>0</v>
      </c>
      <c r="N234">
        <v>0</v>
      </c>
      <c r="O234">
        <v>0</v>
      </c>
      <c r="P234">
        <v>0</v>
      </c>
      <c r="Q234">
        <v>0</v>
      </c>
      <c r="R234">
        <v>0</v>
      </c>
      <c r="S234">
        <v>0</v>
      </c>
      <c r="T234">
        <v>0</v>
      </c>
      <c r="U234">
        <v>0</v>
      </c>
      <c r="V234">
        <v>0</v>
      </c>
      <c r="W234" s="4">
        <f t="shared" ref="W234" si="182">AVERAGE(H234:H238)</f>
        <v>8.8647200000000002</v>
      </c>
      <c r="Y234">
        <v>0</v>
      </c>
      <c r="Z234" t="s">
        <v>1</v>
      </c>
      <c r="AA234">
        <v>27456</v>
      </c>
      <c r="AB234">
        <v>192</v>
      </c>
      <c r="AC234">
        <v>1</v>
      </c>
      <c r="AD234">
        <v>16</v>
      </c>
      <c r="AE234">
        <v>1735.42</v>
      </c>
      <c r="AF234" s="3">
        <v>7.9515000000000002</v>
      </c>
      <c r="AG234" s="1">
        <v>45323</v>
      </c>
      <c r="AH234" s="2">
        <v>0.99238425925925933</v>
      </c>
      <c r="AI234">
        <v>0</v>
      </c>
      <c r="AJ234">
        <v>0</v>
      </c>
      <c r="AK234">
        <v>0</v>
      </c>
      <c r="AL234">
        <v>0</v>
      </c>
      <c r="AM234">
        <v>0</v>
      </c>
      <c r="AN234">
        <v>0</v>
      </c>
      <c r="AO234">
        <v>0</v>
      </c>
      <c r="AP234">
        <v>0</v>
      </c>
      <c r="AQ234">
        <v>0</v>
      </c>
      <c r="AR234">
        <v>0</v>
      </c>
      <c r="AS234">
        <v>0</v>
      </c>
      <c r="AT234">
        <v>0</v>
      </c>
      <c r="AU234" s="3">
        <f t="shared" ref="AU234" si="183">AVERAGE(AF234:AF238)</f>
        <v>7.9562799999999996</v>
      </c>
    </row>
    <row r="235" spans="1:47" x14ac:dyDescent="0.25">
      <c r="A235">
        <v>1</v>
      </c>
      <c r="B235" t="s">
        <v>1</v>
      </c>
      <c r="C235">
        <v>27456</v>
      </c>
      <c r="D235">
        <v>192</v>
      </c>
      <c r="E235">
        <v>1</v>
      </c>
      <c r="F235">
        <v>16</v>
      </c>
      <c r="G235">
        <v>1555.91</v>
      </c>
      <c r="H235" s="3">
        <v>8.8689</v>
      </c>
      <c r="I235" s="1">
        <v>45320</v>
      </c>
      <c r="J235" s="2">
        <v>0.17604166666666665</v>
      </c>
      <c r="K235">
        <v>0</v>
      </c>
      <c r="L235">
        <v>0</v>
      </c>
      <c r="M235">
        <v>0</v>
      </c>
      <c r="N235">
        <v>0</v>
      </c>
      <c r="O235">
        <v>0</v>
      </c>
      <c r="P235">
        <v>0</v>
      </c>
      <c r="Q235">
        <v>0</v>
      </c>
      <c r="R235">
        <v>0</v>
      </c>
      <c r="S235">
        <v>0</v>
      </c>
      <c r="T235">
        <v>0</v>
      </c>
      <c r="U235">
        <v>0</v>
      </c>
      <c r="V235">
        <v>0</v>
      </c>
      <c r="W235" s="4">
        <f t="shared" ref="W235" si="184">W234</f>
        <v>8.8647200000000002</v>
      </c>
      <c r="Y235">
        <v>1</v>
      </c>
      <c r="Z235" t="s">
        <v>1</v>
      </c>
      <c r="AA235">
        <v>27456</v>
      </c>
      <c r="AB235">
        <v>192</v>
      </c>
      <c r="AC235">
        <v>1</v>
      </c>
      <c r="AD235">
        <v>16</v>
      </c>
      <c r="AE235">
        <v>1733.98</v>
      </c>
      <c r="AF235" s="3">
        <v>7.9581999999999997</v>
      </c>
      <c r="AG235" s="1">
        <v>45324</v>
      </c>
      <c r="AH235" s="2">
        <v>0.88107638888888884</v>
      </c>
      <c r="AI235">
        <v>0</v>
      </c>
      <c r="AJ235">
        <v>0</v>
      </c>
      <c r="AK235">
        <v>0</v>
      </c>
      <c r="AL235">
        <v>0</v>
      </c>
      <c r="AM235">
        <v>0</v>
      </c>
      <c r="AN235">
        <v>0</v>
      </c>
      <c r="AO235">
        <v>0</v>
      </c>
      <c r="AP235">
        <v>0</v>
      </c>
      <c r="AQ235">
        <v>0</v>
      </c>
      <c r="AR235">
        <v>0</v>
      </c>
      <c r="AS235">
        <v>0</v>
      </c>
      <c r="AT235">
        <v>0</v>
      </c>
      <c r="AU235" s="3">
        <f t="shared" ref="AU235" si="185">AU234</f>
        <v>7.9562799999999996</v>
      </c>
    </row>
    <row r="236" spans="1:47" x14ac:dyDescent="0.25">
      <c r="A236">
        <v>2</v>
      </c>
      <c r="B236" t="s">
        <v>1</v>
      </c>
      <c r="C236">
        <v>27456</v>
      </c>
      <c r="D236">
        <v>192</v>
      </c>
      <c r="E236">
        <v>1</v>
      </c>
      <c r="F236">
        <v>16</v>
      </c>
      <c r="G236">
        <v>1557.35</v>
      </c>
      <c r="H236" s="3">
        <v>8.8606999999999996</v>
      </c>
      <c r="I236" s="1">
        <v>45321</v>
      </c>
      <c r="J236" s="2">
        <v>1.7511574074074072E-2</v>
      </c>
      <c r="K236">
        <v>0</v>
      </c>
      <c r="L236">
        <v>0</v>
      </c>
      <c r="M236">
        <v>0</v>
      </c>
      <c r="N236">
        <v>0</v>
      </c>
      <c r="O236">
        <v>0</v>
      </c>
      <c r="P236">
        <v>0</v>
      </c>
      <c r="Q236">
        <v>0</v>
      </c>
      <c r="R236">
        <v>0</v>
      </c>
      <c r="S236">
        <v>0</v>
      </c>
      <c r="T236">
        <v>0</v>
      </c>
      <c r="U236">
        <v>0</v>
      </c>
      <c r="V236">
        <v>0</v>
      </c>
      <c r="W236" s="4">
        <f t="shared" si="160"/>
        <v>8.8647200000000002</v>
      </c>
      <c r="Y236">
        <v>2</v>
      </c>
      <c r="Z236" t="s">
        <v>1</v>
      </c>
      <c r="AA236">
        <v>27456</v>
      </c>
      <c r="AB236">
        <v>192</v>
      </c>
      <c r="AC236">
        <v>1</v>
      </c>
      <c r="AD236">
        <v>16</v>
      </c>
      <c r="AE236">
        <v>1734.06</v>
      </c>
      <c r="AF236" s="3">
        <v>7.9577999999999998</v>
      </c>
      <c r="AG236" s="1">
        <v>45325</v>
      </c>
      <c r="AH236" s="2">
        <v>0.80041666666666667</v>
      </c>
      <c r="AI236">
        <v>0</v>
      </c>
      <c r="AJ236">
        <v>0</v>
      </c>
      <c r="AK236">
        <v>0</v>
      </c>
      <c r="AL236">
        <v>0</v>
      </c>
      <c r="AM236">
        <v>0</v>
      </c>
      <c r="AN236">
        <v>0</v>
      </c>
      <c r="AO236">
        <v>0</v>
      </c>
      <c r="AP236">
        <v>0</v>
      </c>
      <c r="AQ236">
        <v>0</v>
      </c>
      <c r="AR236">
        <v>0</v>
      </c>
      <c r="AS236">
        <v>0</v>
      </c>
      <c r="AT236">
        <v>0</v>
      </c>
      <c r="AU236" s="3">
        <f t="shared" si="161"/>
        <v>7.9562799999999996</v>
      </c>
    </row>
    <row r="237" spans="1:47" x14ac:dyDescent="0.25">
      <c r="A237">
        <v>3</v>
      </c>
      <c r="B237" t="s">
        <v>1</v>
      </c>
      <c r="C237">
        <v>27456</v>
      </c>
      <c r="D237">
        <v>192</v>
      </c>
      <c r="E237">
        <v>1</v>
      </c>
      <c r="F237">
        <v>16</v>
      </c>
      <c r="G237">
        <v>1556.29</v>
      </c>
      <c r="H237" s="3">
        <v>8.8666999999999998</v>
      </c>
      <c r="I237" s="1">
        <v>45321</v>
      </c>
      <c r="J237" s="2">
        <v>0.85949074074074072</v>
      </c>
      <c r="K237">
        <v>0</v>
      </c>
      <c r="L237">
        <v>0</v>
      </c>
      <c r="M237">
        <v>0</v>
      </c>
      <c r="N237">
        <v>0</v>
      </c>
      <c r="O237">
        <v>0</v>
      </c>
      <c r="P237">
        <v>0</v>
      </c>
      <c r="Q237">
        <v>0</v>
      </c>
      <c r="R237">
        <v>0</v>
      </c>
      <c r="S237">
        <v>0</v>
      </c>
      <c r="T237">
        <v>0</v>
      </c>
      <c r="U237">
        <v>0</v>
      </c>
      <c r="V237">
        <v>0</v>
      </c>
      <c r="W237" s="4">
        <f t="shared" si="160"/>
        <v>8.8647200000000002</v>
      </c>
      <c r="Y237">
        <v>3</v>
      </c>
      <c r="Z237" t="s">
        <v>1</v>
      </c>
      <c r="AA237">
        <v>27456</v>
      </c>
      <c r="AB237">
        <v>192</v>
      </c>
      <c r="AC237">
        <v>1</v>
      </c>
      <c r="AD237">
        <v>16</v>
      </c>
      <c r="AE237">
        <v>1734.2</v>
      </c>
      <c r="AF237" s="3">
        <v>7.9570999999999996</v>
      </c>
      <c r="AG237" s="1">
        <v>45326</v>
      </c>
      <c r="AH237" s="2">
        <v>0.72098379629629628</v>
      </c>
      <c r="AI237">
        <v>0</v>
      </c>
      <c r="AJ237">
        <v>0</v>
      </c>
      <c r="AK237">
        <v>0</v>
      </c>
      <c r="AL237">
        <v>0</v>
      </c>
      <c r="AM237">
        <v>0</v>
      </c>
      <c r="AN237">
        <v>0</v>
      </c>
      <c r="AO237">
        <v>0</v>
      </c>
      <c r="AP237">
        <v>0</v>
      </c>
      <c r="AQ237">
        <v>0</v>
      </c>
      <c r="AR237">
        <v>0</v>
      </c>
      <c r="AS237">
        <v>0</v>
      </c>
      <c r="AT237">
        <v>0</v>
      </c>
      <c r="AU237" s="3">
        <f t="shared" si="161"/>
        <v>7.9562799999999996</v>
      </c>
    </row>
    <row r="238" spans="1:47" x14ac:dyDescent="0.25">
      <c r="A238">
        <v>4</v>
      </c>
      <c r="B238" t="s">
        <v>1</v>
      </c>
      <c r="C238">
        <v>27456</v>
      </c>
      <c r="D238">
        <v>192</v>
      </c>
      <c r="E238">
        <v>1</v>
      </c>
      <c r="F238">
        <v>16</v>
      </c>
      <c r="G238">
        <v>1556.58</v>
      </c>
      <c r="H238" s="3">
        <v>8.8651</v>
      </c>
      <c r="I238" s="1">
        <v>45322</v>
      </c>
      <c r="J238" s="2">
        <v>0.70209490740740732</v>
      </c>
      <c r="K238">
        <v>0</v>
      </c>
      <c r="L238">
        <v>0</v>
      </c>
      <c r="M238">
        <v>0</v>
      </c>
      <c r="N238">
        <v>0</v>
      </c>
      <c r="O238">
        <v>0</v>
      </c>
      <c r="P238">
        <v>0</v>
      </c>
      <c r="Q238">
        <v>0</v>
      </c>
      <c r="R238">
        <v>0</v>
      </c>
      <c r="S238">
        <v>0</v>
      </c>
      <c r="T238">
        <v>0</v>
      </c>
      <c r="U238">
        <v>0</v>
      </c>
      <c r="V238">
        <v>0</v>
      </c>
      <c r="W238" s="4">
        <f t="shared" si="160"/>
        <v>8.8647200000000002</v>
      </c>
      <c r="Y238">
        <v>4</v>
      </c>
      <c r="Z238" t="s">
        <v>1</v>
      </c>
      <c r="AA238">
        <v>27456</v>
      </c>
      <c r="AB238">
        <v>192</v>
      </c>
      <c r="AC238">
        <v>1</v>
      </c>
      <c r="AD238">
        <v>16</v>
      </c>
      <c r="AE238">
        <v>1734.27</v>
      </c>
      <c r="AF238" s="3">
        <v>7.9568000000000003</v>
      </c>
      <c r="AG238" s="1">
        <v>45327</v>
      </c>
      <c r="AH238" s="2">
        <v>0.64076388888888891</v>
      </c>
      <c r="AI238">
        <v>0</v>
      </c>
      <c r="AJ238">
        <v>0</v>
      </c>
      <c r="AK238">
        <v>0</v>
      </c>
      <c r="AL238">
        <v>0</v>
      </c>
      <c r="AM238">
        <v>0</v>
      </c>
      <c r="AN238">
        <v>0</v>
      </c>
      <c r="AO238">
        <v>0</v>
      </c>
      <c r="AP238">
        <v>0</v>
      </c>
      <c r="AQ238">
        <v>0</v>
      </c>
      <c r="AR238">
        <v>0</v>
      </c>
      <c r="AS238">
        <v>0</v>
      </c>
      <c r="AT238">
        <v>0</v>
      </c>
      <c r="AU238" s="3">
        <f t="shared" si="161"/>
        <v>7.9562799999999996</v>
      </c>
    </row>
    <row r="239" spans="1:47" x14ac:dyDescent="0.25">
      <c r="A239">
        <v>0</v>
      </c>
      <c r="B239" t="s">
        <v>1</v>
      </c>
      <c r="C239">
        <v>28992</v>
      </c>
      <c r="D239">
        <v>192</v>
      </c>
      <c r="E239">
        <v>1</v>
      </c>
      <c r="F239">
        <v>16</v>
      </c>
      <c r="G239">
        <v>1821.04</v>
      </c>
      <c r="H239" s="3">
        <v>8.9219000000000008</v>
      </c>
      <c r="I239" s="1">
        <v>45319</v>
      </c>
      <c r="J239" s="2">
        <v>0.86387731481481478</v>
      </c>
      <c r="K239">
        <v>0</v>
      </c>
      <c r="L239">
        <v>0</v>
      </c>
      <c r="M239">
        <v>0</v>
      </c>
      <c r="N239">
        <v>0</v>
      </c>
      <c r="O239">
        <v>0</v>
      </c>
      <c r="P239">
        <v>0</v>
      </c>
      <c r="Q239">
        <v>0</v>
      </c>
      <c r="R239">
        <v>0</v>
      </c>
      <c r="S239">
        <v>0</v>
      </c>
      <c r="T239">
        <v>0</v>
      </c>
      <c r="U239">
        <v>0</v>
      </c>
      <c r="V239">
        <v>0</v>
      </c>
      <c r="W239" s="4">
        <f t="shared" ref="W239" si="186">AVERAGE(H239:H243)</f>
        <v>8.9154000000000018</v>
      </c>
      <c r="Y239">
        <v>0</v>
      </c>
      <c r="Z239" t="s">
        <v>1</v>
      </c>
      <c r="AA239">
        <v>28992</v>
      </c>
      <c r="AB239">
        <v>192</v>
      </c>
      <c r="AC239">
        <v>1</v>
      </c>
      <c r="AD239">
        <v>16</v>
      </c>
      <c r="AE239">
        <v>2027.76</v>
      </c>
      <c r="AF239" s="3">
        <v>8.0123999999999995</v>
      </c>
      <c r="AG239" s="1">
        <v>45324</v>
      </c>
      <c r="AH239" s="2">
        <v>0.55085648148148147</v>
      </c>
      <c r="AI239">
        <v>0</v>
      </c>
      <c r="AJ239">
        <v>0</v>
      </c>
      <c r="AK239">
        <v>0</v>
      </c>
      <c r="AL239">
        <v>0</v>
      </c>
      <c r="AM239">
        <v>0</v>
      </c>
      <c r="AN239">
        <v>0</v>
      </c>
      <c r="AO239">
        <v>0</v>
      </c>
      <c r="AP239">
        <v>0</v>
      </c>
      <c r="AQ239">
        <v>0</v>
      </c>
      <c r="AR239">
        <v>0</v>
      </c>
      <c r="AS239">
        <v>0</v>
      </c>
      <c r="AT239">
        <v>0</v>
      </c>
      <c r="AU239" s="3">
        <f t="shared" ref="AU239" si="187">AVERAGE(AF239:AF243)</f>
        <v>7.958800000000001</v>
      </c>
    </row>
    <row r="240" spans="1:47" x14ac:dyDescent="0.25">
      <c r="A240">
        <v>1</v>
      </c>
      <c r="B240" t="s">
        <v>1</v>
      </c>
      <c r="C240">
        <v>28992</v>
      </c>
      <c r="D240">
        <v>192</v>
      </c>
      <c r="E240">
        <v>1</v>
      </c>
      <c r="F240">
        <v>16</v>
      </c>
      <c r="G240">
        <v>1821.5</v>
      </c>
      <c r="H240" s="3">
        <v>8.9196000000000009</v>
      </c>
      <c r="I240" s="1">
        <v>45320</v>
      </c>
      <c r="J240" s="2">
        <v>0.70508101851851857</v>
      </c>
      <c r="K240">
        <v>0</v>
      </c>
      <c r="L240">
        <v>0</v>
      </c>
      <c r="M240">
        <v>0</v>
      </c>
      <c r="N240">
        <v>0</v>
      </c>
      <c r="O240">
        <v>0</v>
      </c>
      <c r="P240">
        <v>0</v>
      </c>
      <c r="Q240">
        <v>0</v>
      </c>
      <c r="R240">
        <v>0</v>
      </c>
      <c r="S240">
        <v>0</v>
      </c>
      <c r="T240">
        <v>0</v>
      </c>
      <c r="U240">
        <v>0</v>
      </c>
      <c r="V240">
        <v>0</v>
      </c>
      <c r="W240" s="4">
        <f t="shared" ref="W240" si="188">W239</f>
        <v>8.9154000000000018</v>
      </c>
      <c r="Y240">
        <v>1</v>
      </c>
      <c r="Z240" t="s">
        <v>1</v>
      </c>
      <c r="AA240">
        <v>28992</v>
      </c>
      <c r="AB240">
        <v>192</v>
      </c>
      <c r="AC240">
        <v>1</v>
      </c>
      <c r="AD240">
        <v>16</v>
      </c>
      <c r="AE240">
        <v>2026.87</v>
      </c>
      <c r="AF240" s="3">
        <v>8.0159000000000002</v>
      </c>
      <c r="AG240" s="1">
        <v>45325</v>
      </c>
      <c r="AH240" s="2">
        <v>0.45995370370370375</v>
      </c>
      <c r="AI240">
        <v>0</v>
      </c>
      <c r="AJ240">
        <v>0</v>
      </c>
      <c r="AK240">
        <v>0</v>
      </c>
      <c r="AL240">
        <v>0</v>
      </c>
      <c r="AM240">
        <v>0</v>
      </c>
      <c r="AN240">
        <v>0</v>
      </c>
      <c r="AO240">
        <v>0</v>
      </c>
      <c r="AP240">
        <v>0</v>
      </c>
      <c r="AQ240">
        <v>0</v>
      </c>
      <c r="AR240">
        <v>0</v>
      </c>
      <c r="AS240">
        <v>0</v>
      </c>
      <c r="AT240">
        <v>0</v>
      </c>
      <c r="AU240" s="3">
        <f t="shared" ref="AU240" si="189">AU239</f>
        <v>7.958800000000001</v>
      </c>
    </row>
    <row r="241" spans="1:47" x14ac:dyDescent="0.25">
      <c r="A241">
        <v>2</v>
      </c>
      <c r="B241" t="s">
        <v>1</v>
      </c>
      <c r="C241">
        <v>28992</v>
      </c>
      <c r="D241">
        <v>192</v>
      </c>
      <c r="E241">
        <v>1</v>
      </c>
      <c r="F241">
        <v>16</v>
      </c>
      <c r="G241">
        <v>1821.74</v>
      </c>
      <c r="H241" s="3">
        <v>8.9184999999999999</v>
      </c>
      <c r="I241" s="1">
        <v>45321</v>
      </c>
      <c r="J241" s="2">
        <v>0.54736111111111108</v>
      </c>
      <c r="K241">
        <v>0</v>
      </c>
      <c r="L241">
        <v>0</v>
      </c>
      <c r="M241">
        <v>0</v>
      </c>
      <c r="N241">
        <v>0</v>
      </c>
      <c r="O241">
        <v>0</v>
      </c>
      <c r="P241">
        <v>0</v>
      </c>
      <c r="Q241">
        <v>0</v>
      </c>
      <c r="R241">
        <v>0</v>
      </c>
      <c r="S241">
        <v>0</v>
      </c>
      <c r="T241">
        <v>0</v>
      </c>
      <c r="U241">
        <v>0</v>
      </c>
      <c r="V241">
        <v>0</v>
      </c>
      <c r="W241" s="4">
        <f t="shared" si="160"/>
        <v>8.9154000000000018</v>
      </c>
      <c r="Y241">
        <v>2</v>
      </c>
      <c r="Z241" t="s">
        <v>1</v>
      </c>
      <c r="AA241">
        <v>28992</v>
      </c>
      <c r="AB241">
        <v>192</v>
      </c>
      <c r="AC241">
        <v>1</v>
      </c>
      <c r="AD241">
        <v>16</v>
      </c>
      <c r="AE241">
        <v>2033.06</v>
      </c>
      <c r="AF241" s="3">
        <v>7.9915000000000003</v>
      </c>
      <c r="AG241" s="1">
        <v>45326</v>
      </c>
      <c r="AH241" s="2">
        <v>0.38011574074074073</v>
      </c>
      <c r="AI241">
        <v>0</v>
      </c>
      <c r="AJ241">
        <v>0</v>
      </c>
      <c r="AK241">
        <v>0</v>
      </c>
      <c r="AL241">
        <v>0</v>
      </c>
      <c r="AM241">
        <v>0</v>
      </c>
      <c r="AN241">
        <v>0</v>
      </c>
      <c r="AO241">
        <v>0</v>
      </c>
      <c r="AP241">
        <v>0</v>
      </c>
      <c r="AQ241">
        <v>0</v>
      </c>
      <c r="AR241">
        <v>0</v>
      </c>
      <c r="AS241">
        <v>0</v>
      </c>
      <c r="AT241">
        <v>0</v>
      </c>
      <c r="AU241" s="3">
        <f t="shared" si="161"/>
        <v>7.958800000000001</v>
      </c>
    </row>
    <row r="242" spans="1:47" x14ac:dyDescent="0.25">
      <c r="A242">
        <v>3</v>
      </c>
      <c r="B242" t="s">
        <v>1</v>
      </c>
      <c r="C242">
        <v>28992</v>
      </c>
      <c r="D242">
        <v>192</v>
      </c>
      <c r="E242">
        <v>1</v>
      </c>
      <c r="F242">
        <v>16</v>
      </c>
      <c r="G242">
        <v>1823.75</v>
      </c>
      <c r="H242" s="3">
        <v>8.9085999999999999</v>
      </c>
      <c r="I242" s="1">
        <v>45322</v>
      </c>
      <c r="J242" s="2">
        <v>0.3897106481481481</v>
      </c>
      <c r="K242">
        <v>0</v>
      </c>
      <c r="L242">
        <v>0</v>
      </c>
      <c r="M242">
        <v>0</v>
      </c>
      <c r="N242">
        <v>0</v>
      </c>
      <c r="O242">
        <v>0</v>
      </c>
      <c r="P242">
        <v>0</v>
      </c>
      <c r="Q242">
        <v>0</v>
      </c>
      <c r="R242">
        <v>0</v>
      </c>
      <c r="S242">
        <v>0</v>
      </c>
      <c r="T242">
        <v>0</v>
      </c>
      <c r="U242">
        <v>0</v>
      </c>
      <c r="V242">
        <v>0</v>
      </c>
      <c r="W242" s="4">
        <f t="shared" si="160"/>
        <v>8.9154000000000018</v>
      </c>
      <c r="Y242">
        <v>3</v>
      </c>
      <c r="Z242" t="s">
        <v>1</v>
      </c>
      <c r="AA242">
        <v>28992</v>
      </c>
      <c r="AB242">
        <v>192</v>
      </c>
      <c r="AC242">
        <v>1</v>
      </c>
      <c r="AD242">
        <v>16</v>
      </c>
      <c r="AE242">
        <v>2055.4899999999998</v>
      </c>
      <c r="AF242" s="3">
        <v>7.9043000000000001</v>
      </c>
      <c r="AG242" s="1">
        <v>45327</v>
      </c>
      <c r="AH242" s="2">
        <v>0.30032407407407408</v>
      </c>
      <c r="AI242">
        <v>0</v>
      </c>
      <c r="AJ242">
        <v>0</v>
      </c>
      <c r="AK242">
        <v>0</v>
      </c>
      <c r="AL242">
        <v>0</v>
      </c>
      <c r="AM242">
        <v>0</v>
      </c>
      <c r="AN242">
        <v>0</v>
      </c>
      <c r="AO242">
        <v>0</v>
      </c>
      <c r="AP242">
        <v>0</v>
      </c>
      <c r="AQ242">
        <v>0</v>
      </c>
      <c r="AR242">
        <v>0</v>
      </c>
      <c r="AS242">
        <v>0</v>
      </c>
      <c r="AT242">
        <v>0</v>
      </c>
      <c r="AU242" s="3">
        <f t="shared" si="161"/>
        <v>7.958800000000001</v>
      </c>
    </row>
    <row r="243" spans="1:47" x14ac:dyDescent="0.25">
      <c r="A243">
        <v>4</v>
      </c>
      <c r="B243" t="s">
        <v>1</v>
      </c>
      <c r="C243">
        <v>28992</v>
      </c>
      <c r="D243">
        <v>192</v>
      </c>
      <c r="E243">
        <v>1</v>
      </c>
      <c r="F243">
        <v>16</v>
      </c>
      <c r="G243">
        <v>1823.8</v>
      </c>
      <c r="H243" s="3">
        <v>8.9084000000000003</v>
      </c>
      <c r="I243" s="1">
        <v>45323</v>
      </c>
      <c r="J243" s="2">
        <v>0.23219907407407406</v>
      </c>
      <c r="K243">
        <v>0</v>
      </c>
      <c r="L243">
        <v>0</v>
      </c>
      <c r="M243">
        <v>0</v>
      </c>
      <c r="N243">
        <v>0</v>
      </c>
      <c r="O243">
        <v>0</v>
      </c>
      <c r="P243">
        <v>0</v>
      </c>
      <c r="Q243">
        <v>0</v>
      </c>
      <c r="R243">
        <v>0</v>
      </c>
      <c r="S243">
        <v>0</v>
      </c>
      <c r="T243">
        <v>0</v>
      </c>
      <c r="U243">
        <v>0</v>
      </c>
      <c r="V243">
        <v>0</v>
      </c>
      <c r="W243" s="4">
        <f t="shared" si="160"/>
        <v>8.9154000000000018</v>
      </c>
      <c r="Y243">
        <v>4</v>
      </c>
      <c r="Z243" t="s">
        <v>1</v>
      </c>
      <c r="AA243">
        <v>28992</v>
      </c>
      <c r="AB243">
        <v>192</v>
      </c>
      <c r="AC243">
        <v>1</v>
      </c>
      <c r="AD243">
        <v>16</v>
      </c>
      <c r="AE243">
        <v>2064.46</v>
      </c>
      <c r="AF243" s="3">
        <v>7.8699000000000003</v>
      </c>
      <c r="AG243" s="1">
        <v>45328</v>
      </c>
      <c r="AH243" s="2">
        <v>0.21996527777777777</v>
      </c>
      <c r="AI243">
        <v>0</v>
      </c>
      <c r="AJ243">
        <v>0</v>
      </c>
      <c r="AK243">
        <v>0</v>
      </c>
      <c r="AL243">
        <v>0</v>
      </c>
      <c r="AM243">
        <v>0</v>
      </c>
      <c r="AN243">
        <v>0</v>
      </c>
      <c r="AO243">
        <v>0</v>
      </c>
      <c r="AP243">
        <v>0</v>
      </c>
      <c r="AQ243">
        <v>0</v>
      </c>
      <c r="AR243">
        <v>0</v>
      </c>
      <c r="AS243">
        <v>0</v>
      </c>
      <c r="AT243">
        <v>0</v>
      </c>
      <c r="AU243" s="3">
        <f t="shared" si="161"/>
        <v>7.958800000000001</v>
      </c>
    </row>
    <row r="244" spans="1:47" x14ac:dyDescent="0.25">
      <c r="A244">
        <v>0</v>
      </c>
      <c r="B244" t="s">
        <v>1</v>
      </c>
      <c r="C244">
        <v>25920</v>
      </c>
      <c r="D244">
        <v>192</v>
      </c>
      <c r="E244">
        <v>2</v>
      </c>
      <c r="F244">
        <v>8</v>
      </c>
      <c r="G244">
        <v>1241.74</v>
      </c>
      <c r="H244" s="3">
        <v>9.3501999999999992</v>
      </c>
      <c r="I244" s="1">
        <v>45319</v>
      </c>
      <c r="J244" s="2">
        <v>0.61812500000000004</v>
      </c>
      <c r="K244">
        <v>0</v>
      </c>
      <c r="L244">
        <v>0</v>
      </c>
      <c r="M244">
        <v>0</v>
      </c>
      <c r="N244">
        <v>0</v>
      </c>
      <c r="O244">
        <v>0</v>
      </c>
      <c r="P244">
        <v>0</v>
      </c>
      <c r="Q244">
        <v>0</v>
      </c>
      <c r="R244">
        <v>0</v>
      </c>
      <c r="S244">
        <v>0</v>
      </c>
      <c r="T244">
        <v>0</v>
      </c>
      <c r="U244">
        <v>0</v>
      </c>
      <c r="V244">
        <v>0</v>
      </c>
      <c r="W244" s="4">
        <f t="shared" ref="W244" si="190">AVERAGE(H244:H248)</f>
        <v>9.3412399999999991</v>
      </c>
      <c r="Y244">
        <v>0</v>
      </c>
      <c r="Z244" t="s">
        <v>1</v>
      </c>
      <c r="AA244">
        <v>25920</v>
      </c>
      <c r="AB244">
        <v>192</v>
      </c>
      <c r="AC244">
        <v>2</v>
      </c>
      <c r="AD244">
        <v>8</v>
      </c>
      <c r="AE244">
        <v>1389.45</v>
      </c>
      <c r="AF244" s="3">
        <v>8.3561999999999994</v>
      </c>
      <c r="AG244" s="1">
        <v>45324</v>
      </c>
      <c r="AH244" s="2">
        <v>0.29118055555555555</v>
      </c>
      <c r="AI244">
        <v>0</v>
      </c>
      <c r="AJ244">
        <v>0</v>
      </c>
      <c r="AK244">
        <v>0</v>
      </c>
      <c r="AL244">
        <v>0</v>
      </c>
      <c r="AM244">
        <v>0</v>
      </c>
      <c r="AN244">
        <v>0</v>
      </c>
      <c r="AO244">
        <v>0</v>
      </c>
      <c r="AP244">
        <v>0</v>
      </c>
      <c r="AQ244">
        <v>0</v>
      </c>
      <c r="AR244">
        <v>0</v>
      </c>
      <c r="AS244">
        <v>0</v>
      </c>
      <c r="AT244">
        <v>0</v>
      </c>
      <c r="AU244" s="3">
        <f t="shared" ref="AU244" si="191">AVERAGE(AF244:AF248)</f>
        <v>8.3569599999999991</v>
      </c>
    </row>
    <row r="245" spans="1:47" x14ac:dyDescent="0.25">
      <c r="A245">
        <v>1</v>
      </c>
      <c r="B245" t="s">
        <v>1</v>
      </c>
      <c r="C245">
        <v>25920</v>
      </c>
      <c r="D245">
        <v>192</v>
      </c>
      <c r="E245">
        <v>2</v>
      </c>
      <c r="F245">
        <v>8</v>
      </c>
      <c r="G245">
        <v>1240.95</v>
      </c>
      <c r="H245" s="3">
        <v>9.3560999999999996</v>
      </c>
      <c r="I245" s="1">
        <v>45320</v>
      </c>
      <c r="J245" s="2">
        <v>0.45923611111111112</v>
      </c>
      <c r="K245">
        <v>0</v>
      </c>
      <c r="L245">
        <v>0</v>
      </c>
      <c r="M245">
        <v>0</v>
      </c>
      <c r="N245">
        <v>0</v>
      </c>
      <c r="O245">
        <v>0</v>
      </c>
      <c r="P245">
        <v>0</v>
      </c>
      <c r="Q245">
        <v>0</v>
      </c>
      <c r="R245">
        <v>0</v>
      </c>
      <c r="S245">
        <v>0</v>
      </c>
      <c r="T245">
        <v>0</v>
      </c>
      <c r="U245">
        <v>0</v>
      </c>
      <c r="V245">
        <v>0</v>
      </c>
      <c r="W245" s="4">
        <f t="shared" ref="W245" si="192">W244</f>
        <v>9.3412399999999991</v>
      </c>
      <c r="Y245">
        <v>1</v>
      </c>
      <c r="Z245" t="s">
        <v>1</v>
      </c>
      <c r="AA245">
        <v>25920</v>
      </c>
      <c r="AB245">
        <v>192</v>
      </c>
      <c r="AC245">
        <v>2</v>
      </c>
      <c r="AD245">
        <v>8</v>
      </c>
      <c r="AE245">
        <v>1388.89</v>
      </c>
      <c r="AF245" s="3">
        <v>8.3596000000000004</v>
      </c>
      <c r="AG245" s="1">
        <v>45325</v>
      </c>
      <c r="AH245" s="2">
        <v>0.19134259259259259</v>
      </c>
      <c r="AI245">
        <v>0</v>
      </c>
      <c r="AJ245">
        <v>0</v>
      </c>
      <c r="AK245">
        <v>0</v>
      </c>
      <c r="AL245">
        <v>0</v>
      </c>
      <c r="AM245">
        <v>0</v>
      </c>
      <c r="AN245">
        <v>0</v>
      </c>
      <c r="AO245">
        <v>0</v>
      </c>
      <c r="AP245">
        <v>0</v>
      </c>
      <c r="AQ245">
        <v>0</v>
      </c>
      <c r="AR245">
        <v>0</v>
      </c>
      <c r="AS245">
        <v>0</v>
      </c>
      <c r="AT245">
        <v>0</v>
      </c>
      <c r="AU245" s="3">
        <f t="shared" ref="AU245" si="193">AU244</f>
        <v>8.3569599999999991</v>
      </c>
    </row>
    <row r="246" spans="1:47" x14ac:dyDescent="0.25">
      <c r="A246">
        <v>2</v>
      </c>
      <c r="B246" t="s">
        <v>1</v>
      </c>
      <c r="C246">
        <v>25920</v>
      </c>
      <c r="D246">
        <v>192</v>
      </c>
      <c r="E246">
        <v>2</v>
      </c>
      <c r="F246">
        <v>8</v>
      </c>
      <c r="G246">
        <v>1240.97</v>
      </c>
      <c r="H246" s="3">
        <v>9.3559999999999999</v>
      </c>
      <c r="I246" s="1">
        <v>45321</v>
      </c>
      <c r="J246" s="2">
        <v>0.30087962962962961</v>
      </c>
      <c r="K246">
        <v>0</v>
      </c>
      <c r="L246">
        <v>0</v>
      </c>
      <c r="M246">
        <v>0</v>
      </c>
      <c r="N246">
        <v>0</v>
      </c>
      <c r="O246">
        <v>0</v>
      </c>
      <c r="P246">
        <v>0</v>
      </c>
      <c r="Q246">
        <v>0</v>
      </c>
      <c r="R246">
        <v>0</v>
      </c>
      <c r="S246">
        <v>0</v>
      </c>
      <c r="T246">
        <v>0</v>
      </c>
      <c r="U246">
        <v>0</v>
      </c>
      <c r="V246">
        <v>0</v>
      </c>
      <c r="W246" s="4">
        <f t="shared" si="160"/>
        <v>9.3412399999999991</v>
      </c>
      <c r="Y246">
        <v>2</v>
      </c>
      <c r="Z246" t="s">
        <v>1</v>
      </c>
      <c r="AA246">
        <v>25920</v>
      </c>
      <c r="AB246">
        <v>192</v>
      </c>
      <c r="AC246">
        <v>2</v>
      </c>
      <c r="AD246">
        <v>8</v>
      </c>
      <c r="AE246">
        <v>1389.82</v>
      </c>
      <c r="AF246" s="3">
        <v>8.3539999999999992</v>
      </c>
      <c r="AG246" s="1">
        <v>45326</v>
      </c>
      <c r="AH246" s="2">
        <v>0.11162037037037037</v>
      </c>
      <c r="AI246">
        <v>0</v>
      </c>
      <c r="AJ246">
        <v>0</v>
      </c>
      <c r="AK246">
        <v>0</v>
      </c>
      <c r="AL246">
        <v>0</v>
      </c>
      <c r="AM246">
        <v>0</v>
      </c>
      <c r="AN246">
        <v>0</v>
      </c>
      <c r="AO246">
        <v>0</v>
      </c>
      <c r="AP246">
        <v>0</v>
      </c>
      <c r="AQ246">
        <v>0</v>
      </c>
      <c r="AR246">
        <v>0</v>
      </c>
      <c r="AS246">
        <v>0</v>
      </c>
      <c r="AT246">
        <v>0</v>
      </c>
      <c r="AU246" s="3">
        <f t="shared" si="161"/>
        <v>8.3569599999999991</v>
      </c>
    </row>
    <row r="247" spans="1:47" x14ac:dyDescent="0.25">
      <c r="A247">
        <v>3</v>
      </c>
      <c r="B247" t="s">
        <v>1</v>
      </c>
      <c r="C247">
        <v>25920</v>
      </c>
      <c r="D247">
        <v>192</v>
      </c>
      <c r="E247">
        <v>2</v>
      </c>
      <c r="F247">
        <v>8</v>
      </c>
      <c r="G247">
        <v>1250.4000000000001</v>
      </c>
      <c r="H247" s="3">
        <v>9.2855000000000008</v>
      </c>
      <c r="I247" s="1">
        <v>45322</v>
      </c>
      <c r="J247" s="2">
        <v>0.14302083333333335</v>
      </c>
      <c r="K247">
        <v>0</v>
      </c>
      <c r="L247">
        <v>0</v>
      </c>
      <c r="M247">
        <v>0</v>
      </c>
      <c r="N247">
        <v>0</v>
      </c>
      <c r="O247">
        <v>0</v>
      </c>
      <c r="P247">
        <v>0</v>
      </c>
      <c r="Q247">
        <v>0</v>
      </c>
      <c r="R247">
        <v>0</v>
      </c>
      <c r="S247">
        <v>0</v>
      </c>
      <c r="T247">
        <v>0</v>
      </c>
      <c r="U247">
        <v>0</v>
      </c>
      <c r="V247">
        <v>0</v>
      </c>
      <c r="W247" s="4">
        <f t="shared" si="160"/>
        <v>9.3412399999999991</v>
      </c>
      <c r="Y247">
        <v>3</v>
      </c>
      <c r="Z247" t="s">
        <v>1</v>
      </c>
      <c r="AA247">
        <v>25920</v>
      </c>
      <c r="AB247">
        <v>192</v>
      </c>
      <c r="AC247">
        <v>2</v>
      </c>
      <c r="AD247">
        <v>8</v>
      </c>
      <c r="AE247">
        <v>1389.21</v>
      </c>
      <c r="AF247" s="3">
        <v>8.3575999999999997</v>
      </c>
      <c r="AG247" s="1">
        <v>45327</v>
      </c>
      <c r="AH247" s="2">
        <v>3.1168981481481482E-2</v>
      </c>
      <c r="AI247">
        <v>0</v>
      </c>
      <c r="AJ247">
        <v>0</v>
      </c>
      <c r="AK247">
        <v>0</v>
      </c>
      <c r="AL247">
        <v>0</v>
      </c>
      <c r="AM247">
        <v>0</v>
      </c>
      <c r="AN247">
        <v>0</v>
      </c>
      <c r="AO247">
        <v>0</v>
      </c>
      <c r="AP247">
        <v>0</v>
      </c>
      <c r="AQ247">
        <v>0</v>
      </c>
      <c r="AR247">
        <v>0</v>
      </c>
      <c r="AS247">
        <v>0</v>
      </c>
      <c r="AT247">
        <v>0</v>
      </c>
      <c r="AU247" s="3">
        <f t="shared" si="161"/>
        <v>8.3569599999999991</v>
      </c>
    </row>
    <row r="248" spans="1:47" x14ac:dyDescent="0.25">
      <c r="A248">
        <v>4</v>
      </c>
      <c r="B248" t="s">
        <v>1</v>
      </c>
      <c r="C248">
        <v>25920</v>
      </c>
      <c r="D248">
        <v>192</v>
      </c>
      <c r="E248">
        <v>2</v>
      </c>
      <c r="F248">
        <v>8</v>
      </c>
      <c r="G248">
        <v>1240.6500000000001</v>
      </c>
      <c r="H248" s="3">
        <v>9.3583999999999996</v>
      </c>
      <c r="I248" s="1">
        <v>45322</v>
      </c>
      <c r="J248" s="2">
        <v>0.98538194444444438</v>
      </c>
      <c r="K248">
        <v>0</v>
      </c>
      <c r="L248">
        <v>0</v>
      </c>
      <c r="M248">
        <v>0</v>
      </c>
      <c r="N248">
        <v>0</v>
      </c>
      <c r="O248">
        <v>0</v>
      </c>
      <c r="P248">
        <v>0</v>
      </c>
      <c r="Q248">
        <v>0</v>
      </c>
      <c r="R248">
        <v>0</v>
      </c>
      <c r="S248">
        <v>0</v>
      </c>
      <c r="T248">
        <v>0</v>
      </c>
      <c r="U248">
        <v>0</v>
      </c>
      <c r="V248">
        <v>0</v>
      </c>
      <c r="W248" s="4">
        <f t="shared" si="160"/>
        <v>9.3412399999999991</v>
      </c>
      <c r="Y248">
        <v>4</v>
      </c>
      <c r="Z248" t="s">
        <v>1</v>
      </c>
      <c r="AA248">
        <v>25920</v>
      </c>
      <c r="AB248">
        <v>192</v>
      </c>
      <c r="AC248">
        <v>2</v>
      </c>
      <c r="AD248">
        <v>8</v>
      </c>
      <c r="AE248">
        <v>1389.24</v>
      </c>
      <c r="AF248" s="3">
        <v>8.3574000000000002</v>
      </c>
      <c r="AG248" s="1">
        <v>45327</v>
      </c>
      <c r="AH248" s="2">
        <v>0.95100694444444445</v>
      </c>
      <c r="AI248">
        <v>0</v>
      </c>
      <c r="AJ248">
        <v>0</v>
      </c>
      <c r="AK248">
        <v>0</v>
      </c>
      <c r="AL248">
        <v>0</v>
      </c>
      <c r="AM248">
        <v>0</v>
      </c>
      <c r="AN248">
        <v>0</v>
      </c>
      <c r="AO248">
        <v>0</v>
      </c>
      <c r="AP248">
        <v>0</v>
      </c>
      <c r="AQ248">
        <v>0</v>
      </c>
      <c r="AR248">
        <v>0</v>
      </c>
      <c r="AS248">
        <v>0</v>
      </c>
      <c r="AT248">
        <v>0</v>
      </c>
      <c r="AU248" s="3">
        <f t="shared" si="161"/>
        <v>8.3569599999999991</v>
      </c>
    </row>
    <row r="249" spans="1:47" x14ac:dyDescent="0.25">
      <c r="A249">
        <v>0</v>
      </c>
      <c r="B249" t="s">
        <v>1</v>
      </c>
      <c r="C249">
        <v>27456</v>
      </c>
      <c r="D249">
        <v>192</v>
      </c>
      <c r="E249">
        <v>2</v>
      </c>
      <c r="F249">
        <v>8</v>
      </c>
      <c r="G249">
        <v>1468.42</v>
      </c>
      <c r="H249" s="3">
        <v>9.3972999999999995</v>
      </c>
      <c r="I249" s="1">
        <v>45319</v>
      </c>
      <c r="J249" s="2">
        <v>0.35337962962962965</v>
      </c>
      <c r="K249">
        <v>0</v>
      </c>
      <c r="L249">
        <v>0</v>
      </c>
      <c r="M249">
        <v>0</v>
      </c>
      <c r="N249">
        <v>0</v>
      </c>
      <c r="O249">
        <v>0</v>
      </c>
      <c r="P249">
        <v>0</v>
      </c>
      <c r="Q249">
        <v>0</v>
      </c>
      <c r="R249">
        <v>0</v>
      </c>
      <c r="S249">
        <v>0</v>
      </c>
      <c r="T249">
        <v>0</v>
      </c>
      <c r="U249">
        <v>0</v>
      </c>
      <c r="V249">
        <v>0</v>
      </c>
      <c r="W249" s="4">
        <f t="shared" ref="W249" si="194">AVERAGE(H249:H253)</f>
        <v>9.4063799999999986</v>
      </c>
      <c r="Y249">
        <v>0</v>
      </c>
      <c r="Z249" t="s">
        <v>1</v>
      </c>
      <c r="AA249">
        <v>27456</v>
      </c>
      <c r="AB249">
        <v>192</v>
      </c>
      <c r="AC249">
        <v>2</v>
      </c>
      <c r="AD249">
        <v>8</v>
      </c>
      <c r="AE249">
        <v>1653.95</v>
      </c>
      <c r="AF249" s="3">
        <v>8.3431999999999995</v>
      </c>
      <c r="AG249" s="1">
        <v>45324</v>
      </c>
      <c r="AH249" s="2">
        <v>1.2407407407407409E-2</v>
      </c>
      <c r="AI249">
        <v>0</v>
      </c>
      <c r="AJ249">
        <v>0</v>
      </c>
      <c r="AK249">
        <v>0</v>
      </c>
      <c r="AL249">
        <v>0</v>
      </c>
      <c r="AM249">
        <v>0</v>
      </c>
      <c r="AN249">
        <v>0</v>
      </c>
      <c r="AO249">
        <v>0</v>
      </c>
      <c r="AP249">
        <v>0</v>
      </c>
      <c r="AQ249">
        <v>0</v>
      </c>
      <c r="AR249">
        <v>0</v>
      </c>
      <c r="AS249">
        <v>0</v>
      </c>
      <c r="AT249">
        <v>0</v>
      </c>
      <c r="AU249" s="3">
        <f t="shared" ref="AU249" si="195">AVERAGE(AF249:AF253)</f>
        <v>8.3307600000000015</v>
      </c>
    </row>
    <row r="250" spans="1:47" x14ac:dyDescent="0.25">
      <c r="A250">
        <v>1</v>
      </c>
      <c r="B250" t="s">
        <v>1</v>
      </c>
      <c r="C250">
        <v>27456</v>
      </c>
      <c r="D250">
        <v>192</v>
      </c>
      <c r="E250">
        <v>2</v>
      </c>
      <c r="F250">
        <v>8</v>
      </c>
      <c r="G250">
        <v>1463.13</v>
      </c>
      <c r="H250" s="3">
        <v>9.4314</v>
      </c>
      <c r="I250" s="1">
        <v>45320</v>
      </c>
      <c r="J250" s="2">
        <v>0.19447916666666668</v>
      </c>
      <c r="K250">
        <v>0</v>
      </c>
      <c r="L250">
        <v>0</v>
      </c>
      <c r="M250">
        <v>0</v>
      </c>
      <c r="N250">
        <v>0</v>
      </c>
      <c r="O250">
        <v>0</v>
      </c>
      <c r="P250">
        <v>0</v>
      </c>
      <c r="Q250">
        <v>0</v>
      </c>
      <c r="R250">
        <v>0</v>
      </c>
      <c r="S250">
        <v>0</v>
      </c>
      <c r="T250">
        <v>0</v>
      </c>
      <c r="U250">
        <v>0</v>
      </c>
      <c r="V250">
        <v>0</v>
      </c>
      <c r="W250" s="4">
        <f t="shared" ref="W250" si="196">W249</f>
        <v>9.4063799999999986</v>
      </c>
      <c r="Y250">
        <v>1</v>
      </c>
      <c r="Z250" t="s">
        <v>1</v>
      </c>
      <c r="AA250">
        <v>27456</v>
      </c>
      <c r="AB250">
        <v>192</v>
      </c>
      <c r="AC250">
        <v>2</v>
      </c>
      <c r="AD250">
        <v>8</v>
      </c>
      <c r="AE250">
        <v>1654.5</v>
      </c>
      <c r="AF250" s="3">
        <v>8.3405000000000005</v>
      </c>
      <c r="AG250" s="1">
        <v>45324</v>
      </c>
      <c r="AH250" s="2">
        <v>0.90143518518518517</v>
      </c>
      <c r="AI250">
        <v>0</v>
      </c>
      <c r="AJ250">
        <v>0</v>
      </c>
      <c r="AK250">
        <v>0</v>
      </c>
      <c r="AL250">
        <v>0</v>
      </c>
      <c r="AM250">
        <v>0</v>
      </c>
      <c r="AN250">
        <v>0</v>
      </c>
      <c r="AO250">
        <v>0</v>
      </c>
      <c r="AP250">
        <v>0</v>
      </c>
      <c r="AQ250">
        <v>0</v>
      </c>
      <c r="AR250">
        <v>0</v>
      </c>
      <c r="AS250">
        <v>0</v>
      </c>
      <c r="AT250">
        <v>0</v>
      </c>
      <c r="AU250" s="3">
        <f t="shared" ref="AU250" si="197">AU249</f>
        <v>8.3307600000000015</v>
      </c>
    </row>
    <row r="251" spans="1:47" x14ac:dyDescent="0.25">
      <c r="A251">
        <v>2</v>
      </c>
      <c r="B251" t="s">
        <v>1</v>
      </c>
      <c r="C251">
        <v>27456</v>
      </c>
      <c r="D251">
        <v>192</v>
      </c>
      <c r="E251">
        <v>2</v>
      </c>
      <c r="F251">
        <v>8</v>
      </c>
      <c r="G251">
        <v>1464.71</v>
      </c>
      <c r="H251" s="3">
        <v>9.4212000000000007</v>
      </c>
      <c r="I251" s="1">
        <v>45321</v>
      </c>
      <c r="J251" s="2">
        <v>3.5960648148148151E-2</v>
      </c>
      <c r="K251">
        <v>0</v>
      </c>
      <c r="L251">
        <v>0</v>
      </c>
      <c r="M251">
        <v>0</v>
      </c>
      <c r="N251">
        <v>0</v>
      </c>
      <c r="O251">
        <v>0</v>
      </c>
      <c r="P251">
        <v>0</v>
      </c>
      <c r="Q251">
        <v>0</v>
      </c>
      <c r="R251">
        <v>0</v>
      </c>
      <c r="S251">
        <v>0</v>
      </c>
      <c r="T251">
        <v>0</v>
      </c>
      <c r="U251">
        <v>0</v>
      </c>
      <c r="V251">
        <v>0</v>
      </c>
      <c r="W251" s="4">
        <f t="shared" si="160"/>
        <v>9.4063799999999986</v>
      </c>
      <c r="Y251">
        <v>2</v>
      </c>
      <c r="Z251" t="s">
        <v>1</v>
      </c>
      <c r="AA251">
        <v>27456</v>
      </c>
      <c r="AB251">
        <v>192</v>
      </c>
      <c r="AC251">
        <v>2</v>
      </c>
      <c r="AD251">
        <v>8</v>
      </c>
      <c r="AE251">
        <v>1663.47</v>
      </c>
      <c r="AF251" s="3">
        <v>8.2955000000000005</v>
      </c>
      <c r="AG251" s="1">
        <v>45325</v>
      </c>
      <c r="AH251" s="2">
        <v>0.82087962962962957</v>
      </c>
      <c r="AI251">
        <v>0</v>
      </c>
      <c r="AJ251">
        <v>0</v>
      </c>
      <c r="AK251">
        <v>0</v>
      </c>
      <c r="AL251">
        <v>0</v>
      </c>
      <c r="AM251">
        <v>0</v>
      </c>
      <c r="AN251">
        <v>0</v>
      </c>
      <c r="AO251">
        <v>0</v>
      </c>
      <c r="AP251">
        <v>0</v>
      </c>
      <c r="AQ251">
        <v>0</v>
      </c>
      <c r="AR251">
        <v>0</v>
      </c>
      <c r="AS251">
        <v>0</v>
      </c>
      <c r="AT251">
        <v>0</v>
      </c>
      <c r="AU251" s="3">
        <f t="shared" si="161"/>
        <v>8.3307600000000015</v>
      </c>
    </row>
    <row r="252" spans="1:47" x14ac:dyDescent="0.25">
      <c r="A252">
        <v>3</v>
      </c>
      <c r="B252" t="s">
        <v>1</v>
      </c>
      <c r="C252">
        <v>27456</v>
      </c>
      <c r="D252">
        <v>192</v>
      </c>
      <c r="E252">
        <v>2</v>
      </c>
      <c r="F252">
        <v>8</v>
      </c>
      <c r="G252">
        <v>1471.71</v>
      </c>
      <c r="H252" s="3">
        <v>9.3763000000000005</v>
      </c>
      <c r="I252" s="1">
        <v>45321</v>
      </c>
      <c r="J252" s="2">
        <v>0.87802083333333336</v>
      </c>
      <c r="K252">
        <v>0</v>
      </c>
      <c r="L252">
        <v>0</v>
      </c>
      <c r="M252">
        <v>0</v>
      </c>
      <c r="N252">
        <v>0</v>
      </c>
      <c r="O252">
        <v>0</v>
      </c>
      <c r="P252">
        <v>0</v>
      </c>
      <c r="Q252">
        <v>0</v>
      </c>
      <c r="R252">
        <v>0</v>
      </c>
      <c r="S252">
        <v>0</v>
      </c>
      <c r="T252">
        <v>0</v>
      </c>
      <c r="U252">
        <v>0</v>
      </c>
      <c r="V252">
        <v>0</v>
      </c>
      <c r="W252" s="4">
        <f t="shared" si="160"/>
        <v>9.4063799999999986</v>
      </c>
      <c r="Y252">
        <v>3</v>
      </c>
      <c r="Z252" t="s">
        <v>1</v>
      </c>
      <c r="AA252">
        <v>27456</v>
      </c>
      <c r="AB252">
        <v>192</v>
      </c>
      <c r="AC252">
        <v>2</v>
      </c>
      <c r="AD252">
        <v>8</v>
      </c>
      <c r="AE252">
        <v>1655.33</v>
      </c>
      <c r="AF252" s="3">
        <v>8.3362999999999996</v>
      </c>
      <c r="AG252" s="1">
        <v>45326</v>
      </c>
      <c r="AH252" s="2">
        <v>0.74135416666666665</v>
      </c>
      <c r="AI252">
        <v>0</v>
      </c>
      <c r="AJ252">
        <v>0</v>
      </c>
      <c r="AK252">
        <v>0</v>
      </c>
      <c r="AL252">
        <v>0</v>
      </c>
      <c r="AM252">
        <v>0</v>
      </c>
      <c r="AN252">
        <v>0</v>
      </c>
      <c r="AO252">
        <v>0</v>
      </c>
      <c r="AP252">
        <v>0</v>
      </c>
      <c r="AQ252">
        <v>0</v>
      </c>
      <c r="AR252">
        <v>0</v>
      </c>
      <c r="AS252">
        <v>0</v>
      </c>
      <c r="AT252">
        <v>0</v>
      </c>
      <c r="AU252" s="3">
        <f t="shared" si="161"/>
        <v>8.3307600000000015</v>
      </c>
    </row>
    <row r="253" spans="1:47" x14ac:dyDescent="0.25">
      <c r="A253">
        <v>4</v>
      </c>
      <c r="B253" t="s">
        <v>1</v>
      </c>
      <c r="C253">
        <v>27456</v>
      </c>
      <c r="D253">
        <v>192</v>
      </c>
      <c r="E253">
        <v>2</v>
      </c>
      <c r="F253">
        <v>8</v>
      </c>
      <c r="G253">
        <v>1467.11</v>
      </c>
      <c r="H253" s="3">
        <v>9.4056999999999995</v>
      </c>
      <c r="I253" s="1">
        <v>45322</v>
      </c>
      <c r="J253" s="2">
        <v>0.7205787037037038</v>
      </c>
      <c r="K253">
        <v>0</v>
      </c>
      <c r="L253">
        <v>0</v>
      </c>
      <c r="M253">
        <v>0</v>
      </c>
      <c r="N253">
        <v>0</v>
      </c>
      <c r="O253">
        <v>0</v>
      </c>
      <c r="P253">
        <v>0</v>
      </c>
      <c r="Q253">
        <v>0</v>
      </c>
      <c r="R253">
        <v>0</v>
      </c>
      <c r="S253">
        <v>0</v>
      </c>
      <c r="T253">
        <v>0</v>
      </c>
      <c r="U253">
        <v>0</v>
      </c>
      <c r="V253">
        <v>0</v>
      </c>
      <c r="W253" s="4">
        <f t="shared" si="160"/>
        <v>9.4063799999999986</v>
      </c>
      <c r="Y253">
        <v>4</v>
      </c>
      <c r="Z253" t="s">
        <v>1</v>
      </c>
      <c r="AA253">
        <v>27456</v>
      </c>
      <c r="AB253">
        <v>192</v>
      </c>
      <c r="AC253">
        <v>2</v>
      </c>
      <c r="AD253">
        <v>8</v>
      </c>
      <c r="AE253">
        <v>1654.93</v>
      </c>
      <c r="AF253" s="3">
        <v>8.3383000000000003</v>
      </c>
      <c r="AG253" s="1">
        <v>45327</v>
      </c>
      <c r="AH253" s="2">
        <v>0.66112268518518513</v>
      </c>
      <c r="AI253">
        <v>0</v>
      </c>
      <c r="AJ253">
        <v>0</v>
      </c>
      <c r="AK253">
        <v>0</v>
      </c>
      <c r="AL253">
        <v>0</v>
      </c>
      <c r="AM253">
        <v>0</v>
      </c>
      <c r="AN253">
        <v>0</v>
      </c>
      <c r="AO253">
        <v>0</v>
      </c>
      <c r="AP253">
        <v>0</v>
      </c>
      <c r="AQ253">
        <v>0</v>
      </c>
      <c r="AR253">
        <v>0</v>
      </c>
      <c r="AS253">
        <v>0</v>
      </c>
      <c r="AT253">
        <v>0</v>
      </c>
      <c r="AU253" s="3">
        <f t="shared" si="161"/>
        <v>8.3307600000000015</v>
      </c>
    </row>
    <row r="254" spans="1:47" x14ac:dyDescent="0.25">
      <c r="A254">
        <v>0</v>
      </c>
      <c r="B254" t="s">
        <v>1</v>
      </c>
      <c r="C254">
        <v>28992</v>
      </c>
      <c r="D254">
        <v>192</v>
      </c>
      <c r="E254">
        <v>2</v>
      </c>
      <c r="F254">
        <v>8</v>
      </c>
      <c r="G254">
        <v>1705.97</v>
      </c>
      <c r="H254" s="3">
        <v>9.5236999999999998</v>
      </c>
      <c r="I254" s="1">
        <v>45319</v>
      </c>
      <c r="J254" s="2">
        <v>0.88528935185185187</v>
      </c>
      <c r="K254">
        <v>0</v>
      </c>
      <c r="L254">
        <v>0</v>
      </c>
      <c r="M254">
        <v>0</v>
      </c>
      <c r="N254">
        <v>0</v>
      </c>
      <c r="O254">
        <v>0</v>
      </c>
      <c r="P254">
        <v>0</v>
      </c>
      <c r="Q254">
        <v>0</v>
      </c>
      <c r="R254">
        <v>0</v>
      </c>
      <c r="S254">
        <v>0</v>
      </c>
      <c r="T254">
        <v>0</v>
      </c>
      <c r="U254">
        <v>0</v>
      </c>
      <c r="V254">
        <v>0</v>
      </c>
      <c r="W254" s="4">
        <f t="shared" ref="W254" si="198">AVERAGE(H254:H258)</f>
        <v>9.5130400000000002</v>
      </c>
      <c r="Y254">
        <v>0</v>
      </c>
      <c r="Z254" t="s">
        <v>1</v>
      </c>
      <c r="AA254">
        <v>28992</v>
      </c>
      <c r="AB254">
        <v>192</v>
      </c>
      <c r="AC254">
        <v>2</v>
      </c>
      <c r="AD254">
        <v>8</v>
      </c>
      <c r="AE254">
        <v>1910.71</v>
      </c>
      <c r="AF254" s="3">
        <v>8.5031999999999996</v>
      </c>
      <c r="AG254" s="1">
        <v>45324</v>
      </c>
      <c r="AH254" s="2">
        <v>0.57335648148148144</v>
      </c>
      <c r="AI254">
        <v>0</v>
      </c>
      <c r="AJ254">
        <v>0</v>
      </c>
      <c r="AK254">
        <v>0</v>
      </c>
      <c r="AL254">
        <v>0</v>
      </c>
      <c r="AM254">
        <v>0</v>
      </c>
      <c r="AN254">
        <v>0</v>
      </c>
      <c r="AO254">
        <v>0</v>
      </c>
      <c r="AP254">
        <v>0</v>
      </c>
      <c r="AQ254">
        <v>0</v>
      </c>
      <c r="AR254">
        <v>0</v>
      </c>
      <c r="AS254">
        <v>0</v>
      </c>
      <c r="AT254">
        <v>0</v>
      </c>
      <c r="AU254" s="3">
        <f t="shared" ref="AU254" si="199">AVERAGE(AF254:AF258)</f>
        <v>8.5022800000000007</v>
      </c>
    </row>
    <row r="255" spans="1:47" x14ac:dyDescent="0.25">
      <c r="A255">
        <v>1</v>
      </c>
      <c r="B255" t="s">
        <v>1</v>
      </c>
      <c r="C255">
        <v>28992</v>
      </c>
      <c r="D255">
        <v>192</v>
      </c>
      <c r="E255">
        <v>2</v>
      </c>
      <c r="F255">
        <v>8</v>
      </c>
      <c r="G255">
        <v>1711.15</v>
      </c>
      <c r="H255" s="3">
        <v>9.4948999999999995</v>
      </c>
      <c r="I255" s="1">
        <v>45320</v>
      </c>
      <c r="J255" s="2">
        <v>0.72655092592592585</v>
      </c>
      <c r="K255">
        <v>0</v>
      </c>
      <c r="L255">
        <v>0</v>
      </c>
      <c r="M255">
        <v>0</v>
      </c>
      <c r="N255">
        <v>0</v>
      </c>
      <c r="O255">
        <v>0</v>
      </c>
      <c r="P255">
        <v>0</v>
      </c>
      <c r="Q255">
        <v>0</v>
      </c>
      <c r="R255">
        <v>0</v>
      </c>
      <c r="S255">
        <v>0</v>
      </c>
      <c r="T255">
        <v>0</v>
      </c>
      <c r="U255">
        <v>0</v>
      </c>
      <c r="V255">
        <v>0</v>
      </c>
      <c r="W255" s="4">
        <f t="shared" ref="W255" si="200">W254</f>
        <v>9.5130400000000002</v>
      </c>
      <c r="Y255">
        <v>1</v>
      </c>
      <c r="Z255" t="s">
        <v>1</v>
      </c>
      <c r="AA255">
        <v>28992</v>
      </c>
      <c r="AB255">
        <v>192</v>
      </c>
      <c r="AC255">
        <v>2</v>
      </c>
      <c r="AD255">
        <v>8</v>
      </c>
      <c r="AE255">
        <v>1911.43</v>
      </c>
      <c r="AF255" s="3">
        <v>8.5</v>
      </c>
      <c r="AG255" s="1">
        <v>45325</v>
      </c>
      <c r="AH255" s="2">
        <v>0.48333333333333334</v>
      </c>
      <c r="AI255">
        <v>0</v>
      </c>
      <c r="AJ255">
        <v>0</v>
      </c>
      <c r="AK255">
        <v>0</v>
      </c>
      <c r="AL255">
        <v>0</v>
      </c>
      <c r="AM255">
        <v>0</v>
      </c>
      <c r="AN255">
        <v>0</v>
      </c>
      <c r="AO255">
        <v>0</v>
      </c>
      <c r="AP255">
        <v>0</v>
      </c>
      <c r="AQ255">
        <v>0</v>
      </c>
      <c r="AR255">
        <v>0</v>
      </c>
      <c r="AS255">
        <v>0</v>
      </c>
      <c r="AT255">
        <v>0</v>
      </c>
      <c r="AU255" s="3">
        <f t="shared" ref="AU255" si="201">AU254</f>
        <v>8.5022800000000007</v>
      </c>
    </row>
    <row r="256" spans="1:47" x14ac:dyDescent="0.25">
      <c r="A256">
        <v>2</v>
      </c>
      <c r="B256" t="s">
        <v>1</v>
      </c>
      <c r="C256">
        <v>28992</v>
      </c>
      <c r="D256">
        <v>192</v>
      </c>
      <c r="E256">
        <v>2</v>
      </c>
      <c r="F256">
        <v>8</v>
      </c>
      <c r="G256">
        <v>1705.93</v>
      </c>
      <c r="H256" s="3">
        <v>9.5238999999999994</v>
      </c>
      <c r="I256" s="1">
        <v>45321</v>
      </c>
      <c r="J256" s="2">
        <v>0.56877314814814817</v>
      </c>
      <c r="K256">
        <v>0</v>
      </c>
      <c r="L256">
        <v>0</v>
      </c>
      <c r="M256">
        <v>0</v>
      </c>
      <c r="N256">
        <v>0</v>
      </c>
      <c r="O256">
        <v>0</v>
      </c>
      <c r="P256">
        <v>0</v>
      </c>
      <c r="Q256">
        <v>0</v>
      </c>
      <c r="R256">
        <v>0</v>
      </c>
      <c r="S256">
        <v>0</v>
      </c>
      <c r="T256">
        <v>0</v>
      </c>
      <c r="U256">
        <v>0</v>
      </c>
      <c r="V256">
        <v>0</v>
      </c>
      <c r="W256" s="4">
        <f t="shared" si="160"/>
        <v>9.5130400000000002</v>
      </c>
      <c r="Y256">
        <v>2</v>
      </c>
      <c r="Z256" t="s">
        <v>1</v>
      </c>
      <c r="AA256">
        <v>28992</v>
      </c>
      <c r="AB256">
        <v>192</v>
      </c>
      <c r="AC256">
        <v>2</v>
      </c>
      <c r="AD256">
        <v>8</v>
      </c>
      <c r="AE256">
        <v>1910.55</v>
      </c>
      <c r="AF256" s="3">
        <v>8.5038999999999998</v>
      </c>
      <c r="AG256" s="1">
        <v>45326</v>
      </c>
      <c r="AH256" s="2">
        <v>0.40348379629629627</v>
      </c>
      <c r="AI256">
        <v>0</v>
      </c>
      <c r="AJ256">
        <v>0</v>
      </c>
      <c r="AK256">
        <v>0</v>
      </c>
      <c r="AL256">
        <v>0</v>
      </c>
      <c r="AM256">
        <v>0</v>
      </c>
      <c r="AN256">
        <v>0</v>
      </c>
      <c r="AO256">
        <v>0</v>
      </c>
      <c r="AP256">
        <v>0</v>
      </c>
      <c r="AQ256">
        <v>0</v>
      </c>
      <c r="AR256">
        <v>0</v>
      </c>
      <c r="AS256">
        <v>0</v>
      </c>
      <c r="AT256">
        <v>0</v>
      </c>
      <c r="AU256" s="3">
        <f t="shared" si="161"/>
        <v>8.5022800000000007</v>
      </c>
    </row>
    <row r="257" spans="1:47" x14ac:dyDescent="0.25">
      <c r="A257">
        <v>3</v>
      </c>
      <c r="B257" t="s">
        <v>1</v>
      </c>
      <c r="C257">
        <v>28992</v>
      </c>
      <c r="D257">
        <v>192</v>
      </c>
      <c r="E257">
        <v>2</v>
      </c>
      <c r="F257">
        <v>8</v>
      </c>
      <c r="G257">
        <v>1709.09</v>
      </c>
      <c r="H257" s="3">
        <v>9.5062999999999995</v>
      </c>
      <c r="I257" s="1">
        <v>45322</v>
      </c>
      <c r="J257" s="2">
        <v>0.41115740740740742</v>
      </c>
      <c r="K257">
        <v>0</v>
      </c>
      <c r="L257">
        <v>0</v>
      </c>
      <c r="M257">
        <v>0</v>
      </c>
      <c r="N257">
        <v>0</v>
      </c>
      <c r="O257">
        <v>0</v>
      </c>
      <c r="P257">
        <v>0</v>
      </c>
      <c r="Q257">
        <v>0</v>
      </c>
      <c r="R257">
        <v>0</v>
      </c>
      <c r="S257">
        <v>0</v>
      </c>
      <c r="T257">
        <v>0</v>
      </c>
      <c r="U257">
        <v>0</v>
      </c>
      <c r="V257">
        <v>0</v>
      </c>
      <c r="W257" s="4">
        <f t="shared" si="160"/>
        <v>9.5130400000000002</v>
      </c>
      <c r="Y257">
        <v>3</v>
      </c>
      <c r="Z257" t="s">
        <v>1</v>
      </c>
      <c r="AA257">
        <v>28992</v>
      </c>
      <c r="AB257">
        <v>192</v>
      </c>
      <c r="AC257">
        <v>2</v>
      </c>
      <c r="AD257">
        <v>8</v>
      </c>
      <c r="AE257">
        <v>1909.97</v>
      </c>
      <c r="AF257" s="3">
        <v>8.5065000000000008</v>
      </c>
      <c r="AG257" s="1">
        <v>45327</v>
      </c>
      <c r="AH257" s="2">
        <v>0.32368055555555558</v>
      </c>
      <c r="AI257">
        <v>0</v>
      </c>
      <c r="AJ257">
        <v>0</v>
      </c>
      <c r="AK257">
        <v>0</v>
      </c>
      <c r="AL257">
        <v>0</v>
      </c>
      <c r="AM257">
        <v>0</v>
      </c>
      <c r="AN257">
        <v>0</v>
      </c>
      <c r="AO257">
        <v>0</v>
      </c>
      <c r="AP257">
        <v>0</v>
      </c>
      <c r="AQ257">
        <v>0</v>
      </c>
      <c r="AR257">
        <v>0</v>
      </c>
      <c r="AS257">
        <v>0</v>
      </c>
      <c r="AT257">
        <v>0</v>
      </c>
      <c r="AU257" s="3">
        <f t="shared" si="161"/>
        <v>8.5022800000000007</v>
      </c>
    </row>
    <row r="258" spans="1:47" x14ac:dyDescent="0.25">
      <c r="A258">
        <v>4</v>
      </c>
      <c r="B258" t="s">
        <v>1</v>
      </c>
      <c r="C258">
        <v>28992</v>
      </c>
      <c r="D258">
        <v>192</v>
      </c>
      <c r="E258">
        <v>2</v>
      </c>
      <c r="F258">
        <v>8</v>
      </c>
      <c r="G258">
        <v>1707.27</v>
      </c>
      <c r="H258" s="3">
        <v>9.5164000000000009</v>
      </c>
      <c r="I258" s="1">
        <v>45323</v>
      </c>
      <c r="J258" s="2">
        <v>0.25363425925925925</v>
      </c>
      <c r="K258">
        <v>0</v>
      </c>
      <c r="L258">
        <v>0</v>
      </c>
      <c r="M258">
        <v>0</v>
      </c>
      <c r="N258">
        <v>0</v>
      </c>
      <c r="O258">
        <v>0</v>
      </c>
      <c r="P258">
        <v>0</v>
      </c>
      <c r="Q258">
        <v>0</v>
      </c>
      <c r="R258">
        <v>0</v>
      </c>
      <c r="S258">
        <v>0</v>
      </c>
      <c r="T258">
        <v>0</v>
      </c>
      <c r="U258">
        <v>0</v>
      </c>
      <c r="V258">
        <v>0</v>
      </c>
      <c r="W258" s="4">
        <f t="shared" si="160"/>
        <v>9.5130400000000002</v>
      </c>
      <c r="Y258">
        <v>4</v>
      </c>
      <c r="Z258" t="s">
        <v>1</v>
      </c>
      <c r="AA258">
        <v>28992</v>
      </c>
      <c r="AB258">
        <v>192</v>
      </c>
      <c r="AC258">
        <v>2</v>
      </c>
      <c r="AD258">
        <v>8</v>
      </c>
      <c r="AE258">
        <v>1911.93</v>
      </c>
      <c r="AF258" s="3">
        <v>8.4977999999999998</v>
      </c>
      <c r="AG258" s="1">
        <v>45328</v>
      </c>
      <c r="AH258" s="2">
        <v>0.24334490740740741</v>
      </c>
      <c r="AI258">
        <v>0</v>
      </c>
      <c r="AJ258">
        <v>0</v>
      </c>
      <c r="AK258">
        <v>0</v>
      </c>
      <c r="AL258">
        <v>0</v>
      </c>
      <c r="AM258">
        <v>0</v>
      </c>
      <c r="AN258">
        <v>0</v>
      </c>
      <c r="AO258">
        <v>0</v>
      </c>
      <c r="AP258">
        <v>0</v>
      </c>
      <c r="AQ258">
        <v>0</v>
      </c>
      <c r="AR258">
        <v>0</v>
      </c>
      <c r="AS258">
        <v>0</v>
      </c>
      <c r="AT258">
        <v>0</v>
      </c>
      <c r="AU258" s="3">
        <f t="shared" si="161"/>
        <v>8.5022800000000007</v>
      </c>
    </row>
    <row r="259" spans="1:47" x14ac:dyDescent="0.25">
      <c r="A259">
        <v>0</v>
      </c>
      <c r="B259" t="s">
        <v>1</v>
      </c>
      <c r="C259">
        <v>25920</v>
      </c>
      <c r="D259">
        <v>192</v>
      </c>
      <c r="E259">
        <v>4</v>
      </c>
      <c r="F259">
        <v>4</v>
      </c>
      <c r="G259">
        <v>1236.95</v>
      </c>
      <c r="H259" s="3">
        <v>9.3864000000000001</v>
      </c>
      <c r="I259" s="1">
        <v>45319</v>
      </c>
      <c r="J259" s="2">
        <v>0.63378472222222226</v>
      </c>
      <c r="K259">
        <v>0</v>
      </c>
      <c r="L259">
        <v>0</v>
      </c>
      <c r="M259">
        <v>0</v>
      </c>
      <c r="N259">
        <v>0</v>
      </c>
      <c r="O259">
        <v>0</v>
      </c>
      <c r="P259">
        <v>0</v>
      </c>
      <c r="Q259">
        <v>0</v>
      </c>
      <c r="R259">
        <v>0</v>
      </c>
      <c r="S259">
        <v>0</v>
      </c>
      <c r="T259">
        <v>0</v>
      </c>
      <c r="U259">
        <v>0</v>
      </c>
      <c r="V259">
        <v>0</v>
      </c>
      <c r="W259" s="4">
        <f t="shared" ref="W259" si="202">AVERAGE(H259:H263)</f>
        <v>9.3132599999999996</v>
      </c>
      <c r="Y259">
        <v>0</v>
      </c>
      <c r="Z259" t="s">
        <v>1</v>
      </c>
      <c r="AA259">
        <v>25920</v>
      </c>
      <c r="AB259">
        <v>192</v>
      </c>
      <c r="AC259">
        <v>4</v>
      </c>
      <c r="AD259">
        <v>4</v>
      </c>
      <c r="AE259">
        <v>1367.53</v>
      </c>
      <c r="AF259" s="3">
        <v>8.4901</v>
      </c>
      <c r="AG259" s="1">
        <v>45324</v>
      </c>
      <c r="AH259" s="2">
        <v>0.30778935185185186</v>
      </c>
      <c r="AI259">
        <v>0</v>
      </c>
      <c r="AJ259">
        <v>0</v>
      </c>
      <c r="AK259">
        <v>0</v>
      </c>
      <c r="AL259">
        <v>0</v>
      </c>
      <c r="AM259">
        <v>0</v>
      </c>
      <c r="AN259">
        <v>0</v>
      </c>
      <c r="AO259">
        <v>0</v>
      </c>
      <c r="AP259">
        <v>0</v>
      </c>
      <c r="AQ259">
        <v>0</v>
      </c>
      <c r="AR259">
        <v>0</v>
      </c>
      <c r="AS259">
        <v>0</v>
      </c>
      <c r="AT259">
        <v>0</v>
      </c>
      <c r="AU259" s="3">
        <f t="shared" ref="AU259" si="203">AVERAGE(AF259:AF263)</f>
        <v>8.4873999999999992</v>
      </c>
    </row>
    <row r="260" spans="1:47" x14ac:dyDescent="0.25">
      <c r="A260">
        <v>1</v>
      </c>
      <c r="B260" t="s">
        <v>1</v>
      </c>
      <c r="C260">
        <v>25920</v>
      </c>
      <c r="D260">
        <v>192</v>
      </c>
      <c r="E260">
        <v>4</v>
      </c>
      <c r="F260">
        <v>4</v>
      </c>
      <c r="G260">
        <v>1241</v>
      </c>
      <c r="H260" s="3">
        <v>9.3557000000000006</v>
      </c>
      <c r="I260" s="1">
        <v>45320</v>
      </c>
      <c r="J260" s="2">
        <v>0.47494212962962962</v>
      </c>
      <c r="K260">
        <v>0</v>
      </c>
      <c r="L260">
        <v>0</v>
      </c>
      <c r="M260">
        <v>0</v>
      </c>
      <c r="N260">
        <v>0</v>
      </c>
      <c r="O260">
        <v>0</v>
      </c>
      <c r="P260">
        <v>0</v>
      </c>
      <c r="Q260">
        <v>0</v>
      </c>
      <c r="R260">
        <v>0</v>
      </c>
      <c r="S260">
        <v>0</v>
      </c>
      <c r="T260">
        <v>0</v>
      </c>
      <c r="U260">
        <v>0</v>
      </c>
      <c r="V260">
        <v>0</v>
      </c>
      <c r="W260" s="4">
        <f t="shared" ref="W260" si="204">W259</f>
        <v>9.3132599999999996</v>
      </c>
      <c r="Y260">
        <v>1</v>
      </c>
      <c r="Z260" t="s">
        <v>1</v>
      </c>
      <c r="AA260">
        <v>25920</v>
      </c>
      <c r="AB260">
        <v>192</v>
      </c>
      <c r="AC260">
        <v>4</v>
      </c>
      <c r="AD260">
        <v>4</v>
      </c>
      <c r="AE260">
        <v>1368.61</v>
      </c>
      <c r="AF260" s="3">
        <v>8.4833999999999996</v>
      </c>
      <c r="AG260" s="1">
        <v>45325</v>
      </c>
      <c r="AH260" s="2">
        <v>0.20834490740740741</v>
      </c>
      <c r="AI260">
        <v>0</v>
      </c>
      <c r="AJ260">
        <v>0</v>
      </c>
      <c r="AK260">
        <v>0</v>
      </c>
      <c r="AL260">
        <v>0</v>
      </c>
      <c r="AM260">
        <v>0</v>
      </c>
      <c r="AN260">
        <v>0</v>
      </c>
      <c r="AO260">
        <v>0</v>
      </c>
      <c r="AP260">
        <v>0</v>
      </c>
      <c r="AQ260">
        <v>0</v>
      </c>
      <c r="AR260">
        <v>0</v>
      </c>
      <c r="AS260">
        <v>0</v>
      </c>
      <c r="AT260">
        <v>0</v>
      </c>
      <c r="AU260" s="3">
        <f t="shared" ref="AU260" si="205">AU259</f>
        <v>8.4873999999999992</v>
      </c>
    </row>
    <row r="261" spans="1:47" x14ac:dyDescent="0.25">
      <c r="A261">
        <v>2</v>
      </c>
      <c r="B261" t="s">
        <v>1</v>
      </c>
      <c r="C261">
        <v>25920</v>
      </c>
      <c r="D261">
        <v>192</v>
      </c>
      <c r="E261">
        <v>4</v>
      </c>
      <c r="F261">
        <v>4</v>
      </c>
      <c r="G261">
        <v>1248.97</v>
      </c>
      <c r="H261" s="3">
        <v>9.2960999999999991</v>
      </c>
      <c r="I261" s="1">
        <v>45321</v>
      </c>
      <c r="J261" s="2">
        <v>0.31667824074074075</v>
      </c>
      <c r="K261">
        <v>0</v>
      </c>
      <c r="L261">
        <v>0</v>
      </c>
      <c r="M261">
        <v>0</v>
      </c>
      <c r="N261">
        <v>0</v>
      </c>
      <c r="O261">
        <v>0</v>
      </c>
      <c r="P261">
        <v>0</v>
      </c>
      <c r="Q261">
        <v>0</v>
      </c>
      <c r="R261">
        <v>0</v>
      </c>
      <c r="S261">
        <v>0</v>
      </c>
      <c r="T261">
        <v>0</v>
      </c>
      <c r="U261">
        <v>0</v>
      </c>
      <c r="V261">
        <v>0</v>
      </c>
      <c r="W261" s="4">
        <f t="shared" si="160"/>
        <v>9.3132599999999996</v>
      </c>
      <c r="Y261">
        <v>2</v>
      </c>
      <c r="Z261" t="s">
        <v>1</v>
      </c>
      <c r="AA261">
        <v>25920</v>
      </c>
      <c r="AB261">
        <v>192</v>
      </c>
      <c r="AC261">
        <v>4</v>
      </c>
      <c r="AD261">
        <v>4</v>
      </c>
      <c r="AE261">
        <v>1367.8</v>
      </c>
      <c r="AF261" s="3">
        <v>8.4885000000000002</v>
      </c>
      <c r="AG261" s="1">
        <v>45326</v>
      </c>
      <c r="AH261" s="2">
        <v>0.12862268518518519</v>
      </c>
      <c r="AI261">
        <v>0</v>
      </c>
      <c r="AJ261">
        <v>0</v>
      </c>
      <c r="AK261">
        <v>0</v>
      </c>
      <c r="AL261">
        <v>0</v>
      </c>
      <c r="AM261">
        <v>0</v>
      </c>
      <c r="AN261">
        <v>0</v>
      </c>
      <c r="AO261">
        <v>0</v>
      </c>
      <c r="AP261">
        <v>0</v>
      </c>
      <c r="AQ261">
        <v>0</v>
      </c>
      <c r="AR261">
        <v>0</v>
      </c>
      <c r="AS261">
        <v>0</v>
      </c>
      <c r="AT261">
        <v>0</v>
      </c>
      <c r="AU261" s="3">
        <f t="shared" si="161"/>
        <v>8.4873999999999992</v>
      </c>
    </row>
    <row r="262" spans="1:47" x14ac:dyDescent="0.25">
      <c r="A262">
        <v>3</v>
      </c>
      <c r="B262" t="s">
        <v>1</v>
      </c>
      <c r="C262">
        <v>25920</v>
      </c>
      <c r="D262">
        <v>192</v>
      </c>
      <c r="E262">
        <v>4</v>
      </c>
      <c r="F262">
        <v>4</v>
      </c>
      <c r="G262">
        <v>1256.97</v>
      </c>
      <c r="H262" s="3">
        <v>9.2369000000000003</v>
      </c>
      <c r="I262" s="1">
        <v>45322</v>
      </c>
      <c r="J262" s="2">
        <v>0.15890046296296298</v>
      </c>
      <c r="K262">
        <v>0</v>
      </c>
      <c r="L262">
        <v>0</v>
      </c>
      <c r="M262">
        <v>0</v>
      </c>
      <c r="N262">
        <v>0</v>
      </c>
      <c r="O262">
        <v>0</v>
      </c>
      <c r="P262">
        <v>0</v>
      </c>
      <c r="Q262">
        <v>0</v>
      </c>
      <c r="R262">
        <v>0</v>
      </c>
      <c r="S262">
        <v>0</v>
      </c>
      <c r="T262">
        <v>0</v>
      </c>
      <c r="U262">
        <v>0</v>
      </c>
      <c r="V262">
        <v>0</v>
      </c>
      <c r="W262" s="4">
        <f t="shared" si="160"/>
        <v>9.3132599999999996</v>
      </c>
      <c r="Y262">
        <v>3</v>
      </c>
      <c r="Z262" t="s">
        <v>1</v>
      </c>
      <c r="AA262">
        <v>25920</v>
      </c>
      <c r="AB262">
        <v>192</v>
      </c>
      <c r="AC262">
        <v>4</v>
      </c>
      <c r="AD262">
        <v>4</v>
      </c>
      <c r="AE262">
        <v>1367.99</v>
      </c>
      <c r="AF262" s="3">
        <v>8.4872999999999994</v>
      </c>
      <c r="AG262" s="1">
        <v>45327</v>
      </c>
      <c r="AH262" s="2">
        <v>4.8171296296296295E-2</v>
      </c>
      <c r="AI262">
        <v>0</v>
      </c>
      <c r="AJ262">
        <v>0</v>
      </c>
      <c r="AK262">
        <v>0</v>
      </c>
      <c r="AL262">
        <v>0</v>
      </c>
      <c r="AM262">
        <v>0</v>
      </c>
      <c r="AN262">
        <v>0</v>
      </c>
      <c r="AO262">
        <v>0</v>
      </c>
      <c r="AP262">
        <v>0</v>
      </c>
      <c r="AQ262">
        <v>0</v>
      </c>
      <c r="AR262">
        <v>0</v>
      </c>
      <c r="AS262">
        <v>0</v>
      </c>
      <c r="AT262">
        <v>0</v>
      </c>
      <c r="AU262" s="3">
        <f t="shared" si="161"/>
        <v>8.4873999999999992</v>
      </c>
    </row>
    <row r="263" spans="1:47" x14ac:dyDescent="0.25">
      <c r="A263">
        <v>4</v>
      </c>
      <c r="B263" t="s">
        <v>1</v>
      </c>
      <c r="C263">
        <v>25920</v>
      </c>
      <c r="D263">
        <v>192</v>
      </c>
      <c r="E263">
        <v>4</v>
      </c>
      <c r="F263">
        <v>4</v>
      </c>
      <c r="G263">
        <v>1249.6300000000001</v>
      </c>
      <c r="H263" s="3">
        <v>9.2911999999999999</v>
      </c>
      <c r="I263" s="1">
        <v>45323</v>
      </c>
      <c r="J263" s="2">
        <v>1.1921296296296296E-3</v>
      </c>
      <c r="K263">
        <v>0</v>
      </c>
      <c r="L263">
        <v>0</v>
      </c>
      <c r="M263">
        <v>0</v>
      </c>
      <c r="N263">
        <v>0</v>
      </c>
      <c r="O263">
        <v>0</v>
      </c>
      <c r="P263">
        <v>0</v>
      </c>
      <c r="Q263">
        <v>0</v>
      </c>
      <c r="R263">
        <v>0</v>
      </c>
      <c r="S263">
        <v>0</v>
      </c>
      <c r="T263">
        <v>0</v>
      </c>
      <c r="U263">
        <v>0</v>
      </c>
      <c r="V263">
        <v>0</v>
      </c>
      <c r="W263" s="4">
        <f t="shared" si="160"/>
        <v>9.3132599999999996</v>
      </c>
      <c r="Y263">
        <v>4</v>
      </c>
      <c r="Z263" t="s">
        <v>1</v>
      </c>
      <c r="AA263">
        <v>25920</v>
      </c>
      <c r="AB263">
        <v>192</v>
      </c>
      <c r="AC263">
        <v>4</v>
      </c>
      <c r="AD263">
        <v>4</v>
      </c>
      <c r="AE263">
        <v>1367.92</v>
      </c>
      <c r="AF263" s="3">
        <v>8.4877000000000002</v>
      </c>
      <c r="AG263" s="1">
        <v>45327</v>
      </c>
      <c r="AH263" s="2">
        <v>0.96802083333333344</v>
      </c>
      <c r="AI263">
        <v>0</v>
      </c>
      <c r="AJ263">
        <v>0</v>
      </c>
      <c r="AK263">
        <v>0</v>
      </c>
      <c r="AL263">
        <v>0</v>
      </c>
      <c r="AM263">
        <v>0</v>
      </c>
      <c r="AN263">
        <v>0</v>
      </c>
      <c r="AO263">
        <v>0</v>
      </c>
      <c r="AP263">
        <v>0</v>
      </c>
      <c r="AQ263">
        <v>0</v>
      </c>
      <c r="AR263">
        <v>0</v>
      </c>
      <c r="AS263">
        <v>0</v>
      </c>
      <c r="AT263">
        <v>0</v>
      </c>
      <c r="AU263" s="3">
        <f t="shared" si="161"/>
        <v>8.4873999999999992</v>
      </c>
    </row>
    <row r="264" spans="1:47" x14ac:dyDescent="0.25">
      <c r="A264">
        <v>0</v>
      </c>
      <c r="B264" t="s">
        <v>1</v>
      </c>
      <c r="C264">
        <v>27456</v>
      </c>
      <c r="D264">
        <v>192</v>
      </c>
      <c r="E264">
        <v>4</v>
      </c>
      <c r="F264">
        <v>4</v>
      </c>
      <c r="G264">
        <v>1460.59</v>
      </c>
      <c r="H264" s="3">
        <v>9.4476999999999993</v>
      </c>
      <c r="I264" s="1">
        <v>45319</v>
      </c>
      <c r="J264" s="2">
        <v>0.37178240740740742</v>
      </c>
      <c r="K264">
        <v>0</v>
      </c>
      <c r="L264">
        <v>0</v>
      </c>
      <c r="M264">
        <v>0</v>
      </c>
      <c r="N264">
        <v>0</v>
      </c>
      <c r="O264">
        <v>0</v>
      </c>
      <c r="P264">
        <v>0</v>
      </c>
      <c r="Q264">
        <v>0</v>
      </c>
      <c r="R264">
        <v>0</v>
      </c>
      <c r="S264">
        <v>0</v>
      </c>
      <c r="T264">
        <v>0</v>
      </c>
      <c r="U264">
        <v>0</v>
      </c>
      <c r="V264">
        <v>0</v>
      </c>
      <c r="W264" s="4">
        <f t="shared" ref="W264" si="206">AVERAGE(H264:H268)</f>
        <v>9.4525600000000001</v>
      </c>
      <c r="Y264">
        <v>0</v>
      </c>
      <c r="Z264" t="s">
        <v>1</v>
      </c>
      <c r="AA264">
        <v>27456</v>
      </c>
      <c r="AB264">
        <v>192</v>
      </c>
      <c r="AC264">
        <v>4</v>
      </c>
      <c r="AD264">
        <v>4</v>
      </c>
      <c r="AE264">
        <v>1624.45</v>
      </c>
      <c r="AF264" s="3">
        <v>8.4946999999999999</v>
      </c>
      <c r="AG264" s="1">
        <v>45324</v>
      </c>
      <c r="AH264" s="2">
        <v>3.155092592592592E-2</v>
      </c>
      <c r="AI264">
        <v>0</v>
      </c>
      <c r="AJ264">
        <v>0</v>
      </c>
      <c r="AK264">
        <v>0</v>
      </c>
      <c r="AL264">
        <v>0</v>
      </c>
      <c r="AM264">
        <v>0</v>
      </c>
      <c r="AN264">
        <v>0</v>
      </c>
      <c r="AO264">
        <v>0</v>
      </c>
      <c r="AP264">
        <v>0</v>
      </c>
      <c r="AQ264">
        <v>0</v>
      </c>
      <c r="AR264">
        <v>0</v>
      </c>
      <c r="AS264">
        <v>0</v>
      </c>
      <c r="AT264">
        <v>0</v>
      </c>
      <c r="AU264" s="3">
        <f t="shared" ref="AU264" si="207">AVERAGE(AF264:AF268)</f>
        <v>8.4788199999999989</v>
      </c>
    </row>
    <row r="265" spans="1:47" x14ac:dyDescent="0.25">
      <c r="A265">
        <v>1</v>
      </c>
      <c r="B265" t="s">
        <v>1</v>
      </c>
      <c r="C265">
        <v>27456</v>
      </c>
      <c r="D265">
        <v>192</v>
      </c>
      <c r="E265">
        <v>4</v>
      </c>
      <c r="F265">
        <v>4</v>
      </c>
      <c r="G265">
        <v>1457.51</v>
      </c>
      <c r="H265" s="3">
        <v>9.4677000000000007</v>
      </c>
      <c r="I265" s="1">
        <v>45320</v>
      </c>
      <c r="J265" s="2">
        <v>0.21283564814814815</v>
      </c>
      <c r="K265">
        <v>0</v>
      </c>
      <c r="L265">
        <v>0</v>
      </c>
      <c r="M265">
        <v>0</v>
      </c>
      <c r="N265">
        <v>0</v>
      </c>
      <c r="O265">
        <v>0</v>
      </c>
      <c r="P265">
        <v>0</v>
      </c>
      <c r="Q265">
        <v>0</v>
      </c>
      <c r="R265">
        <v>0</v>
      </c>
      <c r="S265">
        <v>0</v>
      </c>
      <c r="T265">
        <v>0</v>
      </c>
      <c r="U265">
        <v>0</v>
      </c>
      <c r="V265">
        <v>0</v>
      </c>
      <c r="W265" s="4">
        <f t="shared" ref="W265" si="208">W264</f>
        <v>9.4525600000000001</v>
      </c>
      <c r="Y265">
        <v>1</v>
      </c>
      <c r="Z265" t="s">
        <v>1</v>
      </c>
      <c r="AA265">
        <v>27456</v>
      </c>
      <c r="AB265">
        <v>192</v>
      </c>
      <c r="AC265">
        <v>4</v>
      </c>
      <c r="AD265">
        <v>4</v>
      </c>
      <c r="AE265">
        <v>1625.86</v>
      </c>
      <c r="AF265" s="3">
        <v>8.4873999999999992</v>
      </c>
      <c r="AG265" s="1">
        <v>45324</v>
      </c>
      <c r="AH265" s="2">
        <v>0.92146990740740742</v>
      </c>
      <c r="AI265">
        <v>0</v>
      </c>
      <c r="AJ265">
        <v>0</v>
      </c>
      <c r="AK265">
        <v>0</v>
      </c>
      <c r="AL265">
        <v>0</v>
      </c>
      <c r="AM265">
        <v>0</v>
      </c>
      <c r="AN265">
        <v>0</v>
      </c>
      <c r="AO265">
        <v>0</v>
      </c>
      <c r="AP265">
        <v>0</v>
      </c>
      <c r="AQ265">
        <v>0</v>
      </c>
      <c r="AR265">
        <v>0</v>
      </c>
      <c r="AS265">
        <v>0</v>
      </c>
      <c r="AT265">
        <v>0</v>
      </c>
      <c r="AU265" s="3">
        <f t="shared" ref="AU265" si="209">AU264</f>
        <v>8.4788199999999989</v>
      </c>
    </row>
    <row r="266" spans="1:47" x14ac:dyDescent="0.25">
      <c r="A266">
        <v>2</v>
      </c>
      <c r="B266" t="s">
        <v>1</v>
      </c>
      <c r="C266">
        <v>27456</v>
      </c>
      <c r="D266">
        <v>192</v>
      </c>
      <c r="E266">
        <v>4</v>
      </c>
      <c r="F266">
        <v>4</v>
      </c>
      <c r="G266">
        <v>1461.41</v>
      </c>
      <c r="H266" s="3">
        <v>9.4423999999999992</v>
      </c>
      <c r="I266" s="1">
        <v>45321</v>
      </c>
      <c r="J266" s="2">
        <v>5.4375E-2</v>
      </c>
      <c r="K266">
        <v>0</v>
      </c>
      <c r="L266">
        <v>0</v>
      </c>
      <c r="M266">
        <v>0</v>
      </c>
      <c r="N266">
        <v>0</v>
      </c>
      <c r="O266">
        <v>0</v>
      </c>
      <c r="P266">
        <v>0</v>
      </c>
      <c r="Q266">
        <v>0</v>
      </c>
      <c r="R266">
        <v>0</v>
      </c>
      <c r="S266">
        <v>0</v>
      </c>
      <c r="T266">
        <v>0</v>
      </c>
      <c r="U266">
        <v>0</v>
      </c>
      <c r="V266">
        <v>0</v>
      </c>
      <c r="W266" s="4">
        <f t="shared" si="160"/>
        <v>9.4525600000000001</v>
      </c>
      <c r="Y266">
        <v>2</v>
      </c>
      <c r="Z266" t="s">
        <v>1</v>
      </c>
      <c r="AA266">
        <v>27456</v>
      </c>
      <c r="AB266">
        <v>192</v>
      </c>
      <c r="AC266">
        <v>4</v>
      </c>
      <c r="AD266">
        <v>4</v>
      </c>
      <c r="AE266">
        <v>1636.17</v>
      </c>
      <c r="AF266" s="3">
        <v>8.4338999999999995</v>
      </c>
      <c r="AG266" s="1">
        <v>45325</v>
      </c>
      <c r="AH266" s="2">
        <v>0.84104166666666658</v>
      </c>
      <c r="AI266">
        <v>0</v>
      </c>
      <c r="AJ266">
        <v>0</v>
      </c>
      <c r="AK266">
        <v>0</v>
      </c>
      <c r="AL266">
        <v>0</v>
      </c>
      <c r="AM266">
        <v>0</v>
      </c>
      <c r="AN266">
        <v>0</v>
      </c>
      <c r="AO266">
        <v>0</v>
      </c>
      <c r="AP266">
        <v>0</v>
      </c>
      <c r="AQ266">
        <v>0</v>
      </c>
      <c r="AR266">
        <v>0</v>
      </c>
      <c r="AS266">
        <v>0</v>
      </c>
      <c r="AT266">
        <v>0</v>
      </c>
      <c r="AU266" s="3">
        <f t="shared" si="161"/>
        <v>8.4788199999999989</v>
      </c>
    </row>
    <row r="267" spans="1:47" x14ac:dyDescent="0.25">
      <c r="A267">
        <v>3</v>
      </c>
      <c r="B267" t="s">
        <v>1</v>
      </c>
      <c r="C267">
        <v>27456</v>
      </c>
      <c r="D267">
        <v>192</v>
      </c>
      <c r="E267">
        <v>4</v>
      </c>
      <c r="F267">
        <v>4</v>
      </c>
      <c r="G267">
        <v>1461.24</v>
      </c>
      <c r="H267" s="3">
        <v>9.4436</v>
      </c>
      <c r="I267" s="1">
        <v>45321</v>
      </c>
      <c r="J267" s="2">
        <v>0.89643518518518517</v>
      </c>
      <c r="K267">
        <v>0</v>
      </c>
      <c r="L267">
        <v>0</v>
      </c>
      <c r="M267">
        <v>0</v>
      </c>
      <c r="N267">
        <v>0</v>
      </c>
      <c r="O267">
        <v>0</v>
      </c>
      <c r="P267">
        <v>0</v>
      </c>
      <c r="Q267">
        <v>0</v>
      </c>
      <c r="R267">
        <v>0</v>
      </c>
      <c r="S267">
        <v>0</v>
      </c>
      <c r="T267">
        <v>0</v>
      </c>
      <c r="U267">
        <v>0</v>
      </c>
      <c r="V267">
        <v>0</v>
      </c>
      <c r="W267" s="4">
        <f t="shared" si="160"/>
        <v>9.4525600000000001</v>
      </c>
      <c r="Y267">
        <v>3</v>
      </c>
      <c r="Z267" t="s">
        <v>1</v>
      </c>
      <c r="AA267">
        <v>27456</v>
      </c>
      <c r="AB267">
        <v>192</v>
      </c>
      <c r="AC267">
        <v>4</v>
      </c>
      <c r="AD267">
        <v>4</v>
      </c>
      <c r="AE267">
        <v>1624.81</v>
      </c>
      <c r="AF267" s="3">
        <v>8.4929000000000006</v>
      </c>
      <c r="AG267" s="1">
        <v>45326</v>
      </c>
      <c r="AH267" s="2">
        <v>0.76135416666666667</v>
      </c>
      <c r="AI267">
        <v>0</v>
      </c>
      <c r="AJ267">
        <v>0</v>
      </c>
      <c r="AK267">
        <v>0</v>
      </c>
      <c r="AL267">
        <v>0</v>
      </c>
      <c r="AM267">
        <v>0</v>
      </c>
      <c r="AN267">
        <v>0</v>
      </c>
      <c r="AO267">
        <v>0</v>
      </c>
      <c r="AP267">
        <v>0</v>
      </c>
      <c r="AQ267">
        <v>0</v>
      </c>
      <c r="AR267">
        <v>0</v>
      </c>
      <c r="AS267">
        <v>0</v>
      </c>
      <c r="AT267">
        <v>0</v>
      </c>
      <c r="AU267" s="3">
        <f t="shared" si="161"/>
        <v>8.4788199999999989</v>
      </c>
    </row>
    <row r="268" spans="1:47" x14ac:dyDescent="0.25">
      <c r="A268">
        <v>4</v>
      </c>
      <c r="B268" t="s">
        <v>1</v>
      </c>
      <c r="C268">
        <v>27456</v>
      </c>
      <c r="D268">
        <v>192</v>
      </c>
      <c r="E268">
        <v>4</v>
      </c>
      <c r="F268">
        <v>4</v>
      </c>
      <c r="G268">
        <v>1458.48</v>
      </c>
      <c r="H268" s="3">
        <v>9.4613999999999994</v>
      </c>
      <c r="I268" s="1">
        <v>45322</v>
      </c>
      <c r="J268" s="2">
        <v>0.73895833333333327</v>
      </c>
      <c r="K268">
        <v>0</v>
      </c>
      <c r="L268">
        <v>0</v>
      </c>
      <c r="M268">
        <v>0</v>
      </c>
      <c r="N268">
        <v>0</v>
      </c>
      <c r="O268">
        <v>0</v>
      </c>
      <c r="P268">
        <v>0</v>
      </c>
      <c r="Q268">
        <v>0</v>
      </c>
      <c r="R268">
        <v>0</v>
      </c>
      <c r="S268">
        <v>0</v>
      </c>
      <c r="T268">
        <v>0</v>
      </c>
      <c r="U268">
        <v>0</v>
      </c>
      <c r="V268">
        <v>0</v>
      </c>
      <c r="W268" s="4">
        <f t="shared" si="160"/>
        <v>9.4525600000000001</v>
      </c>
      <c r="Y268">
        <v>4</v>
      </c>
      <c r="Z268" t="s">
        <v>1</v>
      </c>
      <c r="AA268">
        <v>27456</v>
      </c>
      <c r="AB268">
        <v>192</v>
      </c>
      <c r="AC268">
        <v>4</v>
      </c>
      <c r="AD268">
        <v>4</v>
      </c>
      <c r="AE268">
        <v>1626.27</v>
      </c>
      <c r="AF268" s="3">
        <v>8.4852000000000007</v>
      </c>
      <c r="AG268" s="1">
        <v>45327</v>
      </c>
      <c r="AH268" s="2">
        <v>0.68115740740740749</v>
      </c>
      <c r="AI268">
        <v>0</v>
      </c>
      <c r="AJ268">
        <v>0</v>
      </c>
      <c r="AK268">
        <v>0</v>
      </c>
      <c r="AL268">
        <v>0</v>
      </c>
      <c r="AM268">
        <v>0</v>
      </c>
      <c r="AN268">
        <v>0</v>
      </c>
      <c r="AO268">
        <v>0</v>
      </c>
      <c r="AP268">
        <v>0</v>
      </c>
      <c r="AQ268">
        <v>0</v>
      </c>
      <c r="AR268">
        <v>0</v>
      </c>
      <c r="AS268">
        <v>0</v>
      </c>
      <c r="AT268">
        <v>0</v>
      </c>
      <c r="AU268" s="3">
        <f t="shared" si="161"/>
        <v>8.4788199999999989</v>
      </c>
    </row>
    <row r="269" spans="1:47" x14ac:dyDescent="0.25">
      <c r="A269">
        <v>0</v>
      </c>
      <c r="B269" t="s">
        <v>1</v>
      </c>
      <c r="C269">
        <v>28992</v>
      </c>
      <c r="D269">
        <v>192</v>
      </c>
      <c r="E269">
        <v>4</v>
      </c>
      <c r="F269">
        <v>4</v>
      </c>
      <c r="G269">
        <v>1705.02</v>
      </c>
      <c r="H269" s="3">
        <v>9.5289999999999999</v>
      </c>
      <c r="I269" s="1">
        <v>45319</v>
      </c>
      <c r="J269" s="2">
        <v>0.90668981481481481</v>
      </c>
      <c r="K269">
        <v>0</v>
      </c>
      <c r="L269">
        <v>0</v>
      </c>
      <c r="M269">
        <v>0</v>
      </c>
      <c r="N269">
        <v>0</v>
      </c>
      <c r="O269">
        <v>0</v>
      </c>
      <c r="P269">
        <v>0</v>
      </c>
      <c r="Q269">
        <v>0</v>
      </c>
      <c r="R269">
        <v>0</v>
      </c>
      <c r="S269">
        <v>0</v>
      </c>
      <c r="T269">
        <v>0</v>
      </c>
      <c r="U269">
        <v>0</v>
      </c>
      <c r="V269">
        <v>0</v>
      </c>
      <c r="W269" s="4">
        <f t="shared" ref="W269" si="210">AVERAGE(H269:H273)</f>
        <v>9.5127800000000011</v>
      </c>
      <c r="Y269">
        <v>0</v>
      </c>
      <c r="Z269" t="s">
        <v>1</v>
      </c>
      <c r="AA269">
        <v>28992</v>
      </c>
      <c r="AB269">
        <v>192</v>
      </c>
      <c r="AC269">
        <v>4</v>
      </c>
      <c r="AD269">
        <v>4</v>
      </c>
      <c r="AE269">
        <v>1884.15</v>
      </c>
      <c r="AF269" s="3">
        <v>8.6231000000000009</v>
      </c>
      <c r="AG269" s="1">
        <v>45324</v>
      </c>
      <c r="AH269" s="2">
        <v>0.59554398148148147</v>
      </c>
      <c r="AI269">
        <v>0</v>
      </c>
      <c r="AJ269">
        <v>0</v>
      </c>
      <c r="AK269">
        <v>0</v>
      </c>
      <c r="AL269">
        <v>0</v>
      </c>
      <c r="AM269">
        <v>0</v>
      </c>
      <c r="AN269">
        <v>0</v>
      </c>
      <c r="AO269">
        <v>0</v>
      </c>
      <c r="AP269">
        <v>0</v>
      </c>
      <c r="AQ269">
        <v>0</v>
      </c>
      <c r="AR269">
        <v>0</v>
      </c>
      <c r="AS269">
        <v>0</v>
      </c>
      <c r="AT269">
        <v>0</v>
      </c>
      <c r="AU269" s="3">
        <f t="shared" ref="AU269" si="211">AVERAGE(AF269:AF273)</f>
        <v>8.6183800000000002</v>
      </c>
    </row>
    <row r="270" spans="1:47" x14ac:dyDescent="0.25">
      <c r="A270">
        <v>1</v>
      </c>
      <c r="B270" t="s">
        <v>1</v>
      </c>
      <c r="C270">
        <v>28992</v>
      </c>
      <c r="D270">
        <v>192</v>
      </c>
      <c r="E270">
        <v>4</v>
      </c>
      <c r="F270">
        <v>4</v>
      </c>
      <c r="G270">
        <v>1708.13</v>
      </c>
      <c r="H270" s="3">
        <v>9.5116999999999994</v>
      </c>
      <c r="I270" s="1">
        <v>45320</v>
      </c>
      <c r="J270" s="2">
        <v>0.74798611111111113</v>
      </c>
      <c r="K270">
        <v>0</v>
      </c>
      <c r="L270">
        <v>0</v>
      </c>
      <c r="M270">
        <v>0</v>
      </c>
      <c r="N270">
        <v>0</v>
      </c>
      <c r="O270">
        <v>0</v>
      </c>
      <c r="P270">
        <v>0</v>
      </c>
      <c r="Q270">
        <v>0</v>
      </c>
      <c r="R270">
        <v>0</v>
      </c>
      <c r="S270">
        <v>0</v>
      </c>
      <c r="T270">
        <v>0</v>
      </c>
      <c r="U270">
        <v>0</v>
      </c>
      <c r="V270">
        <v>0</v>
      </c>
      <c r="W270" s="4">
        <f t="shared" ref="W270:W333" si="212">W269</f>
        <v>9.5127800000000011</v>
      </c>
      <c r="Y270">
        <v>1</v>
      </c>
      <c r="Z270" t="s">
        <v>1</v>
      </c>
      <c r="AA270">
        <v>28992</v>
      </c>
      <c r="AB270">
        <v>192</v>
      </c>
      <c r="AC270">
        <v>4</v>
      </c>
      <c r="AD270">
        <v>4</v>
      </c>
      <c r="AE270">
        <v>1884.43</v>
      </c>
      <c r="AF270" s="3">
        <v>8.6218000000000004</v>
      </c>
      <c r="AG270" s="1">
        <v>45325</v>
      </c>
      <c r="AH270" s="2">
        <v>0.50637731481481485</v>
      </c>
      <c r="AI270">
        <v>0</v>
      </c>
      <c r="AJ270">
        <v>0</v>
      </c>
      <c r="AK270">
        <v>0</v>
      </c>
      <c r="AL270">
        <v>0</v>
      </c>
      <c r="AM270">
        <v>0</v>
      </c>
      <c r="AN270">
        <v>0</v>
      </c>
      <c r="AO270">
        <v>0</v>
      </c>
      <c r="AP270">
        <v>0</v>
      </c>
      <c r="AQ270">
        <v>0</v>
      </c>
      <c r="AR270">
        <v>0</v>
      </c>
      <c r="AS270">
        <v>0</v>
      </c>
      <c r="AT270">
        <v>0</v>
      </c>
      <c r="AU270" s="3">
        <f t="shared" ref="AU270:AU333" si="213">AU269</f>
        <v>8.6183800000000002</v>
      </c>
    </row>
    <row r="271" spans="1:47" x14ac:dyDescent="0.25">
      <c r="A271">
        <v>2</v>
      </c>
      <c r="B271" t="s">
        <v>1</v>
      </c>
      <c r="C271">
        <v>28992</v>
      </c>
      <c r="D271">
        <v>192</v>
      </c>
      <c r="E271">
        <v>4</v>
      </c>
      <c r="F271">
        <v>4</v>
      </c>
      <c r="G271">
        <v>1711.31</v>
      </c>
      <c r="H271" s="3">
        <v>9.4939999999999998</v>
      </c>
      <c r="I271" s="1">
        <v>45321</v>
      </c>
      <c r="J271" s="2">
        <v>0.59024305555555556</v>
      </c>
      <c r="K271">
        <v>0</v>
      </c>
      <c r="L271">
        <v>0</v>
      </c>
      <c r="M271">
        <v>0</v>
      </c>
      <c r="N271">
        <v>0</v>
      </c>
      <c r="O271">
        <v>0</v>
      </c>
      <c r="P271">
        <v>0</v>
      </c>
      <c r="Q271">
        <v>0</v>
      </c>
      <c r="R271">
        <v>0</v>
      </c>
      <c r="S271">
        <v>0</v>
      </c>
      <c r="T271">
        <v>0</v>
      </c>
      <c r="U271">
        <v>0</v>
      </c>
      <c r="V271">
        <v>0</v>
      </c>
      <c r="W271" s="4">
        <f t="shared" si="212"/>
        <v>9.5127800000000011</v>
      </c>
      <c r="Y271">
        <v>2</v>
      </c>
      <c r="Z271" t="s">
        <v>1</v>
      </c>
      <c r="AA271">
        <v>28992</v>
      </c>
      <c r="AB271">
        <v>192</v>
      </c>
      <c r="AC271">
        <v>4</v>
      </c>
      <c r="AD271">
        <v>4</v>
      </c>
      <c r="AE271">
        <v>1885.65</v>
      </c>
      <c r="AF271" s="3">
        <v>8.6161999999999992</v>
      </c>
      <c r="AG271" s="1">
        <v>45326</v>
      </c>
      <c r="AH271" s="2">
        <v>0.42653935185185188</v>
      </c>
      <c r="AI271">
        <v>0</v>
      </c>
      <c r="AJ271">
        <v>0</v>
      </c>
      <c r="AK271">
        <v>0</v>
      </c>
      <c r="AL271">
        <v>0</v>
      </c>
      <c r="AM271">
        <v>0</v>
      </c>
      <c r="AN271">
        <v>0</v>
      </c>
      <c r="AO271">
        <v>0</v>
      </c>
      <c r="AP271">
        <v>0</v>
      </c>
      <c r="AQ271">
        <v>0</v>
      </c>
      <c r="AR271">
        <v>0</v>
      </c>
      <c r="AS271">
        <v>0</v>
      </c>
      <c r="AT271">
        <v>0</v>
      </c>
      <c r="AU271" s="3">
        <f t="shared" si="213"/>
        <v>8.6183800000000002</v>
      </c>
    </row>
    <row r="272" spans="1:47" x14ac:dyDescent="0.25">
      <c r="A272">
        <v>3</v>
      </c>
      <c r="B272" t="s">
        <v>1</v>
      </c>
      <c r="C272">
        <v>28992</v>
      </c>
      <c r="D272">
        <v>192</v>
      </c>
      <c r="E272">
        <v>4</v>
      </c>
      <c r="F272">
        <v>4</v>
      </c>
      <c r="G272">
        <v>1705.26</v>
      </c>
      <c r="H272" s="3">
        <v>9.5275999999999996</v>
      </c>
      <c r="I272" s="1">
        <v>45322</v>
      </c>
      <c r="J272" s="2">
        <v>0.43255787037037036</v>
      </c>
      <c r="K272">
        <v>0</v>
      </c>
      <c r="L272">
        <v>0</v>
      </c>
      <c r="M272">
        <v>0</v>
      </c>
      <c r="N272">
        <v>0</v>
      </c>
      <c r="O272">
        <v>0</v>
      </c>
      <c r="P272">
        <v>0</v>
      </c>
      <c r="Q272">
        <v>0</v>
      </c>
      <c r="R272">
        <v>0</v>
      </c>
      <c r="S272">
        <v>0</v>
      </c>
      <c r="T272">
        <v>0</v>
      </c>
      <c r="U272">
        <v>0</v>
      </c>
      <c r="V272">
        <v>0</v>
      </c>
      <c r="W272" s="4">
        <f t="shared" si="212"/>
        <v>9.5127800000000011</v>
      </c>
      <c r="Y272">
        <v>3</v>
      </c>
      <c r="Z272" t="s">
        <v>1</v>
      </c>
      <c r="AA272">
        <v>28992</v>
      </c>
      <c r="AB272">
        <v>192</v>
      </c>
      <c r="AC272">
        <v>4</v>
      </c>
      <c r="AD272">
        <v>4</v>
      </c>
      <c r="AE272">
        <v>1886.09</v>
      </c>
      <c r="AF272" s="3">
        <v>8.6142000000000003</v>
      </c>
      <c r="AG272" s="1">
        <v>45327</v>
      </c>
      <c r="AH272" s="2">
        <v>0.34678240740740746</v>
      </c>
      <c r="AI272">
        <v>0</v>
      </c>
      <c r="AJ272">
        <v>0</v>
      </c>
      <c r="AK272">
        <v>0</v>
      </c>
      <c r="AL272">
        <v>0</v>
      </c>
      <c r="AM272">
        <v>0</v>
      </c>
      <c r="AN272">
        <v>0</v>
      </c>
      <c r="AO272">
        <v>0</v>
      </c>
      <c r="AP272">
        <v>0</v>
      </c>
      <c r="AQ272">
        <v>0</v>
      </c>
      <c r="AR272">
        <v>0</v>
      </c>
      <c r="AS272">
        <v>0</v>
      </c>
      <c r="AT272">
        <v>0</v>
      </c>
      <c r="AU272" s="3">
        <f t="shared" si="213"/>
        <v>8.6183800000000002</v>
      </c>
    </row>
    <row r="273" spans="1:47" x14ac:dyDescent="0.25">
      <c r="A273">
        <v>4</v>
      </c>
      <c r="B273" t="s">
        <v>1</v>
      </c>
      <c r="C273">
        <v>28992</v>
      </c>
      <c r="D273">
        <v>192</v>
      </c>
      <c r="E273">
        <v>4</v>
      </c>
      <c r="F273">
        <v>4</v>
      </c>
      <c r="G273">
        <v>1709.94</v>
      </c>
      <c r="H273" s="3">
        <v>9.5015999999999998</v>
      </c>
      <c r="I273" s="1">
        <v>45323</v>
      </c>
      <c r="J273" s="2">
        <v>0.27508101851851852</v>
      </c>
      <c r="K273">
        <v>0</v>
      </c>
      <c r="L273">
        <v>0</v>
      </c>
      <c r="M273">
        <v>0</v>
      </c>
      <c r="N273">
        <v>0</v>
      </c>
      <c r="O273">
        <v>0</v>
      </c>
      <c r="P273">
        <v>0</v>
      </c>
      <c r="Q273">
        <v>0</v>
      </c>
      <c r="R273">
        <v>0</v>
      </c>
      <c r="S273">
        <v>0</v>
      </c>
      <c r="T273">
        <v>0</v>
      </c>
      <c r="U273">
        <v>0</v>
      </c>
      <c r="V273">
        <v>0</v>
      </c>
      <c r="W273" s="4">
        <f t="shared" si="212"/>
        <v>9.5127800000000011</v>
      </c>
      <c r="Y273">
        <v>4</v>
      </c>
      <c r="Z273" t="s">
        <v>1</v>
      </c>
      <c r="AA273">
        <v>28992</v>
      </c>
      <c r="AB273">
        <v>192</v>
      </c>
      <c r="AC273">
        <v>4</v>
      </c>
      <c r="AD273">
        <v>4</v>
      </c>
      <c r="AE273">
        <v>1885.57</v>
      </c>
      <c r="AF273" s="3">
        <v>8.6166</v>
      </c>
      <c r="AG273" s="1">
        <v>45328</v>
      </c>
      <c r="AH273" s="2">
        <v>0.26640046296296299</v>
      </c>
      <c r="AI273">
        <v>0</v>
      </c>
      <c r="AJ273">
        <v>0</v>
      </c>
      <c r="AK273">
        <v>0</v>
      </c>
      <c r="AL273">
        <v>0</v>
      </c>
      <c r="AM273">
        <v>0</v>
      </c>
      <c r="AN273">
        <v>0</v>
      </c>
      <c r="AO273">
        <v>0</v>
      </c>
      <c r="AP273">
        <v>0</v>
      </c>
      <c r="AQ273">
        <v>0</v>
      </c>
      <c r="AR273">
        <v>0</v>
      </c>
      <c r="AS273">
        <v>0</v>
      </c>
      <c r="AT273">
        <v>0</v>
      </c>
      <c r="AU273" s="3">
        <f t="shared" si="213"/>
        <v>8.6183800000000002</v>
      </c>
    </row>
    <row r="274" spans="1:47" x14ac:dyDescent="0.25">
      <c r="A274">
        <v>0</v>
      </c>
      <c r="B274" t="s">
        <v>1</v>
      </c>
      <c r="C274">
        <v>25984</v>
      </c>
      <c r="D274">
        <v>224</v>
      </c>
      <c r="E274">
        <v>1</v>
      </c>
      <c r="F274">
        <v>16</v>
      </c>
      <c r="G274">
        <v>1365.38</v>
      </c>
      <c r="H274" s="3">
        <v>8.5665999999999993</v>
      </c>
      <c r="I274" s="1">
        <v>45319</v>
      </c>
      <c r="J274" s="2">
        <v>0.7443171296296297</v>
      </c>
      <c r="K274">
        <v>0</v>
      </c>
      <c r="L274">
        <v>0</v>
      </c>
      <c r="M274">
        <v>0</v>
      </c>
      <c r="N274">
        <v>0</v>
      </c>
      <c r="O274">
        <v>0</v>
      </c>
      <c r="P274">
        <v>0</v>
      </c>
      <c r="Q274">
        <v>0</v>
      </c>
      <c r="R274">
        <v>0</v>
      </c>
      <c r="S274">
        <v>0</v>
      </c>
      <c r="T274">
        <v>0</v>
      </c>
      <c r="U274">
        <v>0</v>
      </c>
      <c r="V274">
        <v>0</v>
      </c>
      <c r="W274" s="4">
        <f t="shared" ref="W274" si="214">AVERAGE(H274:H278)</f>
        <v>8.5509599999999999</v>
      </c>
      <c r="Y274">
        <v>0</v>
      </c>
      <c r="Z274" t="s">
        <v>1</v>
      </c>
      <c r="AA274">
        <v>25984</v>
      </c>
      <c r="AB274">
        <v>224</v>
      </c>
      <c r="AC274">
        <v>1</v>
      </c>
      <c r="AD274">
        <v>16</v>
      </c>
      <c r="AE274">
        <v>1541.08</v>
      </c>
      <c r="AF274" s="3">
        <v>7.59</v>
      </c>
      <c r="AG274" s="1">
        <v>45324</v>
      </c>
      <c r="AH274" s="2">
        <v>0.42453703703703699</v>
      </c>
      <c r="AI274">
        <v>0</v>
      </c>
      <c r="AJ274">
        <v>0</v>
      </c>
      <c r="AK274">
        <v>0</v>
      </c>
      <c r="AL274">
        <v>0</v>
      </c>
      <c r="AM274">
        <v>0</v>
      </c>
      <c r="AN274">
        <v>0</v>
      </c>
      <c r="AO274">
        <v>0</v>
      </c>
      <c r="AP274">
        <v>0</v>
      </c>
      <c r="AQ274">
        <v>0</v>
      </c>
      <c r="AR274">
        <v>0</v>
      </c>
      <c r="AS274">
        <v>0</v>
      </c>
      <c r="AT274">
        <v>0</v>
      </c>
      <c r="AU274" s="3">
        <f t="shared" ref="AU274" si="215">AVERAGE(AF274:AF278)</f>
        <v>7.5896799999999995</v>
      </c>
    </row>
    <row r="275" spans="1:47" x14ac:dyDescent="0.25">
      <c r="A275">
        <v>1</v>
      </c>
      <c r="B275" t="s">
        <v>1</v>
      </c>
      <c r="C275">
        <v>25984</v>
      </c>
      <c r="D275">
        <v>224</v>
      </c>
      <c r="E275">
        <v>1</v>
      </c>
      <c r="F275">
        <v>16</v>
      </c>
      <c r="G275">
        <v>1367.23</v>
      </c>
      <c r="H275" s="3">
        <v>8.5549999999999997</v>
      </c>
      <c r="I275" s="1">
        <v>45320</v>
      </c>
      <c r="J275" s="2">
        <v>0.58552083333333338</v>
      </c>
      <c r="K275">
        <v>0</v>
      </c>
      <c r="L275">
        <v>0</v>
      </c>
      <c r="M275">
        <v>0</v>
      </c>
      <c r="N275">
        <v>0</v>
      </c>
      <c r="O275">
        <v>0</v>
      </c>
      <c r="P275">
        <v>0</v>
      </c>
      <c r="Q275">
        <v>0</v>
      </c>
      <c r="R275">
        <v>0</v>
      </c>
      <c r="S275">
        <v>0</v>
      </c>
      <c r="T275">
        <v>0</v>
      </c>
      <c r="U275">
        <v>0</v>
      </c>
      <c r="V275">
        <v>0</v>
      </c>
      <c r="W275" s="4">
        <f t="shared" ref="W275" si="216">W274</f>
        <v>8.5509599999999999</v>
      </c>
      <c r="Y275">
        <v>1</v>
      </c>
      <c r="Z275" t="s">
        <v>1</v>
      </c>
      <c r="AA275">
        <v>25984</v>
      </c>
      <c r="AB275">
        <v>224</v>
      </c>
      <c r="AC275">
        <v>1</v>
      </c>
      <c r="AD275">
        <v>16</v>
      </c>
      <c r="AE275">
        <v>1540.43</v>
      </c>
      <c r="AF275" s="3">
        <v>7.5932000000000004</v>
      </c>
      <c r="AG275" s="1">
        <v>45325</v>
      </c>
      <c r="AH275" s="2">
        <v>0.33</v>
      </c>
      <c r="AI275">
        <v>0</v>
      </c>
      <c r="AJ275">
        <v>0</v>
      </c>
      <c r="AK275">
        <v>0</v>
      </c>
      <c r="AL275">
        <v>0</v>
      </c>
      <c r="AM275">
        <v>0</v>
      </c>
      <c r="AN275">
        <v>0</v>
      </c>
      <c r="AO275">
        <v>0</v>
      </c>
      <c r="AP275">
        <v>0</v>
      </c>
      <c r="AQ275">
        <v>0</v>
      </c>
      <c r="AR275">
        <v>0</v>
      </c>
      <c r="AS275">
        <v>0</v>
      </c>
      <c r="AT275">
        <v>0</v>
      </c>
      <c r="AU275" s="3">
        <f t="shared" ref="AU275" si="217">AU274</f>
        <v>7.5896799999999995</v>
      </c>
    </row>
    <row r="276" spans="1:47" x14ac:dyDescent="0.25">
      <c r="A276">
        <v>2</v>
      </c>
      <c r="B276" t="s">
        <v>1</v>
      </c>
      <c r="C276">
        <v>25984</v>
      </c>
      <c r="D276">
        <v>224</v>
      </c>
      <c r="E276">
        <v>1</v>
      </c>
      <c r="F276">
        <v>16</v>
      </c>
      <c r="G276">
        <v>1372.08</v>
      </c>
      <c r="H276" s="3">
        <v>8.5248000000000008</v>
      </c>
      <c r="I276" s="1">
        <v>45321</v>
      </c>
      <c r="J276" s="2">
        <v>0.4277199074074074</v>
      </c>
      <c r="K276">
        <v>0</v>
      </c>
      <c r="L276">
        <v>0</v>
      </c>
      <c r="M276">
        <v>0</v>
      </c>
      <c r="N276">
        <v>0</v>
      </c>
      <c r="O276">
        <v>0</v>
      </c>
      <c r="P276">
        <v>0</v>
      </c>
      <c r="Q276">
        <v>0</v>
      </c>
      <c r="R276">
        <v>0</v>
      </c>
      <c r="S276">
        <v>0</v>
      </c>
      <c r="T276">
        <v>0</v>
      </c>
      <c r="U276">
        <v>0</v>
      </c>
      <c r="V276">
        <v>0</v>
      </c>
      <c r="W276" s="4">
        <f t="shared" si="212"/>
        <v>8.5509599999999999</v>
      </c>
      <c r="Y276">
        <v>2</v>
      </c>
      <c r="Z276" t="s">
        <v>1</v>
      </c>
      <c r="AA276">
        <v>25984</v>
      </c>
      <c r="AB276">
        <v>224</v>
      </c>
      <c r="AC276">
        <v>1</v>
      </c>
      <c r="AD276">
        <v>16</v>
      </c>
      <c r="AE276">
        <v>1540.81</v>
      </c>
      <c r="AF276" s="3">
        <v>7.5913000000000004</v>
      </c>
      <c r="AG276" s="1">
        <v>45326</v>
      </c>
      <c r="AH276" s="2">
        <v>0.25025462962962963</v>
      </c>
      <c r="AI276">
        <v>0</v>
      </c>
      <c r="AJ276">
        <v>0</v>
      </c>
      <c r="AK276">
        <v>0</v>
      </c>
      <c r="AL276">
        <v>0</v>
      </c>
      <c r="AM276">
        <v>0</v>
      </c>
      <c r="AN276">
        <v>0</v>
      </c>
      <c r="AO276">
        <v>0</v>
      </c>
      <c r="AP276">
        <v>0</v>
      </c>
      <c r="AQ276">
        <v>0</v>
      </c>
      <c r="AR276">
        <v>0</v>
      </c>
      <c r="AS276">
        <v>0</v>
      </c>
      <c r="AT276">
        <v>0</v>
      </c>
      <c r="AU276" s="3">
        <f t="shared" si="213"/>
        <v>7.5896799999999995</v>
      </c>
    </row>
    <row r="277" spans="1:47" x14ac:dyDescent="0.25">
      <c r="A277">
        <v>3</v>
      </c>
      <c r="B277" t="s">
        <v>1</v>
      </c>
      <c r="C277">
        <v>25984</v>
      </c>
      <c r="D277">
        <v>224</v>
      </c>
      <c r="E277">
        <v>1</v>
      </c>
      <c r="F277">
        <v>16</v>
      </c>
      <c r="G277">
        <v>1367.84</v>
      </c>
      <c r="H277" s="3">
        <v>8.5512999999999995</v>
      </c>
      <c r="I277" s="1">
        <v>45322</v>
      </c>
      <c r="J277" s="2">
        <v>0.26983796296296297</v>
      </c>
      <c r="K277">
        <v>0</v>
      </c>
      <c r="L277">
        <v>0</v>
      </c>
      <c r="M277">
        <v>0</v>
      </c>
      <c r="N277">
        <v>0</v>
      </c>
      <c r="O277">
        <v>0</v>
      </c>
      <c r="P277">
        <v>0</v>
      </c>
      <c r="Q277">
        <v>0</v>
      </c>
      <c r="R277">
        <v>0</v>
      </c>
      <c r="S277">
        <v>0</v>
      </c>
      <c r="T277">
        <v>0</v>
      </c>
      <c r="U277">
        <v>0</v>
      </c>
      <c r="V277">
        <v>0</v>
      </c>
      <c r="W277" s="4">
        <f t="shared" si="212"/>
        <v>8.5509599999999999</v>
      </c>
      <c r="Y277">
        <v>3</v>
      </c>
      <c r="Z277" t="s">
        <v>1</v>
      </c>
      <c r="AA277">
        <v>25984</v>
      </c>
      <c r="AB277">
        <v>224</v>
      </c>
      <c r="AC277">
        <v>1</v>
      </c>
      <c r="AD277">
        <v>16</v>
      </c>
      <c r="AE277">
        <v>1542.19</v>
      </c>
      <c r="AF277" s="3">
        <v>7.5845000000000002</v>
      </c>
      <c r="AG277" s="1">
        <v>45327</v>
      </c>
      <c r="AH277" s="2">
        <v>0.16991898148148146</v>
      </c>
      <c r="AI277">
        <v>0</v>
      </c>
      <c r="AJ277">
        <v>0</v>
      </c>
      <c r="AK277">
        <v>0</v>
      </c>
      <c r="AL277">
        <v>0</v>
      </c>
      <c r="AM277">
        <v>0</v>
      </c>
      <c r="AN277">
        <v>0</v>
      </c>
      <c r="AO277">
        <v>0</v>
      </c>
      <c r="AP277">
        <v>0</v>
      </c>
      <c r="AQ277">
        <v>0</v>
      </c>
      <c r="AR277">
        <v>0</v>
      </c>
      <c r="AS277">
        <v>0</v>
      </c>
      <c r="AT277">
        <v>0</v>
      </c>
      <c r="AU277" s="3">
        <f t="shared" si="213"/>
        <v>7.5896799999999995</v>
      </c>
    </row>
    <row r="278" spans="1:47" x14ac:dyDescent="0.25">
      <c r="A278">
        <v>4</v>
      </c>
      <c r="B278" t="s">
        <v>1</v>
      </c>
      <c r="C278">
        <v>25984</v>
      </c>
      <c r="D278">
        <v>224</v>
      </c>
      <c r="E278">
        <v>1</v>
      </c>
      <c r="F278">
        <v>16</v>
      </c>
      <c r="G278">
        <v>1366.91</v>
      </c>
      <c r="H278" s="3">
        <v>8.5571000000000002</v>
      </c>
      <c r="I278" s="1">
        <v>45323</v>
      </c>
      <c r="J278" s="2">
        <v>0.11245370370370371</v>
      </c>
      <c r="K278">
        <v>0</v>
      </c>
      <c r="L278">
        <v>0</v>
      </c>
      <c r="M278">
        <v>0</v>
      </c>
      <c r="N278">
        <v>0</v>
      </c>
      <c r="O278">
        <v>0</v>
      </c>
      <c r="P278">
        <v>0</v>
      </c>
      <c r="Q278">
        <v>0</v>
      </c>
      <c r="R278">
        <v>0</v>
      </c>
      <c r="S278">
        <v>0</v>
      </c>
      <c r="T278">
        <v>0</v>
      </c>
      <c r="U278">
        <v>0</v>
      </c>
      <c r="V278">
        <v>0</v>
      </c>
      <c r="W278" s="4">
        <f t="shared" si="212"/>
        <v>8.5509599999999999</v>
      </c>
      <c r="Y278">
        <v>4</v>
      </c>
      <c r="Z278" t="s">
        <v>1</v>
      </c>
      <c r="AA278">
        <v>25984</v>
      </c>
      <c r="AB278">
        <v>224</v>
      </c>
      <c r="AC278">
        <v>1</v>
      </c>
      <c r="AD278">
        <v>16</v>
      </c>
      <c r="AE278">
        <v>1541.19</v>
      </c>
      <c r="AF278" s="3">
        <v>7.5894000000000004</v>
      </c>
      <c r="AG278" s="1">
        <v>45328</v>
      </c>
      <c r="AH278" s="2">
        <v>8.9675925925925923E-2</v>
      </c>
      <c r="AI278">
        <v>0</v>
      </c>
      <c r="AJ278">
        <v>0</v>
      </c>
      <c r="AK278">
        <v>0</v>
      </c>
      <c r="AL278">
        <v>0</v>
      </c>
      <c r="AM278">
        <v>0</v>
      </c>
      <c r="AN278">
        <v>0</v>
      </c>
      <c r="AO278">
        <v>0</v>
      </c>
      <c r="AP278">
        <v>0</v>
      </c>
      <c r="AQ278">
        <v>0</v>
      </c>
      <c r="AR278">
        <v>0</v>
      </c>
      <c r="AS278">
        <v>0</v>
      </c>
      <c r="AT278">
        <v>0</v>
      </c>
      <c r="AU278" s="3">
        <f t="shared" si="213"/>
        <v>7.5896799999999995</v>
      </c>
    </row>
    <row r="279" spans="1:47" x14ac:dyDescent="0.25">
      <c r="A279">
        <v>0</v>
      </c>
      <c r="B279" t="s">
        <v>1</v>
      </c>
      <c r="C279">
        <v>27328</v>
      </c>
      <c r="D279">
        <v>224</v>
      </c>
      <c r="E279">
        <v>1</v>
      </c>
      <c r="F279">
        <v>16</v>
      </c>
      <c r="G279">
        <v>1580.58</v>
      </c>
      <c r="H279" s="3">
        <v>8.609</v>
      </c>
      <c r="I279" s="1">
        <v>45319</v>
      </c>
      <c r="J279" s="2">
        <v>0.50129629629629624</v>
      </c>
      <c r="K279">
        <v>0</v>
      </c>
      <c r="L279">
        <v>0</v>
      </c>
      <c r="M279">
        <v>0</v>
      </c>
      <c r="N279">
        <v>0</v>
      </c>
      <c r="O279">
        <v>0</v>
      </c>
      <c r="P279">
        <v>0</v>
      </c>
      <c r="Q279">
        <v>0</v>
      </c>
      <c r="R279">
        <v>0</v>
      </c>
      <c r="S279">
        <v>0</v>
      </c>
      <c r="T279">
        <v>0</v>
      </c>
      <c r="U279">
        <v>0</v>
      </c>
      <c r="V279">
        <v>0</v>
      </c>
      <c r="W279" s="4">
        <f t="shared" ref="W279" si="218">AVERAGE(H279:H283)</f>
        <v>8.61402</v>
      </c>
      <c r="Y279">
        <v>0</v>
      </c>
      <c r="Z279" t="s">
        <v>1</v>
      </c>
      <c r="AA279">
        <v>27328</v>
      </c>
      <c r="AB279">
        <v>224</v>
      </c>
      <c r="AC279">
        <v>1</v>
      </c>
      <c r="AD279">
        <v>16</v>
      </c>
      <c r="AE279">
        <v>1773.86</v>
      </c>
      <c r="AF279" s="3">
        <v>7.6710000000000003</v>
      </c>
      <c r="AG279" s="1">
        <v>45324</v>
      </c>
      <c r="AH279" s="2">
        <v>0.16909722222222223</v>
      </c>
      <c r="AI279">
        <v>0</v>
      </c>
      <c r="AJ279">
        <v>0</v>
      </c>
      <c r="AK279">
        <v>0</v>
      </c>
      <c r="AL279">
        <v>0</v>
      </c>
      <c r="AM279">
        <v>0</v>
      </c>
      <c r="AN279">
        <v>0</v>
      </c>
      <c r="AO279">
        <v>0</v>
      </c>
      <c r="AP279">
        <v>0</v>
      </c>
      <c r="AQ279">
        <v>0</v>
      </c>
      <c r="AR279">
        <v>0</v>
      </c>
      <c r="AS279">
        <v>0</v>
      </c>
      <c r="AT279">
        <v>0</v>
      </c>
      <c r="AU279" s="3">
        <f t="shared" ref="AU279" si="219">AVERAGE(AF279:AF283)</f>
        <v>7.673519999999999</v>
      </c>
    </row>
    <row r="280" spans="1:47" x14ac:dyDescent="0.25">
      <c r="A280">
        <v>1</v>
      </c>
      <c r="B280" t="s">
        <v>1</v>
      </c>
      <c r="C280">
        <v>27328</v>
      </c>
      <c r="D280">
        <v>224</v>
      </c>
      <c r="E280">
        <v>1</v>
      </c>
      <c r="F280">
        <v>16</v>
      </c>
      <c r="G280">
        <v>1581.55</v>
      </c>
      <c r="H280" s="3">
        <v>8.6036999999999999</v>
      </c>
      <c r="I280" s="1">
        <v>45320</v>
      </c>
      <c r="J280" s="2">
        <v>0.34234953703703702</v>
      </c>
      <c r="K280">
        <v>0</v>
      </c>
      <c r="L280">
        <v>0</v>
      </c>
      <c r="M280">
        <v>0</v>
      </c>
      <c r="N280">
        <v>0</v>
      </c>
      <c r="O280">
        <v>0</v>
      </c>
      <c r="P280">
        <v>0</v>
      </c>
      <c r="Q280">
        <v>0</v>
      </c>
      <c r="R280">
        <v>0</v>
      </c>
      <c r="S280">
        <v>0</v>
      </c>
      <c r="T280">
        <v>0</v>
      </c>
      <c r="U280">
        <v>0</v>
      </c>
      <c r="V280">
        <v>0</v>
      </c>
      <c r="W280" s="4">
        <f t="shared" ref="W280" si="220">W279</f>
        <v>8.61402</v>
      </c>
      <c r="Y280">
        <v>1</v>
      </c>
      <c r="Z280" t="s">
        <v>1</v>
      </c>
      <c r="AA280">
        <v>27328</v>
      </c>
      <c r="AB280">
        <v>224</v>
      </c>
      <c r="AC280">
        <v>1</v>
      </c>
      <c r="AD280">
        <v>16</v>
      </c>
      <c r="AE280">
        <v>1772.51</v>
      </c>
      <c r="AF280" s="3">
        <v>7.6768000000000001</v>
      </c>
      <c r="AG280" s="1">
        <v>45325</v>
      </c>
      <c r="AH280" s="2">
        <v>6.385416666666667E-2</v>
      </c>
      <c r="AI280">
        <v>0</v>
      </c>
      <c r="AJ280">
        <v>0</v>
      </c>
      <c r="AK280">
        <v>0</v>
      </c>
      <c r="AL280">
        <v>0</v>
      </c>
      <c r="AM280">
        <v>0</v>
      </c>
      <c r="AN280">
        <v>0</v>
      </c>
      <c r="AO280">
        <v>0</v>
      </c>
      <c r="AP280">
        <v>0</v>
      </c>
      <c r="AQ280">
        <v>0</v>
      </c>
      <c r="AR280">
        <v>0</v>
      </c>
      <c r="AS280">
        <v>0</v>
      </c>
      <c r="AT280">
        <v>0</v>
      </c>
      <c r="AU280" s="3">
        <f t="shared" ref="AU280" si="221">AU279</f>
        <v>7.673519999999999</v>
      </c>
    </row>
    <row r="281" spans="1:47" x14ac:dyDescent="0.25">
      <c r="A281">
        <v>2</v>
      </c>
      <c r="B281" t="s">
        <v>1</v>
      </c>
      <c r="C281">
        <v>27328</v>
      </c>
      <c r="D281">
        <v>224</v>
      </c>
      <c r="E281">
        <v>1</v>
      </c>
      <c r="F281">
        <v>16</v>
      </c>
      <c r="G281">
        <v>1579.53</v>
      </c>
      <c r="H281" s="3">
        <v>8.6146999999999991</v>
      </c>
      <c r="I281" s="1">
        <v>45321</v>
      </c>
      <c r="J281" s="2">
        <v>0.18384259259259259</v>
      </c>
      <c r="K281">
        <v>0</v>
      </c>
      <c r="L281">
        <v>0</v>
      </c>
      <c r="M281">
        <v>0</v>
      </c>
      <c r="N281">
        <v>0</v>
      </c>
      <c r="O281">
        <v>0</v>
      </c>
      <c r="P281">
        <v>0</v>
      </c>
      <c r="Q281">
        <v>0</v>
      </c>
      <c r="R281">
        <v>0</v>
      </c>
      <c r="S281">
        <v>0</v>
      </c>
      <c r="T281">
        <v>0</v>
      </c>
      <c r="U281">
        <v>0</v>
      </c>
      <c r="V281">
        <v>0</v>
      </c>
      <c r="W281" s="4">
        <f t="shared" si="212"/>
        <v>8.61402</v>
      </c>
      <c r="Y281">
        <v>2</v>
      </c>
      <c r="Z281" t="s">
        <v>1</v>
      </c>
      <c r="AA281">
        <v>27328</v>
      </c>
      <c r="AB281">
        <v>224</v>
      </c>
      <c r="AC281">
        <v>1</v>
      </c>
      <c r="AD281">
        <v>16</v>
      </c>
      <c r="AE281">
        <v>1774.06</v>
      </c>
      <c r="AF281" s="3">
        <v>7.6700999999999997</v>
      </c>
      <c r="AG281" s="1">
        <v>45325</v>
      </c>
      <c r="AH281" s="2">
        <v>0.98373842592592586</v>
      </c>
      <c r="AI281">
        <v>0</v>
      </c>
      <c r="AJ281">
        <v>0</v>
      </c>
      <c r="AK281">
        <v>0</v>
      </c>
      <c r="AL281">
        <v>0</v>
      </c>
      <c r="AM281">
        <v>0</v>
      </c>
      <c r="AN281">
        <v>0</v>
      </c>
      <c r="AO281">
        <v>0</v>
      </c>
      <c r="AP281">
        <v>0</v>
      </c>
      <c r="AQ281">
        <v>0</v>
      </c>
      <c r="AR281">
        <v>0</v>
      </c>
      <c r="AS281">
        <v>0</v>
      </c>
      <c r="AT281">
        <v>0</v>
      </c>
      <c r="AU281" s="3">
        <f t="shared" si="213"/>
        <v>7.673519999999999</v>
      </c>
    </row>
    <row r="282" spans="1:47" x14ac:dyDescent="0.25">
      <c r="A282">
        <v>3</v>
      </c>
      <c r="B282" t="s">
        <v>1</v>
      </c>
      <c r="C282">
        <v>27328</v>
      </c>
      <c r="D282">
        <v>224</v>
      </c>
      <c r="E282">
        <v>1</v>
      </c>
      <c r="F282">
        <v>16</v>
      </c>
      <c r="G282">
        <v>1577.54</v>
      </c>
      <c r="H282" s="3">
        <v>8.6256000000000004</v>
      </c>
      <c r="I282" s="1">
        <v>45322</v>
      </c>
      <c r="J282" s="2">
        <v>2.584490740740741E-2</v>
      </c>
      <c r="K282">
        <v>0</v>
      </c>
      <c r="L282">
        <v>0</v>
      </c>
      <c r="M282">
        <v>0</v>
      </c>
      <c r="N282">
        <v>0</v>
      </c>
      <c r="O282">
        <v>0</v>
      </c>
      <c r="P282">
        <v>0</v>
      </c>
      <c r="Q282">
        <v>0</v>
      </c>
      <c r="R282">
        <v>0</v>
      </c>
      <c r="S282">
        <v>0</v>
      </c>
      <c r="T282">
        <v>0</v>
      </c>
      <c r="U282">
        <v>0</v>
      </c>
      <c r="V282">
        <v>0</v>
      </c>
      <c r="W282" s="4">
        <f t="shared" si="212"/>
        <v>8.61402</v>
      </c>
      <c r="Y282">
        <v>3</v>
      </c>
      <c r="Z282" t="s">
        <v>1</v>
      </c>
      <c r="AA282">
        <v>27328</v>
      </c>
      <c r="AB282">
        <v>224</v>
      </c>
      <c r="AC282">
        <v>1</v>
      </c>
      <c r="AD282">
        <v>16</v>
      </c>
      <c r="AE282">
        <v>1773.62</v>
      </c>
      <c r="AF282" s="3">
        <v>7.6719999999999997</v>
      </c>
      <c r="AG282" s="1">
        <v>45326</v>
      </c>
      <c r="AH282" s="2">
        <v>0.90366898148148145</v>
      </c>
      <c r="AI282">
        <v>0</v>
      </c>
      <c r="AJ282">
        <v>0</v>
      </c>
      <c r="AK282">
        <v>0</v>
      </c>
      <c r="AL282">
        <v>0</v>
      </c>
      <c r="AM282">
        <v>0</v>
      </c>
      <c r="AN282">
        <v>0</v>
      </c>
      <c r="AO282">
        <v>0</v>
      </c>
      <c r="AP282">
        <v>0</v>
      </c>
      <c r="AQ282">
        <v>0</v>
      </c>
      <c r="AR282">
        <v>0</v>
      </c>
      <c r="AS282">
        <v>0</v>
      </c>
      <c r="AT282">
        <v>0</v>
      </c>
      <c r="AU282" s="3">
        <f t="shared" si="213"/>
        <v>7.673519999999999</v>
      </c>
    </row>
    <row r="283" spans="1:47" x14ac:dyDescent="0.25">
      <c r="A283">
        <v>4</v>
      </c>
      <c r="B283" t="s">
        <v>1</v>
      </c>
      <c r="C283">
        <v>27328</v>
      </c>
      <c r="D283">
        <v>224</v>
      </c>
      <c r="E283">
        <v>1</v>
      </c>
      <c r="F283">
        <v>16</v>
      </c>
      <c r="G283">
        <v>1579.09</v>
      </c>
      <c r="H283" s="3">
        <v>8.6171000000000006</v>
      </c>
      <c r="I283" s="1">
        <v>45322</v>
      </c>
      <c r="J283" s="2">
        <v>0.86846064814814816</v>
      </c>
      <c r="K283">
        <v>0</v>
      </c>
      <c r="L283">
        <v>0</v>
      </c>
      <c r="M283">
        <v>0</v>
      </c>
      <c r="N283">
        <v>0</v>
      </c>
      <c r="O283">
        <v>0</v>
      </c>
      <c r="P283">
        <v>0</v>
      </c>
      <c r="Q283">
        <v>0</v>
      </c>
      <c r="R283">
        <v>0</v>
      </c>
      <c r="S283">
        <v>0</v>
      </c>
      <c r="T283">
        <v>0</v>
      </c>
      <c r="U283">
        <v>0</v>
      </c>
      <c r="V283">
        <v>0</v>
      </c>
      <c r="W283" s="4">
        <f t="shared" si="212"/>
        <v>8.61402</v>
      </c>
      <c r="Y283">
        <v>4</v>
      </c>
      <c r="Z283" t="s">
        <v>1</v>
      </c>
      <c r="AA283">
        <v>27328</v>
      </c>
      <c r="AB283">
        <v>224</v>
      </c>
      <c r="AC283">
        <v>1</v>
      </c>
      <c r="AD283">
        <v>16</v>
      </c>
      <c r="AE283">
        <v>1772.31</v>
      </c>
      <c r="AF283" s="3">
        <v>7.6776999999999997</v>
      </c>
      <c r="AG283" s="1">
        <v>45327</v>
      </c>
      <c r="AH283" s="2">
        <v>0.82349537037037035</v>
      </c>
      <c r="AI283">
        <v>0</v>
      </c>
      <c r="AJ283">
        <v>0</v>
      </c>
      <c r="AK283">
        <v>0</v>
      </c>
      <c r="AL283">
        <v>0</v>
      </c>
      <c r="AM283">
        <v>0</v>
      </c>
      <c r="AN283">
        <v>0</v>
      </c>
      <c r="AO283">
        <v>0</v>
      </c>
      <c r="AP283">
        <v>0</v>
      </c>
      <c r="AQ283">
        <v>0</v>
      </c>
      <c r="AR283">
        <v>0</v>
      </c>
      <c r="AS283">
        <v>0</v>
      </c>
      <c r="AT283">
        <v>0</v>
      </c>
      <c r="AU283" s="3">
        <f t="shared" si="213"/>
        <v>7.673519999999999</v>
      </c>
    </row>
    <row r="284" spans="1:47" x14ac:dyDescent="0.25">
      <c r="A284">
        <v>0</v>
      </c>
      <c r="B284" t="s">
        <v>1</v>
      </c>
      <c r="C284">
        <v>28896</v>
      </c>
      <c r="D284">
        <v>224</v>
      </c>
      <c r="E284">
        <v>1</v>
      </c>
      <c r="F284">
        <v>16</v>
      </c>
      <c r="G284">
        <v>1839.66</v>
      </c>
      <c r="H284" s="3">
        <v>8.7441999999999993</v>
      </c>
      <c r="I284" s="1">
        <v>45320</v>
      </c>
      <c r="J284" s="2">
        <v>5.7407407407407407E-2</v>
      </c>
      <c r="K284">
        <v>0</v>
      </c>
      <c r="L284">
        <v>0</v>
      </c>
      <c r="M284">
        <v>0</v>
      </c>
      <c r="N284">
        <v>0</v>
      </c>
      <c r="O284">
        <v>0</v>
      </c>
      <c r="P284">
        <v>0</v>
      </c>
      <c r="Q284">
        <v>0</v>
      </c>
      <c r="R284">
        <v>0</v>
      </c>
      <c r="S284">
        <v>0</v>
      </c>
      <c r="T284">
        <v>0</v>
      </c>
      <c r="U284">
        <v>0</v>
      </c>
      <c r="V284">
        <v>0</v>
      </c>
      <c r="W284" s="4">
        <f t="shared" ref="W284" si="222">AVERAGE(H284:H288)</f>
        <v>8.7361599999999999</v>
      </c>
      <c r="Y284">
        <v>0</v>
      </c>
      <c r="Z284" t="s">
        <v>1</v>
      </c>
      <c r="AA284">
        <v>28896</v>
      </c>
      <c r="AB284">
        <v>224</v>
      </c>
      <c r="AC284">
        <v>1</v>
      </c>
      <c r="AD284">
        <v>16</v>
      </c>
      <c r="AE284">
        <v>2062.0100000000002</v>
      </c>
      <c r="AF284" s="3">
        <v>7.8013000000000003</v>
      </c>
      <c r="AG284" s="1">
        <v>45324</v>
      </c>
      <c r="AH284" s="2">
        <v>0.75484953703703705</v>
      </c>
      <c r="AI284">
        <v>0</v>
      </c>
      <c r="AJ284">
        <v>0</v>
      </c>
      <c r="AK284">
        <v>0</v>
      </c>
      <c r="AL284">
        <v>0</v>
      </c>
      <c r="AM284">
        <v>0</v>
      </c>
      <c r="AN284">
        <v>0</v>
      </c>
      <c r="AO284">
        <v>0</v>
      </c>
      <c r="AP284">
        <v>0</v>
      </c>
      <c r="AQ284">
        <v>0</v>
      </c>
      <c r="AR284">
        <v>0</v>
      </c>
      <c r="AS284">
        <v>0</v>
      </c>
      <c r="AT284">
        <v>0</v>
      </c>
      <c r="AU284" s="3">
        <f t="shared" ref="AU284" si="223">AVERAGE(AF284:AF288)</f>
        <v>7.8007999999999997</v>
      </c>
    </row>
    <row r="285" spans="1:47" x14ac:dyDescent="0.25">
      <c r="A285">
        <v>1</v>
      </c>
      <c r="B285" t="s">
        <v>1</v>
      </c>
      <c r="C285">
        <v>28896</v>
      </c>
      <c r="D285">
        <v>224</v>
      </c>
      <c r="E285">
        <v>1</v>
      </c>
      <c r="F285">
        <v>16</v>
      </c>
      <c r="G285">
        <v>1844.89</v>
      </c>
      <c r="H285" s="3">
        <v>8.7194000000000003</v>
      </c>
      <c r="I285" s="1">
        <v>45320</v>
      </c>
      <c r="J285" s="2">
        <v>0.89870370370370367</v>
      </c>
      <c r="K285">
        <v>0</v>
      </c>
      <c r="L285">
        <v>0</v>
      </c>
      <c r="M285">
        <v>0</v>
      </c>
      <c r="N285">
        <v>0</v>
      </c>
      <c r="O285">
        <v>0</v>
      </c>
      <c r="P285">
        <v>0</v>
      </c>
      <c r="Q285">
        <v>0</v>
      </c>
      <c r="R285">
        <v>0</v>
      </c>
      <c r="S285">
        <v>0</v>
      </c>
      <c r="T285">
        <v>0</v>
      </c>
      <c r="U285">
        <v>0</v>
      </c>
      <c r="V285">
        <v>0</v>
      </c>
      <c r="W285" s="4">
        <f t="shared" ref="W285" si="224">W284</f>
        <v>8.7361599999999999</v>
      </c>
      <c r="Y285">
        <v>1</v>
      </c>
      <c r="Z285" t="s">
        <v>1</v>
      </c>
      <c r="AA285">
        <v>28896</v>
      </c>
      <c r="AB285">
        <v>224</v>
      </c>
      <c r="AC285">
        <v>1</v>
      </c>
      <c r="AD285">
        <v>16</v>
      </c>
      <c r="AE285">
        <v>2061.1799999999998</v>
      </c>
      <c r="AF285" s="3">
        <v>7.8044000000000002</v>
      </c>
      <c r="AG285" s="1">
        <v>45325</v>
      </c>
      <c r="AH285" s="2">
        <v>0.67086805555555562</v>
      </c>
      <c r="AI285">
        <v>0</v>
      </c>
      <c r="AJ285">
        <v>0</v>
      </c>
      <c r="AK285">
        <v>0</v>
      </c>
      <c r="AL285">
        <v>0</v>
      </c>
      <c r="AM285">
        <v>0</v>
      </c>
      <c r="AN285">
        <v>0</v>
      </c>
      <c r="AO285">
        <v>0</v>
      </c>
      <c r="AP285">
        <v>0</v>
      </c>
      <c r="AQ285">
        <v>0</v>
      </c>
      <c r="AR285">
        <v>0</v>
      </c>
      <c r="AS285">
        <v>0</v>
      </c>
      <c r="AT285">
        <v>0</v>
      </c>
      <c r="AU285" s="3">
        <f t="shared" ref="AU285" si="225">AU284</f>
        <v>7.8007999999999997</v>
      </c>
    </row>
    <row r="286" spans="1:47" x14ac:dyDescent="0.25">
      <c r="A286">
        <v>2</v>
      </c>
      <c r="B286" t="s">
        <v>1</v>
      </c>
      <c r="C286">
        <v>28896</v>
      </c>
      <c r="D286">
        <v>224</v>
      </c>
      <c r="E286">
        <v>1</v>
      </c>
      <c r="F286">
        <v>16</v>
      </c>
      <c r="G286">
        <v>1838.12</v>
      </c>
      <c r="H286" s="3">
        <v>8.7515000000000001</v>
      </c>
      <c r="I286" s="1">
        <v>45321</v>
      </c>
      <c r="J286" s="2">
        <v>0.74087962962962972</v>
      </c>
      <c r="K286">
        <v>0</v>
      </c>
      <c r="L286">
        <v>0</v>
      </c>
      <c r="M286">
        <v>0</v>
      </c>
      <c r="N286">
        <v>0</v>
      </c>
      <c r="O286">
        <v>0</v>
      </c>
      <c r="P286">
        <v>0</v>
      </c>
      <c r="Q286">
        <v>0</v>
      </c>
      <c r="R286">
        <v>0</v>
      </c>
      <c r="S286">
        <v>0</v>
      </c>
      <c r="T286">
        <v>0</v>
      </c>
      <c r="U286">
        <v>0</v>
      </c>
      <c r="V286">
        <v>0</v>
      </c>
      <c r="W286" s="4">
        <f t="shared" si="212"/>
        <v>8.7361599999999999</v>
      </c>
      <c r="Y286">
        <v>2</v>
      </c>
      <c r="Z286" t="s">
        <v>1</v>
      </c>
      <c r="AA286">
        <v>28896</v>
      </c>
      <c r="AB286">
        <v>224</v>
      </c>
      <c r="AC286">
        <v>1</v>
      </c>
      <c r="AD286">
        <v>16</v>
      </c>
      <c r="AE286">
        <v>2061.6</v>
      </c>
      <c r="AF286" s="3">
        <v>7.8028000000000004</v>
      </c>
      <c r="AG286" s="1">
        <v>45326</v>
      </c>
      <c r="AH286" s="2">
        <v>0.59105324074074073</v>
      </c>
      <c r="AI286">
        <v>0</v>
      </c>
      <c r="AJ286">
        <v>0</v>
      </c>
      <c r="AK286">
        <v>0</v>
      </c>
      <c r="AL286">
        <v>0</v>
      </c>
      <c r="AM286">
        <v>0</v>
      </c>
      <c r="AN286">
        <v>0</v>
      </c>
      <c r="AO286">
        <v>0</v>
      </c>
      <c r="AP286">
        <v>0</v>
      </c>
      <c r="AQ286">
        <v>0</v>
      </c>
      <c r="AR286">
        <v>0</v>
      </c>
      <c r="AS286">
        <v>0</v>
      </c>
      <c r="AT286">
        <v>0</v>
      </c>
      <c r="AU286" s="3">
        <f t="shared" si="213"/>
        <v>7.8007999999999997</v>
      </c>
    </row>
    <row r="287" spans="1:47" x14ac:dyDescent="0.25">
      <c r="A287">
        <v>3</v>
      </c>
      <c r="B287" t="s">
        <v>1</v>
      </c>
      <c r="C287">
        <v>28896</v>
      </c>
      <c r="D287">
        <v>224</v>
      </c>
      <c r="E287">
        <v>1</v>
      </c>
      <c r="F287">
        <v>16</v>
      </c>
      <c r="G287">
        <v>1841.93</v>
      </c>
      <c r="H287" s="3">
        <v>8.7333999999999996</v>
      </c>
      <c r="I287" s="1">
        <v>45322</v>
      </c>
      <c r="J287" s="2">
        <v>0.58332175925925933</v>
      </c>
      <c r="K287">
        <v>0</v>
      </c>
      <c r="L287">
        <v>0</v>
      </c>
      <c r="M287">
        <v>0</v>
      </c>
      <c r="N287">
        <v>0</v>
      </c>
      <c r="O287">
        <v>0</v>
      </c>
      <c r="P287">
        <v>0</v>
      </c>
      <c r="Q287">
        <v>0</v>
      </c>
      <c r="R287">
        <v>0</v>
      </c>
      <c r="S287">
        <v>0</v>
      </c>
      <c r="T287">
        <v>0</v>
      </c>
      <c r="U287">
        <v>0</v>
      </c>
      <c r="V287">
        <v>0</v>
      </c>
      <c r="W287" s="4">
        <f t="shared" si="212"/>
        <v>8.7361599999999999</v>
      </c>
      <c r="Y287">
        <v>3</v>
      </c>
      <c r="Z287" t="s">
        <v>1</v>
      </c>
      <c r="AA287">
        <v>28896</v>
      </c>
      <c r="AB287">
        <v>224</v>
      </c>
      <c r="AC287">
        <v>1</v>
      </c>
      <c r="AD287">
        <v>16</v>
      </c>
      <c r="AE287">
        <v>2063.39</v>
      </c>
      <c r="AF287" s="3">
        <v>7.7960000000000003</v>
      </c>
      <c r="AG287" s="1">
        <v>45327</v>
      </c>
      <c r="AH287" s="2">
        <v>0.51135416666666667</v>
      </c>
      <c r="AI287">
        <v>0</v>
      </c>
      <c r="AJ287">
        <v>0</v>
      </c>
      <c r="AK287">
        <v>0</v>
      </c>
      <c r="AL287">
        <v>0</v>
      </c>
      <c r="AM287">
        <v>0</v>
      </c>
      <c r="AN287">
        <v>0</v>
      </c>
      <c r="AO287">
        <v>0</v>
      </c>
      <c r="AP287">
        <v>0</v>
      </c>
      <c r="AQ287">
        <v>0</v>
      </c>
      <c r="AR287">
        <v>0</v>
      </c>
      <c r="AS287">
        <v>0</v>
      </c>
      <c r="AT287">
        <v>0</v>
      </c>
      <c r="AU287" s="3">
        <f t="shared" si="213"/>
        <v>7.8007999999999997</v>
      </c>
    </row>
    <row r="288" spans="1:47" x14ac:dyDescent="0.25">
      <c r="A288">
        <v>4</v>
      </c>
      <c r="B288" t="s">
        <v>1</v>
      </c>
      <c r="C288">
        <v>28896</v>
      </c>
      <c r="D288">
        <v>224</v>
      </c>
      <c r="E288">
        <v>1</v>
      </c>
      <c r="F288">
        <v>16</v>
      </c>
      <c r="G288">
        <v>1842.16</v>
      </c>
      <c r="H288" s="3">
        <v>8.7323000000000004</v>
      </c>
      <c r="I288" s="1">
        <v>45323</v>
      </c>
      <c r="J288" s="2">
        <v>0.42584490740740738</v>
      </c>
      <c r="K288">
        <v>0</v>
      </c>
      <c r="L288">
        <v>0</v>
      </c>
      <c r="M288">
        <v>0</v>
      </c>
      <c r="N288">
        <v>0</v>
      </c>
      <c r="O288">
        <v>0</v>
      </c>
      <c r="P288">
        <v>0</v>
      </c>
      <c r="Q288">
        <v>0</v>
      </c>
      <c r="R288">
        <v>0</v>
      </c>
      <c r="S288">
        <v>0</v>
      </c>
      <c r="T288">
        <v>0</v>
      </c>
      <c r="U288">
        <v>0</v>
      </c>
      <c r="V288">
        <v>0</v>
      </c>
      <c r="W288" s="4">
        <f t="shared" si="212"/>
        <v>8.7361599999999999</v>
      </c>
      <c r="Y288">
        <v>4</v>
      </c>
      <c r="Z288" t="s">
        <v>1</v>
      </c>
      <c r="AA288">
        <v>28896</v>
      </c>
      <c r="AB288">
        <v>224</v>
      </c>
      <c r="AC288">
        <v>1</v>
      </c>
      <c r="AD288">
        <v>16</v>
      </c>
      <c r="AE288">
        <v>2062.4699999999998</v>
      </c>
      <c r="AF288" s="3">
        <v>7.7995000000000001</v>
      </c>
      <c r="AG288" s="1">
        <v>45328</v>
      </c>
      <c r="AH288" s="2">
        <v>0.43087962962962961</v>
      </c>
      <c r="AI288">
        <v>0</v>
      </c>
      <c r="AJ288">
        <v>0</v>
      </c>
      <c r="AK288">
        <v>0</v>
      </c>
      <c r="AL288">
        <v>0</v>
      </c>
      <c r="AM288">
        <v>0</v>
      </c>
      <c r="AN288">
        <v>0</v>
      </c>
      <c r="AO288">
        <v>0</v>
      </c>
      <c r="AP288">
        <v>0</v>
      </c>
      <c r="AQ288">
        <v>0</v>
      </c>
      <c r="AR288">
        <v>0</v>
      </c>
      <c r="AS288">
        <v>0</v>
      </c>
      <c r="AT288">
        <v>0</v>
      </c>
      <c r="AU288" s="3">
        <f t="shared" si="213"/>
        <v>7.8007999999999997</v>
      </c>
    </row>
    <row r="289" spans="1:47" x14ac:dyDescent="0.25">
      <c r="A289">
        <v>0</v>
      </c>
      <c r="B289" t="s">
        <v>1</v>
      </c>
      <c r="C289">
        <v>25984</v>
      </c>
      <c r="D289">
        <v>224</v>
      </c>
      <c r="E289">
        <v>2</v>
      </c>
      <c r="F289">
        <v>8</v>
      </c>
      <c r="G289">
        <v>1271.5899999999999</v>
      </c>
      <c r="H289" s="3">
        <v>9.1984999999999992</v>
      </c>
      <c r="I289" s="1">
        <v>45319</v>
      </c>
      <c r="J289" s="2">
        <v>0.76040509259259259</v>
      </c>
      <c r="K289">
        <v>0</v>
      </c>
      <c r="L289">
        <v>0</v>
      </c>
      <c r="M289">
        <v>0</v>
      </c>
      <c r="N289">
        <v>0</v>
      </c>
      <c r="O289">
        <v>0</v>
      </c>
      <c r="P289">
        <v>0</v>
      </c>
      <c r="Q289">
        <v>0</v>
      </c>
      <c r="R289">
        <v>0</v>
      </c>
      <c r="S289">
        <v>0</v>
      </c>
      <c r="T289">
        <v>0</v>
      </c>
      <c r="U289">
        <v>0</v>
      </c>
      <c r="V289">
        <v>0</v>
      </c>
      <c r="W289" s="4">
        <f t="shared" ref="W289" si="226">AVERAGE(H289:H293)</f>
        <v>9.1887599999999985</v>
      </c>
      <c r="Y289">
        <v>0</v>
      </c>
      <c r="Z289" t="s">
        <v>1</v>
      </c>
      <c r="AA289">
        <v>25984</v>
      </c>
      <c r="AB289">
        <v>224</v>
      </c>
      <c r="AC289">
        <v>2</v>
      </c>
      <c r="AD289">
        <v>8</v>
      </c>
      <c r="AE289">
        <v>1420.9</v>
      </c>
      <c r="AF289" s="3">
        <v>8.2318999999999996</v>
      </c>
      <c r="AG289" s="1">
        <v>45324</v>
      </c>
      <c r="AH289" s="2">
        <v>0.4418287037037037</v>
      </c>
      <c r="AI289">
        <v>0</v>
      </c>
      <c r="AJ289">
        <v>0</v>
      </c>
      <c r="AK289">
        <v>0</v>
      </c>
      <c r="AL289">
        <v>0</v>
      </c>
      <c r="AM289">
        <v>0</v>
      </c>
      <c r="AN289">
        <v>0</v>
      </c>
      <c r="AO289">
        <v>0</v>
      </c>
      <c r="AP289">
        <v>0</v>
      </c>
      <c r="AQ289">
        <v>0</v>
      </c>
      <c r="AR289">
        <v>0</v>
      </c>
      <c r="AS289">
        <v>0</v>
      </c>
      <c r="AT289">
        <v>0</v>
      </c>
      <c r="AU289" s="3">
        <f t="shared" ref="AU289" si="227">AVERAGE(AF289:AF293)</f>
        <v>8.2303400000000018</v>
      </c>
    </row>
    <row r="290" spans="1:47" x14ac:dyDescent="0.25">
      <c r="A290">
        <v>1</v>
      </c>
      <c r="B290" t="s">
        <v>1</v>
      </c>
      <c r="C290">
        <v>25984</v>
      </c>
      <c r="D290">
        <v>224</v>
      </c>
      <c r="E290">
        <v>2</v>
      </c>
      <c r="F290">
        <v>8</v>
      </c>
      <c r="G290">
        <v>1275.23</v>
      </c>
      <c r="H290" s="3">
        <v>9.1722000000000001</v>
      </c>
      <c r="I290" s="1">
        <v>45320</v>
      </c>
      <c r="J290" s="2">
        <v>0.60165509259259264</v>
      </c>
      <c r="K290">
        <v>0</v>
      </c>
      <c r="L290">
        <v>0</v>
      </c>
      <c r="M290">
        <v>0</v>
      </c>
      <c r="N290">
        <v>0</v>
      </c>
      <c r="O290">
        <v>0</v>
      </c>
      <c r="P290">
        <v>0</v>
      </c>
      <c r="Q290">
        <v>0</v>
      </c>
      <c r="R290">
        <v>0</v>
      </c>
      <c r="S290">
        <v>0</v>
      </c>
      <c r="T290">
        <v>0</v>
      </c>
      <c r="U290">
        <v>0</v>
      </c>
      <c r="V290">
        <v>0</v>
      </c>
      <c r="W290" s="4">
        <f t="shared" ref="W290" si="228">W289</f>
        <v>9.1887599999999985</v>
      </c>
      <c r="Y290">
        <v>1</v>
      </c>
      <c r="Z290" t="s">
        <v>1</v>
      </c>
      <c r="AA290">
        <v>25984</v>
      </c>
      <c r="AB290">
        <v>224</v>
      </c>
      <c r="AC290">
        <v>2</v>
      </c>
      <c r="AD290">
        <v>8</v>
      </c>
      <c r="AE290">
        <v>1421.51</v>
      </c>
      <c r="AF290" s="3">
        <v>8.2284000000000006</v>
      </c>
      <c r="AG290" s="1">
        <v>45325</v>
      </c>
      <c r="AH290" s="2">
        <v>0.34763888888888889</v>
      </c>
      <c r="AI290">
        <v>0</v>
      </c>
      <c r="AJ290">
        <v>0</v>
      </c>
      <c r="AK290">
        <v>0</v>
      </c>
      <c r="AL290">
        <v>0</v>
      </c>
      <c r="AM290">
        <v>0</v>
      </c>
      <c r="AN290">
        <v>0</v>
      </c>
      <c r="AO290">
        <v>0</v>
      </c>
      <c r="AP290">
        <v>0</v>
      </c>
      <c r="AQ290">
        <v>0</v>
      </c>
      <c r="AR290">
        <v>0</v>
      </c>
      <c r="AS290">
        <v>0</v>
      </c>
      <c r="AT290">
        <v>0</v>
      </c>
      <c r="AU290" s="3">
        <f t="shared" ref="AU290" si="229">AU289</f>
        <v>8.2303400000000018</v>
      </c>
    </row>
    <row r="291" spans="1:47" x14ac:dyDescent="0.25">
      <c r="A291">
        <v>2</v>
      </c>
      <c r="B291" t="s">
        <v>1</v>
      </c>
      <c r="C291">
        <v>25984</v>
      </c>
      <c r="D291">
        <v>224</v>
      </c>
      <c r="E291">
        <v>2</v>
      </c>
      <c r="F291">
        <v>8</v>
      </c>
      <c r="G291">
        <v>1271.45</v>
      </c>
      <c r="H291" s="3">
        <v>9.1995000000000005</v>
      </c>
      <c r="I291" s="1">
        <v>45321</v>
      </c>
      <c r="J291" s="2">
        <v>0.44381944444444449</v>
      </c>
      <c r="K291">
        <v>0</v>
      </c>
      <c r="L291">
        <v>0</v>
      </c>
      <c r="M291">
        <v>0</v>
      </c>
      <c r="N291">
        <v>0</v>
      </c>
      <c r="O291">
        <v>0</v>
      </c>
      <c r="P291">
        <v>0</v>
      </c>
      <c r="Q291">
        <v>0</v>
      </c>
      <c r="R291">
        <v>0</v>
      </c>
      <c r="S291">
        <v>0</v>
      </c>
      <c r="T291">
        <v>0</v>
      </c>
      <c r="U291">
        <v>0</v>
      </c>
      <c r="V291">
        <v>0</v>
      </c>
      <c r="W291" s="4">
        <f t="shared" si="212"/>
        <v>9.1887599999999985</v>
      </c>
      <c r="Y291">
        <v>2</v>
      </c>
      <c r="Z291" t="s">
        <v>1</v>
      </c>
      <c r="AA291">
        <v>25984</v>
      </c>
      <c r="AB291">
        <v>224</v>
      </c>
      <c r="AC291">
        <v>2</v>
      </c>
      <c r="AD291">
        <v>8</v>
      </c>
      <c r="AE291">
        <v>1421.33</v>
      </c>
      <c r="AF291" s="3">
        <v>8.2294</v>
      </c>
      <c r="AG291" s="1">
        <v>45326</v>
      </c>
      <c r="AH291" s="2">
        <v>0.26788194444444441</v>
      </c>
      <c r="AI291">
        <v>0</v>
      </c>
      <c r="AJ291">
        <v>0</v>
      </c>
      <c r="AK291">
        <v>0</v>
      </c>
      <c r="AL291">
        <v>0</v>
      </c>
      <c r="AM291">
        <v>0</v>
      </c>
      <c r="AN291">
        <v>0</v>
      </c>
      <c r="AO291">
        <v>0</v>
      </c>
      <c r="AP291">
        <v>0</v>
      </c>
      <c r="AQ291">
        <v>0</v>
      </c>
      <c r="AR291">
        <v>0</v>
      </c>
      <c r="AS291">
        <v>0</v>
      </c>
      <c r="AT291">
        <v>0</v>
      </c>
      <c r="AU291" s="3">
        <f t="shared" si="213"/>
        <v>8.2303400000000018</v>
      </c>
    </row>
    <row r="292" spans="1:47" x14ac:dyDescent="0.25">
      <c r="A292">
        <v>3</v>
      </c>
      <c r="B292" t="s">
        <v>1</v>
      </c>
      <c r="C292">
        <v>25984</v>
      </c>
      <c r="D292">
        <v>224</v>
      </c>
      <c r="E292">
        <v>2</v>
      </c>
      <c r="F292">
        <v>8</v>
      </c>
      <c r="G292">
        <v>1272.6500000000001</v>
      </c>
      <c r="H292" s="3">
        <v>9.1907999999999994</v>
      </c>
      <c r="I292" s="1">
        <v>45322</v>
      </c>
      <c r="J292" s="2">
        <v>0.28593750000000001</v>
      </c>
      <c r="K292">
        <v>0</v>
      </c>
      <c r="L292">
        <v>0</v>
      </c>
      <c r="M292">
        <v>0</v>
      </c>
      <c r="N292">
        <v>0</v>
      </c>
      <c r="O292">
        <v>0</v>
      </c>
      <c r="P292">
        <v>0</v>
      </c>
      <c r="Q292">
        <v>0</v>
      </c>
      <c r="R292">
        <v>0</v>
      </c>
      <c r="S292">
        <v>0</v>
      </c>
      <c r="T292">
        <v>0</v>
      </c>
      <c r="U292">
        <v>0</v>
      </c>
      <c r="V292">
        <v>0</v>
      </c>
      <c r="W292" s="4">
        <f t="shared" si="212"/>
        <v>9.1887599999999985</v>
      </c>
      <c r="Y292">
        <v>3</v>
      </c>
      <c r="Z292" t="s">
        <v>1</v>
      </c>
      <c r="AA292">
        <v>25984</v>
      </c>
      <c r="AB292">
        <v>224</v>
      </c>
      <c r="AC292">
        <v>2</v>
      </c>
      <c r="AD292">
        <v>8</v>
      </c>
      <c r="AE292">
        <v>1421.06</v>
      </c>
      <c r="AF292" s="3">
        <v>8.2309999999999999</v>
      </c>
      <c r="AG292" s="1">
        <v>45327</v>
      </c>
      <c r="AH292" s="2">
        <v>0.18755787037037039</v>
      </c>
      <c r="AI292">
        <v>0</v>
      </c>
      <c r="AJ292">
        <v>0</v>
      </c>
      <c r="AK292">
        <v>0</v>
      </c>
      <c r="AL292">
        <v>0</v>
      </c>
      <c r="AM292">
        <v>0</v>
      </c>
      <c r="AN292">
        <v>0</v>
      </c>
      <c r="AO292">
        <v>0</v>
      </c>
      <c r="AP292">
        <v>0</v>
      </c>
      <c r="AQ292">
        <v>0</v>
      </c>
      <c r="AR292">
        <v>0</v>
      </c>
      <c r="AS292">
        <v>0</v>
      </c>
      <c r="AT292">
        <v>0</v>
      </c>
      <c r="AU292" s="3">
        <f t="shared" si="213"/>
        <v>8.2303400000000018</v>
      </c>
    </row>
    <row r="293" spans="1:47" x14ac:dyDescent="0.25">
      <c r="A293">
        <v>4</v>
      </c>
      <c r="B293" t="s">
        <v>1</v>
      </c>
      <c r="C293">
        <v>25984</v>
      </c>
      <c r="D293">
        <v>224</v>
      </c>
      <c r="E293">
        <v>2</v>
      </c>
      <c r="F293">
        <v>8</v>
      </c>
      <c r="G293">
        <v>1273.77</v>
      </c>
      <c r="H293" s="3">
        <v>9.1828000000000003</v>
      </c>
      <c r="I293" s="1">
        <v>45323</v>
      </c>
      <c r="J293" s="2">
        <v>0.12857638888888889</v>
      </c>
      <c r="K293">
        <v>0</v>
      </c>
      <c r="L293">
        <v>0</v>
      </c>
      <c r="M293">
        <v>0</v>
      </c>
      <c r="N293">
        <v>0</v>
      </c>
      <c r="O293">
        <v>0</v>
      </c>
      <c r="P293">
        <v>0</v>
      </c>
      <c r="Q293">
        <v>0</v>
      </c>
      <c r="R293">
        <v>0</v>
      </c>
      <c r="S293">
        <v>0</v>
      </c>
      <c r="T293">
        <v>0</v>
      </c>
      <c r="U293">
        <v>0</v>
      </c>
      <c r="V293">
        <v>0</v>
      </c>
      <c r="W293" s="4">
        <f t="shared" si="212"/>
        <v>9.1887599999999985</v>
      </c>
      <c r="Y293">
        <v>4</v>
      </c>
      <c r="Z293" t="s">
        <v>1</v>
      </c>
      <c r="AA293">
        <v>25984</v>
      </c>
      <c r="AB293">
        <v>224</v>
      </c>
      <c r="AC293">
        <v>2</v>
      </c>
      <c r="AD293">
        <v>8</v>
      </c>
      <c r="AE293">
        <v>1421.05</v>
      </c>
      <c r="AF293" s="3">
        <v>8.2309999999999999</v>
      </c>
      <c r="AG293" s="1">
        <v>45328</v>
      </c>
      <c r="AH293" s="2">
        <v>0.10730324074074075</v>
      </c>
      <c r="AI293">
        <v>0</v>
      </c>
      <c r="AJ293">
        <v>0</v>
      </c>
      <c r="AK293">
        <v>0</v>
      </c>
      <c r="AL293">
        <v>0</v>
      </c>
      <c r="AM293">
        <v>0</v>
      </c>
      <c r="AN293">
        <v>0</v>
      </c>
      <c r="AO293">
        <v>0</v>
      </c>
      <c r="AP293">
        <v>0</v>
      </c>
      <c r="AQ293">
        <v>0</v>
      </c>
      <c r="AR293">
        <v>0</v>
      </c>
      <c r="AS293">
        <v>0</v>
      </c>
      <c r="AT293">
        <v>0</v>
      </c>
      <c r="AU293" s="3">
        <f t="shared" si="213"/>
        <v>8.2303400000000018</v>
      </c>
    </row>
    <row r="294" spans="1:47" x14ac:dyDescent="0.25">
      <c r="A294">
        <v>0</v>
      </c>
      <c r="B294" t="s">
        <v>1</v>
      </c>
      <c r="C294">
        <v>27328</v>
      </c>
      <c r="D294">
        <v>224</v>
      </c>
      <c r="E294">
        <v>2</v>
      </c>
      <c r="F294">
        <v>8</v>
      </c>
      <c r="G294">
        <v>1466.29</v>
      </c>
      <c r="H294" s="3">
        <v>9.2799999999999994</v>
      </c>
      <c r="I294" s="1">
        <v>45319</v>
      </c>
      <c r="J294" s="2">
        <v>0.5198032407407408</v>
      </c>
      <c r="K294">
        <v>0</v>
      </c>
      <c r="L294">
        <v>0</v>
      </c>
      <c r="M294">
        <v>0</v>
      </c>
      <c r="N294">
        <v>0</v>
      </c>
      <c r="O294">
        <v>0</v>
      </c>
      <c r="P294">
        <v>0</v>
      </c>
      <c r="Q294">
        <v>0</v>
      </c>
      <c r="R294">
        <v>0</v>
      </c>
      <c r="S294">
        <v>0</v>
      </c>
      <c r="T294">
        <v>0</v>
      </c>
      <c r="U294">
        <v>0</v>
      </c>
      <c r="V294">
        <v>0</v>
      </c>
      <c r="W294" s="4">
        <f t="shared" ref="W294" si="230">AVERAGE(H294:H298)</f>
        <v>9.2763400000000011</v>
      </c>
      <c r="Y294">
        <v>0</v>
      </c>
      <c r="Z294" t="s">
        <v>1</v>
      </c>
      <c r="AA294">
        <v>27328</v>
      </c>
      <c r="AB294">
        <v>224</v>
      </c>
      <c r="AC294">
        <v>2</v>
      </c>
      <c r="AD294">
        <v>8</v>
      </c>
      <c r="AE294">
        <v>1636.4</v>
      </c>
      <c r="AF294" s="3">
        <v>8.3153000000000006</v>
      </c>
      <c r="AG294" s="1">
        <v>45324</v>
      </c>
      <c r="AH294" s="2">
        <v>0.18839120370370369</v>
      </c>
      <c r="AI294">
        <v>0</v>
      </c>
      <c r="AJ294">
        <v>0</v>
      </c>
      <c r="AK294">
        <v>0</v>
      </c>
      <c r="AL294">
        <v>0</v>
      </c>
      <c r="AM294">
        <v>0</v>
      </c>
      <c r="AN294">
        <v>0</v>
      </c>
      <c r="AO294">
        <v>0</v>
      </c>
      <c r="AP294">
        <v>0</v>
      </c>
      <c r="AQ294">
        <v>0</v>
      </c>
      <c r="AR294">
        <v>0</v>
      </c>
      <c r="AS294">
        <v>0</v>
      </c>
      <c r="AT294">
        <v>0</v>
      </c>
      <c r="AU294" s="3">
        <f t="shared" ref="AU294" si="231">AVERAGE(AF294:AF298)</f>
        <v>8.3139000000000003</v>
      </c>
    </row>
    <row r="295" spans="1:47" x14ac:dyDescent="0.25">
      <c r="A295">
        <v>1</v>
      </c>
      <c r="B295" t="s">
        <v>1</v>
      </c>
      <c r="C295">
        <v>27328</v>
      </c>
      <c r="D295">
        <v>224</v>
      </c>
      <c r="E295">
        <v>2</v>
      </c>
      <c r="F295">
        <v>8</v>
      </c>
      <c r="G295">
        <v>1464.78</v>
      </c>
      <c r="H295" s="3">
        <v>9.2896000000000001</v>
      </c>
      <c r="I295" s="1">
        <v>45320</v>
      </c>
      <c r="J295" s="2">
        <v>0.36084490740740738</v>
      </c>
      <c r="K295">
        <v>0</v>
      </c>
      <c r="L295">
        <v>0</v>
      </c>
      <c r="M295">
        <v>0</v>
      </c>
      <c r="N295">
        <v>0</v>
      </c>
      <c r="O295">
        <v>0</v>
      </c>
      <c r="P295">
        <v>0</v>
      </c>
      <c r="Q295">
        <v>0</v>
      </c>
      <c r="R295">
        <v>0</v>
      </c>
      <c r="S295">
        <v>0</v>
      </c>
      <c r="T295">
        <v>0</v>
      </c>
      <c r="U295">
        <v>0</v>
      </c>
      <c r="V295">
        <v>0</v>
      </c>
      <c r="W295" s="4">
        <f t="shared" ref="W295" si="232">W294</f>
        <v>9.2763400000000011</v>
      </c>
      <c r="Y295">
        <v>1</v>
      </c>
      <c r="Z295" t="s">
        <v>1</v>
      </c>
      <c r="AA295">
        <v>27328</v>
      </c>
      <c r="AB295">
        <v>224</v>
      </c>
      <c r="AC295">
        <v>2</v>
      </c>
      <c r="AD295">
        <v>8</v>
      </c>
      <c r="AE295">
        <v>1636</v>
      </c>
      <c r="AF295" s="3">
        <v>8.3172999999999995</v>
      </c>
      <c r="AG295" s="1">
        <v>45325</v>
      </c>
      <c r="AH295" s="2">
        <v>8.4004629629629624E-2</v>
      </c>
      <c r="AI295">
        <v>0</v>
      </c>
      <c r="AJ295">
        <v>0</v>
      </c>
      <c r="AK295">
        <v>0</v>
      </c>
      <c r="AL295">
        <v>0</v>
      </c>
      <c r="AM295">
        <v>0</v>
      </c>
      <c r="AN295">
        <v>0</v>
      </c>
      <c r="AO295">
        <v>0</v>
      </c>
      <c r="AP295">
        <v>0</v>
      </c>
      <c r="AQ295">
        <v>0</v>
      </c>
      <c r="AR295">
        <v>0</v>
      </c>
      <c r="AS295">
        <v>0</v>
      </c>
      <c r="AT295">
        <v>0</v>
      </c>
      <c r="AU295" s="3">
        <f t="shared" ref="AU295" si="233">AU294</f>
        <v>8.3139000000000003</v>
      </c>
    </row>
    <row r="296" spans="1:47" x14ac:dyDescent="0.25">
      <c r="A296">
        <v>2</v>
      </c>
      <c r="B296" t="s">
        <v>1</v>
      </c>
      <c r="C296">
        <v>27328</v>
      </c>
      <c r="D296">
        <v>224</v>
      </c>
      <c r="E296">
        <v>2</v>
      </c>
      <c r="F296">
        <v>8</v>
      </c>
      <c r="G296">
        <v>1467.65</v>
      </c>
      <c r="H296" s="3">
        <v>9.2713999999999999</v>
      </c>
      <c r="I296" s="1">
        <v>45321</v>
      </c>
      <c r="J296" s="2">
        <v>0.20237268518518517</v>
      </c>
      <c r="K296">
        <v>0</v>
      </c>
      <c r="L296">
        <v>0</v>
      </c>
      <c r="M296">
        <v>0</v>
      </c>
      <c r="N296">
        <v>0</v>
      </c>
      <c r="O296">
        <v>0</v>
      </c>
      <c r="P296">
        <v>0</v>
      </c>
      <c r="Q296">
        <v>0</v>
      </c>
      <c r="R296">
        <v>0</v>
      </c>
      <c r="S296">
        <v>0</v>
      </c>
      <c r="T296">
        <v>0</v>
      </c>
      <c r="U296">
        <v>0</v>
      </c>
      <c r="V296">
        <v>0</v>
      </c>
      <c r="W296" s="4">
        <f t="shared" si="212"/>
        <v>9.2763400000000011</v>
      </c>
      <c r="Y296">
        <v>2</v>
      </c>
      <c r="Z296" t="s">
        <v>1</v>
      </c>
      <c r="AA296">
        <v>27328</v>
      </c>
      <c r="AB296">
        <v>224</v>
      </c>
      <c r="AC296">
        <v>2</v>
      </c>
      <c r="AD296">
        <v>8</v>
      </c>
      <c r="AE296">
        <v>1636.71</v>
      </c>
      <c r="AF296" s="3">
        <v>8.3137000000000008</v>
      </c>
      <c r="AG296" s="1">
        <v>45326</v>
      </c>
      <c r="AH296" s="2">
        <v>3.9004629629629632E-3</v>
      </c>
      <c r="AI296">
        <v>0</v>
      </c>
      <c r="AJ296">
        <v>0</v>
      </c>
      <c r="AK296">
        <v>0</v>
      </c>
      <c r="AL296">
        <v>0</v>
      </c>
      <c r="AM296">
        <v>0</v>
      </c>
      <c r="AN296">
        <v>0</v>
      </c>
      <c r="AO296">
        <v>0</v>
      </c>
      <c r="AP296">
        <v>0</v>
      </c>
      <c r="AQ296">
        <v>0</v>
      </c>
      <c r="AR296">
        <v>0</v>
      </c>
      <c r="AS296">
        <v>0</v>
      </c>
      <c r="AT296">
        <v>0</v>
      </c>
      <c r="AU296" s="3">
        <f t="shared" si="213"/>
        <v>8.3139000000000003</v>
      </c>
    </row>
    <row r="297" spans="1:47" x14ac:dyDescent="0.25">
      <c r="A297">
        <v>3</v>
      </c>
      <c r="B297" t="s">
        <v>1</v>
      </c>
      <c r="C297">
        <v>27328</v>
      </c>
      <c r="D297">
        <v>224</v>
      </c>
      <c r="E297">
        <v>2</v>
      </c>
      <c r="F297">
        <v>8</v>
      </c>
      <c r="G297">
        <v>1467.88</v>
      </c>
      <c r="H297" s="3">
        <v>9.27</v>
      </c>
      <c r="I297" s="1">
        <v>45322</v>
      </c>
      <c r="J297" s="2">
        <v>4.4363425925925924E-2</v>
      </c>
      <c r="K297">
        <v>0</v>
      </c>
      <c r="L297">
        <v>0</v>
      </c>
      <c r="M297">
        <v>0</v>
      </c>
      <c r="N297">
        <v>0</v>
      </c>
      <c r="O297">
        <v>0</v>
      </c>
      <c r="P297">
        <v>0</v>
      </c>
      <c r="Q297">
        <v>0</v>
      </c>
      <c r="R297">
        <v>0</v>
      </c>
      <c r="S297">
        <v>0</v>
      </c>
      <c r="T297">
        <v>0</v>
      </c>
      <c r="U297">
        <v>0</v>
      </c>
      <c r="V297">
        <v>0</v>
      </c>
      <c r="W297" s="4">
        <f t="shared" si="212"/>
        <v>9.2763400000000011</v>
      </c>
      <c r="Y297">
        <v>3</v>
      </c>
      <c r="Z297" t="s">
        <v>1</v>
      </c>
      <c r="AA297">
        <v>27328</v>
      </c>
      <c r="AB297">
        <v>224</v>
      </c>
      <c r="AC297">
        <v>2</v>
      </c>
      <c r="AD297">
        <v>8</v>
      </c>
      <c r="AE297">
        <v>1636.97</v>
      </c>
      <c r="AF297" s="3">
        <v>8.3124000000000002</v>
      </c>
      <c r="AG297" s="1">
        <v>45326</v>
      </c>
      <c r="AH297" s="2">
        <v>0.92383101851851857</v>
      </c>
      <c r="AI297">
        <v>0</v>
      </c>
      <c r="AJ297">
        <v>0</v>
      </c>
      <c r="AK297">
        <v>0</v>
      </c>
      <c r="AL297">
        <v>0</v>
      </c>
      <c r="AM297">
        <v>0</v>
      </c>
      <c r="AN297">
        <v>0</v>
      </c>
      <c r="AO297">
        <v>0</v>
      </c>
      <c r="AP297">
        <v>0</v>
      </c>
      <c r="AQ297">
        <v>0</v>
      </c>
      <c r="AR297">
        <v>0</v>
      </c>
      <c r="AS297">
        <v>0</v>
      </c>
      <c r="AT297">
        <v>0</v>
      </c>
      <c r="AU297" s="3">
        <f t="shared" si="213"/>
        <v>8.3139000000000003</v>
      </c>
    </row>
    <row r="298" spans="1:47" x14ac:dyDescent="0.25">
      <c r="A298">
        <v>4</v>
      </c>
      <c r="B298" t="s">
        <v>1</v>
      </c>
      <c r="C298">
        <v>27328</v>
      </c>
      <c r="D298">
        <v>224</v>
      </c>
      <c r="E298">
        <v>2</v>
      </c>
      <c r="F298">
        <v>8</v>
      </c>
      <c r="G298">
        <v>1467.76</v>
      </c>
      <c r="H298" s="3">
        <v>9.2706999999999997</v>
      </c>
      <c r="I298" s="1">
        <v>45322</v>
      </c>
      <c r="J298" s="2">
        <v>0.88699074074074069</v>
      </c>
      <c r="K298">
        <v>0</v>
      </c>
      <c r="L298">
        <v>0</v>
      </c>
      <c r="M298">
        <v>0</v>
      </c>
      <c r="N298">
        <v>0</v>
      </c>
      <c r="O298">
        <v>0</v>
      </c>
      <c r="P298">
        <v>0</v>
      </c>
      <c r="Q298">
        <v>0</v>
      </c>
      <c r="R298">
        <v>0</v>
      </c>
      <c r="S298">
        <v>0</v>
      </c>
      <c r="T298">
        <v>0</v>
      </c>
      <c r="U298">
        <v>0</v>
      </c>
      <c r="V298">
        <v>0</v>
      </c>
      <c r="W298" s="4">
        <f t="shared" si="212"/>
        <v>9.2763400000000011</v>
      </c>
      <c r="Y298">
        <v>4</v>
      </c>
      <c r="Z298" t="s">
        <v>1</v>
      </c>
      <c r="AA298">
        <v>27328</v>
      </c>
      <c r="AB298">
        <v>224</v>
      </c>
      <c r="AC298">
        <v>2</v>
      </c>
      <c r="AD298">
        <v>8</v>
      </c>
      <c r="AE298">
        <v>1637.3</v>
      </c>
      <c r="AF298" s="3">
        <v>8.3108000000000004</v>
      </c>
      <c r="AG298" s="1">
        <v>45327</v>
      </c>
      <c r="AH298" s="2">
        <v>0.84365740740740736</v>
      </c>
      <c r="AI298">
        <v>0</v>
      </c>
      <c r="AJ298">
        <v>0</v>
      </c>
      <c r="AK298">
        <v>0</v>
      </c>
      <c r="AL298">
        <v>0</v>
      </c>
      <c r="AM298">
        <v>0</v>
      </c>
      <c r="AN298">
        <v>0</v>
      </c>
      <c r="AO298">
        <v>0</v>
      </c>
      <c r="AP298">
        <v>0</v>
      </c>
      <c r="AQ298">
        <v>0</v>
      </c>
      <c r="AR298">
        <v>0</v>
      </c>
      <c r="AS298">
        <v>0</v>
      </c>
      <c r="AT298">
        <v>0</v>
      </c>
      <c r="AU298" s="3">
        <f t="shared" si="213"/>
        <v>8.3139000000000003</v>
      </c>
    </row>
    <row r="299" spans="1:47" x14ac:dyDescent="0.25">
      <c r="A299">
        <v>0</v>
      </c>
      <c r="B299" t="s">
        <v>1</v>
      </c>
      <c r="C299">
        <v>28896</v>
      </c>
      <c r="D299">
        <v>224</v>
      </c>
      <c r="E299">
        <v>2</v>
      </c>
      <c r="F299">
        <v>8</v>
      </c>
      <c r="G299">
        <v>1720.74</v>
      </c>
      <c r="H299" s="3">
        <v>9.3483999999999998</v>
      </c>
      <c r="I299" s="1">
        <v>45320</v>
      </c>
      <c r="J299" s="2">
        <v>7.9050925925925927E-2</v>
      </c>
      <c r="K299">
        <v>0</v>
      </c>
      <c r="L299">
        <v>0</v>
      </c>
      <c r="M299">
        <v>0</v>
      </c>
      <c r="N299">
        <v>0</v>
      </c>
      <c r="O299">
        <v>0</v>
      </c>
      <c r="P299">
        <v>0</v>
      </c>
      <c r="Q299">
        <v>0</v>
      </c>
      <c r="R299">
        <v>0</v>
      </c>
      <c r="S299">
        <v>0</v>
      </c>
      <c r="T299">
        <v>0</v>
      </c>
      <c r="U299">
        <v>0</v>
      </c>
      <c r="V299">
        <v>0</v>
      </c>
      <c r="W299" s="4">
        <f t="shared" ref="W299" si="234">AVERAGE(H299:H303)</f>
        <v>9.3466199999999997</v>
      </c>
      <c r="Y299">
        <v>0</v>
      </c>
      <c r="Z299" t="s">
        <v>1</v>
      </c>
      <c r="AA299">
        <v>28896</v>
      </c>
      <c r="AB299">
        <v>224</v>
      </c>
      <c r="AC299">
        <v>2</v>
      </c>
      <c r="AD299">
        <v>8</v>
      </c>
      <c r="AE299">
        <v>1932.98</v>
      </c>
      <c r="AF299" s="3">
        <v>8.3219999999999992</v>
      </c>
      <c r="AG299" s="1">
        <v>45324</v>
      </c>
      <c r="AH299" s="2">
        <v>0.77761574074074069</v>
      </c>
      <c r="AI299">
        <v>0</v>
      </c>
      <c r="AJ299">
        <v>0</v>
      </c>
      <c r="AK299">
        <v>0</v>
      </c>
      <c r="AL299">
        <v>0</v>
      </c>
      <c r="AM299">
        <v>0</v>
      </c>
      <c r="AN299">
        <v>0</v>
      </c>
      <c r="AO299">
        <v>0</v>
      </c>
      <c r="AP299">
        <v>0</v>
      </c>
      <c r="AQ299">
        <v>0</v>
      </c>
      <c r="AR299">
        <v>0</v>
      </c>
      <c r="AS299">
        <v>0</v>
      </c>
      <c r="AT299">
        <v>0</v>
      </c>
      <c r="AU299" s="3">
        <f t="shared" ref="AU299" si="235">AVERAGE(AF299:AF303)</f>
        <v>8.3149199999999972</v>
      </c>
    </row>
    <row r="300" spans="1:47" x14ac:dyDescent="0.25">
      <c r="A300">
        <v>1</v>
      </c>
      <c r="B300" t="s">
        <v>1</v>
      </c>
      <c r="C300">
        <v>28896</v>
      </c>
      <c r="D300">
        <v>224</v>
      </c>
      <c r="E300">
        <v>2</v>
      </c>
      <c r="F300">
        <v>8</v>
      </c>
      <c r="G300">
        <v>1720.18</v>
      </c>
      <c r="H300" s="3">
        <v>9.3514999999999997</v>
      </c>
      <c r="I300" s="1">
        <v>45320</v>
      </c>
      <c r="J300" s="2">
        <v>0.92034722222222232</v>
      </c>
      <c r="K300">
        <v>0</v>
      </c>
      <c r="L300">
        <v>0</v>
      </c>
      <c r="M300">
        <v>0</v>
      </c>
      <c r="N300">
        <v>0</v>
      </c>
      <c r="O300">
        <v>0</v>
      </c>
      <c r="P300">
        <v>0</v>
      </c>
      <c r="Q300">
        <v>0</v>
      </c>
      <c r="R300">
        <v>0</v>
      </c>
      <c r="S300">
        <v>0</v>
      </c>
      <c r="T300">
        <v>0</v>
      </c>
      <c r="U300">
        <v>0</v>
      </c>
      <c r="V300">
        <v>0</v>
      </c>
      <c r="W300" s="4">
        <f t="shared" ref="W300" si="236">W299</f>
        <v>9.3466199999999997</v>
      </c>
      <c r="Y300">
        <v>1</v>
      </c>
      <c r="Z300" t="s">
        <v>1</v>
      </c>
      <c r="AA300">
        <v>28896</v>
      </c>
      <c r="AB300">
        <v>224</v>
      </c>
      <c r="AC300">
        <v>2</v>
      </c>
      <c r="AD300">
        <v>8</v>
      </c>
      <c r="AE300">
        <v>1935.07</v>
      </c>
      <c r="AF300" s="3">
        <v>8.3130000000000006</v>
      </c>
      <c r="AG300" s="1">
        <v>45325</v>
      </c>
      <c r="AH300" s="2">
        <v>0.69453703703703706</v>
      </c>
      <c r="AI300">
        <v>0</v>
      </c>
      <c r="AJ300">
        <v>0</v>
      </c>
      <c r="AK300">
        <v>0</v>
      </c>
      <c r="AL300">
        <v>0</v>
      </c>
      <c r="AM300">
        <v>0</v>
      </c>
      <c r="AN300">
        <v>0</v>
      </c>
      <c r="AO300">
        <v>0</v>
      </c>
      <c r="AP300">
        <v>0</v>
      </c>
      <c r="AQ300">
        <v>0</v>
      </c>
      <c r="AR300">
        <v>0</v>
      </c>
      <c r="AS300">
        <v>0</v>
      </c>
      <c r="AT300">
        <v>0</v>
      </c>
      <c r="AU300" s="3">
        <f t="shared" ref="AU300" si="237">AU299</f>
        <v>8.3149199999999972</v>
      </c>
    </row>
    <row r="301" spans="1:47" x14ac:dyDescent="0.25">
      <c r="A301">
        <v>2</v>
      </c>
      <c r="B301" t="s">
        <v>1</v>
      </c>
      <c r="C301">
        <v>28896</v>
      </c>
      <c r="D301">
        <v>224</v>
      </c>
      <c r="E301">
        <v>2</v>
      </c>
      <c r="F301">
        <v>8</v>
      </c>
      <c r="G301">
        <v>1720.02</v>
      </c>
      <c r="H301" s="3">
        <v>9.3523999999999994</v>
      </c>
      <c r="I301" s="1">
        <v>45321</v>
      </c>
      <c r="J301" s="2">
        <v>0.76251157407407411</v>
      </c>
      <c r="K301">
        <v>0</v>
      </c>
      <c r="L301">
        <v>0</v>
      </c>
      <c r="M301">
        <v>0</v>
      </c>
      <c r="N301">
        <v>0</v>
      </c>
      <c r="O301">
        <v>0</v>
      </c>
      <c r="P301">
        <v>0</v>
      </c>
      <c r="Q301">
        <v>0</v>
      </c>
      <c r="R301">
        <v>0</v>
      </c>
      <c r="S301">
        <v>0</v>
      </c>
      <c r="T301">
        <v>0</v>
      </c>
      <c r="U301">
        <v>0</v>
      </c>
      <c r="V301">
        <v>0</v>
      </c>
      <c r="W301" s="4">
        <f t="shared" si="212"/>
        <v>9.3466199999999997</v>
      </c>
      <c r="Y301">
        <v>2</v>
      </c>
      <c r="Z301" t="s">
        <v>1</v>
      </c>
      <c r="AA301">
        <v>28896</v>
      </c>
      <c r="AB301">
        <v>224</v>
      </c>
      <c r="AC301">
        <v>2</v>
      </c>
      <c r="AD301">
        <v>8</v>
      </c>
      <c r="AE301">
        <v>1934.71</v>
      </c>
      <c r="AF301" s="3">
        <v>8.3146000000000004</v>
      </c>
      <c r="AG301" s="1">
        <v>45326</v>
      </c>
      <c r="AH301" s="2">
        <v>0.61469907407407409</v>
      </c>
      <c r="AI301">
        <v>0</v>
      </c>
      <c r="AJ301">
        <v>0</v>
      </c>
      <c r="AK301">
        <v>0</v>
      </c>
      <c r="AL301">
        <v>0</v>
      </c>
      <c r="AM301">
        <v>0</v>
      </c>
      <c r="AN301">
        <v>0</v>
      </c>
      <c r="AO301">
        <v>0</v>
      </c>
      <c r="AP301">
        <v>0</v>
      </c>
      <c r="AQ301">
        <v>0</v>
      </c>
      <c r="AR301">
        <v>0</v>
      </c>
      <c r="AS301">
        <v>0</v>
      </c>
      <c r="AT301">
        <v>0</v>
      </c>
      <c r="AU301" s="3">
        <f t="shared" si="213"/>
        <v>8.3149199999999972</v>
      </c>
    </row>
    <row r="302" spans="1:47" x14ac:dyDescent="0.25">
      <c r="A302">
        <v>3</v>
      </c>
      <c r="B302" t="s">
        <v>1</v>
      </c>
      <c r="C302">
        <v>28896</v>
      </c>
      <c r="D302">
        <v>224</v>
      </c>
      <c r="E302">
        <v>2</v>
      </c>
      <c r="F302">
        <v>8</v>
      </c>
      <c r="G302">
        <v>1723.05</v>
      </c>
      <c r="H302" s="3">
        <v>9.3359000000000005</v>
      </c>
      <c r="I302" s="1">
        <v>45322</v>
      </c>
      <c r="J302" s="2">
        <v>0.60498842592592594</v>
      </c>
      <c r="K302">
        <v>0</v>
      </c>
      <c r="L302">
        <v>0</v>
      </c>
      <c r="M302">
        <v>0</v>
      </c>
      <c r="N302">
        <v>0</v>
      </c>
      <c r="O302">
        <v>0</v>
      </c>
      <c r="P302">
        <v>0</v>
      </c>
      <c r="Q302">
        <v>0</v>
      </c>
      <c r="R302">
        <v>0</v>
      </c>
      <c r="S302">
        <v>0</v>
      </c>
      <c r="T302">
        <v>0</v>
      </c>
      <c r="U302">
        <v>0</v>
      </c>
      <c r="V302">
        <v>0</v>
      </c>
      <c r="W302" s="4">
        <f t="shared" si="212"/>
        <v>9.3466199999999997</v>
      </c>
      <c r="Y302">
        <v>3</v>
      </c>
      <c r="Z302" t="s">
        <v>1</v>
      </c>
      <c r="AA302">
        <v>28896</v>
      </c>
      <c r="AB302">
        <v>224</v>
      </c>
      <c r="AC302">
        <v>2</v>
      </c>
      <c r="AD302">
        <v>8</v>
      </c>
      <c r="AE302">
        <v>1935.18</v>
      </c>
      <c r="AF302" s="3">
        <v>8.3125999999999998</v>
      </c>
      <c r="AG302" s="1">
        <v>45327</v>
      </c>
      <c r="AH302" s="2">
        <v>0.53501157407407407</v>
      </c>
      <c r="AI302">
        <v>0</v>
      </c>
      <c r="AJ302">
        <v>0</v>
      </c>
      <c r="AK302">
        <v>0</v>
      </c>
      <c r="AL302">
        <v>0</v>
      </c>
      <c r="AM302">
        <v>0</v>
      </c>
      <c r="AN302">
        <v>0</v>
      </c>
      <c r="AO302">
        <v>0</v>
      </c>
      <c r="AP302">
        <v>0</v>
      </c>
      <c r="AQ302">
        <v>0</v>
      </c>
      <c r="AR302">
        <v>0</v>
      </c>
      <c r="AS302">
        <v>0</v>
      </c>
      <c r="AT302">
        <v>0</v>
      </c>
      <c r="AU302" s="3">
        <f t="shared" si="213"/>
        <v>8.3149199999999972</v>
      </c>
    </row>
    <row r="303" spans="1:47" x14ac:dyDescent="0.25">
      <c r="A303">
        <v>4</v>
      </c>
      <c r="B303" t="s">
        <v>1</v>
      </c>
      <c r="C303">
        <v>28896</v>
      </c>
      <c r="D303">
        <v>224</v>
      </c>
      <c r="E303">
        <v>2</v>
      </c>
      <c r="F303">
        <v>8</v>
      </c>
      <c r="G303">
        <v>1721.4</v>
      </c>
      <c r="H303" s="3">
        <v>9.3449000000000009</v>
      </c>
      <c r="I303" s="1">
        <v>45323</v>
      </c>
      <c r="J303" s="2">
        <v>0.44751157407407405</v>
      </c>
      <c r="K303">
        <v>0</v>
      </c>
      <c r="L303">
        <v>0</v>
      </c>
      <c r="M303">
        <v>0</v>
      </c>
      <c r="N303">
        <v>0</v>
      </c>
      <c r="O303">
        <v>0</v>
      </c>
      <c r="P303">
        <v>0</v>
      </c>
      <c r="Q303">
        <v>0</v>
      </c>
      <c r="R303">
        <v>0</v>
      </c>
      <c r="S303">
        <v>0</v>
      </c>
      <c r="T303">
        <v>0</v>
      </c>
      <c r="U303">
        <v>0</v>
      </c>
      <c r="V303">
        <v>0</v>
      </c>
      <c r="W303" s="4">
        <f t="shared" si="212"/>
        <v>9.3466199999999997</v>
      </c>
      <c r="Y303">
        <v>4</v>
      </c>
      <c r="Z303" t="s">
        <v>1</v>
      </c>
      <c r="AA303">
        <v>28896</v>
      </c>
      <c r="AB303">
        <v>224</v>
      </c>
      <c r="AC303">
        <v>2</v>
      </c>
      <c r="AD303">
        <v>8</v>
      </c>
      <c r="AE303">
        <v>1935.22</v>
      </c>
      <c r="AF303" s="3">
        <v>8.3124000000000002</v>
      </c>
      <c r="AG303" s="1">
        <v>45328</v>
      </c>
      <c r="AH303" s="2">
        <v>0.45454861111111106</v>
      </c>
      <c r="AI303">
        <v>0</v>
      </c>
      <c r="AJ303">
        <v>0</v>
      </c>
      <c r="AK303">
        <v>0</v>
      </c>
      <c r="AL303">
        <v>0</v>
      </c>
      <c r="AM303">
        <v>0</v>
      </c>
      <c r="AN303">
        <v>0</v>
      </c>
      <c r="AO303">
        <v>0</v>
      </c>
      <c r="AP303">
        <v>0</v>
      </c>
      <c r="AQ303">
        <v>0</v>
      </c>
      <c r="AR303">
        <v>0</v>
      </c>
      <c r="AS303">
        <v>0</v>
      </c>
      <c r="AT303">
        <v>0</v>
      </c>
      <c r="AU303" s="3">
        <f t="shared" si="213"/>
        <v>8.3149199999999972</v>
      </c>
    </row>
    <row r="304" spans="1:47" x14ac:dyDescent="0.25">
      <c r="A304">
        <v>0</v>
      </c>
      <c r="B304" t="s">
        <v>1</v>
      </c>
      <c r="C304">
        <v>25984</v>
      </c>
      <c r="D304">
        <v>224</v>
      </c>
      <c r="E304">
        <v>4</v>
      </c>
      <c r="F304">
        <v>4</v>
      </c>
      <c r="G304">
        <v>1265.26</v>
      </c>
      <c r="H304" s="3">
        <v>9.2445000000000004</v>
      </c>
      <c r="I304" s="1">
        <v>45319</v>
      </c>
      <c r="J304" s="2">
        <v>0.77637731481481476</v>
      </c>
      <c r="K304">
        <v>0</v>
      </c>
      <c r="L304">
        <v>0</v>
      </c>
      <c r="M304">
        <v>0</v>
      </c>
      <c r="N304">
        <v>0</v>
      </c>
      <c r="O304">
        <v>0</v>
      </c>
      <c r="P304">
        <v>0</v>
      </c>
      <c r="Q304">
        <v>0</v>
      </c>
      <c r="R304">
        <v>0</v>
      </c>
      <c r="S304">
        <v>0</v>
      </c>
      <c r="T304">
        <v>0</v>
      </c>
      <c r="U304">
        <v>0</v>
      </c>
      <c r="V304">
        <v>0</v>
      </c>
      <c r="W304" s="4">
        <f t="shared" ref="W304" si="238">AVERAGE(H304:H308)</f>
        <v>9.2043200000000009</v>
      </c>
      <c r="Y304">
        <v>0</v>
      </c>
      <c r="Z304" t="s">
        <v>1</v>
      </c>
      <c r="AA304">
        <v>25984</v>
      </c>
      <c r="AB304">
        <v>224</v>
      </c>
      <c r="AC304">
        <v>4</v>
      </c>
      <c r="AD304">
        <v>4</v>
      </c>
      <c r="AE304">
        <v>1389.42</v>
      </c>
      <c r="AF304" s="3">
        <v>8.4184000000000001</v>
      </c>
      <c r="AG304" s="1">
        <v>45324</v>
      </c>
      <c r="AH304" s="2">
        <v>0.45850694444444445</v>
      </c>
      <c r="AI304">
        <v>0</v>
      </c>
      <c r="AJ304">
        <v>0</v>
      </c>
      <c r="AK304">
        <v>0</v>
      </c>
      <c r="AL304">
        <v>0</v>
      </c>
      <c r="AM304">
        <v>0</v>
      </c>
      <c r="AN304">
        <v>0</v>
      </c>
      <c r="AO304">
        <v>0</v>
      </c>
      <c r="AP304">
        <v>0</v>
      </c>
      <c r="AQ304">
        <v>0</v>
      </c>
      <c r="AR304">
        <v>0</v>
      </c>
      <c r="AS304">
        <v>0</v>
      </c>
      <c r="AT304">
        <v>0</v>
      </c>
      <c r="AU304" s="3">
        <f t="shared" ref="AU304" si="239">AVERAGE(AF304:AF308)</f>
        <v>8.3906399999999994</v>
      </c>
    </row>
    <row r="305" spans="1:47" x14ac:dyDescent="0.25">
      <c r="A305">
        <v>1</v>
      </c>
      <c r="B305" t="s">
        <v>1</v>
      </c>
      <c r="C305">
        <v>25984</v>
      </c>
      <c r="D305">
        <v>224</v>
      </c>
      <c r="E305">
        <v>4</v>
      </c>
      <c r="F305">
        <v>4</v>
      </c>
      <c r="G305">
        <v>1264.28</v>
      </c>
      <c r="H305" s="3">
        <v>9.2516999999999996</v>
      </c>
      <c r="I305" s="1">
        <v>45320</v>
      </c>
      <c r="J305" s="2">
        <v>0.61761574074074077</v>
      </c>
      <c r="K305">
        <v>0</v>
      </c>
      <c r="L305">
        <v>0</v>
      </c>
      <c r="M305">
        <v>0</v>
      </c>
      <c r="N305">
        <v>0</v>
      </c>
      <c r="O305">
        <v>0</v>
      </c>
      <c r="P305">
        <v>0</v>
      </c>
      <c r="Q305">
        <v>0</v>
      </c>
      <c r="R305">
        <v>0</v>
      </c>
      <c r="S305">
        <v>0</v>
      </c>
      <c r="T305">
        <v>0</v>
      </c>
      <c r="U305">
        <v>0</v>
      </c>
      <c r="V305">
        <v>0</v>
      </c>
      <c r="W305" s="4">
        <f t="shared" ref="W305" si="240">W304</f>
        <v>9.2043200000000009</v>
      </c>
      <c r="Y305">
        <v>1</v>
      </c>
      <c r="Z305" t="s">
        <v>1</v>
      </c>
      <c r="AA305">
        <v>25984</v>
      </c>
      <c r="AB305">
        <v>224</v>
      </c>
      <c r="AC305">
        <v>4</v>
      </c>
      <c r="AD305">
        <v>4</v>
      </c>
      <c r="AE305">
        <v>1400.12</v>
      </c>
      <c r="AF305" s="3">
        <v>8.3541000000000007</v>
      </c>
      <c r="AG305" s="1">
        <v>45325</v>
      </c>
      <c r="AH305" s="2">
        <v>0.36502314814814812</v>
      </c>
      <c r="AI305">
        <v>0</v>
      </c>
      <c r="AJ305">
        <v>0</v>
      </c>
      <c r="AK305">
        <v>0</v>
      </c>
      <c r="AL305">
        <v>0</v>
      </c>
      <c r="AM305">
        <v>0</v>
      </c>
      <c r="AN305">
        <v>0</v>
      </c>
      <c r="AO305">
        <v>0</v>
      </c>
      <c r="AP305">
        <v>0</v>
      </c>
      <c r="AQ305">
        <v>0</v>
      </c>
      <c r="AR305">
        <v>0</v>
      </c>
      <c r="AS305">
        <v>0</v>
      </c>
      <c r="AT305">
        <v>0</v>
      </c>
      <c r="AU305" s="3">
        <f t="shared" ref="AU305" si="241">AU304</f>
        <v>8.3906399999999994</v>
      </c>
    </row>
    <row r="306" spans="1:47" x14ac:dyDescent="0.25">
      <c r="A306">
        <v>2</v>
      </c>
      <c r="B306" t="s">
        <v>1</v>
      </c>
      <c r="C306">
        <v>25984</v>
      </c>
      <c r="D306">
        <v>224</v>
      </c>
      <c r="E306">
        <v>4</v>
      </c>
      <c r="F306">
        <v>4</v>
      </c>
      <c r="G306">
        <v>1272.7</v>
      </c>
      <c r="H306" s="3">
        <v>9.1905000000000001</v>
      </c>
      <c r="I306" s="1">
        <v>45321</v>
      </c>
      <c r="J306" s="2">
        <v>0.45987268518518515</v>
      </c>
      <c r="K306">
        <v>0</v>
      </c>
      <c r="L306">
        <v>0</v>
      </c>
      <c r="M306">
        <v>0</v>
      </c>
      <c r="N306">
        <v>0</v>
      </c>
      <c r="O306">
        <v>0</v>
      </c>
      <c r="P306">
        <v>0</v>
      </c>
      <c r="Q306">
        <v>0</v>
      </c>
      <c r="R306">
        <v>0</v>
      </c>
      <c r="S306">
        <v>0</v>
      </c>
      <c r="T306">
        <v>0</v>
      </c>
      <c r="U306">
        <v>0</v>
      </c>
      <c r="V306">
        <v>0</v>
      </c>
      <c r="W306" s="4">
        <f t="shared" si="212"/>
        <v>9.2043200000000009</v>
      </c>
      <c r="Y306">
        <v>2</v>
      </c>
      <c r="Z306" t="s">
        <v>1</v>
      </c>
      <c r="AA306">
        <v>25984</v>
      </c>
      <c r="AB306">
        <v>224</v>
      </c>
      <c r="AC306">
        <v>4</v>
      </c>
      <c r="AD306">
        <v>4</v>
      </c>
      <c r="AE306">
        <v>1389.71</v>
      </c>
      <c r="AF306" s="3">
        <v>8.4167000000000005</v>
      </c>
      <c r="AG306" s="1">
        <v>45326</v>
      </c>
      <c r="AH306" s="2">
        <v>0.28513888888888889</v>
      </c>
      <c r="AI306">
        <v>0</v>
      </c>
      <c r="AJ306">
        <v>0</v>
      </c>
      <c r="AK306">
        <v>0</v>
      </c>
      <c r="AL306">
        <v>0</v>
      </c>
      <c r="AM306">
        <v>0</v>
      </c>
      <c r="AN306">
        <v>0</v>
      </c>
      <c r="AO306">
        <v>0</v>
      </c>
      <c r="AP306">
        <v>0</v>
      </c>
      <c r="AQ306">
        <v>0</v>
      </c>
      <c r="AR306">
        <v>0</v>
      </c>
      <c r="AS306">
        <v>0</v>
      </c>
      <c r="AT306">
        <v>0</v>
      </c>
      <c r="AU306" s="3">
        <f t="shared" si="213"/>
        <v>8.3906399999999994</v>
      </c>
    </row>
    <row r="307" spans="1:47" x14ac:dyDescent="0.25">
      <c r="A307">
        <v>3</v>
      </c>
      <c r="B307" t="s">
        <v>1</v>
      </c>
      <c r="C307">
        <v>25984</v>
      </c>
      <c r="D307">
        <v>224</v>
      </c>
      <c r="E307">
        <v>4</v>
      </c>
      <c r="F307">
        <v>4</v>
      </c>
      <c r="G307">
        <v>1284.49</v>
      </c>
      <c r="H307" s="3">
        <v>9.1061999999999994</v>
      </c>
      <c r="I307" s="1">
        <v>45322</v>
      </c>
      <c r="J307" s="2">
        <v>0.30214120370370373</v>
      </c>
      <c r="K307">
        <v>0</v>
      </c>
      <c r="L307">
        <v>0</v>
      </c>
      <c r="M307">
        <v>0</v>
      </c>
      <c r="N307">
        <v>0</v>
      </c>
      <c r="O307">
        <v>0</v>
      </c>
      <c r="P307">
        <v>0</v>
      </c>
      <c r="Q307">
        <v>0</v>
      </c>
      <c r="R307">
        <v>0</v>
      </c>
      <c r="S307">
        <v>0</v>
      </c>
      <c r="T307">
        <v>0</v>
      </c>
      <c r="U307">
        <v>0</v>
      </c>
      <c r="V307">
        <v>0</v>
      </c>
      <c r="W307" s="4">
        <f t="shared" si="212"/>
        <v>9.2043200000000009</v>
      </c>
      <c r="Y307">
        <v>3</v>
      </c>
      <c r="Z307" t="s">
        <v>1</v>
      </c>
      <c r="AA307">
        <v>25984</v>
      </c>
      <c r="AB307">
        <v>224</v>
      </c>
      <c r="AC307">
        <v>4</v>
      </c>
      <c r="AD307">
        <v>4</v>
      </c>
      <c r="AE307">
        <v>1401.4</v>
      </c>
      <c r="AF307" s="3">
        <v>8.3465000000000007</v>
      </c>
      <c r="AG307" s="1">
        <v>45327</v>
      </c>
      <c r="AH307" s="2">
        <v>0.20494212962962963</v>
      </c>
      <c r="AI307">
        <v>0</v>
      </c>
      <c r="AJ307">
        <v>0</v>
      </c>
      <c r="AK307">
        <v>0</v>
      </c>
      <c r="AL307">
        <v>0</v>
      </c>
      <c r="AM307">
        <v>0</v>
      </c>
      <c r="AN307">
        <v>0</v>
      </c>
      <c r="AO307">
        <v>0</v>
      </c>
      <c r="AP307">
        <v>0</v>
      </c>
      <c r="AQ307">
        <v>0</v>
      </c>
      <c r="AR307">
        <v>0</v>
      </c>
      <c r="AS307">
        <v>0</v>
      </c>
      <c r="AT307">
        <v>0</v>
      </c>
      <c r="AU307" s="3">
        <f t="shared" si="213"/>
        <v>8.3906399999999994</v>
      </c>
    </row>
    <row r="308" spans="1:47" x14ac:dyDescent="0.25">
      <c r="A308">
        <v>4</v>
      </c>
      <c r="B308" t="s">
        <v>1</v>
      </c>
      <c r="C308">
        <v>25984</v>
      </c>
      <c r="D308">
        <v>224</v>
      </c>
      <c r="E308">
        <v>4</v>
      </c>
      <c r="F308">
        <v>4</v>
      </c>
      <c r="G308">
        <v>1267.43</v>
      </c>
      <c r="H308" s="3">
        <v>9.2286999999999999</v>
      </c>
      <c r="I308" s="1">
        <v>45323</v>
      </c>
      <c r="J308" s="2">
        <v>0.14457175925925927</v>
      </c>
      <c r="K308">
        <v>0</v>
      </c>
      <c r="L308">
        <v>0</v>
      </c>
      <c r="M308">
        <v>0</v>
      </c>
      <c r="N308">
        <v>0</v>
      </c>
      <c r="O308">
        <v>0</v>
      </c>
      <c r="P308">
        <v>0</v>
      </c>
      <c r="Q308">
        <v>0</v>
      </c>
      <c r="R308">
        <v>0</v>
      </c>
      <c r="S308">
        <v>0</v>
      </c>
      <c r="T308">
        <v>0</v>
      </c>
      <c r="U308">
        <v>0</v>
      </c>
      <c r="V308">
        <v>0</v>
      </c>
      <c r="W308" s="4">
        <f t="shared" si="212"/>
        <v>9.2043200000000009</v>
      </c>
      <c r="Y308">
        <v>4</v>
      </c>
      <c r="Z308" t="s">
        <v>1</v>
      </c>
      <c r="AA308">
        <v>25984</v>
      </c>
      <c r="AB308">
        <v>224</v>
      </c>
      <c r="AC308">
        <v>4</v>
      </c>
      <c r="AD308">
        <v>4</v>
      </c>
      <c r="AE308">
        <v>1389.58</v>
      </c>
      <c r="AF308" s="3">
        <v>8.4175000000000004</v>
      </c>
      <c r="AG308" s="1">
        <v>45328</v>
      </c>
      <c r="AH308" s="2">
        <v>0.12456018518518519</v>
      </c>
      <c r="AI308">
        <v>0</v>
      </c>
      <c r="AJ308">
        <v>0</v>
      </c>
      <c r="AK308">
        <v>0</v>
      </c>
      <c r="AL308">
        <v>0</v>
      </c>
      <c r="AM308">
        <v>0</v>
      </c>
      <c r="AN308">
        <v>0</v>
      </c>
      <c r="AO308">
        <v>0</v>
      </c>
      <c r="AP308">
        <v>0</v>
      </c>
      <c r="AQ308">
        <v>0</v>
      </c>
      <c r="AR308">
        <v>0</v>
      </c>
      <c r="AS308">
        <v>0</v>
      </c>
      <c r="AT308">
        <v>0</v>
      </c>
      <c r="AU308" s="3">
        <f t="shared" si="213"/>
        <v>8.3906399999999994</v>
      </c>
    </row>
    <row r="309" spans="1:47" x14ac:dyDescent="0.25">
      <c r="A309">
        <v>0</v>
      </c>
      <c r="B309" t="s">
        <v>1</v>
      </c>
      <c r="C309">
        <v>27328</v>
      </c>
      <c r="D309">
        <v>224</v>
      </c>
      <c r="E309">
        <v>4</v>
      </c>
      <c r="F309">
        <v>4</v>
      </c>
      <c r="G309">
        <v>1457.66</v>
      </c>
      <c r="H309" s="3">
        <v>9.3350000000000009</v>
      </c>
      <c r="I309" s="1">
        <v>45319</v>
      </c>
      <c r="J309" s="2">
        <v>0.53817129629629623</v>
      </c>
      <c r="K309">
        <v>0</v>
      </c>
      <c r="L309">
        <v>0</v>
      </c>
      <c r="M309">
        <v>0</v>
      </c>
      <c r="N309">
        <v>0</v>
      </c>
      <c r="O309">
        <v>0</v>
      </c>
      <c r="P309">
        <v>0</v>
      </c>
      <c r="Q309">
        <v>0</v>
      </c>
      <c r="R309">
        <v>0</v>
      </c>
      <c r="S309">
        <v>0</v>
      </c>
      <c r="T309">
        <v>0</v>
      </c>
      <c r="U309">
        <v>0</v>
      </c>
      <c r="V309">
        <v>0</v>
      </c>
      <c r="W309" s="4">
        <f t="shared" ref="W309" si="242">AVERAGE(H309:H313)</f>
        <v>9.3203399999999981</v>
      </c>
      <c r="Y309">
        <v>0</v>
      </c>
      <c r="Z309" t="s">
        <v>1</v>
      </c>
      <c r="AA309">
        <v>27328</v>
      </c>
      <c r="AB309">
        <v>224</v>
      </c>
      <c r="AC309">
        <v>4</v>
      </c>
      <c r="AD309">
        <v>4</v>
      </c>
      <c r="AE309">
        <v>1603.38</v>
      </c>
      <c r="AF309" s="3">
        <v>8.4864999999999995</v>
      </c>
      <c r="AG309" s="1">
        <v>45324</v>
      </c>
      <c r="AH309" s="2">
        <v>0.20730324074074072</v>
      </c>
      <c r="AI309">
        <v>0</v>
      </c>
      <c r="AJ309">
        <v>0</v>
      </c>
      <c r="AK309">
        <v>0</v>
      </c>
      <c r="AL309">
        <v>0</v>
      </c>
      <c r="AM309">
        <v>0</v>
      </c>
      <c r="AN309">
        <v>0</v>
      </c>
      <c r="AO309">
        <v>0</v>
      </c>
      <c r="AP309">
        <v>0</v>
      </c>
      <c r="AQ309">
        <v>0</v>
      </c>
      <c r="AR309">
        <v>0</v>
      </c>
      <c r="AS309">
        <v>0</v>
      </c>
      <c r="AT309">
        <v>0</v>
      </c>
      <c r="AU309" s="3">
        <f t="shared" ref="AU309" si="243">AVERAGE(AF309:AF313)</f>
        <v>8.447379999999999</v>
      </c>
    </row>
    <row r="310" spans="1:47" x14ac:dyDescent="0.25">
      <c r="A310">
        <v>1</v>
      </c>
      <c r="B310" t="s">
        <v>1</v>
      </c>
      <c r="C310">
        <v>27328</v>
      </c>
      <c r="D310">
        <v>224</v>
      </c>
      <c r="E310">
        <v>4</v>
      </c>
      <c r="F310">
        <v>4</v>
      </c>
      <c r="G310">
        <v>1460.55</v>
      </c>
      <c r="H310" s="3">
        <v>9.3164999999999996</v>
      </c>
      <c r="I310" s="1">
        <v>45320</v>
      </c>
      <c r="J310" s="2">
        <v>0.3792476851851852</v>
      </c>
      <c r="K310">
        <v>0</v>
      </c>
      <c r="L310">
        <v>0</v>
      </c>
      <c r="M310">
        <v>0</v>
      </c>
      <c r="N310">
        <v>0</v>
      </c>
      <c r="O310">
        <v>0</v>
      </c>
      <c r="P310">
        <v>0</v>
      </c>
      <c r="Q310">
        <v>0</v>
      </c>
      <c r="R310">
        <v>0</v>
      </c>
      <c r="S310">
        <v>0</v>
      </c>
      <c r="T310">
        <v>0</v>
      </c>
      <c r="U310">
        <v>0</v>
      </c>
      <c r="V310">
        <v>0</v>
      </c>
      <c r="W310" s="4">
        <f t="shared" ref="W310" si="244">W309</f>
        <v>9.3203399999999981</v>
      </c>
      <c r="Y310">
        <v>1</v>
      </c>
      <c r="Z310" t="s">
        <v>1</v>
      </c>
      <c r="AA310">
        <v>27328</v>
      </c>
      <c r="AB310">
        <v>224</v>
      </c>
      <c r="AC310">
        <v>4</v>
      </c>
      <c r="AD310">
        <v>4</v>
      </c>
      <c r="AE310">
        <v>1605.86</v>
      </c>
      <c r="AF310" s="3">
        <v>8.4734999999999996</v>
      </c>
      <c r="AG310" s="1">
        <v>45325</v>
      </c>
      <c r="AH310" s="2">
        <v>0.10379629629629629</v>
      </c>
      <c r="AI310">
        <v>0</v>
      </c>
      <c r="AJ310">
        <v>0</v>
      </c>
      <c r="AK310">
        <v>0</v>
      </c>
      <c r="AL310">
        <v>0</v>
      </c>
      <c r="AM310">
        <v>0</v>
      </c>
      <c r="AN310">
        <v>0</v>
      </c>
      <c r="AO310">
        <v>0</v>
      </c>
      <c r="AP310">
        <v>0</v>
      </c>
      <c r="AQ310">
        <v>0</v>
      </c>
      <c r="AR310">
        <v>0</v>
      </c>
      <c r="AS310">
        <v>0</v>
      </c>
      <c r="AT310">
        <v>0</v>
      </c>
      <c r="AU310" s="3">
        <f t="shared" ref="AU310" si="245">AU309</f>
        <v>8.447379999999999</v>
      </c>
    </row>
    <row r="311" spans="1:47" x14ac:dyDescent="0.25">
      <c r="A311">
        <v>2</v>
      </c>
      <c r="B311" t="s">
        <v>1</v>
      </c>
      <c r="C311">
        <v>27328</v>
      </c>
      <c r="D311">
        <v>224</v>
      </c>
      <c r="E311">
        <v>4</v>
      </c>
      <c r="F311">
        <v>4</v>
      </c>
      <c r="G311">
        <v>1463.62</v>
      </c>
      <c r="H311" s="3">
        <v>9.2969000000000008</v>
      </c>
      <c r="I311" s="1">
        <v>45321</v>
      </c>
      <c r="J311" s="2">
        <v>0.22083333333333333</v>
      </c>
      <c r="K311">
        <v>0</v>
      </c>
      <c r="L311">
        <v>0</v>
      </c>
      <c r="M311">
        <v>0</v>
      </c>
      <c r="N311">
        <v>0</v>
      </c>
      <c r="O311">
        <v>0</v>
      </c>
      <c r="P311">
        <v>0</v>
      </c>
      <c r="Q311">
        <v>0</v>
      </c>
      <c r="R311">
        <v>0</v>
      </c>
      <c r="S311">
        <v>0</v>
      </c>
      <c r="T311">
        <v>0</v>
      </c>
      <c r="U311">
        <v>0</v>
      </c>
      <c r="V311">
        <v>0</v>
      </c>
      <c r="W311" s="4">
        <f t="shared" si="212"/>
        <v>9.3203399999999981</v>
      </c>
      <c r="Y311">
        <v>2</v>
      </c>
      <c r="Z311" t="s">
        <v>1</v>
      </c>
      <c r="AA311">
        <v>27328</v>
      </c>
      <c r="AB311">
        <v>224</v>
      </c>
      <c r="AC311">
        <v>4</v>
      </c>
      <c r="AD311">
        <v>4</v>
      </c>
      <c r="AE311">
        <v>1636.03</v>
      </c>
      <c r="AF311" s="3">
        <v>8.3171999999999997</v>
      </c>
      <c r="AG311" s="1">
        <v>45326</v>
      </c>
      <c r="AH311" s="2">
        <v>2.4050925925925924E-2</v>
      </c>
      <c r="AI311">
        <v>0</v>
      </c>
      <c r="AJ311">
        <v>0</v>
      </c>
      <c r="AK311">
        <v>0</v>
      </c>
      <c r="AL311">
        <v>0</v>
      </c>
      <c r="AM311">
        <v>0</v>
      </c>
      <c r="AN311">
        <v>0</v>
      </c>
      <c r="AO311">
        <v>0</v>
      </c>
      <c r="AP311">
        <v>0</v>
      </c>
      <c r="AQ311">
        <v>0</v>
      </c>
      <c r="AR311">
        <v>0</v>
      </c>
      <c r="AS311">
        <v>0</v>
      </c>
      <c r="AT311">
        <v>0</v>
      </c>
      <c r="AU311" s="3">
        <f t="shared" si="213"/>
        <v>8.447379999999999</v>
      </c>
    </row>
    <row r="312" spans="1:47" x14ac:dyDescent="0.25">
      <c r="A312">
        <v>3</v>
      </c>
      <c r="B312" t="s">
        <v>1</v>
      </c>
      <c r="C312">
        <v>27328</v>
      </c>
      <c r="D312">
        <v>224</v>
      </c>
      <c r="E312">
        <v>4</v>
      </c>
      <c r="F312">
        <v>4</v>
      </c>
      <c r="G312">
        <v>1457.86</v>
      </c>
      <c r="H312" s="3">
        <v>9.3336000000000006</v>
      </c>
      <c r="I312" s="1">
        <v>45322</v>
      </c>
      <c r="J312" s="2">
        <v>6.2743055555555552E-2</v>
      </c>
      <c r="K312">
        <v>0</v>
      </c>
      <c r="L312">
        <v>0</v>
      </c>
      <c r="M312">
        <v>0</v>
      </c>
      <c r="N312">
        <v>0</v>
      </c>
      <c r="O312">
        <v>0</v>
      </c>
      <c r="P312">
        <v>0</v>
      </c>
      <c r="Q312">
        <v>0</v>
      </c>
      <c r="R312">
        <v>0</v>
      </c>
      <c r="S312">
        <v>0</v>
      </c>
      <c r="T312">
        <v>0</v>
      </c>
      <c r="U312">
        <v>0</v>
      </c>
      <c r="V312">
        <v>0</v>
      </c>
      <c r="W312" s="4">
        <f t="shared" si="212"/>
        <v>9.3203399999999981</v>
      </c>
      <c r="Y312">
        <v>3</v>
      </c>
      <c r="Z312" t="s">
        <v>1</v>
      </c>
      <c r="AA312">
        <v>27328</v>
      </c>
      <c r="AB312">
        <v>224</v>
      </c>
      <c r="AC312">
        <v>4</v>
      </c>
      <c r="AD312">
        <v>4</v>
      </c>
      <c r="AE312">
        <v>1605.77</v>
      </c>
      <c r="AF312" s="3">
        <v>8.4739000000000004</v>
      </c>
      <c r="AG312" s="1">
        <v>45326</v>
      </c>
      <c r="AH312" s="2">
        <v>0.94362268518518511</v>
      </c>
      <c r="AI312">
        <v>0</v>
      </c>
      <c r="AJ312">
        <v>0</v>
      </c>
      <c r="AK312">
        <v>0</v>
      </c>
      <c r="AL312">
        <v>0</v>
      </c>
      <c r="AM312">
        <v>0</v>
      </c>
      <c r="AN312">
        <v>0</v>
      </c>
      <c r="AO312">
        <v>0</v>
      </c>
      <c r="AP312">
        <v>0</v>
      </c>
      <c r="AQ312">
        <v>0</v>
      </c>
      <c r="AR312">
        <v>0</v>
      </c>
      <c r="AS312">
        <v>0</v>
      </c>
      <c r="AT312">
        <v>0</v>
      </c>
      <c r="AU312" s="3">
        <f t="shared" si="213"/>
        <v>8.447379999999999</v>
      </c>
    </row>
    <row r="313" spans="1:47" x14ac:dyDescent="0.25">
      <c r="A313">
        <v>4</v>
      </c>
      <c r="B313" t="s">
        <v>1</v>
      </c>
      <c r="C313">
        <v>27328</v>
      </c>
      <c r="D313">
        <v>224</v>
      </c>
      <c r="E313">
        <v>4</v>
      </c>
      <c r="F313">
        <v>4</v>
      </c>
      <c r="G313">
        <v>1460.05</v>
      </c>
      <c r="H313" s="3">
        <v>9.3196999999999992</v>
      </c>
      <c r="I313" s="1">
        <v>45322</v>
      </c>
      <c r="J313" s="2">
        <v>0.90539351851851846</v>
      </c>
      <c r="K313">
        <v>0</v>
      </c>
      <c r="L313">
        <v>0</v>
      </c>
      <c r="M313">
        <v>0</v>
      </c>
      <c r="N313">
        <v>0</v>
      </c>
      <c r="O313">
        <v>0</v>
      </c>
      <c r="P313">
        <v>0</v>
      </c>
      <c r="Q313">
        <v>0</v>
      </c>
      <c r="R313">
        <v>0</v>
      </c>
      <c r="S313">
        <v>0</v>
      </c>
      <c r="T313">
        <v>0</v>
      </c>
      <c r="U313">
        <v>0</v>
      </c>
      <c r="V313">
        <v>0</v>
      </c>
      <c r="W313" s="4">
        <f t="shared" si="212"/>
        <v>9.3203399999999981</v>
      </c>
      <c r="Y313">
        <v>4</v>
      </c>
      <c r="Z313" t="s">
        <v>1</v>
      </c>
      <c r="AA313">
        <v>27328</v>
      </c>
      <c r="AB313">
        <v>224</v>
      </c>
      <c r="AC313">
        <v>4</v>
      </c>
      <c r="AD313">
        <v>4</v>
      </c>
      <c r="AE313">
        <v>1603.52</v>
      </c>
      <c r="AF313" s="3">
        <v>8.4857999999999993</v>
      </c>
      <c r="AG313" s="1">
        <v>45327</v>
      </c>
      <c r="AH313" s="2">
        <v>0.86342592592592593</v>
      </c>
      <c r="AI313">
        <v>0</v>
      </c>
      <c r="AJ313">
        <v>0</v>
      </c>
      <c r="AK313">
        <v>0</v>
      </c>
      <c r="AL313">
        <v>0</v>
      </c>
      <c r="AM313">
        <v>0</v>
      </c>
      <c r="AN313">
        <v>0</v>
      </c>
      <c r="AO313">
        <v>0</v>
      </c>
      <c r="AP313">
        <v>0</v>
      </c>
      <c r="AQ313">
        <v>0</v>
      </c>
      <c r="AR313">
        <v>0</v>
      </c>
      <c r="AS313">
        <v>0</v>
      </c>
      <c r="AT313">
        <v>0</v>
      </c>
      <c r="AU313" s="3">
        <f t="shared" si="213"/>
        <v>8.447379999999999</v>
      </c>
    </row>
    <row r="314" spans="1:47" x14ac:dyDescent="0.25">
      <c r="A314">
        <v>0</v>
      </c>
      <c r="B314" t="s">
        <v>1</v>
      </c>
      <c r="C314">
        <v>28896</v>
      </c>
      <c r="D314">
        <v>224</v>
      </c>
      <c r="E314">
        <v>4</v>
      </c>
      <c r="F314">
        <v>4</v>
      </c>
      <c r="G314">
        <v>1708.54</v>
      </c>
      <c r="H314" s="3">
        <v>9.4152000000000005</v>
      </c>
      <c r="I314" s="1">
        <v>45320</v>
      </c>
      <c r="J314" s="2">
        <v>0.10052083333333334</v>
      </c>
      <c r="K314">
        <v>0</v>
      </c>
      <c r="L314">
        <v>0</v>
      </c>
      <c r="M314">
        <v>0</v>
      </c>
      <c r="N314">
        <v>0</v>
      </c>
      <c r="O314">
        <v>0</v>
      </c>
      <c r="P314">
        <v>0</v>
      </c>
      <c r="Q314">
        <v>0</v>
      </c>
      <c r="R314">
        <v>0</v>
      </c>
      <c r="S314">
        <v>0</v>
      </c>
      <c r="T314">
        <v>0</v>
      </c>
      <c r="U314">
        <v>0</v>
      </c>
      <c r="V314">
        <v>0</v>
      </c>
      <c r="W314" s="4">
        <f t="shared" ref="W314" si="246">AVERAGE(H314:H318)</f>
        <v>9.3889999999999993</v>
      </c>
      <c r="Y314">
        <v>0</v>
      </c>
      <c r="Z314" t="s">
        <v>1</v>
      </c>
      <c r="AA314">
        <v>28896</v>
      </c>
      <c r="AB314">
        <v>224</v>
      </c>
      <c r="AC314">
        <v>4</v>
      </c>
      <c r="AD314">
        <v>4</v>
      </c>
      <c r="AE314">
        <v>1906.65</v>
      </c>
      <c r="AF314" s="3">
        <v>8.4368999999999996</v>
      </c>
      <c r="AG314" s="1">
        <v>45324</v>
      </c>
      <c r="AH314" s="2">
        <v>0.80008101851851843</v>
      </c>
      <c r="AI314">
        <v>0</v>
      </c>
      <c r="AJ314">
        <v>0</v>
      </c>
      <c r="AK314">
        <v>0</v>
      </c>
      <c r="AL314">
        <v>0</v>
      </c>
      <c r="AM314">
        <v>0</v>
      </c>
      <c r="AN314">
        <v>0</v>
      </c>
      <c r="AO314">
        <v>0</v>
      </c>
      <c r="AP314">
        <v>0</v>
      </c>
      <c r="AQ314">
        <v>0</v>
      </c>
      <c r="AR314">
        <v>0</v>
      </c>
      <c r="AS314">
        <v>0</v>
      </c>
      <c r="AT314">
        <v>0</v>
      </c>
      <c r="AU314" s="3">
        <f t="shared" ref="AU314" si="247">AVERAGE(AF314:AF318)</f>
        <v>8.3788199999999993</v>
      </c>
    </row>
    <row r="315" spans="1:47" x14ac:dyDescent="0.25">
      <c r="A315">
        <v>1</v>
      </c>
      <c r="B315" t="s">
        <v>1</v>
      </c>
      <c r="C315">
        <v>28896</v>
      </c>
      <c r="D315">
        <v>224</v>
      </c>
      <c r="E315">
        <v>4</v>
      </c>
      <c r="F315">
        <v>4</v>
      </c>
      <c r="G315">
        <v>1716.37</v>
      </c>
      <c r="H315" s="3">
        <v>9.3721999999999994</v>
      </c>
      <c r="I315" s="1">
        <v>45320</v>
      </c>
      <c r="J315" s="2">
        <v>0.94190972222222225</v>
      </c>
      <c r="K315">
        <v>0</v>
      </c>
      <c r="L315">
        <v>0</v>
      </c>
      <c r="M315">
        <v>0</v>
      </c>
      <c r="N315">
        <v>0</v>
      </c>
      <c r="O315">
        <v>0</v>
      </c>
      <c r="P315">
        <v>0</v>
      </c>
      <c r="Q315">
        <v>0</v>
      </c>
      <c r="R315">
        <v>0</v>
      </c>
      <c r="S315">
        <v>0</v>
      </c>
      <c r="T315">
        <v>0</v>
      </c>
      <c r="U315">
        <v>0</v>
      </c>
      <c r="V315">
        <v>0</v>
      </c>
      <c r="W315" s="4">
        <f t="shared" ref="W315" si="248">W314</f>
        <v>9.3889999999999993</v>
      </c>
      <c r="Y315">
        <v>1</v>
      </c>
      <c r="Z315" t="s">
        <v>1</v>
      </c>
      <c r="AA315">
        <v>28896</v>
      </c>
      <c r="AB315">
        <v>224</v>
      </c>
      <c r="AC315">
        <v>4</v>
      </c>
      <c r="AD315">
        <v>4</v>
      </c>
      <c r="AE315">
        <v>1917.51</v>
      </c>
      <c r="AF315" s="3">
        <v>8.3890999999999991</v>
      </c>
      <c r="AG315" s="1">
        <v>45325</v>
      </c>
      <c r="AH315" s="2">
        <v>0.71797453703703706</v>
      </c>
      <c r="AI315">
        <v>0</v>
      </c>
      <c r="AJ315">
        <v>0</v>
      </c>
      <c r="AK315">
        <v>0</v>
      </c>
      <c r="AL315">
        <v>0</v>
      </c>
      <c r="AM315">
        <v>0</v>
      </c>
      <c r="AN315">
        <v>0</v>
      </c>
      <c r="AO315">
        <v>0</v>
      </c>
      <c r="AP315">
        <v>0</v>
      </c>
      <c r="AQ315">
        <v>0</v>
      </c>
      <c r="AR315">
        <v>0</v>
      </c>
      <c r="AS315">
        <v>0</v>
      </c>
      <c r="AT315">
        <v>0</v>
      </c>
      <c r="AU315" s="3">
        <f t="shared" ref="AU315" si="249">AU314</f>
        <v>8.3788199999999993</v>
      </c>
    </row>
    <row r="316" spans="1:47" x14ac:dyDescent="0.25">
      <c r="A316">
        <v>2</v>
      </c>
      <c r="B316" t="s">
        <v>1</v>
      </c>
      <c r="C316">
        <v>28896</v>
      </c>
      <c r="D316">
        <v>224</v>
      </c>
      <c r="E316">
        <v>4</v>
      </c>
      <c r="F316">
        <v>4</v>
      </c>
      <c r="G316">
        <v>1706.77</v>
      </c>
      <c r="H316" s="3">
        <v>9.4250000000000007</v>
      </c>
      <c r="I316" s="1">
        <v>45321</v>
      </c>
      <c r="J316" s="2">
        <v>0.78396990740740735</v>
      </c>
      <c r="K316">
        <v>0</v>
      </c>
      <c r="L316">
        <v>0</v>
      </c>
      <c r="M316">
        <v>0</v>
      </c>
      <c r="N316">
        <v>0</v>
      </c>
      <c r="O316">
        <v>0</v>
      </c>
      <c r="P316">
        <v>0</v>
      </c>
      <c r="Q316">
        <v>0</v>
      </c>
      <c r="R316">
        <v>0</v>
      </c>
      <c r="S316">
        <v>0</v>
      </c>
      <c r="T316">
        <v>0</v>
      </c>
      <c r="U316">
        <v>0</v>
      </c>
      <c r="V316">
        <v>0</v>
      </c>
      <c r="W316" s="4">
        <f t="shared" si="212"/>
        <v>9.3889999999999993</v>
      </c>
      <c r="Y316">
        <v>2</v>
      </c>
      <c r="Z316" t="s">
        <v>1</v>
      </c>
      <c r="AA316">
        <v>28896</v>
      </c>
      <c r="AB316">
        <v>224</v>
      </c>
      <c r="AC316">
        <v>4</v>
      </c>
      <c r="AD316">
        <v>4</v>
      </c>
      <c r="AE316">
        <v>1953.44</v>
      </c>
      <c r="AF316" s="3">
        <v>8.2347999999999999</v>
      </c>
      <c r="AG316" s="1">
        <v>45326</v>
      </c>
      <c r="AH316" s="2">
        <v>0.63855324074074071</v>
      </c>
      <c r="AI316">
        <v>0</v>
      </c>
      <c r="AJ316">
        <v>0</v>
      </c>
      <c r="AK316">
        <v>0</v>
      </c>
      <c r="AL316">
        <v>0</v>
      </c>
      <c r="AM316">
        <v>0</v>
      </c>
      <c r="AN316">
        <v>0</v>
      </c>
      <c r="AO316">
        <v>0</v>
      </c>
      <c r="AP316">
        <v>0</v>
      </c>
      <c r="AQ316">
        <v>0</v>
      </c>
      <c r="AR316">
        <v>0</v>
      </c>
      <c r="AS316">
        <v>0</v>
      </c>
      <c r="AT316">
        <v>0</v>
      </c>
      <c r="AU316" s="3">
        <f t="shared" si="213"/>
        <v>8.3788199999999993</v>
      </c>
    </row>
    <row r="317" spans="1:47" x14ac:dyDescent="0.25">
      <c r="A317">
        <v>3</v>
      </c>
      <c r="B317" t="s">
        <v>1</v>
      </c>
      <c r="C317">
        <v>28896</v>
      </c>
      <c r="D317">
        <v>224</v>
      </c>
      <c r="E317">
        <v>4</v>
      </c>
      <c r="F317">
        <v>4</v>
      </c>
      <c r="G317">
        <v>1712.71</v>
      </c>
      <c r="H317" s="3">
        <v>9.3923000000000005</v>
      </c>
      <c r="I317" s="1">
        <v>45322</v>
      </c>
      <c r="J317" s="2">
        <v>0.62651620370370364</v>
      </c>
      <c r="K317">
        <v>0</v>
      </c>
      <c r="L317">
        <v>0</v>
      </c>
      <c r="M317">
        <v>0</v>
      </c>
      <c r="N317">
        <v>0</v>
      </c>
      <c r="O317">
        <v>0</v>
      </c>
      <c r="P317">
        <v>0</v>
      </c>
      <c r="Q317">
        <v>0</v>
      </c>
      <c r="R317">
        <v>0</v>
      </c>
      <c r="S317">
        <v>0</v>
      </c>
      <c r="T317">
        <v>0</v>
      </c>
      <c r="U317">
        <v>0</v>
      </c>
      <c r="V317">
        <v>0</v>
      </c>
      <c r="W317" s="4">
        <f t="shared" si="212"/>
        <v>9.3889999999999993</v>
      </c>
      <c r="Y317">
        <v>3</v>
      </c>
      <c r="Z317" t="s">
        <v>1</v>
      </c>
      <c r="AA317">
        <v>28896</v>
      </c>
      <c r="AB317">
        <v>224</v>
      </c>
      <c r="AC317">
        <v>4</v>
      </c>
      <c r="AD317">
        <v>4</v>
      </c>
      <c r="AE317">
        <v>1904.8</v>
      </c>
      <c r="AF317" s="3">
        <v>8.4451000000000001</v>
      </c>
      <c r="AG317" s="1">
        <v>45327</v>
      </c>
      <c r="AH317" s="2">
        <v>0.55831018518518516</v>
      </c>
      <c r="AI317">
        <v>0</v>
      </c>
      <c r="AJ317">
        <v>0</v>
      </c>
      <c r="AK317">
        <v>0</v>
      </c>
      <c r="AL317">
        <v>0</v>
      </c>
      <c r="AM317">
        <v>0</v>
      </c>
      <c r="AN317">
        <v>0</v>
      </c>
      <c r="AO317">
        <v>0</v>
      </c>
      <c r="AP317">
        <v>0</v>
      </c>
      <c r="AQ317">
        <v>0</v>
      </c>
      <c r="AR317">
        <v>0</v>
      </c>
      <c r="AS317">
        <v>0</v>
      </c>
      <c r="AT317">
        <v>0</v>
      </c>
      <c r="AU317" s="3">
        <f t="shared" si="213"/>
        <v>8.3788199999999993</v>
      </c>
    </row>
    <row r="318" spans="1:47" x14ac:dyDescent="0.25">
      <c r="A318">
        <v>4</v>
      </c>
      <c r="B318" t="s">
        <v>1</v>
      </c>
      <c r="C318">
        <v>28896</v>
      </c>
      <c r="D318">
        <v>224</v>
      </c>
      <c r="E318">
        <v>4</v>
      </c>
      <c r="F318">
        <v>4</v>
      </c>
      <c r="G318">
        <v>1722.25</v>
      </c>
      <c r="H318" s="3">
        <v>9.3402999999999992</v>
      </c>
      <c r="I318" s="1">
        <v>45323</v>
      </c>
      <c r="J318" s="2">
        <v>0.46915509259259264</v>
      </c>
      <c r="K318">
        <v>0</v>
      </c>
      <c r="L318">
        <v>0</v>
      </c>
      <c r="M318">
        <v>0</v>
      </c>
      <c r="N318">
        <v>0</v>
      </c>
      <c r="O318">
        <v>0</v>
      </c>
      <c r="P318">
        <v>0</v>
      </c>
      <c r="Q318">
        <v>0</v>
      </c>
      <c r="R318">
        <v>0</v>
      </c>
      <c r="S318">
        <v>0</v>
      </c>
      <c r="T318">
        <v>0</v>
      </c>
      <c r="U318">
        <v>0</v>
      </c>
      <c r="V318">
        <v>0</v>
      </c>
      <c r="W318" s="4">
        <f t="shared" si="212"/>
        <v>9.3889999999999993</v>
      </c>
      <c r="Y318">
        <v>4</v>
      </c>
      <c r="Z318" t="s">
        <v>1</v>
      </c>
      <c r="AA318">
        <v>28896</v>
      </c>
      <c r="AB318">
        <v>224</v>
      </c>
      <c r="AC318">
        <v>4</v>
      </c>
      <c r="AD318">
        <v>4</v>
      </c>
      <c r="AE318">
        <v>1917.73</v>
      </c>
      <c r="AF318" s="3">
        <v>8.3881999999999994</v>
      </c>
      <c r="AG318" s="1">
        <v>45328</v>
      </c>
      <c r="AH318" s="2">
        <v>0.47799768518518521</v>
      </c>
      <c r="AI318">
        <v>0</v>
      </c>
      <c r="AJ318">
        <v>0</v>
      </c>
      <c r="AK318">
        <v>0</v>
      </c>
      <c r="AL318">
        <v>0</v>
      </c>
      <c r="AM318">
        <v>0</v>
      </c>
      <c r="AN318">
        <v>0</v>
      </c>
      <c r="AO318">
        <v>0</v>
      </c>
      <c r="AP318">
        <v>0</v>
      </c>
      <c r="AQ318">
        <v>0</v>
      </c>
      <c r="AR318">
        <v>0</v>
      </c>
      <c r="AS318">
        <v>0</v>
      </c>
      <c r="AT318">
        <v>0</v>
      </c>
      <c r="AU318" s="3">
        <f t="shared" si="213"/>
        <v>8.3788199999999993</v>
      </c>
    </row>
    <row r="319" spans="1:47" x14ac:dyDescent="0.25">
      <c r="A319">
        <v>0</v>
      </c>
      <c r="B319" t="s">
        <v>1</v>
      </c>
      <c r="C319">
        <v>25856</v>
      </c>
      <c r="D319">
        <v>256</v>
      </c>
      <c r="E319">
        <v>1</v>
      </c>
      <c r="F319">
        <v>16</v>
      </c>
      <c r="G319">
        <v>1386.63</v>
      </c>
      <c r="H319" s="3">
        <v>8.3112999999999992</v>
      </c>
      <c r="I319" s="1">
        <v>45477</v>
      </c>
      <c r="J319" s="2">
        <v>0.69596064814814818</v>
      </c>
      <c r="K319">
        <v>0</v>
      </c>
      <c r="L319">
        <v>0</v>
      </c>
      <c r="M319">
        <v>0</v>
      </c>
      <c r="N319">
        <v>0</v>
      </c>
      <c r="O319">
        <v>0</v>
      </c>
      <c r="P319">
        <v>0</v>
      </c>
      <c r="Q319">
        <v>0</v>
      </c>
      <c r="R319">
        <v>0</v>
      </c>
      <c r="S319">
        <v>0</v>
      </c>
      <c r="T319">
        <v>0</v>
      </c>
      <c r="U319">
        <v>0</v>
      </c>
      <c r="V319">
        <v>0</v>
      </c>
      <c r="W319" s="4">
        <f t="shared" ref="W319" si="250">AVERAGE(H319:H323)</f>
        <v>8.3009999999999984</v>
      </c>
      <c r="Y319">
        <v>0</v>
      </c>
      <c r="Z319" t="s">
        <v>1</v>
      </c>
      <c r="AA319">
        <v>25856</v>
      </c>
      <c r="AB319">
        <v>256</v>
      </c>
      <c r="AC319">
        <v>1</v>
      </c>
      <c r="AD319">
        <v>16</v>
      </c>
      <c r="AE319">
        <v>1564.07</v>
      </c>
      <c r="AF319" s="24">
        <v>7.3684000000000003</v>
      </c>
      <c r="AG319" s="1">
        <v>45477</v>
      </c>
      <c r="AH319" s="2">
        <v>0.70981481481481479</v>
      </c>
      <c r="AI319">
        <v>0</v>
      </c>
      <c r="AJ319">
        <v>0</v>
      </c>
      <c r="AK319">
        <v>0</v>
      </c>
      <c r="AL319">
        <v>0</v>
      </c>
      <c r="AM319">
        <v>0</v>
      </c>
      <c r="AN319">
        <v>0</v>
      </c>
      <c r="AO319">
        <v>0</v>
      </c>
      <c r="AP319">
        <v>0</v>
      </c>
      <c r="AQ319">
        <v>0</v>
      </c>
      <c r="AR319">
        <v>0</v>
      </c>
      <c r="AS319">
        <v>0</v>
      </c>
      <c r="AT319">
        <v>0</v>
      </c>
      <c r="AU319" s="3">
        <f t="shared" ref="AU319" si="251">AVERAGE(AF319:AF323)</f>
        <v>7.3652250000000006</v>
      </c>
    </row>
    <row r="320" spans="1:47" x14ac:dyDescent="0.25">
      <c r="A320">
        <v>1</v>
      </c>
      <c r="B320" t="s">
        <v>1</v>
      </c>
      <c r="C320">
        <v>25856</v>
      </c>
      <c r="D320">
        <v>256</v>
      </c>
      <c r="E320">
        <v>1</v>
      </c>
      <c r="F320">
        <v>16</v>
      </c>
      <c r="G320">
        <v>1388.52</v>
      </c>
      <c r="H320" s="3">
        <v>8.3000000000000007</v>
      </c>
      <c r="I320" s="1">
        <v>45478</v>
      </c>
      <c r="J320" s="2">
        <v>0.20196759259259259</v>
      </c>
      <c r="K320">
        <v>0</v>
      </c>
      <c r="L320">
        <v>0</v>
      </c>
      <c r="M320">
        <v>0</v>
      </c>
      <c r="N320">
        <v>0</v>
      </c>
      <c r="O320">
        <v>0</v>
      </c>
      <c r="P320">
        <v>0</v>
      </c>
      <c r="Q320">
        <v>0</v>
      </c>
      <c r="R320">
        <v>0</v>
      </c>
      <c r="S320">
        <v>0</v>
      </c>
      <c r="T320">
        <v>0</v>
      </c>
      <c r="U320">
        <v>0</v>
      </c>
      <c r="V320">
        <v>0</v>
      </c>
      <c r="W320" s="4">
        <f t="shared" ref="W320" si="252">W319</f>
        <v>8.3009999999999984</v>
      </c>
      <c r="Y320">
        <v>1</v>
      </c>
      <c r="Z320" t="s">
        <v>1</v>
      </c>
      <c r="AA320">
        <v>25856</v>
      </c>
      <c r="AB320">
        <v>256</v>
      </c>
      <c r="AC320">
        <v>1</v>
      </c>
      <c r="AD320">
        <v>16</v>
      </c>
      <c r="AE320">
        <v>1564.03</v>
      </c>
      <c r="AF320" s="24">
        <v>7.3685999999999998</v>
      </c>
      <c r="AG320" s="1">
        <v>45478</v>
      </c>
      <c r="AH320" s="2">
        <v>0.24171296296296296</v>
      </c>
      <c r="AI320">
        <v>0</v>
      </c>
      <c r="AJ320">
        <v>0</v>
      </c>
      <c r="AK320">
        <v>0</v>
      </c>
      <c r="AL320">
        <v>0</v>
      </c>
      <c r="AM320">
        <v>0</v>
      </c>
      <c r="AN320">
        <v>0</v>
      </c>
      <c r="AO320">
        <v>0</v>
      </c>
      <c r="AP320">
        <v>0</v>
      </c>
      <c r="AQ320">
        <v>0</v>
      </c>
      <c r="AR320">
        <v>0</v>
      </c>
      <c r="AS320">
        <v>0</v>
      </c>
      <c r="AT320">
        <v>0</v>
      </c>
      <c r="AU320" s="3">
        <f t="shared" ref="AU320" si="253">AU319</f>
        <v>7.3652250000000006</v>
      </c>
    </row>
    <row r="321" spans="1:47" x14ac:dyDescent="0.25">
      <c r="A321">
        <v>2</v>
      </c>
      <c r="B321" t="s">
        <v>1</v>
      </c>
      <c r="C321">
        <v>25856</v>
      </c>
      <c r="D321">
        <v>256</v>
      </c>
      <c r="E321">
        <v>1</v>
      </c>
      <c r="F321">
        <v>16</v>
      </c>
      <c r="G321">
        <v>1388.87</v>
      </c>
      <c r="H321" s="3">
        <v>8.2979000000000003</v>
      </c>
      <c r="I321" s="1">
        <v>45478</v>
      </c>
      <c r="J321" s="2">
        <v>0.70806712962962959</v>
      </c>
      <c r="K321">
        <v>0</v>
      </c>
      <c r="L321">
        <v>0</v>
      </c>
      <c r="M321">
        <v>0</v>
      </c>
      <c r="N321">
        <v>0</v>
      </c>
      <c r="O321">
        <v>0</v>
      </c>
      <c r="P321">
        <v>0</v>
      </c>
      <c r="Q321">
        <v>0</v>
      </c>
      <c r="R321">
        <v>0</v>
      </c>
      <c r="S321">
        <v>0</v>
      </c>
      <c r="T321">
        <v>0</v>
      </c>
      <c r="U321">
        <v>0</v>
      </c>
      <c r="V321">
        <v>0</v>
      </c>
      <c r="W321" s="4">
        <f t="shared" si="212"/>
        <v>8.3009999999999984</v>
      </c>
      <c r="Y321">
        <v>2</v>
      </c>
      <c r="Z321" t="s">
        <v>1</v>
      </c>
      <c r="AA321">
        <v>25856</v>
      </c>
      <c r="AB321">
        <v>256</v>
      </c>
      <c r="AC321">
        <v>1</v>
      </c>
      <c r="AD321">
        <v>16</v>
      </c>
      <c r="AE321">
        <v>1565.46</v>
      </c>
      <c r="AF321" s="24">
        <v>7.3619000000000003</v>
      </c>
      <c r="AG321" s="1">
        <v>45478</v>
      </c>
      <c r="AH321" s="2">
        <v>0.77369212962962963</v>
      </c>
      <c r="AI321">
        <v>0</v>
      </c>
      <c r="AJ321">
        <v>0</v>
      </c>
      <c r="AK321">
        <v>0</v>
      </c>
      <c r="AL321">
        <v>0</v>
      </c>
      <c r="AM321">
        <v>0</v>
      </c>
      <c r="AN321">
        <v>0</v>
      </c>
      <c r="AO321">
        <v>0</v>
      </c>
      <c r="AP321">
        <v>0</v>
      </c>
      <c r="AQ321">
        <v>0</v>
      </c>
      <c r="AR321">
        <v>0</v>
      </c>
      <c r="AS321">
        <v>0</v>
      </c>
      <c r="AT321">
        <v>0</v>
      </c>
      <c r="AU321" s="3">
        <f t="shared" si="213"/>
        <v>7.3652250000000006</v>
      </c>
    </row>
    <row r="322" spans="1:47" x14ac:dyDescent="0.25">
      <c r="A322">
        <v>3</v>
      </c>
      <c r="B322" t="s">
        <v>1</v>
      </c>
      <c r="C322">
        <v>25856</v>
      </c>
      <c r="D322">
        <v>256</v>
      </c>
      <c r="E322">
        <v>1</v>
      </c>
      <c r="F322">
        <v>16</v>
      </c>
      <c r="G322">
        <v>1389.24</v>
      </c>
      <c r="H322" s="3">
        <v>8.2957000000000001</v>
      </c>
      <c r="I322" s="1">
        <v>45479</v>
      </c>
      <c r="J322" s="2">
        <v>0.21427083333333333</v>
      </c>
      <c r="K322">
        <v>0</v>
      </c>
      <c r="L322">
        <v>0</v>
      </c>
      <c r="M322">
        <v>0</v>
      </c>
      <c r="N322">
        <v>0</v>
      </c>
      <c r="O322">
        <v>0</v>
      </c>
      <c r="P322">
        <v>0</v>
      </c>
      <c r="Q322">
        <v>0</v>
      </c>
      <c r="R322">
        <v>0</v>
      </c>
      <c r="S322">
        <v>0</v>
      </c>
      <c r="T322">
        <v>0</v>
      </c>
      <c r="U322">
        <v>0</v>
      </c>
      <c r="V322">
        <v>0</v>
      </c>
      <c r="W322" s="4">
        <f t="shared" si="212"/>
        <v>8.3009999999999984</v>
      </c>
      <c r="Y322">
        <v>3</v>
      </c>
      <c r="Z322" t="s">
        <v>1</v>
      </c>
      <c r="AA322">
        <v>25856</v>
      </c>
      <c r="AB322">
        <v>256</v>
      </c>
      <c r="AC322">
        <v>1</v>
      </c>
      <c r="AD322">
        <v>16</v>
      </c>
      <c r="AE322">
        <v>1565.44</v>
      </c>
      <c r="AF322" s="24">
        <v>7.3620000000000001</v>
      </c>
      <c r="AG322" s="1">
        <v>45479</v>
      </c>
      <c r="AH322" s="2">
        <v>0.30571759259259257</v>
      </c>
      <c r="AI322">
        <v>0</v>
      </c>
      <c r="AJ322">
        <v>0</v>
      </c>
      <c r="AK322">
        <v>0</v>
      </c>
      <c r="AL322">
        <v>0</v>
      </c>
      <c r="AM322">
        <v>0</v>
      </c>
      <c r="AN322">
        <v>0</v>
      </c>
      <c r="AO322">
        <v>0</v>
      </c>
      <c r="AP322">
        <v>0</v>
      </c>
      <c r="AQ322">
        <v>0</v>
      </c>
      <c r="AR322">
        <v>0</v>
      </c>
      <c r="AS322">
        <v>0</v>
      </c>
      <c r="AT322">
        <v>0</v>
      </c>
      <c r="AU322" s="3">
        <f t="shared" si="213"/>
        <v>7.3652250000000006</v>
      </c>
    </row>
    <row r="323" spans="1:47" x14ac:dyDescent="0.25">
      <c r="A323">
        <v>4</v>
      </c>
      <c r="B323" t="s">
        <v>1</v>
      </c>
      <c r="C323">
        <v>25856</v>
      </c>
      <c r="D323">
        <v>256</v>
      </c>
      <c r="E323">
        <v>1</v>
      </c>
      <c r="F323">
        <v>16</v>
      </c>
      <c r="G323">
        <v>1388.51</v>
      </c>
      <c r="H323" s="3">
        <v>8.3001000000000005</v>
      </c>
      <c r="I323" s="1">
        <v>45479</v>
      </c>
      <c r="J323" s="2">
        <v>0.72042824074074074</v>
      </c>
      <c r="K323">
        <v>0</v>
      </c>
      <c r="L323">
        <v>0</v>
      </c>
      <c r="M323">
        <v>0</v>
      </c>
      <c r="N323">
        <v>0</v>
      </c>
      <c r="O323">
        <v>0</v>
      </c>
      <c r="P323">
        <v>0</v>
      </c>
      <c r="Q323">
        <v>0</v>
      </c>
      <c r="R323">
        <v>0</v>
      </c>
      <c r="S323">
        <v>0</v>
      </c>
      <c r="T323">
        <v>0</v>
      </c>
      <c r="U323">
        <v>0</v>
      </c>
      <c r="V323">
        <v>0</v>
      </c>
      <c r="W323" s="4">
        <f t="shared" si="212"/>
        <v>8.3009999999999984</v>
      </c>
      <c r="Y323">
        <v>4</v>
      </c>
      <c r="Z323" t="s">
        <v>1</v>
      </c>
      <c r="AA323">
        <v>25856</v>
      </c>
      <c r="AB323">
        <v>256</v>
      </c>
      <c r="AC323">
        <v>1</v>
      </c>
      <c r="AD323">
        <v>16</v>
      </c>
      <c r="AU323" s="3">
        <f t="shared" si="213"/>
        <v>7.3652250000000006</v>
      </c>
    </row>
    <row r="324" spans="1:47" x14ac:dyDescent="0.25">
      <c r="A324">
        <v>0</v>
      </c>
      <c r="B324" t="s">
        <v>1</v>
      </c>
      <c r="C324">
        <v>27392</v>
      </c>
      <c r="D324">
        <v>256</v>
      </c>
      <c r="E324">
        <v>1</v>
      </c>
      <c r="F324">
        <v>16</v>
      </c>
      <c r="G324">
        <v>1632.39</v>
      </c>
      <c r="H324">
        <v>8.3945000000000007</v>
      </c>
      <c r="I324">
        <v>45477</v>
      </c>
      <c r="J324">
        <v>0.54762731481481486</v>
      </c>
      <c r="K324">
        <v>0</v>
      </c>
      <c r="L324">
        <v>0</v>
      </c>
      <c r="M324">
        <v>0</v>
      </c>
      <c r="N324">
        <v>0</v>
      </c>
      <c r="O324">
        <v>0</v>
      </c>
      <c r="P324">
        <v>0</v>
      </c>
      <c r="Q324">
        <v>0</v>
      </c>
      <c r="R324">
        <v>0</v>
      </c>
      <c r="S324">
        <v>0</v>
      </c>
      <c r="T324">
        <v>0</v>
      </c>
      <c r="U324">
        <v>0</v>
      </c>
      <c r="V324">
        <v>0</v>
      </c>
      <c r="W324" s="4">
        <f t="shared" ref="W324" si="254">AVERAGE(H324:H328)</f>
        <v>8.3899399999999993</v>
      </c>
      <c r="Y324">
        <v>0</v>
      </c>
      <c r="Z324" t="s">
        <v>1</v>
      </c>
      <c r="AA324">
        <v>27392</v>
      </c>
      <c r="AB324">
        <v>256</v>
      </c>
      <c r="AC324">
        <v>1</v>
      </c>
      <c r="AD324">
        <v>16</v>
      </c>
      <c r="AE324">
        <v>1839.61</v>
      </c>
      <c r="AF324" s="24">
        <v>7.4489000000000001</v>
      </c>
      <c r="AG324" s="1">
        <v>45477</v>
      </c>
      <c r="AH324" s="2">
        <v>0.55434027777777772</v>
      </c>
      <c r="AI324">
        <v>0</v>
      </c>
      <c r="AJ324">
        <v>0</v>
      </c>
      <c r="AK324">
        <v>0</v>
      </c>
      <c r="AL324">
        <v>0</v>
      </c>
      <c r="AM324">
        <v>0</v>
      </c>
      <c r="AN324">
        <v>0</v>
      </c>
      <c r="AO324">
        <v>0</v>
      </c>
      <c r="AP324">
        <v>0</v>
      </c>
      <c r="AQ324">
        <v>0</v>
      </c>
      <c r="AR324">
        <v>0</v>
      </c>
      <c r="AS324">
        <v>0</v>
      </c>
      <c r="AT324">
        <v>0</v>
      </c>
      <c r="AU324" s="3">
        <f t="shared" ref="AU324" si="255">AVERAGE(AF324:AF328)</f>
        <v>7.4457250000000004</v>
      </c>
    </row>
    <row r="325" spans="1:47" x14ac:dyDescent="0.25">
      <c r="A325">
        <v>1</v>
      </c>
      <c r="B325" t="s">
        <v>1</v>
      </c>
      <c r="C325">
        <v>27392</v>
      </c>
      <c r="D325">
        <v>256</v>
      </c>
      <c r="E325">
        <v>1</v>
      </c>
      <c r="F325">
        <v>16</v>
      </c>
      <c r="G325">
        <v>1633.76</v>
      </c>
      <c r="H325" s="3">
        <v>8.3873999999999995</v>
      </c>
      <c r="I325" s="1">
        <v>45478</v>
      </c>
      <c r="J325" s="2">
        <v>5.3530092592592594E-2</v>
      </c>
      <c r="K325">
        <v>0</v>
      </c>
      <c r="L325">
        <v>0</v>
      </c>
      <c r="M325">
        <v>0</v>
      </c>
      <c r="N325">
        <v>0</v>
      </c>
      <c r="O325">
        <v>0</v>
      </c>
      <c r="P325">
        <v>0</v>
      </c>
      <c r="Q325">
        <v>0</v>
      </c>
      <c r="R325">
        <v>0</v>
      </c>
      <c r="S325">
        <v>0</v>
      </c>
      <c r="T325">
        <v>0</v>
      </c>
      <c r="U325">
        <v>0</v>
      </c>
      <c r="V325">
        <v>0</v>
      </c>
      <c r="W325" s="4">
        <f t="shared" ref="W325" si="256">W324</f>
        <v>8.3899399999999993</v>
      </c>
      <c r="Y325">
        <v>1</v>
      </c>
      <c r="Z325" t="s">
        <v>1</v>
      </c>
      <c r="AA325">
        <v>27392</v>
      </c>
      <c r="AB325">
        <v>256</v>
      </c>
      <c r="AC325">
        <v>1</v>
      </c>
      <c r="AD325">
        <v>16</v>
      </c>
      <c r="AE325">
        <v>1840.04</v>
      </c>
      <c r="AF325" s="24">
        <v>7.4470999999999998</v>
      </c>
      <c r="AG325" s="1">
        <v>45478</v>
      </c>
      <c r="AH325" s="2">
        <v>8.6203703703703699E-2</v>
      </c>
      <c r="AI325">
        <v>0</v>
      </c>
      <c r="AJ325">
        <v>0</v>
      </c>
      <c r="AK325">
        <v>0</v>
      </c>
      <c r="AL325">
        <v>0</v>
      </c>
      <c r="AM325">
        <v>0</v>
      </c>
      <c r="AN325">
        <v>0</v>
      </c>
      <c r="AO325">
        <v>0</v>
      </c>
      <c r="AP325">
        <v>0</v>
      </c>
      <c r="AQ325">
        <v>0</v>
      </c>
      <c r="AR325">
        <v>0</v>
      </c>
      <c r="AS325">
        <v>0</v>
      </c>
      <c r="AT325">
        <v>0</v>
      </c>
      <c r="AU325" s="3">
        <f t="shared" ref="AU325" si="257">AU324</f>
        <v>7.4457250000000004</v>
      </c>
    </row>
    <row r="326" spans="1:47" x14ac:dyDescent="0.25">
      <c r="A326">
        <v>2</v>
      </c>
      <c r="B326" t="s">
        <v>1</v>
      </c>
      <c r="C326">
        <v>27392</v>
      </c>
      <c r="D326">
        <v>256</v>
      </c>
      <c r="E326">
        <v>1</v>
      </c>
      <c r="F326">
        <v>16</v>
      </c>
      <c r="G326">
        <v>1631.45</v>
      </c>
      <c r="H326" s="3">
        <v>8.3993000000000002</v>
      </c>
      <c r="I326" s="1">
        <v>45478</v>
      </c>
      <c r="J326" s="2">
        <v>0.55959490740740736</v>
      </c>
      <c r="K326">
        <v>0</v>
      </c>
      <c r="L326">
        <v>0</v>
      </c>
      <c r="M326">
        <v>0</v>
      </c>
      <c r="N326">
        <v>0</v>
      </c>
      <c r="O326">
        <v>0</v>
      </c>
      <c r="P326">
        <v>0</v>
      </c>
      <c r="Q326">
        <v>0</v>
      </c>
      <c r="R326">
        <v>0</v>
      </c>
      <c r="S326">
        <v>0</v>
      </c>
      <c r="T326">
        <v>0</v>
      </c>
      <c r="U326">
        <v>0</v>
      </c>
      <c r="V326">
        <v>0</v>
      </c>
      <c r="W326" s="4">
        <f t="shared" si="212"/>
        <v>8.3899399999999993</v>
      </c>
      <c r="Y326">
        <v>2</v>
      </c>
      <c r="Z326" t="s">
        <v>1</v>
      </c>
      <c r="AA326">
        <v>27392</v>
      </c>
      <c r="AB326">
        <v>256</v>
      </c>
      <c r="AC326">
        <v>1</v>
      </c>
      <c r="AD326">
        <v>16</v>
      </c>
      <c r="AE326">
        <v>1840.22</v>
      </c>
      <c r="AF326" s="24">
        <v>7.4463999999999997</v>
      </c>
      <c r="AG326" s="1">
        <v>45478</v>
      </c>
      <c r="AH326" s="2">
        <v>0.61819444444444449</v>
      </c>
      <c r="AI326">
        <v>0</v>
      </c>
      <c r="AJ326">
        <v>0</v>
      </c>
      <c r="AK326">
        <v>0</v>
      </c>
      <c r="AL326">
        <v>0</v>
      </c>
      <c r="AM326">
        <v>0</v>
      </c>
      <c r="AN326">
        <v>0</v>
      </c>
      <c r="AO326">
        <v>0</v>
      </c>
      <c r="AP326">
        <v>0</v>
      </c>
      <c r="AQ326">
        <v>0</v>
      </c>
      <c r="AR326">
        <v>0</v>
      </c>
      <c r="AS326">
        <v>0</v>
      </c>
      <c r="AT326">
        <v>0</v>
      </c>
      <c r="AU326" s="3">
        <f t="shared" si="213"/>
        <v>7.4457250000000004</v>
      </c>
    </row>
    <row r="327" spans="1:47" x14ac:dyDescent="0.25">
      <c r="A327">
        <v>3</v>
      </c>
      <c r="B327" t="s">
        <v>1</v>
      </c>
      <c r="C327">
        <v>27392</v>
      </c>
      <c r="D327">
        <v>256</v>
      </c>
      <c r="E327">
        <v>1</v>
      </c>
      <c r="F327">
        <v>16</v>
      </c>
      <c r="G327">
        <v>1636.01</v>
      </c>
      <c r="H327" s="3">
        <v>8.3758999999999997</v>
      </c>
      <c r="I327" s="1">
        <v>45479</v>
      </c>
      <c r="J327" s="2">
        <v>6.581018518518518E-2</v>
      </c>
      <c r="K327">
        <v>0</v>
      </c>
      <c r="L327">
        <v>0</v>
      </c>
      <c r="M327">
        <v>0</v>
      </c>
      <c r="N327">
        <v>0</v>
      </c>
      <c r="O327">
        <v>0</v>
      </c>
      <c r="P327">
        <v>0</v>
      </c>
      <c r="Q327">
        <v>0</v>
      </c>
      <c r="R327">
        <v>0</v>
      </c>
      <c r="S327">
        <v>0</v>
      </c>
      <c r="T327">
        <v>0</v>
      </c>
      <c r="U327">
        <v>0</v>
      </c>
      <c r="V327">
        <v>0</v>
      </c>
      <c r="W327" s="4">
        <f t="shared" si="212"/>
        <v>8.3899399999999993</v>
      </c>
      <c r="Y327">
        <v>3</v>
      </c>
      <c r="Z327" t="s">
        <v>1</v>
      </c>
      <c r="AA327">
        <v>27392</v>
      </c>
      <c r="AB327">
        <v>256</v>
      </c>
      <c r="AC327">
        <v>1</v>
      </c>
      <c r="AD327">
        <v>16</v>
      </c>
      <c r="AE327">
        <v>1841.67</v>
      </c>
      <c r="AF327" s="24">
        <v>7.4405000000000001</v>
      </c>
      <c r="AG327" s="1">
        <v>45479</v>
      </c>
      <c r="AH327" s="2">
        <v>0.15015046296296297</v>
      </c>
      <c r="AI327">
        <v>0</v>
      </c>
      <c r="AJ327">
        <v>0</v>
      </c>
      <c r="AK327">
        <v>0</v>
      </c>
      <c r="AL327">
        <v>0</v>
      </c>
      <c r="AM327">
        <v>0</v>
      </c>
      <c r="AN327">
        <v>0</v>
      </c>
      <c r="AO327">
        <v>0</v>
      </c>
      <c r="AP327">
        <v>0</v>
      </c>
      <c r="AQ327">
        <v>0</v>
      </c>
      <c r="AR327">
        <v>0</v>
      </c>
      <c r="AS327">
        <v>0</v>
      </c>
      <c r="AT327">
        <v>0</v>
      </c>
      <c r="AU327" s="3">
        <f t="shared" si="213"/>
        <v>7.4457250000000004</v>
      </c>
    </row>
    <row r="328" spans="1:47" x14ac:dyDescent="0.25">
      <c r="A328">
        <v>4</v>
      </c>
      <c r="B328" t="s">
        <v>1</v>
      </c>
      <c r="C328">
        <v>27392</v>
      </c>
      <c r="D328">
        <v>256</v>
      </c>
      <c r="E328">
        <v>1</v>
      </c>
      <c r="F328">
        <v>16</v>
      </c>
      <c r="G328">
        <v>1632.74</v>
      </c>
      <c r="H328" s="3">
        <v>8.3925999999999998</v>
      </c>
      <c r="I328" s="1">
        <v>45479</v>
      </c>
      <c r="J328" s="2">
        <v>0.57200231481481478</v>
      </c>
      <c r="K328">
        <v>0</v>
      </c>
      <c r="L328">
        <v>0</v>
      </c>
      <c r="M328">
        <v>0</v>
      </c>
      <c r="N328">
        <v>0</v>
      </c>
      <c r="O328">
        <v>0</v>
      </c>
      <c r="P328">
        <v>0</v>
      </c>
      <c r="Q328">
        <v>0</v>
      </c>
      <c r="R328">
        <v>0</v>
      </c>
      <c r="S328">
        <v>0</v>
      </c>
      <c r="T328">
        <v>0</v>
      </c>
      <c r="U328">
        <v>0</v>
      </c>
      <c r="V328">
        <v>0</v>
      </c>
      <c r="W328" s="4">
        <f t="shared" si="212"/>
        <v>8.3899399999999993</v>
      </c>
      <c r="Y328">
        <v>4</v>
      </c>
      <c r="Z328" t="s">
        <v>1</v>
      </c>
      <c r="AA328">
        <v>27392</v>
      </c>
      <c r="AB328">
        <v>256</v>
      </c>
      <c r="AC328">
        <v>1</v>
      </c>
      <c r="AD328">
        <v>16</v>
      </c>
      <c r="AU328" s="3">
        <f t="shared" si="213"/>
        <v>7.4457250000000004</v>
      </c>
    </row>
    <row r="329" spans="1:47" x14ac:dyDescent="0.25">
      <c r="A329">
        <v>0</v>
      </c>
      <c r="B329" t="s">
        <v>1</v>
      </c>
      <c r="C329">
        <v>28928</v>
      </c>
      <c r="D329">
        <v>256</v>
      </c>
      <c r="E329">
        <v>1</v>
      </c>
      <c r="F329">
        <v>16</v>
      </c>
      <c r="G329">
        <v>1898.36</v>
      </c>
      <c r="H329" s="3">
        <v>8.5020000000000007</v>
      </c>
      <c r="I329" s="1">
        <v>45477</v>
      </c>
      <c r="J329" s="2">
        <v>0.87960648148148146</v>
      </c>
      <c r="K329">
        <v>0</v>
      </c>
      <c r="L329">
        <v>0</v>
      </c>
      <c r="M329">
        <v>0</v>
      </c>
      <c r="N329">
        <v>0</v>
      </c>
      <c r="O329">
        <v>0</v>
      </c>
      <c r="P329">
        <v>0</v>
      </c>
      <c r="Q329">
        <v>0</v>
      </c>
      <c r="R329">
        <v>0</v>
      </c>
      <c r="S329">
        <v>0</v>
      </c>
      <c r="T329">
        <v>0</v>
      </c>
      <c r="U329">
        <v>0</v>
      </c>
      <c r="V329">
        <v>0</v>
      </c>
      <c r="W329" s="4">
        <f t="shared" ref="W329" si="258">AVERAGE(H329:H333)</f>
        <v>8.5213999999999999</v>
      </c>
      <c r="Y329">
        <v>0</v>
      </c>
      <c r="Z329" t="s">
        <v>1</v>
      </c>
      <c r="AA329">
        <v>28928</v>
      </c>
      <c r="AB329">
        <v>256</v>
      </c>
      <c r="AC329">
        <v>1</v>
      </c>
      <c r="AD329">
        <v>16</v>
      </c>
      <c r="AE329">
        <v>2130.89</v>
      </c>
      <c r="AF329" s="24">
        <v>7.5742000000000003</v>
      </c>
      <c r="AG329" s="1">
        <v>45477</v>
      </c>
      <c r="AH329" s="2">
        <v>0.90314814814814814</v>
      </c>
      <c r="AI329">
        <v>0</v>
      </c>
      <c r="AJ329">
        <v>0</v>
      </c>
      <c r="AK329">
        <v>0</v>
      </c>
      <c r="AL329">
        <v>0</v>
      </c>
      <c r="AM329">
        <v>0</v>
      </c>
      <c r="AN329">
        <v>0</v>
      </c>
      <c r="AO329">
        <v>0</v>
      </c>
      <c r="AP329">
        <v>0</v>
      </c>
      <c r="AQ329">
        <v>0</v>
      </c>
      <c r="AR329">
        <v>0</v>
      </c>
      <c r="AS329">
        <v>0</v>
      </c>
      <c r="AT329">
        <v>0</v>
      </c>
      <c r="AU329" s="3">
        <f t="shared" ref="AU329" si="259">AVERAGE(AF329:AF333)</f>
        <v>7.5747333333333335</v>
      </c>
    </row>
    <row r="330" spans="1:47" x14ac:dyDescent="0.25">
      <c r="A330">
        <v>1</v>
      </c>
      <c r="B330" t="s">
        <v>1</v>
      </c>
      <c r="C330">
        <v>28928</v>
      </c>
      <c r="D330">
        <v>256</v>
      </c>
      <c r="E330">
        <v>1</v>
      </c>
      <c r="F330">
        <v>16</v>
      </c>
      <c r="G330">
        <v>1895.13</v>
      </c>
      <c r="H330" s="3">
        <v>8.5164000000000009</v>
      </c>
      <c r="I330" s="1">
        <v>45478</v>
      </c>
      <c r="J330" s="2">
        <v>0.38572916666666668</v>
      </c>
      <c r="K330">
        <v>0</v>
      </c>
      <c r="L330">
        <v>0</v>
      </c>
      <c r="M330">
        <v>0</v>
      </c>
      <c r="N330">
        <v>0</v>
      </c>
      <c r="O330">
        <v>0</v>
      </c>
      <c r="P330">
        <v>0</v>
      </c>
      <c r="Q330">
        <v>0</v>
      </c>
      <c r="R330">
        <v>0</v>
      </c>
      <c r="S330">
        <v>0</v>
      </c>
      <c r="T330">
        <v>0</v>
      </c>
      <c r="U330">
        <v>0</v>
      </c>
      <c r="V330">
        <v>0</v>
      </c>
      <c r="W330" s="4">
        <f t="shared" ref="W330" si="260">W329</f>
        <v>8.5213999999999999</v>
      </c>
      <c r="Y330">
        <v>1</v>
      </c>
      <c r="Z330" t="s">
        <v>1</v>
      </c>
      <c r="AA330">
        <v>28928</v>
      </c>
      <c r="AB330">
        <v>256</v>
      </c>
      <c r="AC330">
        <v>1</v>
      </c>
      <c r="AD330">
        <v>16</v>
      </c>
      <c r="AE330">
        <v>2130.6999999999998</v>
      </c>
      <c r="AF330" s="24">
        <v>7.5749000000000004</v>
      </c>
      <c r="AG330" s="1">
        <v>45478</v>
      </c>
      <c r="AH330" s="2">
        <v>0.43511574074074072</v>
      </c>
      <c r="AI330">
        <v>0</v>
      </c>
      <c r="AJ330">
        <v>0</v>
      </c>
      <c r="AK330">
        <v>0</v>
      </c>
      <c r="AL330">
        <v>0</v>
      </c>
      <c r="AM330">
        <v>0</v>
      </c>
      <c r="AN330">
        <v>0</v>
      </c>
      <c r="AO330">
        <v>0</v>
      </c>
      <c r="AP330">
        <v>0</v>
      </c>
      <c r="AQ330">
        <v>0</v>
      </c>
      <c r="AR330">
        <v>0</v>
      </c>
      <c r="AS330">
        <v>0</v>
      </c>
      <c r="AT330">
        <v>0</v>
      </c>
      <c r="AU330" s="3">
        <f t="shared" ref="AU330" si="261">AU329</f>
        <v>7.5747333333333335</v>
      </c>
    </row>
    <row r="331" spans="1:47" x14ac:dyDescent="0.25">
      <c r="A331">
        <v>2</v>
      </c>
      <c r="B331" t="s">
        <v>1</v>
      </c>
      <c r="C331">
        <v>28928</v>
      </c>
      <c r="D331">
        <v>256</v>
      </c>
      <c r="E331">
        <v>1</v>
      </c>
      <c r="F331">
        <v>16</v>
      </c>
      <c r="G331">
        <v>1893.93</v>
      </c>
      <c r="H331" s="3">
        <v>8.5218000000000007</v>
      </c>
      <c r="I331" s="1">
        <v>45478</v>
      </c>
      <c r="J331" s="2">
        <v>0.89182870370370371</v>
      </c>
      <c r="K331">
        <v>0</v>
      </c>
      <c r="L331">
        <v>0</v>
      </c>
      <c r="M331">
        <v>0</v>
      </c>
      <c r="N331">
        <v>0</v>
      </c>
      <c r="O331">
        <v>0</v>
      </c>
      <c r="P331">
        <v>0</v>
      </c>
      <c r="Q331">
        <v>0</v>
      </c>
      <c r="R331">
        <v>0</v>
      </c>
      <c r="S331">
        <v>0</v>
      </c>
      <c r="T331">
        <v>0</v>
      </c>
      <c r="U331">
        <v>0</v>
      </c>
      <c r="V331">
        <v>0</v>
      </c>
      <c r="W331" s="4">
        <f t="shared" si="212"/>
        <v>8.5213999999999999</v>
      </c>
      <c r="Y331">
        <v>2</v>
      </c>
      <c r="Z331" t="s">
        <v>1</v>
      </c>
      <c r="AA331">
        <v>28928</v>
      </c>
      <c r="AB331">
        <v>256</v>
      </c>
      <c r="AC331">
        <v>1</v>
      </c>
      <c r="AD331">
        <v>16</v>
      </c>
      <c r="AE331">
        <v>2130.63</v>
      </c>
      <c r="AF331" s="24">
        <v>7.5750999999999999</v>
      </c>
      <c r="AG331" s="1">
        <v>45478</v>
      </c>
      <c r="AH331" s="2">
        <v>0.96707175925925926</v>
      </c>
      <c r="AI331">
        <v>0</v>
      </c>
      <c r="AJ331">
        <v>0</v>
      </c>
      <c r="AK331">
        <v>0</v>
      </c>
      <c r="AL331">
        <v>0</v>
      </c>
      <c r="AM331">
        <v>0</v>
      </c>
      <c r="AN331">
        <v>0</v>
      </c>
      <c r="AO331">
        <v>0</v>
      </c>
      <c r="AP331">
        <v>0</v>
      </c>
      <c r="AQ331">
        <v>0</v>
      </c>
      <c r="AR331">
        <v>0</v>
      </c>
      <c r="AS331">
        <v>0</v>
      </c>
      <c r="AT331">
        <v>0</v>
      </c>
      <c r="AU331" s="3">
        <f t="shared" si="213"/>
        <v>7.5747333333333335</v>
      </c>
    </row>
    <row r="332" spans="1:47" x14ac:dyDescent="0.25">
      <c r="A332">
        <v>3</v>
      </c>
      <c r="B332" t="s">
        <v>1</v>
      </c>
      <c r="C332">
        <v>28928</v>
      </c>
      <c r="D332">
        <v>256</v>
      </c>
      <c r="E332">
        <v>1</v>
      </c>
      <c r="F332">
        <v>16</v>
      </c>
      <c r="G332">
        <v>1889.36</v>
      </c>
      <c r="H332" s="3">
        <v>8.5425000000000004</v>
      </c>
      <c r="I332" s="1">
        <v>45479</v>
      </c>
      <c r="J332" s="2">
        <v>0.3979861111111111</v>
      </c>
      <c r="K332">
        <v>0</v>
      </c>
      <c r="L332">
        <v>0</v>
      </c>
      <c r="M332">
        <v>0</v>
      </c>
      <c r="N332">
        <v>0</v>
      </c>
      <c r="O332">
        <v>0</v>
      </c>
      <c r="P332">
        <v>0</v>
      </c>
      <c r="Q332">
        <v>0</v>
      </c>
      <c r="R332">
        <v>0</v>
      </c>
      <c r="S332">
        <v>0</v>
      </c>
      <c r="T332">
        <v>0</v>
      </c>
      <c r="U332">
        <v>0</v>
      </c>
      <c r="V332">
        <v>0</v>
      </c>
      <c r="W332" s="4">
        <f t="shared" si="212"/>
        <v>8.5213999999999999</v>
      </c>
      <c r="Y332">
        <v>3</v>
      </c>
      <c r="Z332" t="s">
        <v>1</v>
      </c>
      <c r="AA332">
        <v>28928</v>
      </c>
      <c r="AB332">
        <v>256</v>
      </c>
      <c r="AC332">
        <v>1</v>
      </c>
      <c r="AD332">
        <v>16</v>
      </c>
      <c r="AU332" s="3">
        <f t="shared" si="213"/>
        <v>7.5747333333333335</v>
      </c>
    </row>
    <row r="333" spans="1:47" x14ac:dyDescent="0.25">
      <c r="A333">
        <v>4</v>
      </c>
      <c r="B333" t="s">
        <v>1</v>
      </c>
      <c r="C333">
        <v>28928</v>
      </c>
      <c r="D333">
        <v>256</v>
      </c>
      <c r="E333">
        <v>1</v>
      </c>
      <c r="F333">
        <v>16</v>
      </c>
      <c r="G333">
        <v>1893.38</v>
      </c>
      <c r="H333" s="3">
        <v>8.5243000000000002</v>
      </c>
      <c r="I333" s="1">
        <v>45479</v>
      </c>
      <c r="J333" s="2">
        <v>0.90412037037037041</v>
      </c>
      <c r="K333">
        <v>0</v>
      </c>
      <c r="L333">
        <v>0</v>
      </c>
      <c r="M333">
        <v>0</v>
      </c>
      <c r="N333">
        <v>0</v>
      </c>
      <c r="O333">
        <v>0</v>
      </c>
      <c r="P333">
        <v>0</v>
      </c>
      <c r="Q333">
        <v>0</v>
      </c>
      <c r="R333">
        <v>0</v>
      </c>
      <c r="S333">
        <v>0</v>
      </c>
      <c r="T333">
        <v>0</v>
      </c>
      <c r="U333">
        <v>0</v>
      </c>
      <c r="V333">
        <v>0</v>
      </c>
      <c r="W333" s="4">
        <f t="shared" si="212"/>
        <v>8.5213999999999999</v>
      </c>
      <c r="Y333">
        <v>4</v>
      </c>
      <c r="Z333" t="s">
        <v>1</v>
      </c>
      <c r="AA333">
        <v>28928</v>
      </c>
      <c r="AB333">
        <v>256</v>
      </c>
      <c r="AC333">
        <v>1</v>
      </c>
      <c r="AD333">
        <v>16</v>
      </c>
      <c r="AU333" s="3">
        <f t="shared" si="213"/>
        <v>7.5747333333333335</v>
      </c>
    </row>
    <row r="334" spans="1:47" x14ac:dyDescent="0.25">
      <c r="A334">
        <v>0</v>
      </c>
      <c r="B334" t="s">
        <v>1</v>
      </c>
      <c r="C334">
        <v>25856</v>
      </c>
      <c r="D334">
        <v>256</v>
      </c>
      <c r="E334">
        <v>2</v>
      </c>
      <c r="F334">
        <v>8</v>
      </c>
      <c r="G334">
        <v>1275.3900000000001</v>
      </c>
      <c r="H334" s="3">
        <v>9.0361999999999991</v>
      </c>
      <c r="I334" s="1">
        <v>45477</v>
      </c>
      <c r="J334" s="2">
        <v>0.71208333333333329</v>
      </c>
      <c r="K334">
        <v>0</v>
      </c>
      <c r="L334">
        <v>0</v>
      </c>
      <c r="M334">
        <v>0</v>
      </c>
      <c r="N334">
        <v>0</v>
      </c>
      <c r="O334">
        <v>0</v>
      </c>
      <c r="P334">
        <v>0</v>
      </c>
      <c r="Q334">
        <v>0</v>
      </c>
      <c r="R334">
        <v>0</v>
      </c>
      <c r="S334">
        <v>0</v>
      </c>
      <c r="T334">
        <v>0</v>
      </c>
      <c r="U334">
        <v>0</v>
      </c>
      <c r="V334">
        <v>0</v>
      </c>
      <c r="W334" s="4">
        <f t="shared" ref="W334" si="262">AVERAGE(H334:H338)</f>
        <v>9.019680000000001</v>
      </c>
      <c r="Y334">
        <v>0</v>
      </c>
      <c r="Z334" t="s">
        <v>1</v>
      </c>
      <c r="AA334">
        <v>25856</v>
      </c>
      <c r="AB334">
        <v>256</v>
      </c>
      <c r="AC334">
        <v>2</v>
      </c>
      <c r="AD334">
        <v>8</v>
      </c>
      <c r="AE334">
        <v>1434.07</v>
      </c>
      <c r="AF334" s="24">
        <v>8.0364000000000004</v>
      </c>
      <c r="AG334" s="1">
        <v>45477</v>
      </c>
      <c r="AH334" s="2">
        <v>0.72673611111111114</v>
      </c>
      <c r="AI334">
        <v>0</v>
      </c>
      <c r="AJ334">
        <v>0</v>
      </c>
      <c r="AK334">
        <v>0</v>
      </c>
      <c r="AL334">
        <v>0</v>
      </c>
      <c r="AM334">
        <v>0</v>
      </c>
      <c r="AN334">
        <v>0</v>
      </c>
      <c r="AO334">
        <v>0</v>
      </c>
      <c r="AP334">
        <v>0</v>
      </c>
      <c r="AQ334">
        <v>0</v>
      </c>
      <c r="AR334">
        <v>0</v>
      </c>
      <c r="AS334">
        <v>0</v>
      </c>
      <c r="AT334">
        <v>0</v>
      </c>
      <c r="AU334" s="3">
        <f t="shared" ref="AU334" si="263">AVERAGE(AF334:AF338)</f>
        <v>8.0311000000000003</v>
      </c>
    </row>
    <row r="335" spans="1:47" x14ac:dyDescent="0.25">
      <c r="A335">
        <v>1</v>
      </c>
      <c r="B335" t="s">
        <v>1</v>
      </c>
      <c r="C335">
        <v>25856</v>
      </c>
      <c r="D335">
        <v>256</v>
      </c>
      <c r="E335">
        <v>2</v>
      </c>
      <c r="F335">
        <v>8</v>
      </c>
      <c r="G335">
        <v>1278.25</v>
      </c>
      <c r="H335" s="3">
        <v>9.016</v>
      </c>
      <c r="I335" s="1">
        <v>45478</v>
      </c>
      <c r="J335" s="2">
        <v>0.21813657407407408</v>
      </c>
      <c r="K335">
        <v>0</v>
      </c>
      <c r="L335">
        <v>0</v>
      </c>
      <c r="M335">
        <v>0</v>
      </c>
      <c r="N335">
        <v>0</v>
      </c>
      <c r="O335">
        <v>0</v>
      </c>
      <c r="P335">
        <v>0</v>
      </c>
      <c r="Q335">
        <v>0</v>
      </c>
      <c r="R335">
        <v>0</v>
      </c>
      <c r="S335">
        <v>0</v>
      </c>
      <c r="T335">
        <v>0</v>
      </c>
      <c r="U335">
        <v>0</v>
      </c>
      <c r="V335">
        <v>0</v>
      </c>
      <c r="W335" s="4">
        <f t="shared" ref="W335:W363" si="264">W334</f>
        <v>9.019680000000001</v>
      </c>
      <c r="Y335">
        <v>1</v>
      </c>
      <c r="Z335" t="s">
        <v>1</v>
      </c>
      <c r="AA335">
        <v>25856</v>
      </c>
      <c r="AB335">
        <v>256</v>
      </c>
      <c r="AC335">
        <v>2</v>
      </c>
      <c r="AD335">
        <v>8</v>
      </c>
      <c r="AE335">
        <v>1435.57</v>
      </c>
      <c r="AF335" s="24">
        <v>8.0280000000000005</v>
      </c>
      <c r="AG335" s="1">
        <v>45478</v>
      </c>
      <c r="AH335" s="2">
        <v>0.25865740740740739</v>
      </c>
      <c r="AI335">
        <v>0</v>
      </c>
      <c r="AJ335">
        <v>0</v>
      </c>
      <c r="AK335">
        <v>0</v>
      </c>
      <c r="AL335">
        <v>0</v>
      </c>
      <c r="AM335">
        <v>0</v>
      </c>
      <c r="AN335">
        <v>0</v>
      </c>
      <c r="AO335">
        <v>0</v>
      </c>
      <c r="AP335">
        <v>0</v>
      </c>
      <c r="AQ335">
        <v>0</v>
      </c>
      <c r="AR335">
        <v>0</v>
      </c>
      <c r="AS335">
        <v>0</v>
      </c>
      <c r="AT335">
        <v>0</v>
      </c>
      <c r="AU335" s="3">
        <f t="shared" ref="AU335:AU363" si="265">AU334</f>
        <v>8.0311000000000003</v>
      </c>
    </row>
    <row r="336" spans="1:47" x14ac:dyDescent="0.25">
      <c r="A336">
        <v>2</v>
      </c>
      <c r="B336" t="s">
        <v>1</v>
      </c>
      <c r="C336">
        <v>25856</v>
      </c>
      <c r="D336">
        <v>256</v>
      </c>
      <c r="E336">
        <v>2</v>
      </c>
      <c r="F336">
        <v>8</v>
      </c>
      <c r="G336">
        <v>1277.8699999999999</v>
      </c>
      <c r="H336" s="3">
        <v>9.0187000000000008</v>
      </c>
      <c r="I336" s="1">
        <v>45478</v>
      </c>
      <c r="J336" s="2">
        <v>0.72422453703703704</v>
      </c>
      <c r="K336">
        <v>0</v>
      </c>
      <c r="L336">
        <v>0</v>
      </c>
      <c r="M336">
        <v>0</v>
      </c>
      <c r="N336">
        <v>0</v>
      </c>
      <c r="O336">
        <v>0</v>
      </c>
      <c r="P336">
        <v>0</v>
      </c>
      <c r="Q336">
        <v>0</v>
      </c>
      <c r="R336">
        <v>0</v>
      </c>
      <c r="S336">
        <v>0</v>
      </c>
      <c r="T336">
        <v>0</v>
      </c>
      <c r="U336">
        <v>0</v>
      </c>
      <c r="V336">
        <v>0</v>
      </c>
      <c r="W336" s="4">
        <f t="shared" si="264"/>
        <v>9.019680000000001</v>
      </c>
      <c r="Y336">
        <v>2</v>
      </c>
      <c r="Z336" t="s">
        <v>1</v>
      </c>
      <c r="AA336">
        <v>25856</v>
      </c>
      <c r="AB336">
        <v>256</v>
      </c>
      <c r="AC336">
        <v>2</v>
      </c>
      <c r="AD336">
        <v>8</v>
      </c>
      <c r="AE336">
        <v>1435.2</v>
      </c>
      <c r="AF336" s="24">
        <v>8.0299999999999994</v>
      </c>
      <c r="AG336" s="1">
        <v>45478</v>
      </c>
      <c r="AH336" s="2">
        <v>0.79062500000000002</v>
      </c>
      <c r="AI336">
        <v>0</v>
      </c>
      <c r="AJ336">
        <v>0</v>
      </c>
      <c r="AK336">
        <v>0</v>
      </c>
      <c r="AL336">
        <v>0</v>
      </c>
      <c r="AM336">
        <v>0</v>
      </c>
      <c r="AN336">
        <v>0</v>
      </c>
      <c r="AO336">
        <v>0</v>
      </c>
      <c r="AP336">
        <v>0</v>
      </c>
      <c r="AQ336">
        <v>0</v>
      </c>
      <c r="AR336">
        <v>0</v>
      </c>
      <c r="AS336">
        <v>0</v>
      </c>
      <c r="AT336">
        <v>0</v>
      </c>
      <c r="AU336" s="3">
        <f t="shared" si="265"/>
        <v>8.0311000000000003</v>
      </c>
    </row>
    <row r="337" spans="1:47" x14ac:dyDescent="0.25">
      <c r="A337">
        <v>3</v>
      </c>
      <c r="B337" t="s">
        <v>1</v>
      </c>
      <c r="C337">
        <v>25856</v>
      </c>
      <c r="D337">
        <v>256</v>
      </c>
      <c r="E337">
        <v>2</v>
      </c>
      <c r="F337">
        <v>8</v>
      </c>
      <c r="G337">
        <v>1280.02</v>
      </c>
      <c r="H337" s="3">
        <v>9.0035000000000007</v>
      </c>
      <c r="I337" s="1">
        <v>45479</v>
      </c>
      <c r="J337" s="2">
        <v>0.23045138888888889</v>
      </c>
      <c r="K337">
        <v>0</v>
      </c>
      <c r="L337">
        <v>0</v>
      </c>
      <c r="M337">
        <v>0</v>
      </c>
      <c r="N337">
        <v>0</v>
      </c>
      <c r="O337">
        <v>0</v>
      </c>
      <c r="P337">
        <v>0</v>
      </c>
      <c r="Q337">
        <v>0</v>
      </c>
      <c r="R337">
        <v>0</v>
      </c>
      <c r="S337">
        <v>0</v>
      </c>
      <c r="T337">
        <v>0</v>
      </c>
      <c r="U337">
        <v>0</v>
      </c>
      <c r="V337">
        <v>0</v>
      </c>
      <c r="W337" s="4">
        <f t="shared" si="264"/>
        <v>9.019680000000001</v>
      </c>
      <c r="Y337">
        <v>3</v>
      </c>
      <c r="Z337" t="s">
        <v>1</v>
      </c>
      <c r="AA337">
        <v>25856</v>
      </c>
      <c r="AB337">
        <v>256</v>
      </c>
      <c r="AC337">
        <v>2</v>
      </c>
      <c r="AD337">
        <v>8</v>
      </c>
      <c r="AE337">
        <v>1435.21</v>
      </c>
      <c r="AF337" s="24">
        <v>8.0299999999999994</v>
      </c>
      <c r="AG337" s="1">
        <v>45479</v>
      </c>
      <c r="AH337" s="2">
        <v>0.32265046296296296</v>
      </c>
      <c r="AI337">
        <v>0</v>
      </c>
      <c r="AJ337">
        <v>0</v>
      </c>
      <c r="AK337">
        <v>0</v>
      </c>
      <c r="AL337">
        <v>0</v>
      </c>
      <c r="AM337">
        <v>0</v>
      </c>
      <c r="AN337">
        <v>0</v>
      </c>
      <c r="AO337">
        <v>0</v>
      </c>
      <c r="AP337">
        <v>0</v>
      </c>
      <c r="AQ337">
        <v>0</v>
      </c>
      <c r="AR337">
        <v>0</v>
      </c>
      <c r="AS337">
        <v>0</v>
      </c>
      <c r="AT337">
        <v>0</v>
      </c>
      <c r="AU337" s="3">
        <f t="shared" si="265"/>
        <v>8.0311000000000003</v>
      </c>
    </row>
    <row r="338" spans="1:47" x14ac:dyDescent="0.25">
      <c r="A338">
        <v>4</v>
      </c>
      <c r="B338" t="s">
        <v>1</v>
      </c>
      <c r="C338">
        <v>25856</v>
      </c>
      <c r="D338">
        <v>256</v>
      </c>
      <c r="E338">
        <v>2</v>
      </c>
      <c r="F338">
        <v>8</v>
      </c>
      <c r="G338">
        <v>1277.1199999999999</v>
      </c>
      <c r="H338" s="3">
        <v>9.0239999999999991</v>
      </c>
      <c r="I338" s="1">
        <v>45479</v>
      </c>
      <c r="J338" s="2">
        <v>0.73657407407407405</v>
      </c>
      <c r="K338">
        <v>0</v>
      </c>
      <c r="L338">
        <v>0</v>
      </c>
      <c r="M338">
        <v>0</v>
      </c>
      <c r="N338">
        <v>0</v>
      </c>
      <c r="O338">
        <v>0</v>
      </c>
      <c r="P338">
        <v>0</v>
      </c>
      <c r="Q338">
        <v>0</v>
      </c>
      <c r="R338">
        <v>0</v>
      </c>
      <c r="S338">
        <v>0</v>
      </c>
      <c r="T338">
        <v>0</v>
      </c>
      <c r="U338">
        <v>0</v>
      </c>
      <c r="V338">
        <v>0</v>
      </c>
      <c r="W338" s="4">
        <f t="shared" si="264"/>
        <v>9.019680000000001</v>
      </c>
      <c r="Y338">
        <v>4</v>
      </c>
      <c r="Z338" t="s">
        <v>1</v>
      </c>
      <c r="AA338">
        <v>25856</v>
      </c>
      <c r="AB338">
        <v>256</v>
      </c>
      <c r="AC338">
        <v>2</v>
      </c>
      <c r="AD338">
        <v>8</v>
      </c>
      <c r="AU338" s="3">
        <f t="shared" si="265"/>
        <v>8.0311000000000003</v>
      </c>
    </row>
    <row r="339" spans="1:47" x14ac:dyDescent="0.25">
      <c r="A339">
        <v>0</v>
      </c>
      <c r="B339" t="s">
        <v>1</v>
      </c>
      <c r="C339">
        <v>27392</v>
      </c>
      <c r="D339">
        <v>256</v>
      </c>
      <c r="E339">
        <v>2</v>
      </c>
      <c r="F339">
        <v>8</v>
      </c>
      <c r="G339">
        <v>1508.03</v>
      </c>
      <c r="H339">
        <v>9.0867000000000004</v>
      </c>
      <c r="I339">
        <v>45477</v>
      </c>
      <c r="J339">
        <v>0.56663194444444442</v>
      </c>
      <c r="K339">
        <v>0</v>
      </c>
      <c r="L339">
        <v>0</v>
      </c>
      <c r="M339">
        <v>0</v>
      </c>
      <c r="N339">
        <v>0</v>
      </c>
      <c r="O339">
        <v>0</v>
      </c>
      <c r="P339">
        <v>0</v>
      </c>
      <c r="Q339">
        <v>0</v>
      </c>
      <c r="R339">
        <v>0</v>
      </c>
      <c r="S339">
        <v>0</v>
      </c>
      <c r="T339">
        <v>0</v>
      </c>
      <c r="U339">
        <v>0</v>
      </c>
      <c r="V339">
        <v>0</v>
      </c>
      <c r="W339" s="4">
        <f t="shared" ref="W339" si="266">AVERAGE(H339:H343)</f>
        <v>9.0854999999999997</v>
      </c>
      <c r="Y339">
        <v>0</v>
      </c>
      <c r="Z339" t="s">
        <v>1</v>
      </c>
      <c r="AA339">
        <v>27392</v>
      </c>
      <c r="AB339">
        <v>256</v>
      </c>
      <c r="AC339">
        <v>2</v>
      </c>
      <c r="AD339">
        <v>8</v>
      </c>
      <c r="AE339">
        <v>1703.02</v>
      </c>
      <c r="AF339" s="24">
        <v>8.0463000000000005</v>
      </c>
      <c r="AG339" s="1">
        <v>45477</v>
      </c>
      <c r="AH339" s="2">
        <v>0.57442129629629635</v>
      </c>
      <c r="AI339">
        <v>0</v>
      </c>
      <c r="AJ339">
        <v>0</v>
      </c>
      <c r="AK339">
        <v>0</v>
      </c>
      <c r="AL339">
        <v>0</v>
      </c>
      <c r="AM339">
        <v>0</v>
      </c>
      <c r="AN339">
        <v>0</v>
      </c>
      <c r="AO339">
        <v>0</v>
      </c>
      <c r="AP339">
        <v>0</v>
      </c>
      <c r="AQ339">
        <v>0</v>
      </c>
      <c r="AR339">
        <v>0</v>
      </c>
      <c r="AS339">
        <v>0</v>
      </c>
      <c r="AT339">
        <v>0</v>
      </c>
      <c r="AU339" s="3">
        <f t="shared" ref="AU339" si="267">AVERAGE(AF339:AF343)</f>
        <v>8.0418000000000003</v>
      </c>
    </row>
    <row r="340" spans="1:47" x14ac:dyDescent="0.25">
      <c r="A340">
        <v>1</v>
      </c>
      <c r="B340" t="s">
        <v>1</v>
      </c>
      <c r="C340">
        <v>27392</v>
      </c>
      <c r="D340">
        <v>256</v>
      </c>
      <c r="E340">
        <v>2</v>
      </c>
      <c r="F340">
        <v>8</v>
      </c>
      <c r="G340">
        <v>1510.4</v>
      </c>
      <c r="H340" s="3">
        <v>9.0724</v>
      </c>
      <c r="I340" s="1">
        <v>45478</v>
      </c>
      <c r="J340" s="2">
        <v>7.255787037037037E-2</v>
      </c>
      <c r="K340">
        <v>0</v>
      </c>
      <c r="L340">
        <v>0</v>
      </c>
      <c r="M340">
        <v>0</v>
      </c>
      <c r="N340">
        <v>0</v>
      </c>
      <c r="O340">
        <v>0</v>
      </c>
      <c r="P340">
        <v>0</v>
      </c>
      <c r="Q340">
        <v>0</v>
      </c>
      <c r="R340">
        <v>0</v>
      </c>
      <c r="S340">
        <v>0</v>
      </c>
      <c r="T340">
        <v>0</v>
      </c>
      <c r="U340">
        <v>0</v>
      </c>
      <c r="V340">
        <v>0</v>
      </c>
      <c r="W340" s="4">
        <f t="shared" ref="W340" si="268">W339</f>
        <v>9.0854999999999997</v>
      </c>
      <c r="Y340">
        <v>1</v>
      </c>
      <c r="Z340" t="s">
        <v>1</v>
      </c>
      <c r="AA340">
        <v>27392</v>
      </c>
      <c r="AB340">
        <v>256</v>
      </c>
      <c r="AC340">
        <v>2</v>
      </c>
      <c r="AD340">
        <v>8</v>
      </c>
      <c r="AE340">
        <v>1705.17</v>
      </c>
      <c r="AF340" s="24">
        <v>8.0361999999999991</v>
      </c>
      <c r="AG340" s="1">
        <v>45478</v>
      </c>
      <c r="AH340" s="2">
        <v>0.10629629629629629</v>
      </c>
      <c r="AI340">
        <v>0</v>
      </c>
      <c r="AJ340">
        <v>0</v>
      </c>
      <c r="AK340">
        <v>0</v>
      </c>
      <c r="AL340">
        <v>0</v>
      </c>
      <c r="AM340">
        <v>0</v>
      </c>
      <c r="AN340">
        <v>0</v>
      </c>
      <c r="AO340">
        <v>0</v>
      </c>
      <c r="AP340">
        <v>0</v>
      </c>
      <c r="AQ340">
        <v>0</v>
      </c>
      <c r="AR340">
        <v>0</v>
      </c>
      <c r="AS340">
        <v>0</v>
      </c>
      <c r="AT340">
        <v>0</v>
      </c>
      <c r="AU340" s="3">
        <f t="shared" ref="AU340" si="269">AU339</f>
        <v>8.0418000000000003</v>
      </c>
    </row>
    <row r="341" spans="1:47" x14ac:dyDescent="0.25">
      <c r="A341">
        <v>2</v>
      </c>
      <c r="B341" t="s">
        <v>1</v>
      </c>
      <c r="C341">
        <v>27392</v>
      </c>
      <c r="D341">
        <v>256</v>
      </c>
      <c r="E341">
        <v>2</v>
      </c>
      <c r="F341">
        <v>8</v>
      </c>
      <c r="G341">
        <v>1507.12</v>
      </c>
      <c r="H341" s="3">
        <v>9.0922000000000001</v>
      </c>
      <c r="I341" s="1">
        <v>45478</v>
      </c>
      <c r="J341" s="2">
        <v>0.57859953703703704</v>
      </c>
      <c r="K341">
        <v>0</v>
      </c>
      <c r="L341">
        <v>0</v>
      </c>
      <c r="M341">
        <v>0</v>
      </c>
      <c r="N341">
        <v>0</v>
      </c>
      <c r="O341">
        <v>0</v>
      </c>
      <c r="P341">
        <v>0</v>
      </c>
      <c r="Q341">
        <v>0</v>
      </c>
      <c r="R341">
        <v>0</v>
      </c>
      <c r="S341">
        <v>0</v>
      </c>
      <c r="T341">
        <v>0</v>
      </c>
      <c r="U341">
        <v>0</v>
      </c>
      <c r="V341">
        <v>0</v>
      </c>
      <c r="W341" s="4">
        <f t="shared" si="264"/>
        <v>9.0854999999999997</v>
      </c>
      <c r="Y341">
        <v>2</v>
      </c>
      <c r="Z341" t="s">
        <v>1</v>
      </c>
      <c r="AA341">
        <v>27392</v>
      </c>
      <c r="AB341">
        <v>256</v>
      </c>
      <c r="AC341">
        <v>2</v>
      </c>
      <c r="AD341">
        <v>8</v>
      </c>
      <c r="AE341">
        <v>1703.59</v>
      </c>
      <c r="AF341" s="24">
        <v>8.0435999999999996</v>
      </c>
      <c r="AG341" s="1">
        <v>45478</v>
      </c>
      <c r="AH341" s="2">
        <v>0.638275462962963</v>
      </c>
      <c r="AI341">
        <v>0</v>
      </c>
      <c r="AJ341">
        <v>0</v>
      </c>
      <c r="AK341">
        <v>0</v>
      </c>
      <c r="AL341">
        <v>0</v>
      </c>
      <c r="AM341">
        <v>0</v>
      </c>
      <c r="AN341">
        <v>0</v>
      </c>
      <c r="AO341">
        <v>0</v>
      </c>
      <c r="AP341">
        <v>0</v>
      </c>
      <c r="AQ341">
        <v>0</v>
      </c>
      <c r="AR341">
        <v>0</v>
      </c>
      <c r="AS341">
        <v>0</v>
      </c>
      <c r="AT341">
        <v>0</v>
      </c>
      <c r="AU341" s="3">
        <f t="shared" si="265"/>
        <v>8.0418000000000003</v>
      </c>
    </row>
    <row r="342" spans="1:47" x14ac:dyDescent="0.25">
      <c r="A342">
        <v>3</v>
      </c>
      <c r="B342" t="s">
        <v>1</v>
      </c>
      <c r="C342">
        <v>27392</v>
      </c>
      <c r="D342">
        <v>256</v>
      </c>
      <c r="E342">
        <v>2</v>
      </c>
      <c r="F342">
        <v>8</v>
      </c>
      <c r="G342">
        <v>1507.94</v>
      </c>
      <c r="H342" s="3">
        <v>9.0871999999999993</v>
      </c>
      <c r="I342" s="1">
        <v>45479</v>
      </c>
      <c r="J342" s="2">
        <v>8.4814814814814815E-2</v>
      </c>
      <c r="K342">
        <v>0</v>
      </c>
      <c r="L342">
        <v>0</v>
      </c>
      <c r="M342">
        <v>0</v>
      </c>
      <c r="N342">
        <v>0</v>
      </c>
      <c r="O342">
        <v>0</v>
      </c>
      <c r="P342">
        <v>0</v>
      </c>
      <c r="Q342">
        <v>0</v>
      </c>
      <c r="R342">
        <v>0</v>
      </c>
      <c r="S342">
        <v>0</v>
      </c>
      <c r="T342">
        <v>0</v>
      </c>
      <c r="U342">
        <v>0</v>
      </c>
      <c r="V342">
        <v>0</v>
      </c>
      <c r="W342" s="4">
        <f t="shared" si="264"/>
        <v>9.0854999999999997</v>
      </c>
      <c r="Y342">
        <v>3</v>
      </c>
      <c r="Z342" t="s">
        <v>1</v>
      </c>
      <c r="AA342">
        <v>27392</v>
      </c>
      <c r="AB342">
        <v>256</v>
      </c>
      <c r="AC342">
        <v>2</v>
      </c>
      <c r="AD342">
        <v>8</v>
      </c>
      <c r="AE342">
        <v>1704.12</v>
      </c>
      <c r="AF342" s="24">
        <v>8.0411000000000001</v>
      </c>
      <c r="AG342" s="1">
        <v>45479</v>
      </c>
      <c r="AH342" s="2">
        <v>0.17024305555555555</v>
      </c>
      <c r="AI342">
        <v>0</v>
      </c>
      <c r="AJ342">
        <v>0</v>
      </c>
      <c r="AK342">
        <v>0</v>
      </c>
      <c r="AL342">
        <v>0</v>
      </c>
      <c r="AM342">
        <v>0</v>
      </c>
      <c r="AN342">
        <v>0</v>
      </c>
      <c r="AO342">
        <v>0</v>
      </c>
      <c r="AP342">
        <v>0</v>
      </c>
      <c r="AQ342">
        <v>0</v>
      </c>
      <c r="AR342">
        <v>0</v>
      </c>
      <c r="AS342">
        <v>0</v>
      </c>
      <c r="AT342">
        <v>0</v>
      </c>
      <c r="AU342" s="3">
        <f t="shared" si="265"/>
        <v>8.0418000000000003</v>
      </c>
    </row>
    <row r="343" spans="1:47" x14ac:dyDescent="0.25">
      <c r="A343">
        <v>4</v>
      </c>
      <c r="B343" t="s">
        <v>1</v>
      </c>
      <c r="C343">
        <v>27392</v>
      </c>
      <c r="D343">
        <v>256</v>
      </c>
      <c r="E343">
        <v>2</v>
      </c>
      <c r="F343">
        <v>8</v>
      </c>
      <c r="G343">
        <v>1507.65</v>
      </c>
      <c r="H343" s="3">
        <v>9.0890000000000004</v>
      </c>
      <c r="I343" s="1">
        <v>45479</v>
      </c>
      <c r="J343" s="2">
        <v>0.59100694444444446</v>
      </c>
      <c r="K343">
        <v>0</v>
      </c>
      <c r="L343">
        <v>0</v>
      </c>
      <c r="M343">
        <v>0</v>
      </c>
      <c r="N343">
        <v>0</v>
      </c>
      <c r="O343">
        <v>0</v>
      </c>
      <c r="P343">
        <v>0</v>
      </c>
      <c r="Q343">
        <v>0</v>
      </c>
      <c r="R343">
        <v>0</v>
      </c>
      <c r="S343">
        <v>0</v>
      </c>
      <c r="T343">
        <v>0</v>
      </c>
      <c r="U343">
        <v>0</v>
      </c>
      <c r="V343">
        <v>0</v>
      </c>
      <c r="W343" s="4">
        <f t="shared" si="264"/>
        <v>9.0854999999999997</v>
      </c>
      <c r="Y343">
        <v>4</v>
      </c>
      <c r="Z343" t="s">
        <v>1</v>
      </c>
      <c r="AA343">
        <v>27392</v>
      </c>
      <c r="AB343">
        <v>256</v>
      </c>
      <c r="AC343">
        <v>2</v>
      </c>
      <c r="AD343">
        <v>8</v>
      </c>
      <c r="AU343" s="3">
        <f t="shared" si="265"/>
        <v>8.0418000000000003</v>
      </c>
    </row>
    <row r="344" spans="1:47" x14ac:dyDescent="0.25">
      <c r="A344">
        <v>0</v>
      </c>
      <c r="B344" t="s">
        <v>1</v>
      </c>
      <c r="C344">
        <v>28928</v>
      </c>
      <c r="D344">
        <v>256</v>
      </c>
      <c r="E344">
        <v>2</v>
      </c>
      <c r="F344">
        <v>8</v>
      </c>
      <c r="G344">
        <v>1752.91</v>
      </c>
      <c r="H344" s="3">
        <v>9.2073999999999998</v>
      </c>
      <c r="I344" s="1">
        <v>45477</v>
      </c>
      <c r="J344" s="2">
        <v>0.90164351851851854</v>
      </c>
      <c r="K344">
        <v>0</v>
      </c>
      <c r="L344">
        <v>0</v>
      </c>
      <c r="M344">
        <v>0</v>
      </c>
      <c r="N344">
        <v>0</v>
      </c>
      <c r="O344">
        <v>0</v>
      </c>
      <c r="P344">
        <v>0</v>
      </c>
      <c r="Q344">
        <v>0</v>
      </c>
      <c r="R344">
        <v>0</v>
      </c>
      <c r="S344">
        <v>0</v>
      </c>
      <c r="T344">
        <v>0</v>
      </c>
      <c r="U344">
        <v>0</v>
      </c>
      <c r="V344">
        <v>0</v>
      </c>
      <c r="W344" s="4">
        <f t="shared" ref="W344" si="270">AVERAGE(H344:H348)</f>
        <v>9.2107600000000005</v>
      </c>
      <c r="Y344">
        <v>0</v>
      </c>
      <c r="Z344" t="s">
        <v>1</v>
      </c>
      <c r="AA344">
        <v>28928</v>
      </c>
      <c r="AB344">
        <v>256</v>
      </c>
      <c r="AC344">
        <v>2</v>
      </c>
      <c r="AD344">
        <v>8</v>
      </c>
      <c r="AE344">
        <v>1968.21</v>
      </c>
      <c r="AF344" s="24">
        <v>8.2002000000000006</v>
      </c>
      <c r="AG344" s="1">
        <v>45477</v>
      </c>
      <c r="AH344" s="2">
        <v>0.92634259259259255</v>
      </c>
      <c r="AI344">
        <v>0</v>
      </c>
      <c r="AJ344">
        <v>0</v>
      </c>
      <c r="AK344">
        <v>0</v>
      </c>
      <c r="AL344">
        <v>0</v>
      </c>
      <c r="AM344">
        <v>0</v>
      </c>
      <c r="AN344">
        <v>0</v>
      </c>
      <c r="AO344">
        <v>0</v>
      </c>
      <c r="AP344">
        <v>0</v>
      </c>
      <c r="AQ344">
        <v>0</v>
      </c>
      <c r="AR344">
        <v>0</v>
      </c>
      <c r="AS344">
        <v>0</v>
      </c>
      <c r="AT344">
        <v>0</v>
      </c>
      <c r="AU344" s="3">
        <f t="shared" ref="AU344" si="271">AVERAGE(AF344:AF348)</f>
        <v>8.1998333333333324</v>
      </c>
    </row>
    <row r="345" spans="1:47" x14ac:dyDescent="0.25">
      <c r="A345">
        <v>1</v>
      </c>
      <c r="B345" t="s">
        <v>1</v>
      </c>
      <c r="C345">
        <v>28928</v>
      </c>
      <c r="D345">
        <v>256</v>
      </c>
      <c r="E345">
        <v>2</v>
      </c>
      <c r="F345">
        <v>8</v>
      </c>
      <c r="G345">
        <v>1751.23</v>
      </c>
      <c r="H345" s="3">
        <v>9.2163000000000004</v>
      </c>
      <c r="I345" s="1">
        <v>45478</v>
      </c>
      <c r="J345" s="2">
        <v>0.40775462962962961</v>
      </c>
      <c r="K345">
        <v>0</v>
      </c>
      <c r="L345">
        <v>0</v>
      </c>
      <c r="M345">
        <v>0</v>
      </c>
      <c r="N345">
        <v>0</v>
      </c>
      <c r="O345">
        <v>0</v>
      </c>
      <c r="P345">
        <v>0</v>
      </c>
      <c r="Q345">
        <v>0</v>
      </c>
      <c r="R345">
        <v>0</v>
      </c>
      <c r="S345">
        <v>0</v>
      </c>
      <c r="T345">
        <v>0</v>
      </c>
      <c r="U345">
        <v>0</v>
      </c>
      <c r="V345">
        <v>0</v>
      </c>
      <c r="W345" s="4">
        <f t="shared" ref="W345" si="272">W344</f>
        <v>9.2107600000000005</v>
      </c>
      <c r="Y345">
        <v>1</v>
      </c>
      <c r="Z345" t="s">
        <v>1</v>
      </c>
      <c r="AA345">
        <v>28928</v>
      </c>
      <c r="AB345">
        <v>256</v>
      </c>
      <c r="AC345">
        <v>2</v>
      </c>
      <c r="AD345">
        <v>8</v>
      </c>
      <c r="AE345">
        <v>1968.25</v>
      </c>
      <c r="AF345" s="24">
        <v>8.2001000000000008</v>
      </c>
      <c r="AG345" s="1">
        <v>45478</v>
      </c>
      <c r="AH345" s="2">
        <v>0.45831018518518518</v>
      </c>
      <c r="AI345">
        <v>0</v>
      </c>
      <c r="AJ345">
        <v>0</v>
      </c>
      <c r="AK345">
        <v>0</v>
      </c>
      <c r="AL345">
        <v>0</v>
      </c>
      <c r="AM345">
        <v>0</v>
      </c>
      <c r="AN345">
        <v>0</v>
      </c>
      <c r="AO345">
        <v>0</v>
      </c>
      <c r="AP345">
        <v>0</v>
      </c>
      <c r="AQ345">
        <v>0</v>
      </c>
      <c r="AR345">
        <v>0</v>
      </c>
      <c r="AS345">
        <v>0</v>
      </c>
      <c r="AT345">
        <v>0</v>
      </c>
      <c r="AU345" s="3">
        <f t="shared" ref="AU345" si="273">AU344</f>
        <v>8.1998333333333324</v>
      </c>
    </row>
    <row r="346" spans="1:47" x14ac:dyDescent="0.25">
      <c r="A346">
        <v>2</v>
      </c>
      <c r="B346" t="s">
        <v>1</v>
      </c>
      <c r="C346">
        <v>28928</v>
      </c>
      <c r="D346">
        <v>256</v>
      </c>
      <c r="E346">
        <v>2</v>
      </c>
      <c r="F346">
        <v>8</v>
      </c>
      <c r="G346">
        <v>1752.28</v>
      </c>
      <c r="H346" s="3">
        <v>9.2106999999999992</v>
      </c>
      <c r="I346" s="1">
        <v>45478</v>
      </c>
      <c r="J346" s="2">
        <v>0.91386574074074078</v>
      </c>
      <c r="K346">
        <v>0</v>
      </c>
      <c r="L346">
        <v>0</v>
      </c>
      <c r="M346">
        <v>0</v>
      </c>
      <c r="N346">
        <v>0</v>
      </c>
      <c r="O346">
        <v>0</v>
      </c>
      <c r="P346">
        <v>0</v>
      </c>
      <c r="Q346">
        <v>0</v>
      </c>
      <c r="R346">
        <v>0</v>
      </c>
      <c r="S346">
        <v>0</v>
      </c>
      <c r="T346">
        <v>0</v>
      </c>
      <c r="U346">
        <v>0</v>
      </c>
      <c r="V346">
        <v>0</v>
      </c>
      <c r="W346" s="4">
        <f t="shared" si="264"/>
        <v>9.2107600000000005</v>
      </c>
      <c r="Y346">
        <v>2</v>
      </c>
      <c r="Z346" t="s">
        <v>1</v>
      </c>
      <c r="AA346">
        <v>28928</v>
      </c>
      <c r="AB346">
        <v>256</v>
      </c>
      <c r="AC346">
        <v>2</v>
      </c>
      <c r="AD346">
        <v>8</v>
      </c>
      <c r="AE346">
        <v>1968.46</v>
      </c>
      <c r="AF346" s="24">
        <v>8.1991999999999994</v>
      </c>
      <c r="AG346" s="1">
        <v>45478</v>
      </c>
      <c r="AH346" s="2">
        <v>0.99026620370370366</v>
      </c>
      <c r="AI346">
        <v>0</v>
      </c>
      <c r="AJ346">
        <v>0</v>
      </c>
      <c r="AK346">
        <v>0</v>
      </c>
      <c r="AL346">
        <v>0</v>
      </c>
      <c r="AM346">
        <v>0</v>
      </c>
      <c r="AN346">
        <v>0</v>
      </c>
      <c r="AO346">
        <v>0</v>
      </c>
      <c r="AP346">
        <v>0</v>
      </c>
      <c r="AQ346">
        <v>0</v>
      </c>
      <c r="AR346">
        <v>0</v>
      </c>
      <c r="AS346">
        <v>0</v>
      </c>
      <c r="AT346">
        <v>0</v>
      </c>
      <c r="AU346" s="3">
        <f t="shared" si="265"/>
        <v>8.1998333333333324</v>
      </c>
    </row>
    <row r="347" spans="1:47" x14ac:dyDescent="0.25">
      <c r="A347">
        <v>3</v>
      </c>
      <c r="B347" t="s">
        <v>1</v>
      </c>
      <c r="C347">
        <v>28928</v>
      </c>
      <c r="D347">
        <v>256</v>
      </c>
      <c r="E347">
        <v>2</v>
      </c>
      <c r="F347">
        <v>8</v>
      </c>
      <c r="G347">
        <v>1751.36</v>
      </c>
      <c r="H347" s="3">
        <v>9.2156000000000002</v>
      </c>
      <c r="I347" s="1">
        <v>45479</v>
      </c>
      <c r="J347" s="2">
        <v>0.42001157407407408</v>
      </c>
      <c r="K347">
        <v>0</v>
      </c>
      <c r="L347">
        <v>0</v>
      </c>
      <c r="M347">
        <v>0</v>
      </c>
      <c r="N347">
        <v>0</v>
      </c>
      <c r="O347">
        <v>0</v>
      </c>
      <c r="P347">
        <v>0</v>
      </c>
      <c r="Q347">
        <v>0</v>
      </c>
      <c r="R347">
        <v>0</v>
      </c>
      <c r="S347">
        <v>0</v>
      </c>
      <c r="T347">
        <v>0</v>
      </c>
      <c r="U347">
        <v>0</v>
      </c>
      <c r="V347">
        <v>0</v>
      </c>
      <c r="W347" s="4">
        <f t="shared" si="264"/>
        <v>9.2107600000000005</v>
      </c>
      <c r="Y347">
        <v>3</v>
      </c>
      <c r="Z347" t="s">
        <v>1</v>
      </c>
      <c r="AA347">
        <v>28928</v>
      </c>
      <c r="AB347">
        <v>256</v>
      </c>
      <c r="AC347">
        <v>2</v>
      </c>
      <c r="AD347">
        <v>8</v>
      </c>
      <c r="AU347" s="3">
        <f t="shared" si="265"/>
        <v>8.1998333333333324</v>
      </c>
    </row>
    <row r="348" spans="1:47" x14ac:dyDescent="0.25">
      <c r="A348">
        <v>4</v>
      </c>
      <c r="B348" t="s">
        <v>1</v>
      </c>
      <c r="C348">
        <v>28928</v>
      </c>
      <c r="D348">
        <v>256</v>
      </c>
      <c r="E348">
        <v>2</v>
      </c>
      <c r="F348">
        <v>8</v>
      </c>
      <c r="G348">
        <v>1753.61</v>
      </c>
      <c r="H348" s="3">
        <v>9.2037999999999993</v>
      </c>
      <c r="I348" s="1">
        <v>45479</v>
      </c>
      <c r="J348" s="2">
        <v>0.92616898148148152</v>
      </c>
      <c r="K348">
        <v>0</v>
      </c>
      <c r="L348">
        <v>0</v>
      </c>
      <c r="M348">
        <v>0</v>
      </c>
      <c r="N348">
        <v>0</v>
      </c>
      <c r="O348">
        <v>0</v>
      </c>
      <c r="P348">
        <v>0</v>
      </c>
      <c r="Q348">
        <v>0</v>
      </c>
      <c r="R348">
        <v>0</v>
      </c>
      <c r="S348">
        <v>0</v>
      </c>
      <c r="T348">
        <v>0</v>
      </c>
      <c r="U348">
        <v>0</v>
      </c>
      <c r="V348">
        <v>0</v>
      </c>
      <c r="W348" s="4">
        <f t="shared" si="264"/>
        <v>9.2107600000000005</v>
      </c>
      <c r="Y348">
        <v>4</v>
      </c>
      <c r="Z348" t="s">
        <v>1</v>
      </c>
      <c r="AA348">
        <v>28928</v>
      </c>
      <c r="AB348">
        <v>256</v>
      </c>
      <c r="AC348">
        <v>2</v>
      </c>
      <c r="AD348">
        <v>8</v>
      </c>
      <c r="AU348" s="3">
        <f t="shared" si="265"/>
        <v>8.1998333333333324</v>
      </c>
    </row>
    <row r="349" spans="1:47" x14ac:dyDescent="0.25">
      <c r="A349">
        <v>0</v>
      </c>
      <c r="B349" t="s">
        <v>1</v>
      </c>
      <c r="C349">
        <v>25856</v>
      </c>
      <c r="D349">
        <v>256</v>
      </c>
      <c r="E349">
        <v>4</v>
      </c>
      <c r="F349">
        <v>4</v>
      </c>
      <c r="G349">
        <v>1263.46</v>
      </c>
      <c r="H349" s="3">
        <v>9.1214999999999993</v>
      </c>
      <c r="I349" s="1">
        <v>45477</v>
      </c>
      <c r="J349" s="2">
        <v>0.72810185185185183</v>
      </c>
      <c r="K349">
        <v>0</v>
      </c>
      <c r="L349">
        <v>0</v>
      </c>
      <c r="M349">
        <v>0</v>
      </c>
      <c r="N349">
        <v>0</v>
      </c>
      <c r="O349">
        <v>0</v>
      </c>
      <c r="P349">
        <v>0</v>
      </c>
      <c r="Q349">
        <v>0</v>
      </c>
      <c r="R349">
        <v>0</v>
      </c>
      <c r="S349">
        <v>0</v>
      </c>
      <c r="T349">
        <v>0</v>
      </c>
      <c r="U349">
        <v>0</v>
      </c>
      <c r="V349">
        <v>0</v>
      </c>
      <c r="W349" s="4">
        <f t="shared" ref="W349" si="274">AVERAGE(H349:H353)</f>
        <v>9.1088399999999989</v>
      </c>
      <c r="Y349">
        <v>0</v>
      </c>
      <c r="Z349" t="s">
        <v>1</v>
      </c>
      <c r="AA349">
        <v>25856</v>
      </c>
      <c r="AB349">
        <v>256</v>
      </c>
      <c r="AC349">
        <v>4</v>
      </c>
      <c r="AD349">
        <v>4</v>
      </c>
      <c r="AE349">
        <v>1403.7</v>
      </c>
      <c r="AF349" s="24">
        <v>8.2103000000000002</v>
      </c>
      <c r="AG349" s="1">
        <v>45477</v>
      </c>
      <c r="AH349" s="2">
        <v>0.74331018518518521</v>
      </c>
      <c r="AI349">
        <v>0</v>
      </c>
      <c r="AJ349">
        <v>0</v>
      </c>
      <c r="AK349">
        <v>0</v>
      </c>
      <c r="AL349">
        <v>0</v>
      </c>
      <c r="AM349">
        <v>0</v>
      </c>
      <c r="AN349">
        <v>0</v>
      </c>
      <c r="AO349">
        <v>0</v>
      </c>
      <c r="AP349">
        <v>0</v>
      </c>
      <c r="AQ349">
        <v>0</v>
      </c>
      <c r="AR349">
        <v>0</v>
      </c>
      <c r="AS349">
        <v>0</v>
      </c>
      <c r="AT349">
        <v>0</v>
      </c>
      <c r="AU349" s="3">
        <f t="shared" ref="AU349" si="275">AVERAGE(AF349:AF353)</f>
        <v>8.2062500000000007</v>
      </c>
    </row>
    <row r="350" spans="1:47" x14ac:dyDescent="0.25">
      <c r="A350">
        <v>1</v>
      </c>
      <c r="B350" t="s">
        <v>1</v>
      </c>
      <c r="C350">
        <v>25856</v>
      </c>
      <c r="D350">
        <v>256</v>
      </c>
      <c r="E350">
        <v>4</v>
      </c>
      <c r="F350">
        <v>4</v>
      </c>
      <c r="G350">
        <v>1265.33</v>
      </c>
      <c r="H350" s="3">
        <v>9.1081000000000003</v>
      </c>
      <c r="I350" s="1">
        <v>45478</v>
      </c>
      <c r="J350" s="2">
        <v>0.23416666666666666</v>
      </c>
      <c r="K350">
        <v>0</v>
      </c>
      <c r="L350">
        <v>0</v>
      </c>
      <c r="M350">
        <v>0</v>
      </c>
      <c r="N350">
        <v>0</v>
      </c>
      <c r="O350">
        <v>0</v>
      </c>
      <c r="P350">
        <v>0</v>
      </c>
      <c r="Q350">
        <v>0</v>
      </c>
      <c r="R350">
        <v>0</v>
      </c>
      <c r="S350">
        <v>0</v>
      </c>
      <c r="T350">
        <v>0</v>
      </c>
      <c r="U350">
        <v>0</v>
      </c>
      <c r="V350">
        <v>0</v>
      </c>
      <c r="W350" s="4">
        <f t="shared" ref="W350" si="276">W349</f>
        <v>9.1088399999999989</v>
      </c>
      <c r="Y350">
        <v>1</v>
      </c>
      <c r="Z350" t="s">
        <v>1</v>
      </c>
      <c r="AA350">
        <v>25856</v>
      </c>
      <c r="AB350">
        <v>256</v>
      </c>
      <c r="AC350">
        <v>4</v>
      </c>
      <c r="AD350">
        <v>4</v>
      </c>
      <c r="AE350">
        <v>1403.83</v>
      </c>
      <c r="AF350" s="24">
        <v>8.2095000000000002</v>
      </c>
      <c r="AG350" s="1">
        <v>45478</v>
      </c>
      <c r="AH350" s="2">
        <v>0.27523148148148147</v>
      </c>
      <c r="AI350">
        <v>0</v>
      </c>
      <c r="AJ350">
        <v>0</v>
      </c>
      <c r="AK350">
        <v>0</v>
      </c>
      <c r="AL350">
        <v>0</v>
      </c>
      <c r="AM350">
        <v>0</v>
      </c>
      <c r="AN350">
        <v>0</v>
      </c>
      <c r="AO350">
        <v>0</v>
      </c>
      <c r="AP350">
        <v>0</v>
      </c>
      <c r="AQ350">
        <v>0</v>
      </c>
      <c r="AR350">
        <v>0</v>
      </c>
      <c r="AS350">
        <v>0</v>
      </c>
      <c r="AT350">
        <v>0</v>
      </c>
      <c r="AU350" s="3">
        <f t="shared" ref="AU350" si="277">AU349</f>
        <v>8.2062500000000007</v>
      </c>
    </row>
    <row r="351" spans="1:47" x14ac:dyDescent="0.25">
      <c r="A351">
        <v>2</v>
      </c>
      <c r="B351" t="s">
        <v>1</v>
      </c>
      <c r="C351">
        <v>25856</v>
      </c>
      <c r="D351">
        <v>256</v>
      </c>
      <c r="E351">
        <v>4</v>
      </c>
      <c r="F351">
        <v>4</v>
      </c>
      <c r="G351">
        <v>1264.06</v>
      </c>
      <c r="H351" s="3">
        <v>9.1172000000000004</v>
      </c>
      <c r="I351" s="1">
        <v>45478</v>
      </c>
      <c r="J351" s="2">
        <v>0.74024305555555558</v>
      </c>
      <c r="K351">
        <v>0</v>
      </c>
      <c r="L351">
        <v>0</v>
      </c>
      <c r="M351">
        <v>0</v>
      </c>
      <c r="N351">
        <v>0</v>
      </c>
      <c r="O351">
        <v>0</v>
      </c>
      <c r="P351">
        <v>0</v>
      </c>
      <c r="Q351">
        <v>0</v>
      </c>
      <c r="R351">
        <v>0</v>
      </c>
      <c r="S351">
        <v>0</v>
      </c>
      <c r="T351">
        <v>0</v>
      </c>
      <c r="U351">
        <v>0</v>
      </c>
      <c r="V351">
        <v>0</v>
      </c>
      <c r="W351" s="4">
        <f t="shared" si="264"/>
        <v>9.1088399999999989</v>
      </c>
      <c r="Y351">
        <v>2</v>
      </c>
      <c r="Z351" t="s">
        <v>1</v>
      </c>
      <c r="AA351">
        <v>25856</v>
      </c>
      <c r="AB351">
        <v>256</v>
      </c>
      <c r="AC351">
        <v>4</v>
      </c>
      <c r="AD351">
        <v>4</v>
      </c>
      <c r="AE351">
        <v>1405.26</v>
      </c>
      <c r="AF351" s="24">
        <v>8.2011000000000003</v>
      </c>
      <c r="AG351" s="1">
        <v>45478</v>
      </c>
      <c r="AH351" s="2">
        <v>0.80721064814814814</v>
      </c>
      <c r="AI351">
        <v>0</v>
      </c>
      <c r="AJ351">
        <v>0</v>
      </c>
      <c r="AK351">
        <v>0</v>
      </c>
      <c r="AL351">
        <v>0</v>
      </c>
      <c r="AM351">
        <v>0</v>
      </c>
      <c r="AN351">
        <v>0</v>
      </c>
      <c r="AO351">
        <v>0</v>
      </c>
      <c r="AP351">
        <v>0</v>
      </c>
      <c r="AQ351">
        <v>0</v>
      </c>
      <c r="AR351">
        <v>0</v>
      </c>
      <c r="AS351">
        <v>0</v>
      </c>
      <c r="AT351">
        <v>0</v>
      </c>
      <c r="AU351" s="3">
        <f t="shared" si="265"/>
        <v>8.2062500000000007</v>
      </c>
    </row>
    <row r="352" spans="1:47" x14ac:dyDescent="0.25">
      <c r="A352">
        <v>3</v>
      </c>
      <c r="B352" t="s">
        <v>1</v>
      </c>
      <c r="C352">
        <v>25856</v>
      </c>
      <c r="D352">
        <v>256</v>
      </c>
      <c r="E352">
        <v>4</v>
      </c>
      <c r="F352">
        <v>4</v>
      </c>
      <c r="G352">
        <v>1265.56</v>
      </c>
      <c r="H352" s="3">
        <v>9.1064000000000007</v>
      </c>
      <c r="I352" s="1">
        <v>45479</v>
      </c>
      <c r="J352" s="2">
        <v>0.24649305555555556</v>
      </c>
      <c r="K352">
        <v>0</v>
      </c>
      <c r="L352">
        <v>0</v>
      </c>
      <c r="M352">
        <v>0</v>
      </c>
      <c r="N352">
        <v>0</v>
      </c>
      <c r="O352">
        <v>0</v>
      </c>
      <c r="P352">
        <v>0</v>
      </c>
      <c r="Q352">
        <v>0</v>
      </c>
      <c r="R352">
        <v>0</v>
      </c>
      <c r="S352">
        <v>0</v>
      </c>
      <c r="T352">
        <v>0</v>
      </c>
      <c r="U352">
        <v>0</v>
      </c>
      <c r="V352">
        <v>0</v>
      </c>
      <c r="W352" s="4">
        <f t="shared" si="264"/>
        <v>9.1088399999999989</v>
      </c>
      <c r="Y352">
        <v>3</v>
      </c>
      <c r="Z352" t="s">
        <v>1</v>
      </c>
      <c r="AA352">
        <v>25856</v>
      </c>
      <c r="AB352">
        <v>256</v>
      </c>
      <c r="AC352">
        <v>4</v>
      </c>
      <c r="AD352">
        <v>4</v>
      </c>
      <c r="AE352">
        <v>1404.75</v>
      </c>
      <c r="AF352" s="24">
        <v>8.2041000000000004</v>
      </c>
      <c r="AG352" s="1">
        <v>45479</v>
      </c>
      <c r="AH352" s="2">
        <v>0.33923611111111113</v>
      </c>
      <c r="AI352">
        <v>0</v>
      </c>
      <c r="AJ352">
        <v>0</v>
      </c>
      <c r="AK352">
        <v>0</v>
      </c>
      <c r="AL352">
        <v>0</v>
      </c>
      <c r="AM352">
        <v>0</v>
      </c>
      <c r="AN352">
        <v>0</v>
      </c>
      <c r="AO352">
        <v>0</v>
      </c>
      <c r="AP352">
        <v>0</v>
      </c>
      <c r="AQ352">
        <v>0</v>
      </c>
      <c r="AR352">
        <v>0</v>
      </c>
      <c r="AS352">
        <v>0</v>
      </c>
      <c r="AT352">
        <v>0</v>
      </c>
      <c r="AU352" s="3">
        <f t="shared" si="265"/>
        <v>8.2062500000000007</v>
      </c>
    </row>
    <row r="353" spans="1:47" x14ac:dyDescent="0.25">
      <c r="A353">
        <v>4</v>
      </c>
      <c r="B353" t="s">
        <v>1</v>
      </c>
      <c r="C353">
        <v>25856</v>
      </c>
      <c r="D353">
        <v>256</v>
      </c>
      <c r="E353">
        <v>4</v>
      </c>
      <c r="F353">
        <v>4</v>
      </c>
      <c r="G353">
        <v>1267.71</v>
      </c>
      <c r="H353" s="3">
        <v>9.0909999999999993</v>
      </c>
      <c r="I353" s="1">
        <v>45479</v>
      </c>
      <c r="J353" s="2">
        <v>0.75263888888888886</v>
      </c>
      <c r="K353">
        <v>0</v>
      </c>
      <c r="L353">
        <v>0</v>
      </c>
      <c r="M353">
        <v>0</v>
      </c>
      <c r="N353">
        <v>0</v>
      </c>
      <c r="O353">
        <v>0</v>
      </c>
      <c r="P353">
        <v>0</v>
      </c>
      <c r="Q353">
        <v>0</v>
      </c>
      <c r="R353">
        <v>0</v>
      </c>
      <c r="S353">
        <v>0</v>
      </c>
      <c r="T353">
        <v>0</v>
      </c>
      <c r="U353">
        <v>0</v>
      </c>
      <c r="V353">
        <v>0</v>
      </c>
      <c r="W353" s="4">
        <f t="shared" si="264"/>
        <v>9.1088399999999989</v>
      </c>
      <c r="Y353">
        <v>4</v>
      </c>
      <c r="Z353" t="s">
        <v>1</v>
      </c>
      <c r="AA353">
        <v>25856</v>
      </c>
      <c r="AB353">
        <v>256</v>
      </c>
      <c r="AC353">
        <v>4</v>
      </c>
      <c r="AD353">
        <v>4</v>
      </c>
      <c r="AU353" s="3">
        <f t="shared" si="265"/>
        <v>8.2062500000000007</v>
      </c>
    </row>
    <row r="354" spans="1:47" x14ac:dyDescent="0.25">
      <c r="A354">
        <v>0</v>
      </c>
      <c r="B354" t="s">
        <v>1</v>
      </c>
      <c r="C354">
        <v>27392</v>
      </c>
      <c r="D354">
        <v>256</v>
      </c>
      <c r="E354">
        <v>4</v>
      </c>
      <c r="F354">
        <v>4</v>
      </c>
      <c r="G354">
        <v>1488.96</v>
      </c>
      <c r="H354">
        <v>9.2029999999999994</v>
      </c>
      <c r="I354">
        <v>45477</v>
      </c>
      <c r="J354">
        <v>0.58535879629629628</v>
      </c>
      <c r="K354">
        <v>0</v>
      </c>
      <c r="L354">
        <v>0</v>
      </c>
      <c r="M354">
        <v>0</v>
      </c>
      <c r="N354">
        <v>0</v>
      </c>
      <c r="O354">
        <v>0</v>
      </c>
      <c r="P354">
        <v>0</v>
      </c>
      <c r="Q354">
        <v>0</v>
      </c>
      <c r="R354">
        <v>0</v>
      </c>
      <c r="S354">
        <v>0</v>
      </c>
      <c r="T354">
        <v>0</v>
      </c>
      <c r="U354">
        <v>0</v>
      </c>
      <c r="V354">
        <v>0</v>
      </c>
      <c r="W354" s="4">
        <f t="shared" ref="W354" si="278">AVERAGE(H354:H358)</f>
        <v>9.1930800000000001</v>
      </c>
      <c r="Y354">
        <v>0</v>
      </c>
      <c r="Z354" t="s">
        <v>1</v>
      </c>
      <c r="AA354">
        <v>27392</v>
      </c>
      <c r="AB354">
        <v>256</v>
      </c>
      <c r="AC354">
        <v>4</v>
      </c>
      <c r="AD354">
        <v>4</v>
      </c>
      <c r="AE354">
        <v>1654.72</v>
      </c>
      <c r="AF354" s="24">
        <v>8.2812000000000001</v>
      </c>
      <c r="AG354" s="1">
        <v>45477</v>
      </c>
      <c r="AH354" s="2">
        <v>0.59391203703703699</v>
      </c>
      <c r="AI354">
        <v>0</v>
      </c>
      <c r="AJ354">
        <v>0</v>
      </c>
      <c r="AK354">
        <v>0</v>
      </c>
      <c r="AL354">
        <v>0</v>
      </c>
      <c r="AM354">
        <v>0</v>
      </c>
      <c r="AN354">
        <v>0</v>
      </c>
      <c r="AO354">
        <v>0</v>
      </c>
      <c r="AP354">
        <v>0</v>
      </c>
      <c r="AQ354">
        <v>0</v>
      </c>
      <c r="AR354">
        <v>0</v>
      </c>
      <c r="AS354">
        <v>0</v>
      </c>
      <c r="AT354">
        <v>0</v>
      </c>
      <c r="AU354" s="3">
        <f t="shared" ref="AU354" si="279">AVERAGE(AF354:AF358)</f>
        <v>8.2853499999999993</v>
      </c>
    </row>
    <row r="355" spans="1:47" x14ac:dyDescent="0.25">
      <c r="A355">
        <v>1</v>
      </c>
      <c r="B355" t="s">
        <v>1</v>
      </c>
      <c r="C355">
        <v>27392</v>
      </c>
      <c r="D355">
        <v>256</v>
      </c>
      <c r="E355">
        <v>4</v>
      </c>
      <c r="F355">
        <v>4</v>
      </c>
      <c r="G355">
        <v>1489.24</v>
      </c>
      <c r="H355" s="3">
        <v>9.2013999999999996</v>
      </c>
      <c r="I355" s="1">
        <v>45478</v>
      </c>
      <c r="J355" s="2">
        <v>9.1296296296296292E-2</v>
      </c>
      <c r="K355">
        <v>0</v>
      </c>
      <c r="L355">
        <v>0</v>
      </c>
      <c r="M355">
        <v>0</v>
      </c>
      <c r="N355">
        <v>0</v>
      </c>
      <c r="O355">
        <v>0</v>
      </c>
      <c r="P355">
        <v>0</v>
      </c>
      <c r="Q355">
        <v>0</v>
      </c>
      <c r="R355">
        <v>0</v>
      </c>
      <c r="S355">
        <v>0</v>
      </c>
      <c r="T355">
        <v>0</v>
      </c>
      <c r="U355">
        <v>0</v>
      </c>
      <c r="V355">
        <v>0</v>
      </c>
      <c r="W355" s="4">
        <f t="shared" ref="W355" si="280">W354</f>
        <v>9.1930800000000001</v>
      </c>
      <c r="Y355">
        <v>1</v>
      </c>
      <c r="Z355" t="s">
        <v>1</v>
      </c>
      <c r="AA355">
        <v>27392</v>
      </c>
      <c r="AB355">
        <v>256</v>
      </c>
      <c r="AC355">
        <v>4</v>
      </c>
      <c r="AD355">
        <v>4</v>
      </c>
      <c r="AE355">
        <v>1653.29</v>
      </c>
      <c r="AF355" s="24">
        <v>8.2882999999999996</v>
      </c>
      <c r="AG355" s="1">
        <v>45478</v>
      </c>
      <c r="AH355" s="2">
        <v>0.12578703703703703</v>
      </c>
      <c r="AI355">
        <v>0</v>
      </c>
      <c r="AJ355">
        <v>0</v>
      </c>
      <c r="AK355">
        <v>0</v>
      </c>
      <c r="AL355">
        <v>0</v>
      </c>
      <c r="AM355">
        <v>0</v>
      </c>
      <c r="AN355">
        <v>0</v>
      </c>
      <c r="AO355">
        <v>0</v>
      </c>
      <c r="AP355">
        <v>0</v>
      </c>
      <c r="AQ355">
        <v>0</v>
      </c>
      <c r="AR355">
        <v>0</v>
      </c>
      <c r="AS355">
        <v>0</v>
      </c>
      <c r="AT355">
        <v>0</v>
      </c>
      <c r="AU355" s="3">
        <f t="shared" ref="AU355" si="281">AU354</f>
        <v>8.2853499999999993</v>
      </c>
    </row>
    <row r="356" spans="1:47" x14ac:dyDescent="0.25">
      <c r="A356">
        <v>2</v>
      </c>
      <c r="B356" t="s">
        <v>1</v>
      </c>
      <c r="C356">
        <v>27392</v>
      </c>
      <c r="D356">
        <v>256</v>
      </c>
      <c r="E356">
        <v>4</v>
      </c>
      <c r="F356">
        <v>4</v>
      </c>
      <c r="G356">
        <v>1491.02</v>
      </c>
      <c r="H356" s="3">
        <v>9.1903000000000006</v>
      </c>
      <c r="I356" s="1">
        <v>45478</v>
      </c>
      <c r="J356" s="2">
        <v>0.59734953703703708</v>
      </c>
      <c r="K356">
        <v>0</v>
      </c>
      <c r="L356">
        <v>0</v>
      </c>
      <c r="M356">
        <v>0</v>
      </c>
      <c r="N356">
        <v>0</v>
      </c>
      <c r="O356">
        <v>0</v>
      </c>
      <c r="P356">
        <v>0</v>
      </c>
      <c r="Q356">
        <v>0</v>
      </c>
      <c r="R356">
        <v>0</v>
      </c>
      <c r="S356">
        <v>0</v>
      </c>
      <c r="T356">
        <v>0</v>
      </c>
      <c r="U356">
        <v>0</v>
      </c>
      <c r="V356">
        <v>0</v>
      </c>
      <c r="W356" s="4">
        <f t="shared" si="264"/>
        <v>9.1930800000000001</v>
      </c>
      <c r="Y356">
        <v>2</v>
      </c>
      <c r="Z356" t="s">
        <v>1</v>
      </c>
      <c r="AA356">
        <v>27392</v>
      </c>
      <c r="AB356">
        <v>256</v>
      </c>
      <c r="AC356">
        <v>4</v>
      </c>
      <c r="AD356">
        <v>4</v>
      </c>
      <c r="AE356">
        <v>1652.68</v>
      </c>
      <c r="AF356" s="24">
        <v>8.2913999999999994</v>
      </c>
      <c r="AG356" s="1">
        <v>45478</v>
      </c>
      <c r="AH356" s="2">
        <v>0.65775462962962961</v>
      </c>
      <c r="AI356">
        <v>0</v>
      </c>
      <c r="AJ356">
        <v>0</v>
      </c>
      <c r="AK356">
        <v>0</v>
      </c>
      <c r="AL356">
        <v>0</v>
      </c>
      <c r="AM356">
        <v>0</v>
      </c>
      <c r="AN356">
        <v>0</v>
      </c>
      <c r="AO356">
        <v>0</v>
      </c>
      <c r="AP356">
        <v>0</v>
      </c>
      <c r="AQ356">
        <v>0</v>
      </c>
      <c r="AR356">
        <v>0</v>
      </c>
      <c r="AS356">
        <v>0</v>
      </c>
      <c r="AT356">
        <v>0</v>
      </c>
      <c r="AU356" s="3">
        <f t="shared" si="265"/>
        <v>8.2853499999999993</v>
      </c>
    </row>
    <row r="357" spans="1:47" x14ac:dyDescent="0.25">
      <c r="A357">
        <v>3</v>
      </c>
      <c r="B357" t="s">
        <v>1</v>
      </c>
      <c r="C357">
        <v>27392</v>
      </c>
      <c r="D357">
        <v>256</v>
      </c>
      <c r="E357">
        <v>4</v>
      </c>
      <c r="F357">
        <v>4</v>
      </c>
      <c r="G357">
        <v>1490.41</v>
      </c>
      <c r="H357" s="3">
        <v>9.1941000000000006</v>
      </c>
      <c r="I357" s="1">
        <v>45479</v>
      </c>
      <c r="J357" s="2">
        <v>0.10356481481481482</v>
      </c>
      <c r="K357">
        <v>0</v>
      </c>
      <c r="L357">
        <v>0</v>
      </c>
      <c r="M357">
        <v>0</v>
      </c>
      <c r="N357">
        <v>0</v>
      </c>
      <c r="O357">
        <v>0</v>
      </c>
      <c r="P357">
        <v>0</v>
      </c>
      <c r="Q357">
        <v>0</v>
      </c>
      <c r="R357">
        <v>0</v>
      </c>
      <c r="S357">
        <v>0</v>
      </c>
      <c r="T357">
        <v>0</v>
      </c>
      <c r="U357">
        <v>0</v>
      </c>
      <c r="V357">
        <v>0</v>
      </c>
      <c r="W357" s="4">
        <f t="shared" si="264"/>
        <v>9.1930800000000001</v>
      </c>
      <c r="Y357">
        <v>3</v>
      </c>
      <c r="Z357" t="s">
        <v>1</v>
      </c>
      <c r="AA357">
        <v>27392</v>
      </c>
      <c r="AB357">
        <v>256</v>
      </c>
      <c r="AC357">
        <v>4</v>
      </c>
      <c r="AD357">
        <v>4</v>
      </c>
      <c r="AE357">
        <v>1654.86</v>
      </c>
      <c r="AF357" s="24">
        <v>8.2805</v>
      </c>
      <c r="AG357" s="1">
        <v>45479</v>
      </c>
      <c r="AH357" s="2">
        <v>0.18974537037037037</v>
      </c>
      <c r="AI357">
        <v>0</v>
      </c>
      <c r="AJ357">
        <v>0</v>
      </c>
      <c r="AK357">
        <v>0</v>
      </c>
      <c r="AL357">
        <v>0</v>
      </c>
      <c r="AM357">
        <v>0</v>
      </c>
      <c r="AN357">
        <v>0</v>
      </c>
      <c r="AO357">
        <v>0</v>
      </c>
      <c r="AP357">
        <v>0</v>
      </c>
      <c r="AQ357">
        <v>0</v>
      </c>
      <c r="AR357">
        <v>0</v>
      </c>
      <c r="AS357">
        <v>0</v>
      </c>
      <c r="AT357">
        <v>0</v>
      </c>
      <c r="AU357" s="3">
        <f t="shared" si="265"/>
        <v>8.2853499999999993</v>
      </c>
    </row>
    <row r="358" spans="1:47" x14ac:dyDescent="0.25">
      <c r="A358">
        <v>4</v>
      </c>
      <c r="B358" t="s">
        <v>1</v>
      </c>
      <c r="C358">
        <v>27392</v>
      </c>
      <c r="D358">
        <v>256</v>
      </c>
      <c r="E358">
        <v>4</v>
      </c>
      <c r="F358">
        <v>4</v>
      </c>
      <c r="G358">
        <v>1493.25</v>
      </c>
      <c r="H358" s="3">
        <v>9.1766000000000005</v>
      </c>
      <c r="I358" s="1">
        <v>45479</v>
      </c>
      <c r="J358" s="2">
        <v>0.60979166666666662</v>
      </c>
      <c r="K358">
        <v>0</v>
      </c>
      <c r="L358">
        <v>0</v>
      </c>
      <c r="M358">
        <v>0</v>
      </c>
      <c r="N358">
        <v>0</v>
      </c>
      <c r="O358">
        <v>0</v>
      </c>
      <c r="P358">
        <v>0</v>
      </c>
      <c r="Q358">
        <v>0</v>
      </c>
      <c r="R358">
        <v>0</v>
      </c>
      <c r="S358">
        <v>0</v>
      </c>
      <c r="T358">
        <v>0</v>
      </c>
      <c r="U358">
        <v>0</v>
      </c>
      <c r="V358">
        <v>0</v>
      </c>
      <c r="W358" s="4">
        <f t="shared" si="264"/>
        <v>9.1930800000000001</v>
      </c>
      <c r="Y358">
        <v>4</v>
      </c>
      <c r="Z358" t="s">
        <v>1</v>
      </c>
      <c r="AA358">
        <v>27392</v>
      </c>
      <c r="AB358">
        <v>256</v>
      </c>
      <c r="AC358">
        <v>4</v>
      </c>
      <c r="AD358">
        <v>4</v>
      </c>
      <c r="AU358" s="3">
        <f t="shared" si="265"/>
        <v>8.2853499999999993</v>
      </c>
    </row>
    <row r="359" spans="1:47" x14ac:dyDescent="0.25">
      <c r="A359">
        <v>0</v>
      </c>
      <c r="B359" t="s">
        <v>1</v>
      </c>
      <c r="C359">
        <v>28928</v>
      </c>
      <c r="D359">
        <v>256</v>
      </c>
      <c r="E359">
        <v>4</v>
      </c>
      <c r="F359">
        <v>4</v>
      </c>
      <c r="G359">
        <v>1740.55</v>
      </c>
      <c r="H359" s="3">
        <v>9.2728000000000002</v>
      </c>
      <c r="I359" s="1">
        <v>45477</v>
      </c>
      <c r="J359" s="2">
        <v>0.92350694444444448</v>
      </c>
      <c r="K359">
        <v>0</v>
      </c>
      <c r="L359">
        <v>0</v>
      </c>
      <c r="M359">
        <v>0</v>
      </c>
      <c r="N359">
        <v>0</v>
      </c>
      <c r="O359">
        <v>0</v>
      </c>
      <c r="P359">
        <v>0</v>
      </c>
      <c r="Q359">
        <v>0</v>
      </c>
      <c r="R359">
        <v>0</v>
      </c>
      <c r="S359">
        <v>0</v>
      </c>
      <c r="T359">
        <v>0</v>
      </c>
      <c r="U359">
        <v>0</v>
      </c>
      <c r="V359">
        <v>0</v>
      </c>
      <c r="W359" s="4">
        <f t="shared" ref="W359" si="282">AVERAGE(H359:H363)</f>
        <v>9.2714199999999991</v>
      </c>
      <c r="Y359">
        <v>0</v>
      </c>
      <c r="Z359" t="s">
        <v>1</v>
      </c>
      <c r="AA359">
        <v>28928</v>
      </c>
      <c r="AB359">
        <v>256</v>
      </c>
      <c r="AC359">
        <v>4</v>
      </c>
      <c r="AD359">
        <v>4</v>
      </c>
      <c r="AE359">
        <v>1933.71</v>
      </c>
      <c r="AF359" s="24">
        <v>8.3465000000000007</v>
      </c>
      <c r="AG359" s="1">
        <v>45477</v>
      </c>
      <c r="AH359" s="2">
        <v>0.94912037037037034</v>
      </c>
      <c r="AI359">
        <v>0</v>
      </c>
      <c r="AJ359">
        <v>0</v>
      </c>
      <c r="AK359">
        <v>0</v>
      </c>
      <c r="AL359">
        <v>0</v>
      </c>
      <c r="AM359">
        <v>0</v>
      </c>
      <c r="AN359">
        <v>0</v>
      </c>
      <c r="AO359">
        <v>0</v>
      </c>
      <c r="AP359">
        <v>0</v>
      </c>
      <c r="AQ359">
        <v>0</v>
      </c>
      <c r="AR359">
        <v>0</v>
      </c>
      <c r="AS359">
        <v>0</v>
      </c>
      <c r="AT359">
        <v>0</v>
      </c>
      <c r="AU359" s="3">
        <f t="shared" ref="AU359" si="283">AVERAGE(AF359:AF363)</f>
        <v>8.3457999999999988</v>
      </c>
    </row>
    <row r="360" spans="1:47" x14ac:dyDescent="0.25">
      <c r="A360">
        <v>1</v>
      </c>
      <c r="B360" t="s">
        <v>1</v>
      </c>
      <c r="C360">
        <v>28928</v>
      </c>
      <c r="D360">
        <v>256</v>
      </c>
      <c r="E360">
        <v>4</v>
      </c>
      <c r="F360">
        <v>4</v>
      </c>
      <c r="G360">
        <v>1738.53</v>
      </c>
      <c r="H360" s="3">
        <v>9.2835999999999999</v>
      </c>
      <c r="I360" s="1">
        <v>45478</v>
      </c>
      <c r="J360" s="2">
        <v>0.42959490740740741</v>
      </c>
      <c r="K360">
        <v>0</v>
      </c>
      <c r="L360">
        <v>0</v>
      </c>
      <c r="M360">
        <v>0</v>
      </c>
      <c r="N360">
        <v>0</v>
      </c>
      <c r="O360">
        <v>0</v>
      </c>
      <c r="P360">
        <v>0</v>
      </c>
      <c r="Q360">
        <v>0</v>
      </c>
      <c r="R360">
        <v>0</v>
      </c>
      <c r="S360">
        <v>0</v>
      </c>
      <c r="T360">
        <v>0</v>
      </c>
      <c r="U360">
        <v>0</v>
      </c>
      <c r="V360">
        <v>0</v>
      </c>
      <c r="W360" s="4">
        <f t="shared" ref="W360" si="284">W359</f>
        <v>9.2714199999999991</v>
      </c>
      <c r="Y360">
        <v>1</v>
      </c>
      <c r="Z360" t="s">
        <v>1</v>
      </c>
      <c r="AA360">
        <v>28928</v>
      </c>
      <c r="AB360">
        <v>256</v>
      </c>
      <c r="AC360">
        <v>4</v>
      </c>
      <c r="AD360">
        <v>4</v>
      </c>
      <c r="AE360">
        <v>1934.47</v>
      </c>
      <c r="AF360" s="24">
        <v>8.3432999999999993</v>
      </c>
      <c r="AG360" s="1">
        <v>45478</v>
      </c>
      <c r="AH360" s="2">
        <v>0.48108796296296297</v>
      </c>
      <c r="AI360">
        <v>0</v>
      </c>
      <c r="AJ360">
        <v>0</v>
      </c>
      <c r="AK360">
        <v>0</v>
      </c>
      <c r="AL360">
        <v>0</v>
      </c>
      <c r="AM360">
        <v>0</v>
      </c>
      <c r="AN360">
        <v>0</v>
      </c>
      <c r="AO360">
        <v>0</v>
      </c>
      <c r="AP360">
        <v>0</v>
      </c>
      <c r="AQ360">
        <v>0</v>
      </c>
      <c r="AR360">
        <v>0</v>
      </c>
      <c r="AS360">
        <v>0</v>
      </c>
      <c r="AT360">
        <v>0</v>
      </c>
      <c r="AU360" s="3">
        <f t="shared" ref="AU360" si="285">AU359</f>
        <v>8.3457999999999988</v>
      </c>
    </row>
    <row r="361" spans="1:47" x14ac:dyDescent="0.25">
      <c r="A361">
        <v>2</v>
      </c>
      <c r="B361" t="s">
        <v>1</v>
      </c>
      <c r="C361">
        <v>28928</v>
      </c>
      <c r="D361">
        <v>256</v>
      </c>
      <c r="E361">
        <v>4</v>
      </c>
      <c r="F361">
        <v>4</v>
      </c>
      <c r="G361">
        <v>1740.65</v>
      </c>
      <c r="H361" s="3">
        <v>9.2722999999999995</v>
      </c>
      <c r="I361" s="1">
        <v>45478</v>
      </c>
      <c r="J361" s="2">
        <v>0.93572916666666661</v>
      </c>
      <c r="K361">
        <v>0</v>
      </c>
      <c r="L361">
        <v>0</v>
      </c>
      <c r="M361">
        <v>0</v>
      </c>
      <c r="N361">
        <v>0</v>
      </c>
      <c r="O361">
        <v>0</v>
      </c>
      <c r="P361">
        <v>0</v>
      </c>
      <c r="Q361">
        <v>0</v>
      </c>
      <c r="R361">
        <v>0</v>
      </c>
      <c r="S361">
        <v>0</v>
      </c>
      <c r="T361">
        <v>0</v>
      </c>
      <c r="U361">
        <v>0</v>
      </c>
      <c r="V361">
        <v>0</v>
      </c>
      <c r="W361" s="4">
        <f t="shared" si="264"/>
        <v>9.2714199999999991</v>
      </c>
      <c r="Y361">
        <v>2</v>
      </c>
      <c r="Z361" t="s">
        <v>1</v>
      </c>
      <c r="AA361">
        <v>28928</v>
      </c>
      <c r="AB361">
        <v>256</v>
      </c>
      <c r="AC361">
        <v>4</v>
      </c>
      <c r="AD361">
        <v>4</v>
      </c>
      <c r="AE361">
        <v>1933.47</v>
      </c>
      <c r="AF361" s="24">
        <v>8.3475999999999999</v>
      </c>
      <c r="AG361" s="1">
        <v>45479</v>
      </c>
      <c r="AH361" s="2">
        <v>1.3032407407407407E-2</v>
      </c>
      <c r="AI361">
        <v>0</v>
      </c>
      <c r="AJ361">
        <v>0</v>
      </c>
      <c r="AK361">
        <v>0</v>
      </c>
      <c r="AL361">
        <v>0</v>
      </c>
      <c r="AM361">
        <v>0</v>
      </c>
      <c r="AN361">
        <v>0</v>
      </c>
      <c r="AO361">
        <v>0</v>
      </c>
      <c r="AP361">
        <v>0</v>
      </c>
      <c r="AQ361">
        <v>0</v>
      </c>
      <c r="AR361">
        <v>0</v>
      </c>
      <c r="AS361">
        <v>0</v>
      </c>
      <c r="AT361">
        <v>0</v>
      </c>
      <c r="AU361" s="3">
        <f t="shared" si="265"/>
        <v>8.3457999999999988</v>
      </c>
    </row>
    <row r="362" spans="1:47" x14ac:dyDescent="0.25">
      <c r="A362">
        <v>3</v>
      </c>
      <c r="B362" t="s">
        <v>1</v>
      </c>
      <c r="C362">
        <v>28928</v>
      </c>
      <c r="D362">
        <v>256</v>
      </c>
      <c r="E362">
        <v>4</v>
      </c>
      <c r="F362">
        <v>4</v>
      </c>
      <c r="G362">
        <v>1745.11</v>
      </c>
      <c r="H362" s="3">
        <v>9.2485999999999997</v>
      </c>
      <c r="I362" s="1">
        <v>45479</v>
      </c>
      <c r="J362" s="2">
        <v>0.44193287037037038</v>
      </c>
      <c r="K362">
        <v>0</v>
      </c>
      <c r="L362">
        <v>0</v>
      </c>
      <c r="M362">
        <v>0</v>
      </c>
      <c r="N362">
        <v>0</v>
      </c>
      <c r="O362">
        <v>0</v>
      </c>
      <c r="P362">
        <v>0</v>
      </c>
      <c r="Q362">
        <v>0</v>
      </c>
      <c r="R362">
        <v>0</v>
      </c>
      <c r="S362">
        <v>0</v>
      </c>
      <c r="T362">
        <v>0</v>
      </c>
      <c r="U362">
        <v>0</v>
      </c>
      <c r="V362">
        <v>0</v>
      </c>
      <c r="W362" s="4">
        <f t="shared" si="264"/>
        <v>9.2714199999999991</v>
      </c>
      <c r="Y362">
        <v>3</v>
      </c>
      <c r="Z362" t="s">
        <v>1</v>
      </c>
      <c r="AA362">
        <v>28928</v>
      </c>
      <c r="AB362">
        <v>256</v>
      </c>
      <c r="AC362">
        <v>4</v>
      </c>
      <c r="AD362">
        <v>4</v>
      </c>
      <c r="AU362" s="3">
        <f t="shared" si="265"/>
        <v>8.3457999999999988</v>
      </c>
    </row>
    <row r="363" spans="1:47" x14ac:dyDescent="0.25">
      <c r="A363">
        <v>4</v>
      </c>
      <c r="B363" t="s">
        <v>1</v>
      </c>
      <c r="C363">
        <v>28928</v>
      </c>
      <c r="D363">
        <v>256</v>
      </c>
      <c r="E363">
        <v>4</v>
      </c>
      <c r="F363">
        <v>4</v>
      </c>
      <c r="G363">
        <v>1739.25</v>
      </c>
      <c r="H363" s="3">
        <v>9.2797999999999998</v>
      </c>
      <c r="I363" s="1">
        <v>45479</v>
      </c>
      <c r="J363" s="2">
        <v>0.94800925925925927</v>
      </c>
      <c r="K363">
        <v>0</v>
      </c>
      <c r="L363">
        <v>0</v>
      </c>
      <c r="M363">
        <v>0</v>
      </c>
      <c r="N363">
        <v>0</v>
      </c>
      <c r="O363">
        <v>0</v>
      </c>
      <c r="P363">
        <v>0</v>
      </c>
      <c r="Q363">
        <v>0</v>
      </c>
      <c r="R363">
        <v>0</v>
      </c>
      <c r="S363">
        <v>0</v>
      </c>
      <c r="T363">
        <v>0</v>
      </c>
      <c r="U363">
        <v>0</v>
      </c>
      <c r="V363">
        <v>0</v>
      </c>
      <c r="W363" s="4">
        <f t="shared" si="264"/>
        <v>9.2714199999999991</v>
      </c>
      <c r="Y363">
        <v>4</v>
      </c>
      <c r="Z363" t="s">
        <v>1</v>
      </c>
      <c r="AA363">
        <v>28928</v>
      </c>
      <c r="AB363">
        <v>256</v>
      </c>
      <c r="AC363">
        <v>4</v>
      </c>
      <c r="AD363">
        <v>4</v>
      </c>
      <c r="AU363" s="3">
        <f t="shared" si="265"/>
        <v>8.3457999999999988</v>
      </c>
    </row>
    <row r="364" spans="1:47" x14ac:dyDescent="0.25">
      <c r="A364" s="12">
        <v>0</v>
      </c>
      <c r="B364" s="12" t="s">
        <v>1</v>
      </c>
      <c r="C364" s="12">
        <v>29056</v>
      </c>
      <c r="D364" s="12">
        <v>64</v>
      </c>
      <c r="E364" s="12">
        <v>2</v>
      </c>
      <c r="F364" s="12">
        <v>8</v>
      </c>
      <c r="G364" s="12">
        <v>1645.06</v>
      </c>
      <c r="H364" s="13">
        <v>9.9419000000000004</v>
      </c>
      <c r="I364" s="14">
        <v>45319</v>
      </c>
      <c r="J364" s="15">
        <v>0.24916666666666668</v>
      </c>
      <c r="K364" s="12">
        <v>0</v>
      </c>
      <c r="L364" s="12">
        <v>0</v>
      </c>
      <c r="M364" s="12">
        <v>0</v>
      </c>
      <c r="N364" s="12">
        <v>0</v>
      </c>
      <c r="O364" s="12">
        <v>0</v>
      </c>
      <c r="P364" s="12">
        <v>0</v>
      </c>
      <c r="Q364" s="12">
        <v>0</v>
      </c>
      <c r="R364" s="12">
        <v>0</v>
      </c>
      <c r="S364" s="12">
        <v>0</v>
      </c>
      <c r="T364" s="12">
        <v>0</v>
      </c>
      <c r="U364" s="12">
        <v>0</v>
      </c>
      <c r="V364" s="12">
        <v>0</v>
      </c>
      <c r="Y364" s="12">
        <v>0</v>
      </c>
      <c r="Z364" s="12" t="s">
        <v>1</v>
      </c>
      <c r="AA364" s="12">
        <v>29040</v>
      </c>
      <c r="AB364" s="12">
        <v>60</v>
      </c>
      <c r="AC364" s="12">
        <v>2</v>
      </c>
      <c r="AD364" s="12">
        <v>8</v>
      </c>
      <c r="AE364" s="12">
        <v>1952.15</v>
      </c>
      <c r="AF364" s="13">
        <v>8.3641000000000005</v>
      </c>
      <c r="AG364" s="14">
        <v>45328</v>
      </c>
      <c r="AH364" s="15">
        <v>0.76685185185185178</v>
      </c>
      <c r="AI364" s="12">
        <v>0</v>
      </c>
      <c r="AJ364" s="12">
        <v>0</v>
      </c>
      <c r="AK364" s="12">
        <v>0</v>
      </c>
      <c r="AL364" s="12">
        <v>0</v>
      </c>
      <c r="AM364" s="12">
        <v>0</v>
      </c>
      <c r="AN364" s="12">
        <v>0</v>
      </c>
      <c r="AO364" s="12">
        <v>0</v>
      </c>
      <c r="AP364" s="12">
        <v>0</v>
      </c>
      <c r="AQ364" s="12">
        <v>0</v>
      </c>
      <c r="AR364" s="12">
        <v>0</v>
      </c>
      <c r="AS364" s="12">
        <v>0</v>
      </c>
      <c r="AT364" s="12">
        <v>0</v>
      </c>
      <c r="AU364" s="3"/>
    </row>
    <row r="365" spans="1:47" x14ac:dyDescent="0.25">
      <c r="A365" s="12">
        <v>1</v>
      </c>
      <c r="B365" s="12" t="s">
        <v>1</v>
      </c>
      <c r="C365" s="12">
        <v>29056</v>
      </c>
      <c r="D365" s="12">
        <v>64</v>
      </c>
      <c r="E365" s="12">
        <v>2</v>
      </c>
      <c r="F365" s="12">
        <v>8</v>
      </c>
      <c r="G365" s="12">
        <v>1645.77</v>
      </c>
      <c r="H365" s="13">
        <v>9.9375999999999998</v>
      </c>
      <c r="I365" s="14">
        <v>45319</v>
      </c>
      <c r="J365" s="15">
        <v>0.37384259259259256</v>
      </c>
      <c r="K365" s="12">
        <v>0</v>
      </c>
      <c r="L365" s="12">
        <v>0</v>
      </c>
      <c r="M365" s="12">
        <v>0</v>
      </c>
      <c r="N365" s="12">
        <v>0</v>
      </c>
      <c r="O365" s="12">
        <v>0</v>
      </c>
      <c r="P365" s="12">
        <v>0</v>
      </c>
      <c r="Q365" s="12">
        <v>0</v>
      </c>
      <c r="R365" s="12">
        <v>0</v>
      </c>
      <c r="S365" s="12">
        <v>0</v>
      </c>
      <c r="T365" s="12">
        <v>0</v>
      </c>
      <c r="U365" s="12">
        <v>0</v>
      </c>
      <c r="V365" s="12">
        <v>0</v>
      </c>
      <c r="Y365" s="12">
        <v>1</v>
      </c>
      <c r="Z365" s="12" t="s">
        <v>1</v>
      </c>
      <c r="AA365" s="12">
        <v>29040</v>
      </c>
      <c r="AB365" s="12">
        <v>60</v>
      </c>
      <c r="AC365" s="12">
        <v>2</v>
      </c>
      <c r="AD365" s="12">
        <v>8</v>
      </c>
      <c r="AE365" s="12">
        <v>1952.56</v>
      </c>
      <c r="AF365" s="13">
        <v>8.3622999999999994</v>
      </c>
      <c r="AG365" s="14">
        <v>45318</v>
      </c>
      <c r="AH365" s="15">
        <v>0.17528935185185188</v>
      </c>
      <c r="AI365" s="12">
        <v>0</v>
      </c>
      <c r="AJ365" s="12">
        <v>0</v>
      </c>
      <c r="AK365" s="12">
        <v>0</v>
      </c>
      <c r="AL365" s="12">
        <v>0</v>
      </c>
      <c r="AM365" s="12">
        <v>0</v>
      </c>
      <c r="AN365" s="12">
        <v>0</v>
      </c>
      <c r="AO365" s="12">
        <v>0</v>
      </c>
      <c r="AP365" s="12">
        <v>0</v>
      </c>
      <c r="AQ365" s="12">
        <v>0</v>
      </c>
      <c r="AR365" s="12">
        <v>0</v>
      </c>
      <c r="AS365" s="12">
        <v>0</v>
      </c>
      <c r="AT365" s="12">
        <v>0</v>
      </c>
      <c r="AU365" s="3"/>
    </row>
    <row r="366" spans="1:47" x14ac:dyDescent="0.25">
      <c r="A366" s="12">
        <v>2</v>
      </c>
      <c r="B366" s="12" t="s">
        <v>1</v>
      </c>
      <c r="C366" s="12">
        <v>29056</v>
      </c>
      <c r="D366" s="12">
        <v>64</v>
      </c>
      <c r="E366" s="12">
        <v>2</v>
      </c>
      <c r="F366" s="12">
        <v>8</v>
      </c>
      <c r="G366" s="12">
        <v>1644.92</v>
      </c>
      <c r="H366" s="13">
        <v>9.9427000000000003</v>
      </c>
      <c r="I366" s="14">
        <v>45319</v>
      </c>
      <c r="J366" s="15">
        <v>0.49859953703703702</v>
      </c>
      <c r="K366" s="12">
        <v>0</v>
      </c>
      <c r="L366" s="12">
        <v>0</v>
      </c>
      <c r="M366" s="12">
        <v>0</v>
      </c>
      <c r="N366" s="12">
        <v>0</v>
      </c>
      <c r="O366" s="12">
        <v>0</v>
      </c>
      <c r="P366" s="12">
        <v>0</v>
      </c>
      <c r="Q366" s="12">
        <v>0</v>
      </c>
      <c r="R366" s="12">
        <v>0</v>
      </c>
      <c r="S366" s="12">
        <v>0</v>
      </c>
      <c r="T366" s="12">
        <v>0</v>
      </c>
      <c r="U366" s="12">
        <v>0</v>
      </c>
      <c r="V366" s="12">
        <v>0</v>
      </c>
      <c r="Y366" s="12">
        <v>2</v>
      </c>
      <c r="Z366" s="12" t="s">
        <v>1</v>
      </c>
      <c r="AA366" s="12">
        <v>29040</v>
      </c>
      <c r="AB366" s="12">
        <v>60</v>
      </c>
      <c r="AC366" s="12">
        <v>2</v>
      </c>
      <c r="AD366" s="12">
        <v>8</v>
      </c>
      <c r="AE366" s="12">
        <v>1951.59</v>
      </c>
      <c r="AF366" s="13">
        <v>8.3665000000000003</v>
      </c>
      <c r="AG366" s="14">
        <v>45318</v>
      </c>
      <c r="AH366" s="15">
        <v>0.44240740740740742</v>
      </c>
      <c r="AI366" s="12">
        <v>0</v>
      </c>
      <c r="AJ366" s="12">
        <v>0</v>
      </c>
      <c r="AK366" s="12">
        <v>0</v>
      </c>
      <c r="AL366" s="12">
        <v>0</v>
      </c>
      <c r="AM366" s="12">
        <v>0</v>
      </c>
      <c r="AN366" s="12">
        <v>0</v>
      </c>
      <c r="AO366" s="12">
        <v>0</v>
      </c>
      <c r="AP366" s="12">
        <v>0</v>
      </c>
      <c r="AQ366" s="12">
        <v>0</v>
      </c>
      <c r="AR366" s="12">
        <v>0</v>
      </c>
      <c r="AS366" s="12">
        <v>0</v>
      </c>
      <c r="AT366" s="12">
        <v>0</v>
      </c>
      <c r="AU366" s="3"/>
    </row>
    <row r="367" spans="1:47" x14ac:dyDescent="0.25">
      <c r="A367" s="12">
        <v>3</v>
      </c>
      <c r="B367" s="12" t="s">
        <v>1</v>
      </c>
      <c r="C367" s="12">
        <v>29056</v>
      </c>
      <c r="D367" s="12">
        <v>64</v>
      </c>
      <c r="E367" s="12">
        <v>2</v>
      </c>
      <c r="F367" s="12">
        <v>8</v>
      </c>
      <c r="G367" s="12">
        <v>1645.23</v>
      </c>
      <c r="H367" s="13">
        <v>9.9408999999999992</v>
      </c>
      <c r="I367" s="14">
        <v>45319</v>
      </c>
      <c r="J367" s="15">
        <v>0.6231944444444445</v>
      </c>
      <c r="K367" s="12">
        <v>0</v>
      </c>
      <c r="L367" s="12">
        <v>0</v>
      </c>
      <c r="M367" s="12">
        <v>0</v>
      </c>
      <c r="N367" s="12">
        <v>0</v>
      </c>
      <c r="O367" s="12">
        <v>0</v>
      </c>
      <c r="P367" s="12">
        <v>0</v>
      </c>
      <c r="Q367" s="12">
        <v>0</v>
      </c>
      <c r="R367" s="12">
        <v>0</v>
      </c>
      <c r="S367" s="12">
        <v>0</v>
      </c>
      <c r="T367" s="12">
        <v>0</v>
      </c>
      <c r="U367" s="12">
        <v>0</v>
      </c>
      <c r="V367" s="12">
        <v>0</v>
      </c>
      <c r="Y367" s="12">
        <v>3</v>
      </c>
      <c r="Z367" s="12" t="s">
        <v>1</v>
      </c>
      <c r="AA367" s="12">
        <v>29040</v>
      </c>
      <c r="AB367" s="12">
        <v>60</v>
      </c>
      <c r="AC367" s="12">
        <v>2</v>
      </c>
      <c r="AD367" s="12">
        <v>8</v>
      </c>
      <c r="AE367" s="12">
        <v>1951.59</v>
      </c>
      <c r="AF367" s="13">
        <v>8.3665000000000003</v>
      </c>
      <c r="AG367" s="14">
        <v>45318</v>
      </c>
      <c r="AH367" s="15">
        <v>0.70954861111111101</v>
      </c>
      <c r="AI367" s="12">
        <v>0</v>
      </c>
      <c r="AJ367" s="12">
        <v>0</v>
      </c>
      <c r="AK367" s="12">
        <v>0</v>
      </c>
      <c r="AL367" s="12">
        <v>0</v>
      </c>
      <c r="AM367" s="12">
        <v>0</v>
      </c>
      <c r="AN367" s="12">
        <v>0</v>
      </c>
      <c r="AO367" s="12">
        <v>0</v>
      </c>
      <c r="AP367" s="12">
        <v>0</v>
      </c>
      <c r="AQ367" s="12">
        <v>0</v>
      </c>
      <c r="AR367" s="12">
        <v>0</v>
      </c>
      <c r="AS367" s="12">
        <v>0</v>
      </c>
      <c r="AT367" s="12">
        <v>0</v>
      </c>
      <c r="AU367" s="3"/>
    </row>
    <row r="368" spans="1:47" x14ac:dyDescent="0.25">
      <c r="A368" s="12">
        <v>4</v>
      </c>
      <c r="B368" s="12" t="s">
        <v>1</v>
      </c>
      <c r="C368" s="12">
        <v>29056</v>
      </c>
      <c r="D368" s="12">
        <v>64</v>
      </c>
      <c r="E368" s="12">
        <v>2</v>
      </c>
      <c r="F368" s="12">
        <v>8</v>
      </c>
      <c r="G368" s="12">
        <v>1645.82</v>
      </c>
      <c r="H368" s="13">
        <v>9.9373000000000005</v>
      </c>
      <c r="I368" s="14">
        <v>45319</v>
      </c>
      <c r="J368" s="15">
        <v>0.74784722222222222</v>
      </c>
      <c r="K368" s="12">
        <v>0</v>
      </c>
      <c r="L368" s="12">
        <v>0</v>
      </c>
      <c r="M368" s="12">
        <v>0</v>
      </c>
      <c r="N368" s="12">
        <v>0</v>
      </c>
      <c r="O368" s="12">
        <v>0</v>
      </c>
      <c r="P368" s="12">
        <v>0</v>
      </c>
      <c r="Q368" s="12">
        <v>0</v>
      </c>
      <c r="R368" s="12">
        <v>0</v>
      </c>
      <c r="S368" s="12">
        <v>0</v>
      </c>
      <c r="T368" s="12">
        <v>0</v>
      </c>
      <c r="U368" s="12">
        <v>0</v>
      </c>
      <c r="V368" s="12">
        <v>0</v>
      </c>
      <c r="Y368" s="12">
        <v>4</v>
      </c>
      <c r="Z368" s="12" t="s">
        <v>1</v>
      </c>
      <c r="AA368" s="12">
        <v>29040</v>
      </c>
      <c r="AB368" s="12">
        <v>60</v>
      </c>
      <c r="AC368" s="12">
        <v>2</v>
      </c>
      <c r="AD368" s="12">
        <v>8</v>
      </c>
      <c r="AE368" s="12">
        <v>1952.67</v>
      </c>
      <c r="AF368" s="13">
        <v>8.3619000000000003</v>
      </c>
      <c r="AG368" s="14">
        <v>45318</v>
      </c>
      <c r="AH368" s="15">
        <v>0.97667824074074072</v>
      </c>
      <c r="AI368" s="12">
        <v>0</v>
      </c>
      <c r="AJ368" s="12">
        <v>0</v>
      </c>
      <c r="AK368" s="12">
        <v>0</v>
      </c>
      <c r="AL368" s="12">
        <v>0</v>
      </c>
      <c r="AM368" s="12">
        <v>0</v>
      </c>
      <c r="AN368" s="12">
        <v>0</v>
      </c>
      <c r="AO368" s="12">
        <v>0</v>
      </c>
      <c r="AP368" s="12">
        <v>0</v>
      </c>
      <c r="AQ368" s="12">
        <v>0</v>
      </c>
      <c r="AR368" s="12">
        <v>0</v>
      </c>
      <c r="AS368" s="12">
        <v>0</v>
      </c>
      <c r="AT368" s="12">
        <v>0</v>
      </c>
      <c r="AU368" s="3"/>
    </row>
    <row r="369" spans="1:47" x14ac:dyDescent="0.25">
      <c r="A369" s="12">
        <v>0</v>
      </c>
      <c r="B369" s="12" t="s">
        <v>1</v>
      </c>
      <c r="C369" s="12">
        <v>29056</v>
      </c>
      <c r="D369" s="12">
        <v>64</v>
      </c>
      <c r="E369" s="12">
        <v>4</v>
      </c>
      <c r="F369" s="12">
        <v>4</v>
      </c>
      <c r="G369" s="12">
        <v>1663.65</v>
      </c>
      <c r="H369" s="13">
        <v>9.8308</v>
      </c>
      <c r="I369" s="14">
        <v>45319</v>
      </c>
      <c r="J369" s="15">
        <v>0.27009259259259261</v>
      </c>
      <c r="K369" s="12">
        <v>0</v>
      </c>
      <c r="L369" s="12">
        <v>0</v>
      </c>
      <c r="M369" s="12">
        <v>0</v>
      </c>
      <c r="N369" s="12">
        <v>0</v>
      </c>
      <c r="O369" s="12">
        <v>0</v>
      </c>
      <c r="P369" s="12">
        <v>0</v>
      </c>
      <c r="Q369" s="12">
        <v>0</v>
      </c>
      <c r="R369" s="12">
        <v>0</v>
      </c>
      <c r="S369" s="12">
        <v>0</v>
      </c>
      <c r="T369" s="12">
        <v>0</v>
      </c>
      <c r="U369" s="12">
        <v>0</v>
      </c>
      <c r="V369" s="12">
        <v>0</v>
      </c>
      <c r="Y369" s="12">
        <v>0</v>
      </c>
      <c r="Z369" s="12" t="s">
        <v>1</v>
      </c>
      <c r="AA369" s="12">
        <v>29040</v>
      </c>
      <c r="AB369" s="12">
        <v>60</v>
      </c>
      <c r="AC369" s="12">
        <v>4</v>
      </c>
      <c r="AD369" s="12">
        <v>4</v>
      </c>
      <c r="AE369" s="12">
        <v>1908.25</v>
      </c>
      <c r="AF369" s="13">
        <v>8.5564999999999998</v>
      </c>
      <c r="AG369" s="14">
        <v>45328</v>
      </c>
      <c r="AH369" s="15">
        <v>0.79017361111111117</v>
      </c>
      <c r="AI369" s="12">
        <v>0</v>
      </c>
      <c r="AJ369" s="12">
        <v>0</v>
      </c>
      <c r="AK369" s="12">
        <v>0</v>
      </c>
      <c r="AL369" s="12">
        <v>0</v>
      </c>
      <c r="AM369" s="12">
        <v>0</v>
      </c>
      <c r="AN369" s="12">
        <v>0</v>
      </c>
      <c r="AO369" s="12">
        <v>0</v>
      </c>
      <c r="AP369" s="12">
        <v>0</v>
      </c>
      <c r="AQ369" s="12">
        <v>0</v>
      </c>
      <c r="AR369" s="12">
        <v>0</v>
      </c>
      <c r="AS369" s="12">
        <v>0</v>
      </c>
      <c r="AT369" s="12">
        <v>0</v>
      </c>
      <c r="AU369" s="3"/>
    </row>
    <row r="370" spans="1:47" x14ac:dyDescent="0.25">
      <c r="A370" s="12">
        <v>1</v>
      </c>
      <c r="B370" s="12" t="s">
        <v>1</v>
      </c>
      <c r="C370" s="12">
        <v>29056</v>
      </c>
      <c r="D370" s="12">
        <v>64</v>
      </c>
      <c r="E370" s="12">
        <v>4</v>
      </c>
      <c r="F370" s="12">
        <v>4</v>
      </c>
      <c r="G370" s="12">
        <v>1662.62</v>
      </c>
      <c r="H370" s="13">
        <v>9.8369</v>
      </c>
      <c r="I370" s="14">
        <v>45319</v>
      </c>
      <c r="J370" s="15">
        <v>0.39476851851851852</v>
      </c>
      <c r="K370" s="12">
        <v>0</v>
      </c>
      <c r="L370" s="12">
        <v>0</v>
      </c>
      <c r="M370" s="12">
        <v>0</v>
      </c>
      <c r="N370" s="12">
        <v>0</v>
      </c>
      <c r="O370" s="12">
        <v>0</v>
      </c>
      <c r="P370" s="12">
        <v>0</v>
      </c>
      <c r="Q370" s="12">
        <v>0</v>
      </c>
      <c r="R370" s="12">
        <v>0</v>
      </c>
      <c r="S370" s="12">
        <v>0</v>
      </c>
      <c r="T370" s="12">
        <v>0</v>
      </c>
      <c r="U370" s="12">
        <v>0</v>
      </c>
      <c r="V370" s="12">
        <v>0</v>
      </c>
      <c r="Y370" s="12">
        <v>1</v>
      </c>
      <c r="Z370" s="12" t="s">
        <v>1</v>
      </c>
      <c r="AA370" s="12">
        <v>29040</v>
      </c>
      <c r="AB370" s="12">
        <v>60</v>
      </c>
      <c r="AC370" s="12">
        <v>4</v>
      </c>
      <c r="AD370" s="12">
        <v>4</v>
      </c>
      <c r="AE370" s="12">
        <v>1908.15</v>
      </c>
      <c r="AF370" s="13">
        <v>8.5570000000000004</v>
      </c>
      <c r="AG370" s="14">
        <v>45318</v>
      </c>
      <c r="AH370" s="15">
        <v>0.19775462962962964</v>
      </c>
      <c r="AI370" s="12">
        <v>0</v>
      </c>
      <c r="AJ370" s="12">
        <v>0</v>
      </c>
      <c r="AK370" s="12">
        <v>0</v>
      </c>
      <c r="AL370" s="12">
        <v>0</v>
      </c>
      <c r="AM370" s="12">
        <v>0</v>
      </c>
      <c r="AN370" s="12">
        <v>0</v>
      </c>
      <c r="AO370" s="12">
        <v>0</v>
      </c>
      <c r="AP370" s="12">
        <v>0</v>
      </c>
      <c r="AQ370" s="12">
        <v>0</v>
      </c>
      <c r="AR370" s="12">
        <v>0</v>
      </c>
      <c r="AS370" s="12">
        <v>0</v>
      </c>
      <c r="AT370" s="12">
        <v>0</v>
      </c>
      <c r="AU370" s="3"/>
    </row>
    <row r="371" spans="1:47" x14ac:dyDescent="0.25">
      <c r="A371" s="12">
        <v>2</v>
      </c>
      <c r="B371" s="12" t="s">
        <v>1</v>
      </c>
      <c r="C371" s="12">
        <v>29056</v>
      </c>
      <c r="D371" s="12">
        <v>64</v>
      </c>
      <c r="E371" s="12">
        <v>4</v>
      </c>
      <c r="F371" s="12">
        <v>4</v>
      </c>
      <c r="G371" s="12">
        <v>1662.15</v>
      </c>
      <c r="H371" s="13">
        <v>9.8396000000000008</v>
      </c>
      <c r="I371" s="14">
        <v>45319</v>
      </c>
      <c r="J371" s="15">
        <v>0.51951388888888894</v>
      </c>
      <c r="K371" s="12">
        <v>0</v>
      </c>
      <c r="L371" s="12">
        <v>0</v>
      </c>
      <c r="M371" s="12">
        <v>0</v>
      </c>
      <c r="N371" s="12">
        <v>0</v>
      </c>
      <c r="O371" s="12">
        <v>0</v>
      </c>
      <c r="P371" s="12">
        <v>0</v>
      </c>
      <c r="Q371" s="12">
        <v>0</v>
      </c>
      <c r="R371" s="12">
        <v>0</v>
      </c>
      <c r="S371" s="12">
        <v>0</v>
      </c>
      <c r="T371" s="12">
        <v>0</v>
      </c>
      <c r="U371" s="12">
        <v>0</v>
      </c>
      <c r="V371" s="12">
        <v>0</v>
      </c>
      <c r="Y371" s="12">
        <v>2</v>
      </c>
      <c r="Z371" s="12" t="s">
        <v>1</v>
      </c>
      <c r="AA371" s="12">
        <v>29040</v>
      </c>
      <c r="AB371" s="12">
        <v>60</v>
      </c>
      <c r="AC371" s="12">
        <v>4</v>
      </c>
      <c r="AD371" s="12">
        <v>4</v>
      </c>
      <c r="AE371" s="12">
        <v>1907.61</v>
      </c>
      <c r="AF371" s="13">
        <v>8.5594000000000001</v>
      </c>
      <c r="AG371" s="14">
        <v>45318</v>
      </c>
      <c r="AH371" s="15">
        <v>0.46486111111111111</v>
      </c>
      <c r="AI371" s="12">
        <v>0</v>
      </c>
      <c r="AJ371" s="12">
        <v>0</v>
      </c>
      <c r="AK371" s="12">
        <v>0</v>
      </c>
      <c r="AL371" s="12">
        <v>0</v>
      </c>
      <c r="AM371" s="12">
        <v>0</v>
      </c>
      <c r="AN371" s="12">
        <v>0</v>
      </c>
      <c r="AO371" s="12">
        <v>0</v>
      </c>
      <c r="AP371" s="12">
        <v>0</v>
      </c>
      <c r="AQ371" s="12">
        <v>0</v>
      </c>
      <c r="AR371" s="12">
        <v>0</v>
      </c>
      <c r="AS371" s="12">
        <v>0</v>
      </c>
      <c r="AT371" s="12">
        <v>0</v>
      </c>
      <c r="AU371" s="3"/>
    </row>
    <row r="372" spans="1:47" x14ac:dyDescent="0.25">
      <c r="A372" s="12">
        <v>3</v>
      </c>
      <c r="B372" s="12" t="s">
        <v>1</v>
      </c>
      <c r="C372" s="12">
        <v>29056</v>
      </c>
      <c r="D372" s="12">
        <v>64</v>
      </c>
      <c r="E372" s="12">
        <v>4</v>
      </c>
      <c r="F372" s="12">
        <v>4</v>
      </c>
      <c r="G372" s="12">
        <v>1662.16</v>
      </c>
      <c r="H372" s="13">
        <v>9.8396000000000008</v>
      </c>
      <c r="I372" s="14">
        <v>45319</v>
      </c>
      <c r="J372" s="15">
        <v>0.64410879629629625</v>
      </c>
      <c r="K372" s="12">
        <v>0</v>
      </c>
      <c r="L372" s="12">
        <v>0</v>
      </c>
      <c r="M372" s="12">
        <v>0</v>
      </c>
      <c r="N372" s="12">
        <v>0</v>
      </c>
      <c r="O372" s="12">
        <v>0</v>
      </c>
      <c r="P372" s="12">
        <v>0</v>
      </c>
      <c r="Q372" s="12">
        <v>0</v>
      </c>
      <c r="R372" s="12">
        <v>0</v>
      </c>
      <c r="S372" s="12">
        <v>0</v>
      </c>
      <c r="T372" s="12">
        <v>0</v>
      </c>
      <c r="U372" s="12">
        <v>0</v>
      </c>
      <c r="V372" s="12">
        <v>0</v>
      </c>
      <c r="Y372" s="12">
        <v>3</v>
      </c>
      <c r="Z372" s="12" t="s">
        <v>1</v>
      </c>
      <c r="AA372" s="12">
        <v>29040</v>
      </c>
      <c r="AB372" s="12">
        <v>60</v>
      </c>
      <c r="AC372" s="12">
        <v>4</v>
      </c>
      <c r="AD372" s="12">
        <v>4</v>
      </c>
      <c r="AE372" s="12">
        <v>1906.58</v>
      </c>
      <c r="AF372" s="13">
        <v>8.5640000000000001</v>
      </c>
      <c r="AG372" s="14">
        <v>45318</v>
      </c>
      <c r="AH372" s="15">
        <v>0.73200231481481481</v>
      </c>
      <c r="AI372" s="12">
        <v>0</v>
      </c>
      <c r="AJ372" s="12">
        <v>0</v>
      </c>
      <c r="AK372" s="12">
        <v>0</v>
      </c>
      <c r="AL372" s="12">
        <v>0</v>
      </c>
      <c r="AM372" s="12">
        <v>0</v>
      </c>
      <c r="AN372" s="12">
        <v>0</v>
      </c>
      <c r="AO372" s="12">
        <v>0</v>
      </c>
      <c r="AP372" s="12">
        <v>0</v>
      </c>
      <c r="AQ372" s="12">
        <v>0</v>
      </c>
      <c r="AR372" s="12">
        <v>0</v>
      </c>
      <c r="AS372" s="12">
        <v>0</v>
      </c>
      <c r="AT372" s="12">
        <v>0</v>
      </c>
      <c r="AU372" s="3"/>
    </row>
    <row r="373" spans="1:47" x14ac:dyDescent="0.25">
      <c r="A373" s="12">
        <v>4</v>
      </c>
      <c r="B373" s="12" t="s">
        <v>1</v>
      </c>
      <c r="C373" s="12">
        <v>29056</v>
      </c>
      <c r="D373" s="12">
        <v>64</v>
      </c>
      <c r="E373" s="12">
        <v>4</v>
      </c>
      <c r="F373" s="12">
        <v>4</v>
      </c>
      <c r="G373" s="12">
        <v>1663.08</v>
      </c>
      <c r="H373" s="13">
        <v>9.8341999999999992</v>
      </c>
      <c r="I373" s="14">
        <v>45319</v>
      </c>
      <c r="J373" s="15">
        <v>0.76877314814814823</v>
      </c>
      <c r="K373" s="12">
        <v>0</v>
      </c>
      <c r="L373" s="12">
        <v>0</v>
      </c>
      <c r="M373" s="12">
        <v>0</v>
      </c>
      <c r="N373" s="12">
        <v>0</v>
      </c>
      <c r="O373" s="12">
        <v>0</v>
      </c>
      <c r="P373" s="12">
        <v>0</v>
      </c>
      <c r="Q373" s="12">
        <v>0</v>
      </c>
      <c r="R373" s="12">
        <v>0</v>
      </c>
      <c r="S373" s="12">
        <v>0</v>
      </c>
      <c r="T373" s="12">
        <v>0</v>
      </c>
      <c r="U373" s="12">
        <v>0</v>
      </c>
      <c r="V373" s="12">
        <v>0</v>
      </c>
      <c r="Y373" s="12">
        <v>4</v>
      </c>
      <c r="Z373" s="12" t="s">
        <v>1</v>
      </c>
      <c r="AA373" s="12">
        <v>29040</v>
      </c>
      <c r="AB373" s="12">
        <v>60</v>
      </c>
      <c r="AC373" s="12">
        <v>4</v>
      </c>
      <c r="AD373" s="12">
        <v>4</v>
      </c>
      <c r="AE373" s="12">
        <v>1908.4</v>
      </c>
      <c r="AF373" s="13">
        <v>8.5558999999999994</v>
      </c>
      <c r="AG373" s="14">
        <v>45318</v>
      </c>
      <c r="AH373" s="15">
        <v>0.99914351851851846</v>
      </c>
      <c r="AI373" s="12">
        <v>0</v>
      </c>
      <c r="AJ373" s="12">
        <v>0</v>
      </c>
      <c r="AK373" s="12">
        <v>0</v>
      </c>
      <c r="AL373" s="12">
        <v>0</v>
      </c>
      <c r="AM373" s="12">
        <v>0</v>
      </c>
      <c r="AN373" s="12">
        <v>0</v>
      </c>
      <c r="AO373" s="12">
        <v>0</v>
      </c>
      <c r="AP373" s="12">
        <v>0</v>
      </c>
      <c r="AQ373" s="12">
        <v>0</v>
      </c>
      <c r="AR373" s="12">
        <v>0</v>
      </c>
      <c r="AS373" s="12">
        <v>0</v>
      </c>
      <c r="AT373" s="12">
        <v>0</v>
      </c>
      <c r="AU373" s="3"/>
    </row>
    <row r="374" spans="1:47" x14ac:dyDescent="0.25">
      <c r="A374" s="12">
        <v>0</v>
      </c>
      <c r="B374" s="12" t="s">
        <v>1</v>
      </c>
      <c r="C374" s="12">
        <v>29016</v>
      </c>
      <c r="D374" s="12">
        <v>72</v>
      </c>
      <c r="E374" s="12">
        <v>2</v>
      </c>
      <c r="F374" s="12">
        <v>8</v>
      </c>
      <c r="G374" s="12">
        <v>1636.42</v>
      </c>
      <c r="H374" s="13">
        <v>9.9532000000000007</v>
      </c>
      <c r="I374" s="14">
        <v>45319</v>
      </c>
      <c r="J374" s="15">
        <v>0.29071759259259261</v>
      </c>
      <c r="K374" s="12">
        <v>0</v>
      </c>
      <c r="L374" s="12">
        <v>0</v>
      </c>
      <c r="M374" s="12">
        <v>0</v>
      </c>
      <c r="N374" s="12">
        <v>0</v>
      </c>
      <c r="O374" s="12">
        <v>0</v>
      </c>
      <c r="P374" s="12">
        <v>0</v>
      </c>
      <c r="Q374" s="12">
        <v>0</v>
      </c>
      <c r="R374" s="12">
        <v>0</v>
      </c>
      <c r="S374" s="12">
        <v>0</v>
      </c>
      <c r="T374" s="12">
        <v>0</v>
      </c>
      <c r="U374" s="12">
        <v>0</v>
      </c>
      <c r="V374" s="12">
        <v>0</v>
      </c>
      <c r="Y374" s="12">
        <v>0</v>
      </c>
      <c r="Z374" s="12" t="s">
        <v>1</v>
      </c>
      <c r="AA374" s="12">
        <v>29056</v>
      </c>
      <c r="AB374" s="12">
        <v>64</v>
      </c>
      <c r="AC374" s="12">
        <v>2</v>
      </c>
      <c r="AD374" s="12">
        <v>8</v>
      </c>
      <c r="AE374" s="12">
        <v>1910.47</v>
      </c>
      <c r="AF374" s="13">
        <v>8.5607000000000006</v>
      </c>
      <c r="AG374" s="14">
        <v>45328</v>
      </c>
      <c r="AH374" s="15">
        <v>0.81354166666666661</v>
      </c>
      <c r="AI374" s="12">
        <v>0</v>
      </c>
      <c r="AJ374" s="12">
        <v>0</v>
      </c>
      <c r="AK374" s="12">
        <v>0</v>
      </c>
      <c r="AL374" s="12">
        <v>0</v>
      </c>
      <c r="AM374" s="12">
        <v>0</v>
      </c>
      <c r="AN374" s="12">
        <v>0</v>
      </c>
      <c r="AO374" s="12">
        <v>0</v>
      </c>
      <c r="AP374" s="12">
        <v>0</v>
      </c>
      <c r="AQ374" s="12">
        <v>0</v>
      </c>
      <c r="AR374" s="12">
        <v>0</v>
      </c>
      <c r="AS374" s="12">
        <v>0</v>
      </c>
      <c r="AT374" s="12">
        <v>0</v>
      </c>
      <c r="AU374" s="3"/>
    </row>
    <row r="375" spans="1:47" x14ac:dyDescent="0.25">
      <c r="A375" s="12">
        <v>1</v>
      </c>
      <c r="B375" s="12" t="s">
        <v>1</v>
      </c>
      <c r="C375" s="12">
        <v>29016</v>
      </c>
      <c r="D375" s="12">
        <v>72</v>
      </c>
      <c r="E375" s="12">
        <v>2</v>
      </c>
      <c r="F375" s="12">
        <v>8</v>
      </c>
      <c r="G375" s="12">
        <v>1637.9</v>
      </c>
      <c r="H375" s="13">
        <v>9.9442000000000004</v>
      </c>
      <c r="I375" s="14">
        <v>45319</v>
      </c>
      <c r="J375" s="15">
        <v>0.41540509259259256</v>
      </c>
      <c r="K375" s="12">
        <v>0</v>
      </c>
      <c r="L375" s="12">
        <v>0</v>
      </c>
      <c r="M375" s="12">
        <v>0</v>
      </c>
      <c r="N375" s="12">
        <v>0</v>
      </c>
      <c r="O375" s="12">
        <v>0</v>
      </c>
      <c r="P375" s="12">
        <v>0</v>
      </c>
      <c r="Q375" s="12">
        <v>0</v>
      </c>
      <c r="R375" s="12">
        <v>0</v>
      </c>
      <c r="S375" s="12">
        <v>0</v>
      </c>
      <c r="T375" s="12">
        <v>0</v>
      </c>
      <c r="U375" s="12">
        <v>0</v>
      </c>
      <c r="V375" s="12">
        <v>0</v>
      </c>
      <c r="Y375" s="12">
        <v>1</v>
      </c>
      <c r="Z375" s="12" t="s">
        <v>1</v>
      </c>
      <c r="AA375" s="12">
        <v>29056</v>
      </c>
      <c r="AB375" s="12">
        <v>64</v>
      </c>
      <c r="AC375" s="12">
        <v>2</v>
      </c>
      <c r="AD375" s="12">
        <v>8</v>
      </c>
      <c r="AE375" s="12">
        <v>1909.66</v>
      </c>
      <c r="AF375" s="13">
        <v>8.5643999999999991</v>
      </c>
      <c r="AG375" s="14">
        <v>45318</v>
      </c>
      <c r="AH375" s="15">
        <v>0.22024305555555557</v>
      </c>
      <c r="AI375" s="12">
        <v>0</v>
      </c>
      <c r="AJ375" s="12">
        <v>0</v>
      </c>
      <c r="AK375" s="12">
        <v>0</v>
      </c>
      <c r="AL375" s="12">
        <v>0</v>
      </c>
      <c r="AM375" s="12">
        <v>0</v>
      </c>
      <c r="AN375" s="12">
        <v>0</v>
      </c>
      <c r="AO375" s="12">
        <v>0</v>
      </c>
      <c r="AP375" s="12">
        <v>0</v>
      </c>
      <c r="AQ375" s="12">
        <v>0</v>
      </c>
      <c r="AR375" s="12">
        <v>0</v>
      </c>
      <c r="AS375" s="12">
        <v>0</v>
      </c>
      <c r="AT375" s="12">
        <v>0</v>
      </c>
      <c r="AU375" s="3"/>
    </row>
    <row r="376" spans="1:47" x14ac:dyDescent="0.25">
      <c r="A376" s="12">
        <v>2</v>
      </c>
      <c r="B376" s="12" t="s">
        <v>1</v>
      </c>
      <c r="C376" s="12">
        <v>29016</v>
      </c>
      <c r="D376" s="12">
        <v>72</v>
      </c>
      <c r="E376" s="12">
        <v>2</v>
      </c>
      <c r="F376" s="12">
        <v>8</v>
      </c>
      <c r="G376" s="12">
        <v>1636.19</v>
      </c>
      <c r="H376" s="13">
        <v>9.9544999999999995</v>
      </c>
      <c r="I376" s="14">
        <v>45319</v>
      </c>
      <c r="J376" s="15">
        <v>0.54013888888888884</v>
      </c>
      <c r="K376" s="12">
        <v>0</v>
      </c>
      <c r="L376" s="12">
        <v>0</v>
      </c>
      <c r="M376" s="12">
        <v>0</v>
      </c>
      <c r="N376" s="12">
        <v>0</v>
      </c>
      <c r="O376" s="12">
        <v>0</v>
      </c>
      <c r="P376" s="12">
        <v>0</v>
      </c>
      <c r="Q376" s="12">
        <v>0</v>
      </c>
      <c r="R376" s="12">
        <v>0</v>
      </c>
      <c r="S376" s="12">
        <v>0</v>
      </c>
      <c r="T376" s="12">
        <v>0</v>
      </c>
      <c r="U376" s="12">
        <v>0</v>
      </c>
      <c r="V376" s="12">
        <v>0</v>
      </c>
      <c r="Y376" s="12">
        <v>2</v>
      </c>
      <c r="Z376" s="12" t="s">
        <v>1</v>
      </c>
      <c r="AA376" s="12">
        <v>29056</v>
      </c>
      <c r="AB376" s="12">
        <v>64</v>
      </c>
      <c r="AC376" s="12">
        <v>2</v>
      </c>
      <c r="AD376" s="12">
        <v>8</v>
      </c>
      <c r="AE376" s="12">
        <v>1909.93</v>
      </c>
      <c r="AF376" s="13">
        <v>8.5631000000000004</v>
      </c>
      <c r="AG376" s="14">
        <v>45318</v>
      </c>
      <c r="AH376" s="15">
        <v>0.48734953703703704</v>
      </c>
      <c r="AI376" s="12">
        <v>0</v>
      </c>
      <c r="AJ376" s="12">
        <v>0</v>
      </c>
      <c r="AK376" s="12">
        <v>0</v>
      </c>
      <c r="AL376" s="12">
        <v>0</v>
      </c>
      <c r="AM376" s="12">
        <v>0</v>
      </c>
      <c r="AN376" s="12">
        <v>0</v>
      </c>
      <c r="AO376" s="12">
        <v>0</v>
      </c>
      <c r="AP376" s="12">
        <v>0</v>
      </c>
      <c r="AQ376" s="12">
        <v>0</v>
      </c>
      <c r="AR376" s="12">
        <v>0</v>
      </c>
      <c r="AS376" s="12">
        <v>0</v>
      </c>
      <c r="AT376" s="12">
        <v>0</v>
      </c>
      <c r="AU376" s="3"/>
    </row>
    <row r="377" spans="1:47" x14ac:dyDescent="0.25">
      <c r="A377" s="12">
        <v>3</v>
      </c>
      <c r="B377" s="12" t="s">
        <v>1</v>
      </c>
      <c r="C377" s="12">
        <v>29016</v>
      </c>
      <c r="D377" s="12">
        <v>72</v>
      </c>
      <c r="E377" s="12">
        <v>2</v>
      </c>
      <c r="F377" s="12">
        <v>8</v>
      </c>
      <c r="G377" s="12">
        <v>1636.53</v>
      </c>
      <c r="H377" s="13">
        <v>9.9525000000000006</v>
      </c>
      <c r="I377" s="14">
        <v>45319</v>
      </c>
      <c r="J377" s="15">
        <v>0.66473379629629636</v>
      </c>
      <c r="K377" s="12">
        <v>0</v>
      </c>
      <c r="L377" s="12">
        <v>0</v>
      </c>
      <c r="M377" s="12">
        <v>0</v>
      </c>
      <c r="N377" s="12">
        <v>0</v>
      </c>
      <c r="O377" s="12">
        <v>0</v>
      </c>
      <c r="P377" s="12">
        <v>0</v>
      </c>
      <c r="Q377" s="12">
        <v>0</v>
      </c>
      <c r="R377" s="12">
        <v>0</v>
      </c>
      <c r="S377" s="12">
        <v>0</v>
      </c>
      <c r="T377" s="12">
        <v>0</v>
      </c>
      <c r="U377" s="12">
        <v>0</v>
      </c>
      <c r="V377" s="12">
        <v>0</v>
      </c>
      <c r="Y377" s="12">
        <v>3</v>
      </c>
      <c r="Z377" s="12" t="s">
        <v>1</v>
      </c>
      <c r="AA377" s="12">
        <v>29056</v>
      </c>
      <c r="AB377" s="12">
        <v>64</v>
      </c>
      <c r="AC377" s="12">
        <v>2</v>
      </c>
      <c r="AD377" s="12">
        <v>8</v>
      </c>
      <c r="AE377" s="12">
        <v>1909.89</v>
      </c>
      <c r="AF377" s="13">
        <v>8.5632999999999999</v>
      </c>
      <c r="AG377" s="14">
        <v>45318</v>
      </c>
      <c r="AH377" s="15">
        <v>0.75449074074074074</v>
      </c>
      <c r="AI377" s="12">
        <v>0</v>
      </c>
      <c r="AJ377" s="12">
        <v>0</v>
      </c>
      <c r="AK377" s="12">
        <v>0</v>
      </c>
      <c r="AL377" s="12">
        <v>0</v>
      </c>
      <c r="AM377" s="12">
        <v>0</v>
      </c>
      <c r="AN377" s="12">
        <v>0</v>
      </c>
      <c r="AO377" s="12">
        <v>0</v>
      </c>
      <c r="AP377" s="12">
        <v>0</v>
      </c>
      <c r="AQ377" s="12">
        <v>0</v>
      </c>
      <c r="AR377" s="12">
        <v>0</v>
      </c>
      <c r="AS377" s="12">
        <v>0</v>
      </c>
      <c r="AT377" s="12">
        <v>0</v>
      </c>
      <c r="AU377" s="3"/>
    </row>
    <row r="378" spans="1:47" x14ac:dyDescent="0.25">
      <c r="A378" s="12">
        <v>4</v>
      </c>
      <c r="B378" s="12" t="s">
        <v>1</v>
      </c>
      <c r="C378" s="12">
        <v>29016</v>
      </c>
      <c r="D378" s="12">
        <v>72</v>
      </c>
      <c r="E378" s="12">
        <v>2</v>
      </c>
      <c r="F378" s="12">
        <v>8</v>
      </c>
      <c r="G378" s="12">
        <v>1638.04</v>
      </c>
      <c r="H378" s="13">
        <v>9.9433000000000007</v>
      </c>
      <c r="I378" s="14">
        <v>45319</v>
      </c>
      <c r="J378" s="15">
        <v>0.78942129629629632</v>
      </c>
      <c r="K378" s="12">
        <v>0</v>
      </c>
      <c r="L378" s="12">
        <v>0</v>
      </c>
      <c r="M378" s="12">
        <v>0</v>
      </c>
      <c r="N378" s="12">
        <v>0</v>
      </c>
      <c r="O378" s="12">
        <v>0</v>
      </c>
      <c r="P378" s="12">
        <v>0</v>
      </c>
      <c r="Q378" s="12">
        <v>0</v>
      </c>
      <c r="R378" s="12">
        <v>0</v>
      </c>
      <c r="S378" s="12">
        <v>0</v>
      </c>
      <c r="T378" s="12">
        <v>0</v>
      </c>
      <c r="U378" s="12">
        <v>0</v>
      </c>
      <c r="V378" s="12">
        <v>0</v>
      </c>
      <c r="Y378" s="12">
        <v>4</v>
      </c>
      <c r="Z378" s="12" t="s">
        <v>1</v>
      </c>
      <c r="AA378" s="12">
        <v>29056</v>
      </c>
      <c r="AB378" s="12">
        <v>64</v>
      </c>
      <c r="AC378" s="12">
        <v>2</v>
      </c>
      <c r="AD378" s="12">
        <v>8</v>
      </c>
      <c r="AE378" s="12">
        <v>1911.01</v>
      </c>
      <c r="AF378" s="13">
        <v>8.5582999999999991</v>
      </c>
      <c r="AG378" s="14">
        <v>45319</v>
      </c>
      <c r="AH378" s="15">
        <v>2.164351851851852E-2</v>
      </c>
      <c r="AI378" s="12">
        <v>0</v>
      </c>
      <c r="AJ378" s="12">
        <v>0</v>
      </c>
      <c r="AK378" s="12">
        <v>0</v>
      </c>
      <c r="AL378" s="12">
        <v>0</v>
      </c>
      <c r="AM378" s="12">
        <v>0</v>
      </c>
      <c r="AN378" s="12">
        <v>0</v>
      </c>
      <c r="AO378" s="12">
        <v>0</v>
      </c>
      <c r="AP378" s="12">
        <v>0</v>
      </c>
      <c r="AQ378" s="12">
        <v>0</v>
      </c>
      <c r="AR378" s="12">
        <v>0</v>
      </c>
      <c r="AS378" s="12">
        <v>0</v>
      </c>
      <c r="AT378" s="12">
        <v>0</v>
      </c>
      <c r="AU378" s="3"/>
    </row>
    <row r="379" spans="1:47" x14ac:dyDescent="0.25">
      <c r="A379" s="12">
        <v>0</v>
      </c>
      <c r="B379" s="12" t="s">
        <v>1</v>
      </c>
      <c r="C379" s="12">
        <v>29016</v>
      </c>
      <c r="D379" s="12">
        <v>72</v>
      </c>
      <c r="E379" s="12">
        <v>4</v>
      </c>
      <c r="F379" s="12">
        <v>4</v>
      </c>
      <c r="G379" s="12">
        <v>1653.09</v>
      </c>
      <c r="H379" s="13">
        <v>9.8528000000000002</v>
      </c>
      <c r="I379" s="14">
        <v>45319</v>
      </c>
      <c r="J379" s="15">
        <v>0.3115162037037037</v>
      </c>
      <c r="K379" s="12">
        <v>0</v>
      </c>
      <c r="L379" s="12">
        <v>0</v>
      </c>
      <c r="M379" s="12">
        <v>0</v>
      </c>
      <c r="N379" s="12">
        <v>0</v>
      </c>
      <c r="O379" s="12">
        <v>0</v>
      </c>
      <c r="P379" s="12">
        <v>0</v>
      </c>
      <c r="Q379" s="12">
        <v>0</v>
      </c>
      <c r="R379" s="12">
        <v>0</v>
      </c>
      <c r="S379" s="12">
        <v>0</v>
      </c>
      <c r="T379" s="12">
        <v>0</v>
      </c>
      <c r="U379" s="12">
        <v>0</v>
      </c>
      <c r="V379" s="12">
        <v>0</v>
      </c>
      <c r="Y379" s="12">
        <v>0</v>
      </c>
      <c r="Z379" s="12" t="s">
        <v>1</v>
      </c>
      <c r="AA379" s="12">
        <v>29056</v>
      </c>
      <c r="AB379" s="12">
        <v>64</v>
      </c>
      <c r="AC379" s="12">
        <v>4</v>
      </c>
      <c r="AD379" s="12">
        <v>4</v>
      </c>
      <c r="AE379" s="12">
        <v>1855.28</v>
      </c>
      <c r="AF379" s="13">
        <v>8.8153000000000006</v>
      </c>
      <c r="AG379" s="14">
        <v>45328</v>
      </c>
      <c r="AH379" s="15">
        <v>0.83626157407407409</v>
      </c>
      <c r="AI379" s="12">
        <v>0</v>
      </c>
      <c r="AJ379" s="12">
        <v>0</v>
      </c>
      <c r="AK379" s="12">
        <v>0</v>
      </c>
      <c r="AL379" s="12">
        <v>0</v>
      </c>
      <c r="AM379" s="12">
        <v>0</v>
      </c>
      <c r="AN379" s="12">
        <v>0</v>
      </c>
      <c r="AO379" s="12">
        <v>0</v>
      </c>
      <c r="AP379" s="12">
        <v>0</v>
      </c>
      <c r="AQ379" s="12">
        <v>0</v>
      </c>
      <c r="AR379" s="12">
        <v>0</v>
      </c>
      <c r="AS379" s="12">
        <v>0</v>
      </c>
      <c r="AT379" s="12">
        <v>0</v>
      </c>
      <c r="AU379" s="3"/>
    </row>
    <row r="380" spans="1:47" x14ac:dyDescent="0.25">
      <c r="A380" s="12">
        <v>1</v>
      </c>
      <c r="B380" s="12" t="s">
        <v>1</v>
      </c>
      <c r="C380" s="12">
        <v>29016</v>
      </c>
      <c r="D380" s="12">
        <v>72</v>
      </c>
      <c r="E380" s="12">
        <v>4</v>
      </c>
      <c r="F380" s="12">
        <v>4</v>
      </c>
      <c r="G380" s="12">
        <v>1652.6</v>
      </c>
      <c r="H380" s="13">
        <v>9.8557000000000006</v>
      </c>
      <c r="I380" s="14">
        <v>45319</v>
      </c>
      <c r="J380" s="15">
        <v>0.43619212962962961</v>
      </c>
      <c r="K380" s="12">
        <v>0</v>
      </c>
      <c r="L380" s="12">
        <v>0</v>
      </c>
      <c r="M380" s="12">
        <v>0</v>
      </c>
      <c r="N380" s="12">
        <v>0</v>
      </c>
      <c r="O380" s="12">
        <v>0</v>
      </c>
      <c r="P380" s="12">
        <v>0</v>
      </c>
      <c r="Q380" s="12">
        <v>0</v>
      </c>
      <c r="R380" s="12">
        <v>0</v>
      </c>
      <c r="S380" s="12">
        <v>0</v>
      </c>
      <c r="T380" s="12">
        <v>0</v>
      </c>
      <c r="U380" s="12">
        <v>0</v>
      </c>
      <c r="V380" s="12">
        <v>0</v>
      </c>
      <c r="Y380" s="12">
        <v>1</v>
      </c>
      <c r="Z380" s="12" t="s">
        <v>1</v>
      </c>
      <c r="AA380" s="12">
        <v>29056</v>
      </c>
      <c r="AB380" s="12">
        <v>64</v>
      </c>
      <c r="AC380" s="12">
        <v>4</v>
      </c>
      <c r="AD380" s="12">
        <v>4</v>
      </c>
      <c r="AE380" s="12">
        <v>1857.17</v>
      </c>
      <c r="AF380" s="13">
        <v>8.8064</v>
      </c>
      <c r="AG380" s="14">
        <v>45318</v>
      </c>
      <c r="AH380" s="15">
        <v>0.24211805555555554</v>
      </c>
      <c r="AI380" s="12">
        <v>0</v>
      </c>
      <c r="AJ380" s="12">
        <v>0</v>
      </c>
      <c r="AK380" s="12">
        <v>0</v>
      </c>
      <c r="AL380" s="12">
        <v>0</v>
      </c>
      <c r="AM380" s="12">
        <v>0</v>
      </c>
      <c r="AN380" s="12">
        <v>0</v>
      </c>
      <c r="AO380" s="12">
        <v>0</v>
      </c>
      <c r="AP380" s="12">
        <v>0</v>
      </c>
      <c r="AQ380" s="12">
        <v>0</v>
      </c>
      <c r="AR380" s="12">
        <v>0</v>
      </c>
      <c r="AS380" s="12">
        <v>0</v>
      </c>
      <c r="AT380" s="12">
        <v>0</v>
      </c>
      <c r="AU380" s="3"/>
    </row>
    <row r="381" spans="1:47" x14ac:dyDescent="0.25">
      <c r="A381" s="12">
        <v>2</v>
      </c>
      <c r="B381" s="12" t="s">
        <v>1</v>
      </c>
      <c r="C381" s="12">
        <v>29016</v>
      </c>
      <c r="D381" s="12">
        <v>72</v>
      </c>
      <c r="E381" s="12">
        <v>4</v>
      </c>
      <c r="F381" s="12">
        <v>4</v>
      </c>
      <c r="G381" s="12">
        <v>1655.23</v>
      </c>
      <c r="H381" s="13">
        <v>9.84</v>
      </c>
      <c r="I381" s="14">
        <v>45319</v>
      </c>
      <c r="J381" s="15">
        <v>0.56096064814814817</v>
      </c>
      <c r="K381" s="12">
        <v>0</v>
      </c>
      <c r="L381" s="12">
        <v>0</v>
      </c>
      <c r="M381" s="12">
        <v>0</v>
      </c>
      <c r="N381" s="12">
        <v>0</v>
      </c>
      <c r="O381" s="12">
        <v>0</v>
      </c>
      <c r="P381" s="12">
        <v>0</v>
      </c>
      <c r="Q381" s="12">
        <v>0</v>
      </c>
      <c r="R381" s="12">
        <v>0</v>
      </c>
      <c r="S381" s="12">
        <v>0</v>
      </c>
      <c r="T381" s="12">
        <v>0</v>
      </c>
      <c r="U381" s="12">
        <v>0</v>
      </c>
      <c r="V381" s="12">
        <v>0</v>
      </c>
      <c r="Y381" s="12">
        <v>2</v>
      </c>
      <c r="Z381" s="12" t="s">
        <v>1</v>
      </c>
      <c r="AA381" s="12">
        <v>29056</v>
      </c>
      <c r="AB381" s="12">
        <v>64</v>
      </c>
      <c r="AC381" s="12">
        <v>4</v>
      </c>
      <c r="AD381" s="12">
        <v>4</v>
      </c>
      <c r="AE381" s="12">
        <v>1857.3</v>
      </c>
      <c r="AF381" s="13">
        <v>8.8057999999999996</v>
      </c>
      <c r="AG381" s="14">
        <v>45318</v>
      </c>
      <c r="AH381" s="15">
        <v>0.50922453703703707</v>
      </c>
      <c r="AI381" s="12">
        <v>0</v>
      </c>
      <c r="AJ381" s="12">
        <v>0</v>
      </c>
      <c r="AK381" s="12">
        <v>0</v>
      </c>
      <c r="AL381" s="12">
        <v>0</v>
      </c>
      <c r="AM381" s="12">
        <v>0</v>
      </c>
      <c r="AN381" s="12">
        <v>0</v>
      </c>
      <c r="AO381" s="12">
        <v>0</v>
      </c>
      <c r="AP381" s="12">
        <v>0</v>
      </c>
      <c r="AQ381" s="12">
        <v>0</v>
      </c>
      <c r="AR381" s="12">
        <v>0</v>
      </c>
      <c r="AS381" s="12">
        <v>0</v>
      </c>
      <c r="AT381" s="12">
        <v>0</v>
      </c>
      <c r="AU381" s="3"/>
    </row>
    <row r="382" spans="1:47" x14ac:dyDescent="0.25">
      <c r="A382" s="12">
        <v>3</v>
      </c>
      <c r="B382" s="12" t="s">
        <v>1</v>
      </c>
      <c r="C382" s="12">
        <v>29016</v>
      </c>
      <c r="D382" s="12">
        <v>72</v>
      </c>
      <c r="E382" s="12">
        <v>4</v>
      </c>
      <c r="F382" s="12">
        <v>4</v>
      </c>
      <c r="G382" s="12">
        <v>1652.17</v>
      </c>
      <c r="H382" s="13">
        <v>9.8582999999999998</v>
      </c>
      <c r="I382" s="14">
        <v>45319</v>
      </c>
      <c r="J382" s="15">
        <v>0.68553240740740751</v>
      </c>
      <c r="K382" s="12">
        <v>0</v>
      </c>
      <c r="L382" s="12">
        <v>0</v>
      </c>
      <c r="M382" s="12">
        <v>0</v>
      </c>
      <c r="N382" s="12">
        <v>0</v>
      </c>
      <c r="O382" s="12">
        <v>0</v>
      </c>
      <c r="P382" s="12">
        <v>0</v>
      </c>
      <c r="Q382" s="12">
        <v>0</v>
      </c>
      <c r="R382" s="12">
        <v>0</v>
      </c>
      <c r="S382" s="12">
        <v>0</v>
      </c>
      <c r="T382" s="12">
        <v>0</v>
      </c>
      <c r="U382" s="12">
        <v>0</v>
      </c>
      <c r="V382" s="12">
        <v>0</v>
      </c>
      <c r="Y382" s="12">
        <v>3</v>
      </c>
      <c r="Z382" s="12" t="s">
        <v>1</v>
      </c>
      <c r="AA382" s="12">
        <v>29056</v>
      </c>
      <c r="AB382" s="12">
        <v>64</v>
      </c>
      <c r="AC382" s="12">
        <v>4</v>
      </c>
      <c r="AD382" s="12">
        <v>4</v>
      </c>
      <c r="AE382" s="12">
        <v>1857.41</v>
      </c>
      <c r="AF382" s="13">
        <v>8.8053000000000008</v>
      </c>
      <c r="AG382" s="14">
        <v>45318</v>
      </c>
      <c r="AH382" s="15">
        <v>0.77636574074074083</v>
      </c>
      <c r="AI382" s="12">
        <v>0</v>
      </c>
      <c r="AJ382" s="12">
        <v>0</v>
      </c>
      <c r="AK382" s="12">
        <v>0</v>
      </c>
      <c r="AL382" s="12">
        <v>0</v>
      </c>
      <c r="AM382" s="12">
        <v>0</v>
      </c>
      <c r="AN382" s="12">
        <v>0</v>
      </c>
      <c r="AO382" s="12">
        <v>0</v>
      </c>
      <c r="AP382" s="12">
        <v>0</v>
      </c>
      <c r="AQ382" s="12">
        <v>0</v>
      </c>
      <c r="AR382" s="12">
        <v>0</v>
      </c>
      <c r="AS382" s="12">
        <v>0</v>
      </c>
      <c r="AT382" s="12">
        <v>0</v>
      </c>
      <c r="AU382" s="3"/>
    </row>
    <row r="383" spans="1:47" x14ac:dyDescent="0.25">
      <c r="A383" s="12">
        <v>4</v>
      </c>
      <c r="B383" s="12" t="s">
        <v>1</v>
      </c>
      <c r="C383" s="12">
        <v>29016</v>
      </c>
      <c r="D383" s="12">
        <v>72</v>
      </c>
      <c r="E383" s="12">
        <v>4</v>
      </c>
      <c r="F383" s="12">
        <v>4</v>
      </c>
      <c r="G383" s="12">
        <v>1655.71</v>
      </c>
      <c r="H383" s="13">
        <v>9.8371999999999993</v>
      </c>
      <c r="I383" s="14">
        <v>45319</v>
      </c>
      <c r="J383" s="15">
        <v>0.81024305555555554</v>
      </c>
      <c r="K383" s="12">
        <v>0</v>
      </c>
      <c r="L383" s="12">
        <v>0</v>
      </c>
      <c r="M383" s="12">
        <v>0</v>
      </c>
      <c r="N383" s="12">
        <v>0</v>
      </c>
      <c r="O383" s="12">
        <v>0</v>
      </c>
      <c r="P383" s="12">
        <v>0</v>
      </c>
      <c r="Q383" s="12">
        <v>0</v>
      </c>
      <c r="R383" s="12">
        <v>0</v>
      </c>
      <c r="S383" s="12">
        <v>0</v>
      </c>
      <c r="T383" s="12">
        <v>0</v>
      </c>
      <c r="U383" s="12">
        <v>0</v>
      </c>
      <c r="V383" s="12">
        <v>0</v>
      </c>
      <c r="Y383" s="12">
        <v>4</v>
      </c>
      <c r="Z383" s="12" t="s">
        <v>1</v>
      </c>
      <c r="AA383" s="12">
        <v>29056</v>
      </c>
      <c r="AB383" s="12">
        <v>64</v>
      </c>
      <c r="AC383" s="12">
        <v>4</v>
      </c>
      <c r="AD383" s="12">
        <v>4</v>
      </c>
      <c r="AE383" s="12">
        <v>1856.77</v>
      </c>
      <c r="AF383" s="13">
        <v>8.8082999999999991</v>
      </c>
      <c r="AG383" s="14">
        <v>45319</v>
      </c>
      <c r="AH383" s="15">
        <v>4.3518518518518519E-2</v>
      </c>
      <c r="AI383" s="12">
        <v>0</v>
      </c>
      <c r="AJ383" s="12">
        <v>0</v>
      </c>
      <c r="AK383" s="12">
        <v>0</v>
      </c>
      <c r="AL383" s="12">
        <v>0</v>
      </c>
      <c r="AM383" s="12">
        <v>0</v>
      </c>
      <c r="AN383" s="12">
        <v>0</v>
      </c>
      <c r="AO383" s="12">
        <v>0</v>
      </c>
      <c r="AP383" s="12">
        <v>0</v>
      </c>
      <c r="AQ383" s="12">
        <v>0</v>
      </c>
      <c r="AR383" s="12">
        <v>0</v>
      </c>
      <c r="AS383" s="12">
        <v>0</v>
      </c>
      <c r="AT383" s="12">
        <v>0</v>
      </c>
      <c r="AU383" s="3"/>
    </row>
    <row r="384" spans="1:47" x14ac:dyDescent="0.25">
      <c r="A384" s="12">
        <v>0</v>
      </c>
      <c r="B384" s="12" t="s">
        <v>1</v>
      </c>
      <c r="C384" s="12">
        <v>29040</v>
      </c>
      <c r="D384" s="12">
        <v>80</v>
      </c>
      <c r="E384" s="12">
        <v>2</v>
      </c>
      <c r="F384" s="12">
        <v>8</v>
      </c>
      <c r="G384" s="12">
        <v>1641.57</v>
      </c>
      <c r="H384" s="13">
        <v>9.9466000000000001</v>
      </c>
      <c r="I384" s="14">
        <v>45319</v>
      </c>
      <c r="J384" s="15">
        <v>0.33221064814814816</v>
      </c>
      <c r="K384" s="12">
        <v>0</v>
      </c>
      <c r="L384" s="12">
        <v>0</v>
      </c>
      <c r="M384" s="12">
        <v>0</v>
      </c>
      <c r="N384" s="12">
        <v>0</v>
      </c>
      <c r="O384" s="12">
        <v>0</v>
      </c>
      <c r="P384" s="12">
        <v>0</v>
      </c>
      <c r="Q384" s="12">
        <v>0</v>
      </c>
      <c r="R384" s="12">
        <v>0</v>
      </c>
      <c r="S384" s="12">
        <v>0</v>
      </c>
      <c r="T384" s="12">
        <v>0</v>
      </c>
      <c r="U384" s="12">
        <v>0</v>
      </c>
      <c r="V384" s="12">
        <v>0</v>
      </c>
      <c r="Y384" s="12">
        <v>0</v>
      </c>
      <c r="Z384" s="12" t="s">
        <v>1</v>
      </c>
      <c r="AA384" s="12">
        <v>29036</v>
      </c>
      <c r="AB384" s="12">
        <v>68</v>
      </c>
      <c r="AC384" s="12">
        <v>2</v>
      </c>
      <c r="AD384" s="12">
        <v>8</v>
      </c>
      <c r="AE384" s="12">
        <v>1956.83</v>
      </c>
      <c r="AF384" s="13">
        <v>8.3407</v>
      </c>
      <c r="AG384" s="14">
        <v>45328</v>
      </c>
      <c r="AH384" s="15">
        <v>0.86016203703703698</v>
      </c>
      <c r="AI384" s="12">
        <v>0</v>
      </c>
      <c r="AJ384" s="12">
        <v>0</v>
      </c>
      <c r="AK384" s="12">
        <v>0</v>
      </c>
      <c r="AL384" s="12">
        <v>0</v>
      </c>
      <c r="AM384" s="12">
        <v>0</v>
      </c>
      <c r="AN384" s="12">
        <v>0</v>
      </c>
      <c r="AO384" s="12">
        <v>0</v>
      </c>
      <c r="AP384" s="12">
        <v>0</v>
      </c>
      <c r="AQ384" s="12">
        <v>0</v>
      </c>
      <c r="AR384" s="12">
        <v>0</v>
      </c>
      <c r="AS384" s="12">
        <v>0</v>
      </c>
      <c r="AT384" s="12">
        <v>0</v>
      </c>
      <c r="AU384" s="3"/>
    </row>
    <row r="385" spans="1:47" x14ac:dyDescent="0.25">
      <c r="A385" s="12">
        <v>1</v>
      </c>
      <c r="B385" s="12" t="s">
        <v>1</v>
      </c>
      <c r="C385" s="12">
        <v>29040</v>
      </c>
      <c r="D385" s="12">
        <v>80</v>
      </c>
      <c r="E385" s="12">
        <v>2</v>
      </c>
      <c r="F385" s="12">
        <v>8</v>
      </c>
      <c r="G385" s="12">
        <v>1652.52</v>
      </c>
      <c r="H385" s="13">
        <v>9.8806999999999992</v>
      </c>
      <c r="I385" s="14">
        <v>45319</v>
      </c>
      <c r="J385" s="15">
        <v>0.45701388888888889</v>
      </c>
      <c r="K385" s="12">
        <v>0</v>
      </c>
      <c r="L385" s="12">
        <v>0</v>
      </c>
      <c r="M385" s="12">
        <v>0</v>
      </c>
      <c r="N385" s="12">
        <v>0</v>
      </c>
      <c r="O385" s="12">
        <v>0</v>
      </c>
      <c r="P385" s="12">
        <v>0</v>
      </c>
      <c r="Q385" s="12">
        <v>0</v>
      </c>
      <c r="R385" s="12">
        <v>0</v>
      </c>
      <c r="S385" s="12">
        <v>0</v>
      </c>
      <c r="T385" s="12">
        <v>0</v>
      </c>
      <c r="U385" s="12">
        <v>0</v>
      </c>
      <c r="V385" s="12">
        <v>0</v>
      </c>
      <c r="Y385" s="12">
        <v>1</v>
      </c>
      <c r="Z385" s="12" t="s">
        <v>1</v>
      </c>
      <c r="AA385" s="12">
        <v>29036</v>
      </c>
      <c r="AB385" s="12">
        <v>68</v>
      </c>
      <c r="AC385" s="12">
        <v>2</v>
      </c>
      <c r="AD385" s="12">
        <v>8</v>
      </c>
      <c r="AE385" s="12">
        <v>1956.48</v>
      </c>
      <c r="AF385" s="13">
        <v>8.3421000000000003</v>
      </c>
      <c r="AG385" s="14">
        <v>45318</v>
      </c>
      <c r="AH385" s="15">
        <v>0.26515046296296296</v>
      </c>
      <c r="AI385" s="12">
        <v>0</v>
      </c>
      <c r="AJ385" s="12">
        <v>0</v>
      </c>
      <c r="AK385" s="12">
        <v>0</v>
      </c>
      <c r="AL385" s="12">
        <v>0</v>
      </c>
      <c r="AM385" s="12">
        <v>0</v>
      </c>
      <c r="AN385" s="12">
        <v>0</v>
      </c>
      <c r="AO385" s="12">
        <v>0</v>
      </c>
      <c r="AP385" s="12">
        <v>0</v>
      </c>
      <c r="AQ385" s="12">
        <v>0</v>
      </c>
      <c r="AR385" s="12">
        <v>0</v>
      </c>
      <c r="AS385" s="12">
        <v>0</v>
      </c>
      <c r="AT385" s="12">
        <v>0</v>
      </c>
      <c r="AU385" s="3"/>
    </row>
    <row r="386" spans="1:47" x14ac:dyDescent="0.25">
      <c r="A386" s="12">
        <v>2</v>
      </c>
      <c r="B386" s="12" t="s">
        <v>1</v>
      </c>
      <c r="C386" s="12">
        <v>29040</v>
      </c>
      <c r="D386" s="12">
        <v>80</v>
      </c>
      <c r="E386" s="12">
        <v>2</v>
      </c>
      <c r="F386" s="12">
        <v>8</v>
      </c>
      <c r="G386" s="12">
        <v>1642.37</v>
      </c>
      <c r="H386" s="13">
        <v>9.9417000000000009</v>
      </c>
      <c r="I386" s="14">
        <v>45319</v>
      </c>
      <c r="J386" s="15">
        <v>0.58165509259259263</v>
      </c>
      <c r="K386" s="12">
        <v>0</v>
      </c>
      <c r="L386" s="12">
        <v>0</v>
      </c>
      <c r="M386" s="12">
        <v>0</v>
      </c>
      <c r="N386" s="12">
        <v>0</v>
      </c>
      <c r="O386" s="12">
        <v>0</v>
      </c>
      <c r="P386" s="12">
        <v>0</v>
      </c>
      <c r="Q386" s="12">
        <v>0</v>
      </c>
      <c r="R386" s="12">
        <v>0</v>
      </c>
      <c r="S386" s="12">
        <v>0</v>
      </c>
      <c r="T386" s="12">
        <v>0</v>
      </c>
      <c r="U386" s="12">
        <v>0</v>
      </c>
      <c r="V386" s="12">
        <v>0</v>
      </c>
      <c r="Y386" s="12">
        <v>2</v>
      </c>
      <c r="Z386" s="12" t="s">
        <v>1</v>
      </c>
      <c r="AA386" s="12">
        <v>29036</v>
      </c>
      <c r="AB386" s="12">
        <v>68</v>
      </c>
      <c r="AC386" s="12">
        <v>2</v>
      </c>
      <c r="AD386" s="12">
        <v>8</v>
      </c>
      <c r="AE386" s="12">
        <v>1956.97</v>
      </c>
      <c r="AF386" s="13">
        <v>8.3400999999999996</v>
      </c>
      <c r="AG386" s="14">
        <v>45318</v>
      </c>
      <c r="AH386" s="15">
        <v>0.53226851851851853</v>
      </c>
      <c r="AI386" s="12">
        <v>0</v>
      </c>
      <c r="AJ386" s="12">
        <v>0</v>
      </c>
      <c r="AK386" s="12">
        <v>0</v>
      </c>
      <c r="AL386" s="12">
        <v>0</v>
      </c>
      <c r="AM386" s="12">
        <v>0</v>
      </c>
      <c r="AN386" s="12">
        <v>0</v>
      </c>
      <c r="AO386" s="12">
        <v>0</v>
      </c>
      <c r="AP386" s="12">
        <v>0</v>
      </c>
      <c r="AQ386" s="12">
        <v>0</v>
      </c>
      <c r="AR386" s="12">
        <v>0</v>
      </c>
      <c r="AS386" s="12">
        <v>0</v>
      </c>
      <c r="AT386" s="12">
        <v>0</v>
      </c>
      <c r="AU386" s="3"/>
    </row>
    <row r="387" spans="1:47" x14ac:dyDescent="0.25">
      <c r="A387" s="12">
        <v>3</v>
      </c>
      <c r="B387" s="12" t="s">
        <v>1</v>
      </c>
      <c r="C387" s="12">
        <v>29040</v>
      </c>
      <c r="D387" s="12">
        <v>80</v>
      </c>
      <c r="E387" s="12">
        <v>2</v>
      </c>
      <c r="F387" s="12">
        <v>8</v>
      </c>
      <c r="G387" s="12">
        <v>1643.52</v>
      </c>
      <c r="H387" s="13">
        <v>9.9347999999999992</v>
      </c>
      <c r="I387" s="14">
        <v>45319</v>
      </c>
      <c r="J387" s="15">
        <v>0.70626157407407408</v>
      </c>
      <c r="K387" s="12">
        <v>0</v>
      </c>
      <c r="L387" s="12">
        <v>0</v>
      </c>
      <c r="M387" s="12">
        <v>0</v>
      </c>
      <c r="N387" s="12">
        <v>0</v>
      </c>
      <c r="O387" s="12">
        <v>0</v>
      </c>
      <c r="P387" s="12">
        <v>0</v>
      </c>
      <c r="Q387" s="12">
        <v>0</v>
      </c>
      <c r="R387" s="12">
        <v>0</v>
      </c>
      <c r="S387" s="12">
        <v>0</v>
      </c>
      <c r="T387" s="12">
        <v>0</v>
      </c>
      <c r="U387" s="12">
        <v>0</v>
      </c>
      <c r="V387" s="12">
        <v>0</v>
      </c>
      <c r="Y387" s="12">
        <v>3</v>
      </c>
      <c r="Z387" s="12" t="s">
        <v>1</v>
      </c>
      <c r="AA387" s="12">
        <v>29036</v>
      </c>
      <c r="AB387" s="12">
        <v>68</v>
      </c>
      <c r="AC387" s="12">
        <v>2</v>
      </c>
      <c r="AD387" s="12">
        <v>8</v>
      </c>
      <c r="AE387" s="12">
        <v>1955.93</v>
      </c>
      <c r="AF387" s="13">
        <v>8.3445</v>
      </c>
      <c r="AG387" s="14">
        <v>45318</v>
      </c>
      <c r="AH387" s="15">
        <v>0.7993865740740741</v>
      </c>
      <c r="AI387" s="12">
        <v>0</v>
      </c>
      <c r="AJ387" s="12">
        <v>0</v>
      </c>
      <c r="AK387" s="12">
        <v>0</v>
      </c>
      <c r="AL387" s="12">
        <v>0</v>
      </c>
      <c r="AM387" s="12">
        <v>0</v>
      </c>
      <c r="AN387" s="12">
        <v>0</v>
      </c>
      <c r="AO387" s="12">
        <v>0</v>
      </c>
      <c r="AP387" s="12">
        <v>0</v>
      </c>
      <c r="AQ387" s="12">
        <v>0</v>
      </c>
      <c r="AR387" s="12">
        <v>0</v>
      </c>
      <c r="AS387" s="12">
        <v>0</v>
      </c>
      <c r="AT387" s="12">
        <v>0</v>
      </c>
      <c r="AU387" s="3"/>
    </row>
    <row r="388" spans="1:47" x14ac:dyDescent="0.25">
      <c r="A388" s="12">
        <v>4</v>
      </c>
      <c r="B388" s="12" t="s">
        <v>1</v>
      </c>
      <c r="C388" s="12">
        <v>29040</v>
      </c>
      <c r="D388" s="12">
        <v>80</v>
      </c>
      <c r="E388" s="12">
        <v>2</v>
      </c>
      <c r="F388" s="12">
        <v>8</v>
      </c>
      <c r="G388" s="12">
        <v>1644.05</v>
      </c>
      <c r="H388" s="13">
        <v>9.9314999999999998</v>
      </c>
      <c r="I388" s="14">
        <v>45319</v>
      </c>
      <c r="J388" s="15">
        <v>0.83096064814814818</v>
      </c>
      <c r="K388" s="12">
        <v>0</v>
      </c>
      <c r="L388" s="12">
        <v>0</v>
      </c>
      <c r="M388" s="12">
        <v>0</v>
      </c>
      <c r="N388" s="12">
        <v>0</v>
      </c>
      <c r="O388" s="12">
        <v>0</v>
      </c>
      <c r="P388" s="12">
        <v>0</v>
      </c>
      <c r="Q388" s="12">
        <v>0</v>
      </c>
      <c r="R388" s="12">
        <v>0</v>
      </c>
      <c r="S388" s="12">
        <v>0</v>
      </c>
      <c r="T388" s="12">
        <v>0</v>
      </c>
      <c r="U388" s="12">
        <v>0</v>
      </c>
      <c r="V388" s="12">
        <v>0</v>
      </c>
      <c r="Y388" s="12">
        <v>4</v>
      </c>
      <c r="Z388" s="12" t="s">
        <v>1</v>
      </c>
      <c r="AA388" s="12">
        <v>29036</v>
      </c>
      <c r="AB388" s="12">
        <v>68</v>
      </c>
      <c r="AC388" s="12">
        <v>2</v>
      </c>
      <c r="AD388" s="12">
        <v>8</v>
      </c>
      <c r="AE388" s="12">
        <v>1957.31</v>
      </c>
      <c r="AF388" s="13">
        <v>8.3385999999999996</v>
      </c>
      <c r="AG388" s="14">
        <v>45319</v>
      </c>
      <c r="AH388" s="15">
        <v>6.6562500000000011E-2</v>
      </c>
      <c r="AI388" s="12">
        <v>0</v>
      </c>
      <c r="AJ388" s="12">
        <v>0</v>
      </c>
      <c r="AK388" s="12">
        <v>0</v>
      </c>
      <c r="AL388" s="12">
        <v>0</v>
      </c>
      <c r="AM388" s="12">
        <v>0</v>
      </c>
      <c r="AN388" s="12">
        <v>0</v>
      </c>
      <c r="AO388" s="12">
        <v>0</v>
      </c>
      <c r="AP388" s="12">
        <v>0</v>
      </c>
      <c r="AQ388" s="12">
        <v>0</v>
      </c>
      <c r="AR388" s="12">
        <v>0</v>
      </c>
      <c r="AS388" s="12">
        <v>0</v>
      </c>
      <c r="AT388" s="12">
        <v>0</v>
      </c>
      <c r="AU388" s="3"/>
    </row>
    <row r="389" spans="1:47" x14ac:dyDescent="0.25">
      <c r="A389" s="12">
        <v>0</v>
      </c>
      <c r="B389" s="12" t="s">
        <v>1</v>
      </c>
      <c r="C389" s="12">
        <v>29040</v>
      </c>
      <c r="D389" s="12">
        <v>80</v>
      </c>
      <c r="E389" s="12">
        <v>4</v>
      </c>
      <c r="F389" s="12">
        <v>4</v>
      </c>
      <c r="G389" s="12">
        <v>1662.24</v>
      </c>
      <c r="H389" s="13">
        <v>9.8229000000000006</v>
      </c>
      <c r="I389" s="14">
        <v>45319</v>
      </c>
      <c r="J389" s="15">
        <v>0.35312499999999997</v>
      </c>
      <c r="K389" s="12">
        <v>0</v>
      </c>
      <c r="L389" s="12">
        <v>0</v>
      </c>
      <c r="M389" s="12">
        <v>0</v>
      </c>
      <c r="N389" s="12">
        <v>0</v>
      </c>
      <c r="O389" s="12">
        <v>0</v>
      </c>
      <c r="P389" s="12">
        <v>0</v>
      </c>
      <c r="Q389" s="12">
        <v>0</v>
      </c>
      <c r="R389" s="12">
        <v>0</v>
      </c>
      <c r="S389" s="12">
        <v>0</v>
      </c>
      <c r="T389" s="12">
        <v>0</v>
      </c>
      <c r="U389" s="12">
        <v>0</v>
      </c>
      <c r="V389" s="12">
        <v>0</v>
      </c>
      <c r="Y389" s="12">
        <v>0</v>
      </c>
      <c r="Z389" s="12" t="s">
        <v>1</v>
      </c>
      <c r="AA389" s="12">
        <v>29036</v>
      </c>
      <c r="AB389" s="12">
        <v>68</v>
      </c>
      <c r="AC389" s="12">
        <v>4</v>
      </c>
      <c r="AD389" s="12">
        <v>4</v>
      </c>
      <c r="AE389" s="12">
        <v>1919.28</v>
      </c>
      <c r="AF389" s="13">
        <v>8.5038</v>
      </c>
      <c r="AG389" s="14">
        <v>45318</v>
      </c>
      <c r="AH389" s="15">
        <v>2.0613425925925927E-2</v>
      </c>
      <c r="AI389" s="12">
        <v>0</v>
      </c>
      <c r="AJ389" s="12">
        <v>0</v>
      </c>
      <c r="AK389" s="12">
        <v>0</v>
      </c>
      <c r="AL389" s="12">
        <v>0</v>
      </c>
      <c r="AM389" s="12">
        <v>0</v>
      </c>
      <c r="AN389" s="12">
        <v>0</v>
      </c>
      <c r="AO389" s="12">
        <v>0</v>
      </c>
      <c r="AP389" s="12">
        <v>0</v>
      </c>
      <c r="AQ389" s="12">
        <v>0</v>
      </c>
      <c r="AR389" s="12">
        <v>0</v>
      </c>
      <c r="AS389" s="12">
        <v>0</v>
      </c>
      <c r="AT389" s="12">
        <v>0</v>
      </c>
      <c r="AU389" s="3"/>
    </row>
    <row r="390" spans="1:47" x14ac:dyDescent="0.25">
      <c r="A390" s="12">
        <v>1</v>
      </c>
      <c r="B390" s="12" t="s">
        <v>1</v>
      </c>
      <c r="C390" s="12">
        <v>29040</v>
      </c>
      <c r="D390" s="12">
        <v>80</v>
      </c>
      <c r="E390" s="12">
        <v>4</v>
      </c>
      <c r="F390" s="12">
        <v>4</v>
      </c>
      <c r="G390" s="12">
        <v>1660.59</v>
      </c>
      <c r="H390" s="13">
        <v>9.8327000000000009</v>
      </c>
      <c r="I390" s="14">
        <v>45319</v>
      </c>
      <c r="J390" s="15">
        <v>0.47789351851851852</v>
      </c>
      <c r="K390" s="12">
        <v>0</v>
      </c>
      <c r="L390" s="12">
        <v>0</v>
      </c>
      <c r="M390" s="12">
        <v>0</v>
      </c>
      <c r="N390" s="12">
        <v>0</v>
      </c>
      <c r="O390" s="12">
        <v>0</v>
      </c>
      <c r="P390" s="12">
        <v>0</v>
      </c>
      <c r="Q390" s="12">
        <v>0</v>
      </c>
      <c r="R390" s="12">
        <v>0</v>
      </c>
      <c r="S390" s="12">
        <v>0</v>
      </c>
      <c r="T390" s="12">
        <v>0</v>
      </c>
      <c r="U390" s="12">
        <v>0</v>
      </c>
      <c r="V390" s="12">
        <v>0</v>
      </c>
      <c r="Y390" s="12">
        <v>1</v>
      </c>
      <c r="Z390" s="12" t="s">
        <v>1</v>
      </c>
      <c r="AA390" s="12">
        <v>29036</v>
      </c>
      <c r="AB390" s="12">
        <v>68</v>
      </c>
      <c r="AC390" s="12">
        <v>4</v>
      </c>
      <c r="AD390" s="12">
        <v>4</v>
      </c>
      <c r="AE390" s="12">
        <v>1919.7</v>
      </c>
      <c r="AF390" s="13">
        <v>8.5020000000000007</v>
      </c>
      <c r="AG390" s="14">
        <v>45318</v>
      </c>
      <c r="AH390" s="15">
        <v>0.28774305555555557</v>
      </c>
      <c r="AI390" s="12">
        <v>0</v>
      </c>
      <c r="AJ390" s="12">
        <v>0</v>
      </c>
      <c r="AK390" s="12">
        <v>0</v>
      </c>
      <c r="AL390" s="12">
        <v>0</v>
      </c>
      <c r="AM390" s="12">
        <v>0</v>
      </c>
      <c r="AN390" s="12">
        <v>0</v>
      </c>
      <c r="AO390" s="12">
        <v>0</v>
      </c>
      <c r="AP390" s="12">
        <v>0</v>
      </c>
      <c r="AQ390" s="12">
        <v>0</v>
      </c>
      <c r="AR390" s="12">
        <v>0</v>
      </c>
      <c r="AS390" s="12">
        <v>0</v>
      </c>
      <c r="AT390" s="12">
        <v>0</v>
      </c>
      <c r="AU390" s="3"/>
    </row>
    <row r="391" spans="1:47" x14ac:dyDescent="0.25">
      <c r="A391" s="12">
        <v>2</v>
      </c>
      <c r="B391" s="12" t="s">
        <v>1</v>
      </c>
      <c r="C391" s="12">
        <v>29040</v>
      </c>
      <c r="D391" s="12">
        <v>80</v>
      </c>
      <c r="E391" s="12">
        <v>4</v>
      </c>
      <c r="F391" s="12">
        <v>4</v>
      </c>
      <c r="G391" s="12">
        <v>1655.9</v>
      </c>
      <c r="H391" s="13">
        <v>9.8605</v>
      </c>
      <c r="I391" s="14">
        <v>45319</v>
      </c>
      <c r="J391" s="15">
        <v>0.60248842592592589</v>
      </c>
      <c r="K391" s="12">
        <v>0</v>
      </c>
      <c r="L391" s="12">
        <v>0</v>
      </c>
      <c r="M391" s="12">
        <v>0</v>
      </c>
      <c r="N391" s="12">
        <v>0</v>
      </c>
      <c r="O391" s="12">
        <v>0</v>
      </c>
      <c r="P391" s="12">
        <v>0</v>
      </c>
      <c r="Q391" s="12">
        <v>0</v>
      </c>
      <c r="R391" s="12">
        <v>0</v>
      </c>
      <c r="S391" s="12">
        <v>0</v>
      </c>
      <c r="T391" s="12">
        <v>0</v>
      </c>
      <c r="U391" s="12">
        <v>0</v>
      </c>
      <c r="V391" s="12">
        <v>0</v>
      </c>
      <c r="Y391" s="12">
        <v>2</v>
      </c>
      <c r="Z391" s="12" t="s">
        <v>1</v>
      </c>
      <c r="AA391" s="12">
        <v>29036</v>
      </c>
      <c r="AB391" s="12">
        <v>68</v>
      </c>
      <c r="AC391" s="12">
        <v>4</v>
      </c>
      <c r="AD391" s="12">
        <v>4</v>
      </c>
      <c r="AE391" s="12">
        <v>1920.7</v>
      </c>
      <c r="AF391" s="13">
        <v>8.4975000000000005</v>
      </c>
      <c r="AG391" s="14">
        <v>45318</v>
      </c>
      <c r="AH391" s="15">
        <v>0.55487268518518518</v>
      </c>
      <c r="AI391" s="12">
        <v>0</v>
      </c>
      <c r="AJ391" s="12">
        <v>0</v>
      </c>
      <c r="AK391" s="12">
        <v>0</v>
      </c>
      <c r="AL391" s="12">
        <v>0</v>
      </c>
      <c r="AM391" s="12">
        <v>0</v>
      </c>
      <c r="AN391" s="12">
        <v>0</v>
      </c>
      <c r="AO391" s="12">
        <v>0</v>
      </c>
      <c r="AP391" s="12">
        <v>0</v>
      </c>
      <c r="AQ391" s="12">
        <v>0</v>
      </c>
      <c r="AR391" s="12">
        <v>0</v>
      </c>
      <c r="AS391" s="12">
        <v>0</v>
      </c>
      <c r="AT391" s="12">
        <v>0</v>
      </c>
      <c r="AU391" s="3"/>
    </row>
    <row r="392" spans="1:47" x14ac:dyDescent="0.25">
      <c r="A392" s="12">
        <v>3</v>
      </c>
      <c r="B392" s="12" t="s">
        <v>1</v>
      </c>
      <c r="C392" s="12">
        <v>29040</v>
      </c>
      <c r="D392" s="12">
        <v>80</v>
      </c>
      <c r="E392" s="12">
        <v>4</v>
      </c>
      <c r="F392" s="12">
        <v>4</v>
      </c>
      <c r="G392" s="12">
        <v>1658.47</v>
      </c>
      <c r="H392" s="13">
        <v>9.8452000000000002</v>
      </c>
      <c r="I392" s="14">
        <v>45319</v>
      </c>
      <c r="J392" s="15">
        <v>0.72711805555555553</v>
      </c>
      <c r="K392" s="12">
        <v>0</v>
      </c>
      <c r="L392" s="12">
        <v>0</v>
      </c>
      <c r="M392" s="12">
        <v>0</v>
      </c>
      <c r="N392" s="12">
        <v>0</v>
      </c>
      <c r="O392" s="12">
        <v>0</v>
      </c>
      <c r="P392" s="12">
        <v>0</v>
      </c>
      <c r="Q392" s="12">
        <v>0</v>
      </c>
      <c r="R392" s="12">
        <v>0</v>
      </c>
      <c r="S392" s="12">
        <v>0</v>
      </c>
      <c r="T392" s="12">
        <v>0</v>
      </c>
      <c r="U392" s="12">
        <v>0</v>
      </c>
      <c r="V392" s="12">
        <v>0</v>
      </c>
      <c r="Y392" s="12">
        <v>3</v>
      </c>
      <c r="Z392" s="12" t="s">
        <v>1</v>
      </c>
      <c r="AA392" s="12">
        <v>29036</v>
      </c>
      <c r="AB392" s="12">
        <v>68</v>
      </c>
      <c r="AC392" s="12">
        <v>4</v>
      </c>
      <c r="AD392" s="12">
        <v>4</v>
      </c>
      <c r="AE392" s="12">
        <v>1919.02</v>
      </c>
      <c r="AF392" s="13">
        <v>8.5050000000000008</v>
      </c>
      <c r="AG392" s="14">
        <v>45318</v>
      </c>
      <c r="AH392" s="15">
        <v>0.82197916666666659</v>
      </c>
      <c r="AI392" s="12">
        <v>0</v>
      </c>
      <c r="AJ392" s="12">
        <v>0</v>
      </c>
      <c r="AK392" s="12">
        <v>0</v>
      </c>
      <c r="AL392" s="12">
        <v>0</v>
      </c>
      <c r="AM392" s="12">
        <v>0</v>
      </c>
      <c r="AN392" s="12">
        <v>0</v>
      </c>
      <c r="AO392" s="12">
        <v>0</v>
      </c>
      <c r="AP392" s="12">
        <v>0</v>
      </c>
      <c r="AQ392" s="12">
        <v>0</v>
      </c>
      <c r="AR392" s="12">
        <v>0</v>
      </c>
      <c r="AS392" s="12">
        <v>0</v>
      </c>
      <c r="AT392" s="12">
        <v>0</v>
      </c>
      <c r="AU392" s="3"/>
    </row>
    <row r="393" spans="1:47" x14ac:dyDescent="0.25">
      <c r="A393" s="12">
        <v>4</v>
      </c>
      <c r="B393" s="12" t="s">
        <v>1</v>
      </c>
      <c r="C393" s="12">
        <v>29040</v>
      </c>
      <c r="D393" s="12">
        <v>80</v>
      </c>
      <c r="E393" s="12">
        <v>4</v>
      </c>
      <c r="F393" s="12">
        <v>4</v>
      </c>
      <c r="G393" s="12">
        <v>1656.4</v>
      </c>
      <c r="H393" s="13">
        <v>9.8574999999999999</v>
      </c>
      <c r="I393" s="14">
        <v>45319</v>
      </c>
      <c r="J393" s="15">
        <v>0.85179398148148155</v>
      </c>
      <c r="K393" s="12">
        <v>0</v>
      </c>
      <c r="L393" s="12">
        <v>0</v>
      </c>
      <c r="M393" s="12">
        <v>0</v>
      </c>
      <c r="N393" s="12">
        <v>0</v>
      </c>
      <c r="O393" s="12">
        <v>0</v>
      </c>
      <c r="P393" s="12">
        <v>0</v>
      </c>
      <c r="Q393" s="12">
        <v>0</v>
      </c>
      <c r="R393" s="12">
        <v>0</v>
      </c>
      <c r="S393" s="12">
        <v>0</v>
      </c>
      <c r="T393" s="12">
        <v>0</v>
      </c>
      <c r="U393" s="12">
        <v>0</v>
      </c>
      <c r="V393" s="12">
        <v>0</v>
      </c>
      <c r="Y393" s="12">
        <v>4</v>
      </c>
      <c r="Z393" s="12" t="s">
        <v>1</v>
      </c>
      <c r="AA393" s="12">
        <v>29036</v>
      </c>
      <c r="AB393" s="12">
        <v>68</v>
      </c>
      <c r="AC393" s="12">
        <v>4</v>
      </c>
      <c r="AD393" s="12">
        <v>4</v>
      </c>
      <c r="AE393" s="12">
        <v>1919.33</v>
      </c>
      <c r="AF393" s="13">
        <v>8.5036000000000005</v>
      </c>
      <c r="AG393" s="14">
        <v>45319</v>
      </c>
      <c r="AH393" s="15">
        <v>8.9155092592592591E-2</v>
      </c>
      <c r="AI393" s="12">
        <v>0</v>
      </c>
      <c r="AJ393" s="12">
        <v>0</v>
      </c>
      <c r="AK393" s="12">
        <v>0</v>
      </c>
      <c r="AL393" s="12">
        <v>0</v>
      </c>
      <c r="AM393" s="12">
        <v>0</v>
      </c>
      <c r="AN393" s="12">
        <v>0</v>
      </c>
      <c r="AO393" s="12">
        <v>0</v>
      </c>
      <c r="AP393" s="12">
        <v>0</v>
      </c>
      <c r="AQ393" s="12">
        <v>0</v>
      </c>
      <c r="AR393" s="12">
        <v>0</v>
      </c>
      <c r="AS393" s="12">
        <v>0</v>
      </c>
      <c r="AT393" s="12">
        <v>0</v>
      </c>
      <c r="AU393" s="3"/>
    </row>
    <row r="394" spans="1:47" x14ac:dyDescent="0.25">
      <c r="Y394" s="12">
        <v>0</v>
      </c>
      <c r="Z394" s="12" t="s">
        <v>1</v>
      </c>
      <c r="AA394" s="12">
        <v>29016</v>
      </c>
      <c r="AB394" s="12">
        <v>72</v>
      </c>
      <c r="AC394" s="12">
        <v>2</v>
      </c>
      <c r="AD394" s="12">
        <v>8</v>
      </c>
      <c r="AE394" s="12">
        <v>1862.18</v>
      </c>
      <c r="AF394" s="13">
        <v>8.7464999999999993</v>
      </c>
      <c r="AG394" s="14">
        <v>45318</v>
      </c>
      <c r="AH394" s="15">
        <v>4.2546296296296297E-2</v>
      </c>
      <c r="AI394" s="12">
        <v>0</v>
      </c>
      <c r="AJ394" s="12">
        <v>0</v>
      </c>
      <c r="AK394" s="12">
        <v>0</v>
      </c>
      <c r="AL394" s="12">
        <v>0</v>
      </c>
      <c r="AM394" s="12">
        <v>0</v>
      </c>
      <c r="AN394" s="12">
        <v>0</v>
      </c>
      <c r="AO394" s="12">
        <v>0</v>
      </c>
      <c r="AP394" s="12">
        <v>0</v>
      </c>
      <c r="AQ394" s="12">
        <v>0</v>
      </c>
      <c r="AR394" s="12">
        <v>0</v>
      </c>
      <c r="AS394" s="12">
        <v>0</v>
      </c>
      <c r="AT394" s="12">
        <v>0</v>
      </c>
      <c r="AU394" s="3"/>
    </row>
    <row r="395" spans="1:47" x14ac:dyDescent="0.25">
      <c r="Y395" s="12">
        <v>1</v>
      </c>
      <c r="Z395" s="12" t="s">
        <v>1</v>
      </c>
      <c r="AA395" s="12">
        <v>29016</v>
      </c>
      <c r="AB395" s="12">
        <v>72</v>
      </c>
      <c r="AC395" s="12">
        <v>2</v>
      </c>
      <c r="AD395" s="12">
        <v>8</v>
      </c>
      <c r="AE395" s="12">
        <v>1860.77</v>
      </c>
      <c r="AF395" s="13">
        <v>8.7530999999999999</v>
      </c>
      <c r="AG395" s="14">
        <v>45318</v>
      </c>
      <c r="AH395" s="15">
        <v>0.30967592592592591</v>
      </c>
      <c r="AI395" s="12">
        <v>0</v>
      </c>
      <c r="AJ395" s="12">
        <v>0</v>
      </c>
      <c r="AK395" s="12">
        <v>0</v>
      </c>
      <c r="AL395" s="12">
        <v>0</v>
      </c>
      <c r="AM395" s="12">
        <v>0</v>
      </c>
      <c r="AN395" s="12">
        <v>0</v>
      </c>
      <c r="AO395" s="12">
        <v>0</v>
      </c>
      <c r="AP395" s="12">
        <v>0</v>
      </c>
      <c r="AQ395" s="12">
        <v>0</v>
      </c>
      <c r="AR395" s="12">
        <v>0</v>
      </c>
      <c r="AS395" s="12">
        <v>0</v>
      </c>
      <c r="AT395" s="12">
        <v>0</v>
      </c>
      <c r="AU395" s="3"/>
    </row>
    <row r="396" spans="1:47" x14ac:dyDescent="0.25">
      <c r="Y396" s="12">
        <v>2</v>
      </c>
      <c r="Z396" s="12" t="s">
        <v>1</v>
      </c>
      <c r="AA396" s="12">
        <v>29016</v>
      </c>
      <c r="AB396" s="12">
        <v>72</v>
      </c>
      <c r="AC396" s="12">
        <v>2</v>
      </c>
      <c r="AD396" s="12">
        <v>8</v>
      </c>
      <c r="AE396" s="12">
        <v>1862.32</v>
      </c>
      <c r="AF396" s="13">
        <v>8.7457999999999991</v>
      </c>
      <c r="AG396" s="14">
        <v>45318</v>
      </c>
      <c r="AH396" s="15">
        <v>0.57681712962962961</v>
      </c>
      <c r="AI396" s="12">
        <v>0</v>
      </c>
      <c r="AJ396" s="12">
        <v>0</v>
      </c>
      <c r="AK396" s="12">
        <v>0</v>
      </c>
      <c r="AL396" s="12">
        <v>0</v>
      </c>
      <c r="AM396" s="12">
        <v>0</v>
      </c>
      <c r="AN396" s="12">
        <v>0</v>
      </c>
      <c r="AO396" s="12">
        <v>0</v>
      </c>
      <c r="AP396" s="12">
        <v>0</v>
      </c>
      <c r="AQ396" s="12">
        <v>0</v>
      </c>
      <c r="AR396" s="12">
        <v>0</v>
      </c>
      <c r="AS396" s="12">
        <v>0</v>
      </c>
      <c r="AT396" s="12">
        <v>0</v>
      </c>
      <c r="AU396" s="3"/>
    </row>
    <row r="397" spans="1:47" x14ac:dyDescent="0.25">
      <c r="Y397" s="12">
        <v>3</v>
      </c>
      <c r="Z397" s="12" t="s">
        <v>1</v>
      </c>
      <c r="AA397" s="12">
        <v>29016</v>
      </c>
      <c r="AB397" s="12">
        <v>72</v>
      </c>
      <c r="AC397" s="12">
        <v>2</v>
      </c>
      <c r="AD397" s="12">
        <v>8</v>
      </c>
      <c r="AE397" s="12">
        <v>1861.4</v>
      </c>
      <c r="AF397" s="13">
        <v>8.7501999999999995</v>
      </c>
      <c r="AG397" s="14">
        <v>45318</v>
      </c>
      <c r="AH397" s="15">
        <v>0.84391203703703699</v>
      </c>
      <c r="AI397" s="12">
        <v>0</v>
      </c>
      <c r="AJ397" s="12">
        <v>0</v>
      </c>
      <c r="AK397" s="12">
        <v>0</v>
      </c>
      <c r="AL397" s="12">
        <v>0</v>
      </c>
      <c r="AM397" s="12">
        <v>0</v>
      </c>
      <c r="AN397" s="12">
        <v>0</v>
      </c>
      <c r="AO397" s="12">
        <v>0</v>
      </c>
      <c r="AP397" s="12">
        <v>0</v>
      </c>
      <c r="AQ397" s="12">
        <v>0</v>
      </c>
      <c r="AR397" s="12">
        <v>0</v>
      </c>
      <c r="AS397" s="12">
        <v>0</v>
      </c>
      <c r="AT397" s="12">
        <v>0</v>
      </c>
      <c r="AU397" s="3"/>
    </row>
    <row r="398" spans="1:47" x14ac:dyDescent="0.25">
      <c r="Y398" s="12">
        <v>4</v>
      </c>
      <c r="Z398" s="12" t="s">
        <v>1</v>
      </c>
      <c r="AA398" s="12">
        <v>29016</v>
      </c>
      <c r="AB398" s="12">
        <v>72</v>
      </c>
      <c r="AC398" s="12">
        <v>2</v>
      </c>
      <c r="AD398" s="12">
        <v>8</v>
      </c>
      <c r="AE398" s="12">
        <v>1861.95</v>
      </c>
      <c r="AF398" s="13">
        <v>8.7476000000000003</v>
      </c>
      <c r="AG398" s="14">
        <v>45319</v>
      </c>
      <c r="AH398" s="15">
        <v>0.11109953703703705</v>
      </c>
      <c r="AI398" s="12">
        <v>0</v>
      </c>
      <c r="AJ398" s="12">
        <v>0</v>
      </c>
      <c r="AK398" s="12">
        <v>0</v>
      </c>
      <c r="AL398" s="12">
        <v>0</v>
      </c>
      <c r="AM398" s="12">
        <v>0</v>
      </c>
      <c r="AN398" s="12">
        <v>0</v>
      </c>
      <c r="AO398" s="12">
        <v>0</v>
      </c>
      <c r="AP398" s="12">
        <v>0</v>
      </c>
      <c r="AQ398" s="12">
        <v>0</v>
      </c>
      <c r="AR398" s="12">
        <v>0</v>
      </c>
      <c r="AS398" s="12">
        <v>0</v>
      </c>
      <c r="AT398" s="12">
        <v>0</v>
      </c>
      <c r="AU398" s="3"/>
    </row>
    <row r="399" spans="1:47" x14ac:dyDescent="0.25">
      <c r="Y399" s="12">
        <v>0</v>
      </c>
      <c r="Z399" s="12" t="s">
        <v>1</v>
      </c>
      <c r="AA399" s="12">
        <v>29016</v>
      </c>
      <c r="AB399" s="12">
        <v>72</v>
      </c>
      <c r="AC399" s="12">
        <v>4</v>
      </c>
      <c r="AD399" s="12">
        <v>4</v>
      </c>
      <c r="AE399" s="12">
        <v>1844.42</v>
      </c>
      <c r="AF399" s="13">
        <v>8.8307000000000002</v>
      </c>
      <c r="AG399" s="14">
        <v>45318</v>
      </c>
      <c r="AH399" s="15">
        <v>6.4270833333333333E-2</v>
      </c>
      <c r="AI399" s="12">
        <v>0</v>
      </c>
      <c r="AJ399" s="12">
        <v>0</v>
      </c>
      <c r="AK399" s="12">
        <v>0</v>
      </c>
      <c r="AL399" s="12">
        <v>0</v>
      </c>
      <c r="AM399" s="12">
        <v>0</v>
      </c>
      <c r="AN399" s="12">
        <v>0</v>
      </c>
      <c r="AO399" s="12">
        <v>0</v>
      </c>
      <c r="AP399" s="12">
        <v>0</v>
      </c>
      <c r="AQ399" s="12">
        <v>0</v>
      </c>
      <c r="AR399" s="12">
        <v>0</v>
      </c>
      <c r="AS399" s="12">
        <v>0</v>
      </c>
      <c r="AT399" s="12">
        <v>0</v>
      </c>
      <c r="AU399" s="3"/>
    </row>
    <row r="400" spans="1:47" x14ac:dyDescent="0.25">
      <c r="Y400" s="12">
        <v>1</v>
      </c>
      <c r="Z400" s="12" t="s">
        <v>1</v>
      </c>
      <c r="AA400" s="12">
        <v>29016</v>
      </c>
      <c r="AB400" s="12">
        <v>72</v>
      </c>
      <c r="AC400" s="12">
        <v>4</v>
      </c>
      <c r="AD400" s="12">
        <v>4</v>
      </c>
      <c r="AE400" s="12">
        <v>1845.71</v>
      </c>
      <c r="AF400" s="13">
        <v>8.8245000000000005</v>
      </c>
      <c r="AG400" s="14">
        <v>45318</v>
      </c>
      <c r="AH400" s="15">
        <v>0.33141203703703703</v>
      </c>
      <c r="AI400" s="12">
        <v>0</v>
      </c>
      <c r="AJ400" s="12">
        <v>0</v>
      </c>
      <c r="AK400" s="12">
        <v>0</v>
      </c>
      <c r="AL400" s="12">
        <v>0</v>
      </c>
      <c r="AM400" s="12">
        <v>0</v>
      </c>
      <c r="AN400" s="12">
        <v>0</v>
      </c>
      <c r="AO400" s="12">
        <v>0</v>
      </c>
      <c r="AP400" s="12">
        <v>0</v>
      </c>
      <c r="AQ400" s="12">
        <v>0</v>
      </c>
      <c r="AR400" s="12">
        <v>0</v>
      </c>
      <c r="AS400" s="12">
        <v>0</v>
      </c>
      <c r="AT400" s="12">
        <v>0</v>
      </c>
      <c r="AU400" s="3"/>
    </row>
    <row r="401" spans="25:47" x14ac:dyDescent="0.25">
      <c r="Y401" s="12">
        <v>2</v>
      </c>
      <c r="Z401" s="12" t="s">
        <v>1</v>
      </c>
      <c r="AA401" s="12">
        <v>29016</v>
      </c>
      <c r="AB401" s="12">
        <v>72</v>
      </c>
      <c r="AC401" s="12">
        <v>4</v>
      </c>
      <c r="AD401" s="12">
        <v>4</v>
      </c>
      <c r="AE401" s="12">
        <v>1846.32</v>
      </c>
      <c r="AF401" s="13">
        <v>8.8216000000000001</v>
      </c>
      <c r="AG401" s="14">
        <v>45318</v>
      </c>
      <c r="AH401" s="15">
        <v>0.59856481481481483</v>
      </c>
      <c r="AI401" s="12">
        <v>0</v>
      </c>
      <c r="AJ401" s="12">
        <v>0</v>
      </c>
      <c r="AK401" s="12">
        <v>0</v>
      </c>
      <c r="AL401" s="12">
        <v>0</v>
      </c>
      <c r="AM401" s="12">
        <v>0</v>
      </c>
      <c r="AN401" s="12">
        <v>0</v>
      </c>
      <c r="AO401" s="12">
        <v>0</v>
      </c>
      <c r="AP401" s="12">
        <v>0</v>
      </c>
      <c r="AQ401" s="12">
        <v>0</v>
      </c>
      <c r="AR401" s="12">
        <v>0</v>
      </c>
      <c r="AS401" s="12">
        <v>0</v>
      </c>
      <c r="AT401" s="12">
        <v>0</v>
      </c>
      <c r="AU401" s="3"/>
    </row>
    <row r="402" spans="25:47" x14ac:dyDescent="0.25">
      <c r="Y402" s="12">
        <v>3</v>
      </c>
      <c r="Z402" s="12" t="s">
        <v>1</v>
      </c>
      <c r="AA402" s="12">
        <v>29016</v>
      </c>
      <c r="AB402" s="12">
        <v>72</v>
      </c>
      <c r="AC402" s="12">
        <v>4</v>
      </c>
      <c r="AD402" s="12">
        <v>4</v>
      </c>
      <c r="AE402" s="12">
        <v>1845.61</v>
      </c>
      <c r="AF402" s="13">
        <v>8.8249999999999993</v>
      </c>
      <c r="AG402" s="14">
        <v>45318</v>
      </c>
      <c r="AH402" s="15">
        <v>0.86564814814814817</v>
      </c>
      <c r="AI402" s="12">
        <v>0</v>
      </c>
      <c r="AJ402" s="12">
        <v>0</v>
      </c>
      <c r="AK402" s="12">
        <v>0</v>
      </c>
      <c r="AL402" s="12">
        <v>0</v>
      </c>
      <c r="AM402" s="12">
        <v>0</v>
      </c>
      <c r="AN402" s="12">
        <v>0</v>
      </c>
      <c r="AO402" s="12">
        <v>0</v>
      </c>
      <c r="AP402" s="12">
        <v>0</v>
      </c>
      <c r="AQ402" s="12">
        <v>0</v>
      </c>
      <c r="AR402" s="12">
        <v>0</v>
      </c>
      <c r="AS402" s="12">
        <v>0</v>
      </c>
      <c r="AT402" s="12">
        <v>0</v>
      </c>
      <c r="AU402" s="3"/>
    </row>
    <row r="403" spans="25:47" x14ac:dyDescent="0.25">
      <c r="Y403" s="12">
        <v>4</v>
      </c>
      <c r="Z403" s="12" t="s">
        <v>1</v>
      </c>
      <c r="AA403" s="12">
        <v>29016</v>
      </c>
      <c r="AB403" s="12">
        <v>72</v>
      </c>
      <c r="AC403" s="12">
        <v>4</v>
      </c>
      <c r="AD403" s="12">
        <v>4</v>
      </c>
      <c r="AE403" s="12">
        <v>1846.73</v>
      </c>
      <c r="AF403" s="13">
        <v>8.8195999999999994</v>
      </c>
      <c r="AG403" s="14">
        <v>45319</v>
      </c>
      <c r="AH403" s="15">
        <v>0.13284722222222223</v>
      </c>
      <c r="AI403" s="12">
        <v>0</v>
      </c>
      <c r="AJ403" s="12">
        <v>0</v>
      </c>
      <c r="AK403" s="12">
        <v>0</v>
      </c>
      <c r="AL403" s="12">
        <v>0</v>
      </c>
      <c r="AM403" s="12">
        <v>0</v>
      </c>
      <c r="AN403" s="12">
        <v>0</v>
      </c>
      <c r="AO403" s="12">
        <v>0</v>
      </c>
      <c r="AP403" s="12">
        <v>0</v>
      </c>
      <c r="AQ403" s="12">
        <v>0</v>
      </c>
      <c r="AR403" s="12">
        <v>0</v>
      </c>
      <c r="AS403" s="12">
        <v>0</v>
      </c>
      <c r="AT403" s="12">
        <v>0</v>
      </c>
      <c r="AU403" s="3"/>
    </row>
    <row r="404" spans="25:47" x14ac:dyDescent="0.25">
      <c r="Y404" s="12">
        <v>0</v>
      </c>
      <c r="Z404" s="12" t="s">
        <v>1</v>
      </c>
      <c r="AA404" s="12">
        <v>29040</v>
      </c>
      <c r="AB404" s="12">
        <v>80</v>
      </c>
      <c r="AC404" s="12">
        <v>2</v>
      </c>
      <c r="AD404" s="12">
        <v>8</v>
      </c>
      <c r="AE404" s="12">
        <v>1901.19</v>
      </c>
      <c r="AF404" s="13">
        <v>8.5883000000000003</v>
      </c>
      <c r="AG404" s="14">
        <v>45318</v>
      </c>
      <c r="AH404" s="15">
        <v>8.666666666666667E-2</v>
      </c>
      <c r="AI404" s="12">
        <v>0</v>
      </c>
      <c r="AJ404" s="12">
        <v>0</v>
      </c>
      <c r="AK404" s="12">
        <v>0</v>
      </c>
      <c r="AL404" s="12">
        <v>0</v>
      </c>
      <c r="AM404" s="12">
        <v>0</v>
      </c>
      <c r="AN404" s="12">
        <v>0</v>
      </c>
      <c r="AO404" s="12">
        <v>0</v>
      </c>
      <c r="AP404" s="12">
        <v>0</v>
      </c>
      <c r="AQ404" s="12">
        <v>0</v>
      </c>
      <c r="AR404" s="12">
        <v>0</v>
      </c>
      <c r="AS404" s="12">
        <v>0</v>
      </c>
      <c r="AT404" s="12">
        <v>0</v>
      </c>
      <c r="AU404" s="3"/>
    </row>
    <row r="405" spans="25:47" x14ac:dyDescent="0.25">
      <c r="Y405" s="12">
        <v>1</v>
      </c>
      <c r="Z405" s="12" t="s">
        <v>1</v>
      </c>
      <c r="AA405" s="12">
        <v>29040</v>
      </c>
      <c r="AB405" s="12">
        <v>80</v>
      </c>
      <c r="AC405" s="12">
        <v>2</v>
      </c>
      <c r="AD405" s="12">
        <v>8</v>
      </c>
      <c r="AE405" s="12">
        <v>1901.48</v>
      </c>
      <c r="AF405" s="13">
        <v>8.5869999999999997</v>
      </c>
      <c r="AG405" s="14">
        <v>45318</v>
      </c>
      <c r="AH405" s="15">
        <v>0.35380787037037037</v>
      </c>
      <c r="AI405" s="12">
        <v>0</v>
      </c>
      <c r="AJ405" s="12">
        <v>0</v>
      </c>
      <c r="AK405" s="12">
        <v>0</v>
      </c>
      <c r="AL405" s="12">
        <v>0</v>
      </c>
      <c r="AM405" s="12">
        <v>0</v>
      </c>
      <c r="AN405" s="12">
        <v>0</v>
      </c>
      <c r="AO405" s="12">
        <v>0</v>
      </c>
      <c r="AP405" s="12">
        <v>0</v>
      </c>
      <c r="AQ405" s="12">
        <v>0</v>
      </c>
      <c r="AR405" s="12">
        <v>0</v>
      </c>
      <c r="AS405" s="12">
        <v>0</v>
      </c>
      <c r="AT405" s="12">
        <v>0</v>
      </c>
      <c r="AU405" s="3"/>
    </row>
    <row r="406" spans="25:47" x14ac:dyDescent="0.25">
      <c r="Y406" s="12">
        <v>2</v>
      </c>
      <c r="Z406" s="12" t="s">
        <v>1</v>
      </c>
      <c r="AA406" s="12">
        <v>29040</v>
      </c>
      <c r="AB406" s="12">
        <v>80</v>
      </c>
      <c r="AC406" s="12">
        <v>2</v>
      </c>
      <c r="AD406" s="12">
        <v>8</v>
      </c>
      <c r="AE406" s="12">
        <v>1900.03</v>
      </c>
      <c r="AF406" s="13">
        <v>8.5935000000000006</v>
      </c>
      <c r="AG406" s="14">
        <v>45318</v>
      </c>
      <c r="AH406" s="15">
        <v>0.62094907407407407</v>
      </c>
      <c r="AI406" s="12">
        <v>0</v>
      </c>
      <c r="AJ406" s="12">
        <v>0</v>
      </c>
      <c r="AK406" s="12">
        <v>0</v>
      </c>
      <c r="AL406" s="12">
        <v>0</v>
      </c>
      <c r="AM406" s="12">
        <v>0</v>
      </c>
      <c r="AN406" s="12">
        <v>0</v>
      </c>
      <c r="AO406" s="12">
        <v>0</v>
      </c>
      <c r="AP406" s="12">
        <v>0</v>
      </c>
      <c r="AQ406" s="12">
        <v>0</v>
      </c>
      <c r="AR406" s="12">
        <v>0</v>
      </c>
      <c r="AS406" s="12">
        <v>0</v>
      </c>
      <c r="AT406" s="12">
        <v>0</v>
      </c>
      <c r="AU406" s="3"/>
    </row>
    <row r="407" spans="25:47" x14ac:dyDescent="0.25">
      <c r="Y407" s="12">
        <v>3</v>
      </c>
      <c r="Z407" s="12" t="s">
        <v>1</v>
      </c>
      <c r="AA407" s="12">
        <v>29040</v>
      </c>
      <c r="AB407" s="12">
        <v>80</v>
      </c>
      <c r="AC407" s="12">
        <v>2</v>
      </c>
      <c r="AD407" s="12">
        <v>8</v>
      </c>
      <c r="AE407" s="12">
        <v>1901.15</v>
      </c>
      <c r="AF407" s="13">
        <v>8.5884999999999998</v>
      </c>
      <c r="AG407" s="14">
        <v>45318</v>
      </c>
      <c r="AH407" s="15">
        <v>0.88804398148148145</v>
      </c>
      <c r="AI407" s="12">
        <v>0</v>
      </c>
      <c r="AJ407" s="12">
        <v>0</v>
      </c>
      <c r="AK407" s="12">
        <v>0</v>
      </c>
      <c r="AL407" s="12">
        <v>0</v>
      </c>
      <c r="AM407" s="12">
        <v>0</v>
      </c>
      <c r="AN407" s="12">
        <v>0</v>
      </c>
      <c r="AO407" s="12">
        <v>0</v>
      </c>
      <c r="AP407" s="12">
        <v>0</v>
      </c>
      <c r="AQ407" s="12">
        <v>0</v>
      </c>
      <c r="AR407" s="12">
        <v>0</v>
      </c>
      <c r="AS407" s="12">
        <v>0</v>
      </c>
      <c r="AT407" s="12">
        <v>0</v>
      </c>
      <c r="AU407" s="3"/>
    </row>
    <row r="408" spans="25:47" x14ac:dyDescent="0.25">
      <c r="Y408" s="12">
        <v>4</v>
      </c>
      <c r="Z408" s="12" t="s">
        <v>1</v>
      </c>
      <c r="AA408" s="12">
        <v>29040</v>
      </c>
      <c r="AB408" s="12">
        <v>80</v>
      </c>
      <c r="AC408" s="12">
        <v>2</v>
      </c>
      <c r="AD408" s="12">
        <v>8</v>
      </c>
      <c r="AE408" s="12">
        <v>1901.42</v>
      </c>
      <c r="AF408" s="13">
        <v>8.5871999999999993</v>
      </c>
      <c r="AG408" s="14">
        <v>45319</v>
      </c>
      <c r="AH408" s="15">
        <v>0.15524305555555554</v>
      </c>
      <c r="AI408" s="12">
        <v>0</v>
      </c>
      <c r="AJ408" s="12">
        <v>0</v>
      </c>
      <c r="AK408" s="12">
        <v>0</v>
      </c>
      <c r="AL408" s="12">
        <v>0</v>
      </c>
      <c r="AM408" s="12">
        <v>0</v>
      </c>
      <c r="AN408" s="12">
        <v>0</v>
      </c>
      <c r="AO408" s="12">
        <v>0</v>
      </c>
      <c r="AP408" s="12">
        <v>0</v>
      </c>
      <c r="AQ408" s="12">
        <v>0</v>
      </c>
      <c r="AR408" s="12">
        <v>0</v>
      </c>
      <c r="AS408" s="12">
        <v>0</v>
      </c>
      <c r="AT408" s="12">
        <v>0</v>
      </c>
      <c r="AU408" s="3"/>
    </row>
    <row r="409" spans="25:47" x14ac:dyDescent="0.25">
      <c r="Y409" s="12">
        <v>0</v>
      </c>
      <c r="Z409" s="12" t="s">
        <v>1</v>
      </c>
      <c r="AA409" s="12">
        <v>29040</v>
      </c>
      <c r="AB409" s="12">
        <v>80</v>
      </c>
      <c r="AC409" s="12">
        <v>4</v>
      </c>
      <c r="AD409" s="12">
        <v>4</v>
      </c>
      <c r="AE409" s="12">
        <v>1851.12</v>
      </c>
      <c r="AF409" s="13">
        <v>8.8206000000000007</v>
      </c>
      <c r="AG409" s="14">
        <v>45318</v>
      </c>
      <c r="AH409" s="15">
        <v>0.10847222222222223</v>
      </c>
      <c r="AI409" s="12">
        <v>0</v>
      </c>
      <c r="AJ409" s="12">
        <v>0</v>
      </c>
      <c r="AK409" s="12">
        <v>0</v>
      </c>
      <c r="AL409" s="12">
        <v>0</v>
      </c>
      <c r="AM409" s="12">
        <v>0</v>
      </c>
      <c r="AN409" s="12">
        <v>0</v>
      </c>
      <c r="AO409" s="12">
        <v>0</v>
      </c>
      <c r="AP409" s="12">
        <v>0</v>
      </c>
      <c r="AQ409" s="12">
        <v>0</v>
      </c>
      <c r="AR409" s="12">
        <v>0</v>
      </c>
      <c r="AS409" s="12">
        <v>0</v>
      </c>
      <c r="AT409" s="12">
        <v>0</v>
      </c>
      <c r="AU409" s="3"/>
    </row>
    <row r="410" spans="25:47" x14ac:dyDescent="0.25">
      <c r="Y410" s="12">
        <v>1</v>
      </c>
      <c r="Z410" s="12" t="s">
        <v>1</v>
      </c>
      <c r="AA410" s="12">
        <v>29040</v>
      </c>
      <c r="AB410" s="12">
        <v>80</v>
      </c>
      <c r="AC410" s="12">
        <v>4</v>
      </c>
      <c r="AD410" s="12">
        <v>4</v>
      </c>
      <c r="AE410" s="12">
        <v>1850.13</v>
      </c>
      <c r="AF410" s="13">
        <v>8.8253000000000004</v>
      </c>
      <c r="AG410" s="14">
        <v>45318</v>
      </c>
      <c r="AH410" s="15">
        <v>0.37560185185185185</v>
      </c>
      <c r="AI410" s="12">
        <v>0</v>
      </c>
      <c r="AJ410" s="12">
        <v>0</v>
      </c>
      <c r="AK410" s="12">
        <v>0</v>
      </c>
      <c r="AL410" s="12">
        <v>0</v>
      </c>
      <c r="AM410" s="12">
        <v>0</v>
      </c>
      <c r="AN410" s="12">
        <v>0</v>
      </c>
      <c r="AO410" s="12">
        <v>0</v>
      </c>
      <c r="AP410" s="12">
        <v>0</v>
      </c>
      <c r="AQ410" s="12">
        <v>0</v>
      </c>
      <c r="AR410" s="12">
        <v>0</v>
      </c>
      <c r="AS410" s="12">
        <v>0</v>
      </c>
      <c r="AT410" s="12">
        <v>0</v>
      </c>
      <c r="AU410" s="3"/>
    </row>
    <row r="411" spans="25:47" x14ac:dyDescent="0.25">
      <c r="Y411" s="12">
        <v>2</v>
      </c>
      <c r="Z411" s="12" t="s">
        <v>1</v>
      </c>
      <c r="AA411" s="12">
        <v>29040</v>
      </c>
      <c r="AB411" s="12">
        <v>80</v>
      </c>
      <c r="AC411" s="12">
        <v>4</v>
      </c>
      <c r="AD411" s="12">
        <v>4</v>
      </c>
      <c r="AE411" s="12">
        <v>1850.75</v>
      </c>
      <c r="AF411" s="13">
        <v>8.8224</v>
      </c>
      <c r="AG411" s="14">
        <v>45318</v>
      </c>
      <c r="AH411" s="15">
        <v>0.64274305555555555</v>
      </c>
      <c r="AI411" s="12">
        <v>0</v>
      </c>
      <c r="AJ411" s="12">
        <v>0</v>
      </c>
      <c r="AK411" s="12">
        <v>0</v>
      </c>
      <c r="AL411" s="12">
        <v>0</v>
      </c>
      <c r="AM411" s="12">
        <v>0</v>
      </c>
      <c r="AN411" s="12">
        <v>0</v>
      </c>
      <c r="AO411" s="12">
        <v>0</v>
      </c>
      <c r="AP411" s="12">
        <v>0</v>
      </c>
      <c r="AQ411" s="12">
        <v>0</v>
      </c>
      <c r="AR411" s="12">
        <v>0</v>
      </c>
      <c r="AS411" s="12">
        <v>0</v>
      </c>
      <c r="AT411" s="12">
        <v>0</v>
      </c>
      <c r="AU411" s="3"/>
    </row>
    <row r="412" spans="25:47" x14ac:dyDescent="0.25">
      <c r="Y412" s="12">
        <v>3</v>
      </c>
      <c r="Z412" s="12" t="s">
        <v>1</v>
      </c>
      <c r="AA412" s="12">
        <v>29040</v>
      </c>
      <c r="AB412" s="12">
        <v>80</v>
      </c>
      <c r="AC412" s="12">
        <v>4</v>
      </c>
      <c r="AD412" s="12">
        <v>4</v>
      </c>
      <c r="AE412" s="12">
        <v>1851.77</v>
      </c>
      <c r="AF412" s="13">
        <v>8.8175000000000008</v>
      </c>
      <c r="AG412" s="14">
        <v>45318</v>
      </c>
      <c r="AH412" s="15">
        <v>0.90984953703703697</v>
      </c>
      <c r="AI412" s="12">
        <v>0</v>
      </c>
      <c r="AJ412" s="12">
        <v>0</v>
      </c>
      <c r="AK412" s="12">
        <v>0</v>
      </c>
      <c r="AL412" s="12">
        <v>0</v>
      </c>
      <c r="AM412" s="12">
        <v>0</v>
      </c>
      <c r="AN412" s="12">
        <v>0</v>
      </c>
      <c r="AO412" s="12">
        <v>0</v>
      </c>
      <c r="AP412" s="12">
        <v>0</v>
      </c>
      <c r="AQ412" s="12">
        <v>0</v>
      </c>
      <c r="AR412" s="12">
        <v>0</v>
      </c>
      <c r="AS412" s="12">
        <v>0</v>
      </c>
      <c r="AT412" s="12">
        <v>0</v>
      </c>
      <c r="AU412" s="3"/>
    </row>
    <row r="413" spans="25:47" x14ac:dyDescent="0.25">
      <c r="Y413" s="12">
        <v>4</v>
      </c>
      <c r="Z413" s="12" t="s">
        <v>1</v>
      </c>
      <c r="AA413" s="12">
        <v>29040</v>
      </c>
      <c r="AB413" s="12">
        <v>80</v>
      </c>
      <c r="AC413" s="12">
        <v>4</v>
      </c>
      <c r="AD413" s="12">
        <v>4</v>
      </c>
      <c r="AE413" s="12">
        <v>1851.62</v>
      </c>
      <c r="AF413" s="13">
        <v>8.8181999999999992</v>
      </c>
      <c r="AG413" s="14">
        <v>45319</v>
      </c>
      <c r="AH413" s="15">
        <v>0.17706018518518518</v>
      </c>
      <c r="AI413" s="12">
        <v>0</v>
      </c>
      <c r="AJ413" s="12">
        <v>0</v>
      </c>
      <c r="AK413" s="12">
        <v>0</v>
      </c>
      <c r="AL413" s="12">
        <v>0</v>
      </c>
      <c r="AM413" s="12">
        <v>0</v>
      </c>
      <c r="AN413" s="12">
        <v>0</v>
      </c>
      <c r="AO413" s="12">
        <v>0</v>
      </c>
      <c r="AP413" s="12">
        <v>0</v>
      </c>
      <c r="AQ413" s="12">
        <v>0</v>
      </c>
      <c r="AR413" s="12">
        <v>0</v>
      </c>
      <c r="AS413" s="12">
        <v>0</v>
      </c>
      <c r="AT413" s="12">
        <v>0</v>
      </c>
      <c r="AU413" s="3"/>
    </row>
    <row r="414" spans="25:47" x14ac:dyDescent="0.25">
      <c r="Y414" s="12">
        <v>0</v>
      </c>
      <c r="Z414" s="12" t="s">
        <v>1</v>
      </c>
      <c r="AA414" s="12">
        <v>29040</v>
      </c>
      <c r="AB414" s="12">
        <v>88</v>
      </c>
      <c r="AC414" s="12">
        <v>2</v>
      </c>
      <c r="AD414" s="12">
        <v>8</v>
      </c>
      <c r="AE414" s="12">
        <v>1884.96</v>
      </c>
      <c r="AF414" s="13">
        <v>8.6622000000000003</v>
      </c>
      <c r="AG414" s="14">
        <v>45318</v>
      </c>
      <c r="AH414" s="15">
        <v>0.13067129629629629</v>
      </c>
      <c r="AI414" s="12">
        <v>0</v>
      </c>
      <c r="AJ414" s="12">
        <v>0</v>
      </c>
      <c r="AK414" s="12">
        <v>0</v>
      </c>
      <c r="AL414" s="12">
        <v>0</v>
      </c>
      <c r="AM414" s="12">
        <v>0</v>
      </c>
      <c r="AN414" s="12">
        <v>0</v>
      </c>
      <c r="AO414" s="12">
        <v>0</v>
      </c>
      <c r="AP414" s="12">
        <v>0</v>
      </c>
      <c r="AQ414" s="12">
        <v>0</v>
      </c>
      <c r="AR414" s="12">
        <v>0</v>
      </c>
      <c r="AS414" s="12">
        <v>0</v>
      </c>
      <c r="AT414" s="12">
        <v>0</v>
      </c>
      <c r="AU414" s="3"/>
    </row>
    <row r="415" spans="25:47" x14ac:dyDescent="0.25">
      <c r="Y415" s="12">
        <v>1</v>
      </c>
      <c r="Z415" s="12" t="s">
        <v>1</v>
      </c>
      <c r="AA415" s="12">
        <v>29040</v>
      </c>
      <c r="AB415" s="12">
        <v>88</v>
      </c>
      <c r="AC415" s="12">
        <v>2</v>
      </c>
      <c r="AD415" s="12">
        <v>8</v>
      </c>
      <c r="AE415" s="12">
        <v>1884.96</v>
      </c>
      <c r="AF415" s="13">
        <v>8.6623000000000001</v>
      </c>
      <c r="AG415" s="14">
        <v>45318</v>
      </c>
      <c r="AH415" s="15">
        <v>0.39780092592592592</v>
      </c>
      <c r="AI415" s="12">
        <v>0</v>
      </c>
      <c r="AJ415" s="12">
        <v>0</v>
      </c>
      <c r="AK415" s="12">
        <v>0</v>
      </c>
      <c r="AL415" s="12">
        <v>0</v>
      </c>
      <c r="AM415" s="12">
        <v>0</v>
      </c>
      <c r="AN415" s="12">
        <v>0</v>
      </c>
      <c r="AO415" s="12">
        <v>0</v>
      </c>
      <c r="AP415" s="12">
        <v>0</v>
      </c>
      <c r="AQ415" s="12">
        <v>0</v>
      </c>
      <c r="AR415" s="12">
        <v>0</v>
      </c>
      <c r="AS415" s="12">
        <v>0</v>
      </c>
      <c r="AT415" s="12">
        <v>0</v>
      </c>
      <c r="AU415" s="3"/>
    </row>
    <row r="416" spans="25:47" x14ac:dyDescent="0.25">
      <c r="Y416" s="12">
        <v>2</v>
      </c>
      <c r="Z416" s="12" t="s">
        <v>1</v>
      </c>
      <c r="AA416" s="12">
        <v>29040</v>
      </c>
      <c r="AB416" s="12">
        <v>88</v>
      </c>
      <c r="AC416" s="12">
        <v>2</v>
      </c>
      <c r="AD416" s="12">
        <v>8</v>
      </c>
      <c r="AE416" s="12">
        <v>1885.05</v>
      </c>
      <c r="AF416" s="13">
        <v>8.6617999999999995</v>
      </c>
      <c r="AG416" s="14">
        <v>45318</v>
      </c>
      <c r="AH416" s="15">
        <v>0.66495370370370377</v>
      </c>
      <c r="AI416" s="12">
        <v>0</v>
      </c>
      <c r="AJ416" s="12">
        <v>0</v>
      </c>
      <c r="AK416" s="12">
        <v>0</v>
      </c>
      <c r="AL416" s="12">
        <v>0</v>
      </c>
      <c r="AM416" s="12">
        <v>0</v>
      </c>
      <c r="AN416" s="12">
        <v>0</v>
      </c>
      <c r="AO416" s="12">
        <v>0</v>
      </c>
      <c r="AP416" s="12">
        <v>0</v>
      </c>
      <c r="AQ416" s="12">
        <v>0</v>
      </c>
      <c r="AR416" s="12">
        <v>0</v>
      </c>
      <c r="AS416" s="12">
        <v>0</v>
      </c>
      <c r="AT416" s="12">
        <v>0</v>
      </c>
      <c r="AU416" s="3"/>
    </row>
    <row r="417" spans="25:47" x14ac:dyDescent="0.25">
      <c r="Y417" s="12">
        <v>3</v>
      </c>
      <c r="Z417" s="12" t="s">
        <v>1</v>
      </c>
      <c r="AA417" s="12">
        <v>29040</v>
      </c>
      <c r="AB417" s="12">
        <v>88</v>
      </c>
      <c r="AC417" s="12">
        <v>2</v>
      </c>
      <c r="AD417" s="12">
        <v>8</v>
      </c>
      <c r="AE417" s="12">
        <v>1884.41</v>
      </c>
      <c r="AF417" s="13">
        <v>8.6646999999999998</v>
      </c>
      <c r="AG417" s="14">
        <v>45318</v>
      </c>
      <c r="AH417" s="15">
        <v>0.93204861111111104</v>
      </c>
      <c r="AI417" s="12">
        <v>0</v>
      </c>
      <c r="AJ417" s="12">
        <v>0</v>
      </c>
      <c r="AK417" s="12">
        <v>0</v>
      </c>
      <c r="AL417" s="12">
        <v>0</v>
      </c>
      <c r="AM417" s="12">
        <v>0</v>
      </c>
      <c r="AN417" s="12">
        <v>0</v>
      </c>
      <c r="AO417" s="12">
        <v>0</v>
      </c>
      <c r="AP417" s="12">
        <v>0</v>
      </c>
      <c r="AQ417" s="12">
        <v>0</v>
      </c>
      <c r="AR417" s="12">
        <v>0</v>
      </c>
      <c r="AS417" s="12">
        <v>0</v>
      </c>
      <c r="AT417" s="12">
        <v>0</v>
      </c>
      <c r="AU417" s="3"/>
    </row>
    <row r="418" spans="25:47" x14ac:dyDescent="0.25">
      <c r="Y418" s="12">
        <v>4</v>
      </c>
      <c r="Z418" s="12" t="s">
        <v>1</v>
      </c>
      <c r="AA418" s="12">
        <v>29040</v>
      </c>
      <c r="AB418" s="12">
        <v>88</v>
      </c>
      <c r="AC418" s="12">
        <v>2</v>
      </c>
      <c r="AD418" s="12">
        <v>8</v>
      </c>
      <c r="AE418" s="12">
        <v>1885.03</v>
      </c>
      <c r="AF418" s="13">
        <v>8.6618999999999993</v>
      </c>
      <c r="AG418" s="14">
        <v>45319</v>
      </c>
      <c r="AH418" s="15">
        <v>0.19925925925925925</v>
      </c>
      <c r="AI418" s="12">
        <v>0</v>
      </c>
      <c r="AJ418" s="12">
        <v>0</v>
      </c>
      <c r="AK418" s="12">
        <v>0</v>
      </c>
      <c r="AL418" s="12">
        <v>0</v>
      </c>
      <c r="AM418" s="12">
        <v>0</v>
      </c>
      <c r="AN418" s="12">
        <v>0</v>
      </c>
      <c r="AO418" s="12">
        <v>0</v>
      </c>
      <c r="AP418" s="12">
        <v>0</v>
      </c>
      <c r="AQ418" s="12">
        <v>0</v>
      </c>
      <c r="AR418" s="12">
        <v>0</v>
      </c>
      <c r="AS418" s="12">
        <v>0</v>
      </c>
      <c r="AT418" s="12">
        <v>0</v>
      </c>
      <c r="AU418" s="3"/>
    </row>
    <row r="419" spans="25:47" x14ac:dyDescent="0.25">
      <c r="Y419" s="12">
        <v>0</v>
      </c>
      <c r="Z419" s="12" t="s">
        <v>1</v>
      </c>
      <c r="AA419" s="12">
        <v>29040</v>
      </c>
      <c r="AB419" s="12">
        <v>88</v>
      </c>
      <c r="AC419" s="12">
        <v>4</v>
      </c>
      <c r="AD419" s="12">
        <v>4</v>
      </c>
      <c r="AE419" s="12">
        <v>1836.12</v>
      </c>
      <c r="AF419" s="13">
        <v>8.8925999999999998</v>
      </c>
      <c r="AG419" s="14">
        <v>45318</v>
      </c>
      <c r="AH419" s="15">
        <v>0.15230324074074075</v>
      </c>
      <c r="AI419" s="12">
        <v>0</v>
      </c>
      <c r="AJ419" s="12">
        <v>0</v>
      </c>
      <c r="AK419" s="12">
        <v>0</v>
      </c>
      <c r="AL419" s="12">
        <v>0</v>
      </c>
      <c r="AM419" s="12">
        <v>0</v>
      </c>
      <c r="AN419" s="12">
        <v>0</v>
      </c>
      <c r="AO419" s="12">
        <v>0</v>
      </c>
      <c r="AP419" s="12">
        <v>0</v>
      </c>
      <c r="AQ419" s="12">
        <v>0</v>
      </c>
      <c r="AR419" s="12">
        <v>0</v>
      </c>
      <c r="AS419" s="12">
        <v>0</v>
      </c>
      <c r="AT419" s="12">
        <v>0</v>
      </c>
      <c r="AU419" s="3"/>
    </row>
    <row r="420" spans="25:47" x14ac:dyDescent="0.25">
      <c r="Y420" s="12">
        <v>1</v>
      </c>
      <c r="Z420" s="12" t="s">
        <v>1</v>
      </c>
      <c r="AA420" s="12">
        <v>29040</v>
      </c>
      <c r="AB420" s="12">
        <v>88</v>
      </c>
      <c r="AC420" s="12">
        <v>4</v>
      </c>
      <c r="AD420" s="12">
        <v>4</v>
      </c>
      <c r="AE420" s="12">
        <v>1835.7</v>
      </c>
      <c r="AF420" s="13">
        <v>8.8947000000000003</v>
      </c>
      <c r="AG420" s="14">
        <v>45318</v>
      </c>
      <c r="AH420" s="15">
        <v>0.41943287037037041</v>
      </c>
      <c r="AI420" s="12">
        <v>0</v>
      </c>
      <c r="AJ420" s="12">
        <v>0</v>
      </c>
      <c r="AK420" s="12">
        <v>0</v>
      </c>
      <c r="AL420" s="12">
        <v>0</v>
      </c>
      <c r="AM420" s="12">
        <v>0</v>
      </c>
      <c r="AN420" s="12">
        <v>0</v>
      </c>
      <c r="AO420" s="12">
        <v>0</v>
      </c>
      <c r="AP420" s="12">
        <v>0</v>
      </c>
      <c r="AQ420" s="12">
        <v>0</v>
      </c>
      <c r="AR420" s="12">
        <v>0</v>
      </c>
      <c r="AS420" s="12">
        <v>0</v>
      </c>
      <c r="AT420" s="12">
        <v>0</v>
      </c>
      <c r="AU420" s="3"/>
    </row>
    <row r="421" spans="25:47" x14ac:dyDescent="0.25">
      <c r="Y421" s="12">
        <v>2</v>
      </c>
      <c r="Z421" s="12" t="s">
        <v>1</v>
      </c>
      <c r="AA421" s="12">
        <v>29040</v>
      </c>
      <c r="AB421" s="12">
        <v>88</v>
      </c>
      <c r="AC421" s="12">
        <v>4</v>
      </c>
      <c r="AD421" s="12">
        <v>4</v>
      </c>
      <c r="AE421" s="12">
        <v>1835.77</v>
      </c>
      <c r="AF421" s="13">
        <v>8.8942999999999994</v>
      </c>
      <c r="AG421" s="14">
        <v>45318</v>
      </c>
      <c r="AH421" s="15">
        <v>0.68657407407407411</v>
      </c>
      <c r="AI421" s="12">
        <v>0</v>
      </c>
      <c r="AJ421" s="12">
        <v>0</v>
      </c>
      <c r="AK421" s="12">
        <v>0</v>
      </c>
      <c r="AL421" s="12">
        <v>0</v>
      </c>
      <c r="AM421" s="12">
        <v>0</v>
      </c>
      <c r="AN421" s="12">
        <v>0</v>
      </c>
      <c r="AO421" s="12">
        <v>0</v>
      </c>
      <c r="AP421" s="12">
        <v>0</v>
      </c>
      <c r="AQ421" s="12">
        <v>0</v>
      </c>
      <c r="AR421" s="12">
        <v>0</v>
      </c>
      <c r="AS421" s="12">
        <v>0</v>
      </c>
      <c r="AT421" s="12">
        <v>0</v>
      </c>
      <c r="AU421" s="3"/>
    </row>
    <row r="422" spans="25:47" x14ac:dyDescent="0.25">
      <c r="Y422" s="12">
        <v>3</v>
      </c>
      <c r="Z422" s="12" t="s">
        <v>1</v>
      </c>
      <c r="AA422" s="12">
        <v>29040</v>
      </c>
      <c r="AB422" s="12">
        <v>88</v>
      </c>
      <c r="AC422" s="12">
        <v>4</v>
      </c>
      <c r="AD422" s="12">
        <v>4</v>
      </c>
      <c r="AE422" s="12">
        <v>1836.75</v>
      </c>
      <c r="AF422" s="13">
        <v>8.8895999999999997</v>
      </c>
      <c r="AG422" s="14">
        <v>45318</v>
      </c>
      <c r="AH422" s="15">
        <v>0.95369212962962957</v>
      </c>
      <c r="AI422" s="12">
        <v>0</v>
      </c>
      <c r="AJ422" s="12">
        <v>0</v>
      </c>
      <c r="AK422" s="12">
        <v>0</v>
      </c>
      <c r="AL422" s="12">
        <v>0</v>
      </c>
      <c r="AM422" s="12">
        <v>0</v>
      </c>
      <c r="AN422" s="12">
        <v>0</v>
      </c>
      <c r="AO422" s="12">
        <v>0</v>
      </c>
      <c r="AP422" s="12">
        <v>0</v>
      </c>
      <c r="AQ422" s="12">
        <v>0</v>
      </c>
      <c r="AR422" s="12">
        <v>0</v>
      </c>
      <c r="AS422" s="12">
        <v>0</v>
      </c>
      <c r="AT422" s="12">
        <v>0</v>
      </c>
      <c r="AU422" s="3"/>
    </row>
    <row r="423" spans="25:47" x14ac:dyDescent="0.25">
      <c r="Y423" s="12">
        <v>4</v>
      </c>
      <c r="Z423" s="12" t="s">
        <v>1</v>
      </c>
      <c r="AA423" s="12">
        <v>29040</v>
      </c>
      <c r="AB423" s="12">
        <v>88</v>
      </c>
      <c r="AC423" s="12">
        <v>4</v>
      </c>
      <c r="AD423" s="12">
        <v>4</v>
      </c>
      <c r="AE423" s="12">
        <v>1836.24</v>
      </c>
      <c r="AF423" s="13">
        <v>8.8920999999999992</v>
      </c>
      <c r="AG423" s="14">
        <v>45319</v>
      </c>
      <c r="AH423" s="15">
        <v>0.22090277777777778</v>
      </c>
      <c r="AI423" s="12">
        <v>0</v>
      </c>
      <c r="AJ423" s="12">
        <v>0</v>
      </c>
      <c r="AK423" s="12">
        <v>0</v>
      </c>
      <c r="AL423" s="12">
        <v>0</v>
      </c>
      <c r="AM423" s="12">
        <v>0</v>
      </c>
      <c r="AN423" s="12">
        <v>0</v>
      </c>
      <c r="AO423" s="12">
        <v>0</v>
      </c>
      <c r="AP423" s="12">
        <v>0</v>
      </c>
      <c r="AQ423" s="12">
        <v>0</v>
      </c>
      <c r="AR423" s="12">
        <v>0</v>
      </c>
      <c r="AS423" s="12">
        <v>0</v>
      </c>
      <c r="AT423" s="12">
        <v>0</v>
      </c>
      <c r="AU423" s="3"/>
    </row>
  </sheetData>
  <sortState xmlns:xlrd2="http://schemas.microsoft.com/office/spreadsheetml/2017/richdata2" ref="A4:V363">
    <sortCondition ref="D4:D363"/>
    <sortCondition ref="E4:E363"/>
    <sortCondition ref="C4:C363"/>
    <sortCondition ref="A4:A363"/>
  </sortState>
  <mergeCells count="14">
    <mergeCell ref="AJ1:AT1"/>
    <mergeCell ref="L1:V1"/>
    <mergeCell ref="Y2:Z2"/>
    <mergeCell ref="AI2:AK2"/>
    <mergeCell ref="AL2:AN2"/>
    <mergeCell ref="AO2:AQ2"/>
    <mergeCell ref="AR2:AT2"/>
    <mergeCell ref="Y1:AB1"/>
    <mergeCell ref="T2:V2"/>
    <mergeCell ref="A1:D1"/>
    <mergeCell ref="A2:B2"/>
    <mergeCell ref="K2:M2"/>
    <mergeCell ref="N2:P2"/>
    <mergeCell ref="Q2:S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CCDD0-BF8F-4A58-A025-EE8D437B09EA}">
  <dimension ref="A1:K188"/>
  <sheetViews>
    <sheetView topLeftCell="A25" workbookViewId="0">
      <selection activeCell="E25" activeCellId="1" sqref="G1:K1048576 A1:E1048576"/>
    </sheetView>
  </sheetViews>
  <sheetFormatPr defaultColWidth="8.85546875" defaultRowHeight="15" x14ac:dyDescent="0.25"/>
  <cols>
    <col min="1" max="4" width="9.140625" style="18"/>
    <col min="5" max="5" width="9.140625" style="3"/>
    <col min="7" max="10" width="9.140625" style="18"/>
    <col min="11" max="11" width="9.140625" style="3"/>
  </cols>
  <sheetData>
    <row r="1" spans="1:11" x14ac:dyDescent="0.25">
      <c r="A1" s="84" t="s">
        <v>52</v>
      </c>
      <c r="B1" s="84"/>
      <c r="C1" s="84"/>
      <c r="D1" s="84"/>
      <c r="E1" s="84"/>
      <c r="G1" s="84" t="s">
        <v>32</v>
      </c>
      <c r="H1" s="84"/>
      <c r="I1" s="84"/>
      <c r="J1" s="84"/>
      <c r="K1" s="84"/>
    </row>
    <row r="2" spans="1:11" x14ac:dyDescent="0.25">
      <c r="A2" s="21">
        <f>INDEX(A4:A500,MATCH(MAX(E4:E500),E4:E500,0))</f>
        <v>29056</v>
      </c>
      <c r="B2" s="21">
        <f>INDEX(B4:B500,MATCH(MAX(E4:E500),E4:E500,0))</f>
        <v>64</v>
      </c>
      <c r="C2" s="21">
        <f>INDEX(C4:C500,MATCH(MAX(E4:E500),E4:E500,0))</f>
        <v>2</v>
      </c>
      <c r="D2" s="21">
        <f>INDEX(D4:D500,MATCH(MAX(E4:E500),E4:E500,0))</f>
        <v>8</v>
      </c>
      <c r="E2" s="5">
        <f>MAX(E4:E500)</f>
        <v>9.9418199999999999</v>
      </c>
      <c r="G2" s="21">
        <f>INDEX(G4:G500,MATCH(MAX(K4:K500),K4:K500,0))</f>
        <v>28992</v>
      </c>
      <c r="H2" s="21">
        <f>INDEX(H4:H500,MATCH(MAX(K4:K500),K4:K500,0))</f>
        <v>96</v>
      </c>
      <c r="I2" s="21">
        <f>INDEX(I4:I500,MATCH(MAX(K4:K500),K4:K500,0))</f>
        <v>4</v>
      </c>
      <c r="J2" s="21">
        <f>INDEX(J4:J500,MATCH(MAX(K4:K500),K4:K500,0))</f>
        <v>4</v>
      </c>
      <c r="K2" s="5">
        <f>MAX(K4:K500)</f>
        <v>8.8250200000000003</v>
      </c>
    </row>
    <row r="3" spans="1:11" x14ac:dyDescent="0.25">
      <c r="A3" s="21" t="s">
        <v>12</v>
      </c>
      <c r="B3" s="21" t="s">
        <v>13</v>
      </c>
      <c r="C3" s="21" t="s">
        <v>14</v>
      </c>
      <c r="D3" s="21" t="s">
        <v>15</v>
      </c>
      <c r="E3" s="10" t="s">
        <v>51</v>
      </c>
      <c r="G3" s="21" t="s">
        <v>12</v>
      </c>
      <c r="H3" s="21" t="s">
        <v>13</v>
      </c>
      <c r="I3" s="21" t="s">
        <v>14</v>
      </c>
      <c r="J3" s="21" t="s">
        <v>15</v>
      </c>
      <c r="K3" s="10" t="s">
        <v>51</v>
      </c>
    </row>
    <row r="4" spans="1:11" x14ac:dyDescent="0.25">
      <c r="A4" s="18" cm="1">
        <f t="array" ref="A4:E188">_xlfn.CHOOSECOLS(_xlfn._xlws.FILTER('825 params, RAW'!A4:W500,'825 params, RAW'!A4:A500=0),3,4,5,6,23)</f>
        <v>25984</v>
      </c>
      <c r="B4" s="18">
        <v>32</v>
      </c>
      <c r="C4" s="18">
        <v>1</v>
      </c>
      <c r="D4" s="18">
        <v>16</v>
      </c>
      <c r="E4" s="3">
        <v>9.4038400000000006</v>
      </c>
      <c r="G4" s="18" cm="1">
        <f t="array" ref="G4:K164">_xlfn.CHOOSECOLS(_xlfn._xlws.FILTER('825 params, RAW'!Y4:AU500,'825 params, RAW'!Y4:Y500=0),3,4,5,6,23)</f>
        <v>25984</v>
      </c>
      <c r="H4" s="18">
        <v>32</v>
      </c>
      <c r="I4" s="18">
        <v>1</v>
      </c>
      <c r="J4" s="18">
        <v>16</v>
      </c>
      <c r="K4" s="3">
        <v>8.4492499999999993</v>
      </c>
    </row>
    <row r="5" spans="1:11" x14ac:dyDescent="0.25">
      <c r="A5" s="18">
        <v>27520</v>
      </c>
      <c r="B5" s="18">
        <v>32</v>
      </c>
      <c r="C5" s="18">
        <v>1</v>
      </c>
      <c r="D5" s="18">
        <v>16</v>
      </c>
      <c r="E5" s="3">
        <v>9.4380799999999994</v>
      </c>
      <c r="G5" s="18">
        <v>27520</v>
      </c>
      <c r="H5" s="18">
        <v>32</v>
      </c>
      <c r="I5" s="18">
        <v>1</v>
      </c>
      <c r="J5" s="18">
        <v>16</v>
      </c>
      <c r="K5" s="3">
        <v>8.4537499999999994</v>
      </c>
    </row>
    <row r="6" spans="1:11" x14ac:dyDescent="0.25">
      <c r="A6" s="18">
        <v>29056</v>
      </c>
      <c r="B6" s="18">
        <v>32</v>
      </c>
      <c r="C6" s="18">
        <v>1</v>
      </c>
      <c r="D6" s="18">
        <v>16</v>
      </c>
      <c r="E6" s="3">
        <v>9.48428</v>
      </c>
      <c r="G6" s="18">
        <v>29056</v>
      </c>
      <c r="H6" s="18">
        <v>32</v>
      </c>
      <c r="I6" s="18">
        <v>1</v>
      </c>
      <c r="J6" s="18">
        <v>16</v>
      </c>
      <c r="K6" s="3">
        <v>8.5242750000000012</v>
      </c>
    </row>
    <row r="7" spans="1:11" x14ac:dyDescent="0.25">
      <c r="A7" s="18">
        <v>25984</v>
      </c>
      <c r="B7" s="18">
        <v>32</v>
      </c>
      <c r="C7" s="18">
        <v>2</v>
      </c>
      <c r="D7" s="18">
        <v>8</v>
      </c>
      <c r="E7" s="3">
        <v>9.4645800000000015</v>
      </c>
      <c r="G7" s="18">
        <v>25984</v>
      </c>
      <c r="H7" s="18">
        <v>32</v>
      </c>
      <c r="I7" s="18">
        <v>2</v>
      </c>
      <c r="J7" s="18">
        <v>8</v>
      </c>
      <c r="K7" s="3">
        <v>8.6001750000000001</v>
      </c>
    </row>
    <row r="8" spans="1:11" x14ac:dyDescent="0.25">
      <c r="A8" s="18">
        <v>27520</v>
      </c>
      <c r="B8" s="18">
        <v>32</v>
      </c>
      <c r="C8" s="18">
        <v>2</v>
      </c>
      <c r="D8" s="18">
        <v>8</v>
      </c>
      <c r="E8" s="3">
        <v>9.5115800000000004</v>
      </c>
      <c r="G8" s="18">
        <v>27520</v>
      </c>
      <c r="H8" s="18">
        <v>32</v>
      </c>
      <c r="I8" s="18">
        <v>2</v>
      </c>
      <c r="J8" s="18">
        <v>8</v>
      </c>
      <c r="K8" s="3">
        <v>8.6270000000000007</v>
      </c>
    </row>
    <row r="9" spans="1:11" x14ac:dyDescent="0.25">
      <c r="A9" s="18">
        <v>29056</v>
      </c>
      <c r="B9" s="18">
        <v>32</v>
      </c>
      <c r="C9" s="18">
        <v>2</v>
      </c>
      <c r="D9" s="18">
        <v>8</v>
      </c>
      <c r="E9" s="3">
        <v>9.5522000000000027</v>
      </c>
      <c r="G9" s="18">
        <v>29056</v>
      </c>
      <c r="H9" s="18">
        <v>32</v>
      </c>
      <c r="I9" s="18">
        <v>2</v>
      </c>
      <c r="J9" s="18">
        <v>8</v>
      </c>
      <c r="K9" s="3">
        <v>8.664674999999999</v>
      </c>
    </row>
    <row r="10" spans="1:11" x14ac:dyDescent="0.25">
      <c r="A10" s="18">
        <v>25984</v>
      </c>
      <c r="B10" s="18">
        <v>32</v>
      </c>
      <c r="C10" s="18">
        <v>4</v>
      </c>
      <c r="D10" s="18">
        <v>4</v>
      </c>
      <c r="E10" s="3">
        <v>9.3339399999999983</v>
      </c>
      <c r="G10" s="18">
        <v>25984</v>
      </c>
      <c r="H10" s="18">
        <v>32</v>
      </c>
      <c r="I10" s="18">
        <v>4</v>
      </c>
      <c r="J10" s="18">
        <v>4</v>
      </c>
      <c r="K10" s="3">
        <v>8.5202000000000009</v>
      </c>
    </row>
    <row r="11" spans="1:11" x14ac:dyDescent="0.25">
      <c r="A11" s="18">
        <v>27520</v>
      </c>
      <c r="B11" s="18">
        <v>32</v>
      </c>
      <c r="C11" s="18">
        <v>4</v>
      </c>
      <c r="D11" s="18">
        <v>4</v>
      </c>
      <c r="E11" s="3">
        <v>9.378919999999999</v>
      </c>
      <c r="G11" s="18">
        <v>27520</v>
      </c>
      <c r="H11" s="18">
        <v>32</v>
      </c>
      <c r="I11" s="18">
        <v>4</v>
      </c>
      <c r="J11" s="18">
        <v>4</v>
      </c>
      <c r="K11" s="3">
        <v>8.5701499999999999</v>
      </c>
    </row>
    <row r="12" spans="1:11" x14ac:dyDescent="0.25">
      <c r="A12" s="18">
        <v>29056</v>
      </c>
      <c r="B12" s="18">
        <v>32</v>
      </c>
      <c r="C12" s="18">
        <v>4</v>
      </c>
      <c r="D12" s="18">
        <v>4</v>
      </c>
      <c r="E12" s="3">
        <v>9.4329199999999993</v>
      </c>
      <c r="G12" s="18">
        <v>29056</v>
      </c>
      <c r="H12" s="18">
        <v>32</v>
      </c>
      <c r="I12" s="18">
        <v>4</v>
      </c>
      <c r="J12" s="18">
        <v>4</v>
      </c>
      <c r="K12" s="3">
        <v>8.5993999999999993</v>
      </c>
    </row>
    <row r="13" spans="1:11" x14ac:dyDescent="0.25">
      <c r="A13" s="18">
        <v>25984</v>
      </c>
      <c r="B13" s="18">
        <v>64</v>
      </c>
      <c r="C13" s="18">
        <v>1</v>
      </c>
      <c r="D13" s="18">
        <v>16</v>
      </c>
      <c r="E13" s="3">
        <v>9.6138200000000005</v>
      </c>
      <c r="G13" s="18">
        <v>25984</v>
      </c>
      <c r="H13" s="18">
        <v>64</v>
      </c>
      <c r="I13" s="18">
        <v>1</v>
      </c>
      <c r="J13" s="18">
        <v>16</v>
      </c>
      <c r="K13" s="3">
        <v>8.2329749999999997</v>
      </c>
    </row>
    <row r="14" spans="1:11" x14ac:dyDescent="0.25">
      <c r="A14" s="18">
        <v>27520</v>
      </c>
      <c r="B14" s="18">
        <v>64</v>
      </c>
      <c r="C14" s="18">
        <v>1</v>
      </c>
      <c r="D14" s="18">
        <v>16</v>
      </c>
      <c r="E14" s="3">
        <v>9.6482599999999987</v>
      </c>
      <c r="G14" s="18">
        <v>27520</v>
      </c>
      <c r="H14" s="18">
        <v>64</v>
      </c>
      <c r="I14" s="18">
        <v>1</v>
      </c>
      <c r="J14" s="18">
        <v>16</v>
      </c>
      <c r="K14" s="3">
        <v>8.2601499999999994</v>
      </c>
    </row>
    <row r="15" spans="1:11" x14ac:dyDescent="0.25">
      <c r="A15" s="18">
        <v>29056</v>
      </c>
      <c r="B15" s="18">
        <v>64</v>
      </c>
      <c r="C15" s="18">
        <v>1</v>
      </c>
      <c r="D15" s="18">
        <v>16</v>
      </c>
      <c r="E15" s="3">
        <v>9.7248800000000006</v>
      </c>
      <c r="G15" s="18">
        <v>29056</v>
      </c>
      <c r="H15" s="18">
        <v>64</v>
      </c>
      <c r="I15" s="18">
        <v>1</v>
      </c>
      <c r="J15" s="18">
        <v>16</v>
      </c>
      <c r="K15" s="3">
        <v>8.3261666666666674</v>
      </c>
    </row>
    <row r="16" spans="1:11" x14ac:dyDescent="0.25">
      <c r="A16" s="18">
        <v>25984</v>
      </c>
      <c r="B16" s="18">
        <v>64</v>
      </c>
      <c r="C16" s="18">
        <v>2</v>
      </c>
      <c r="D16" s="18">
        <v>8</v>
      </c>
      <c r="E16" s="3">
        <v>9.8393800000000002</v>
      </c>
      <c r="G16" s="18">
        <v>25984</v>
      </c>
      <c r="H16" s="18">
        <v>64</v>
      </c>
      <c r="I16" s="18">
        <v>2</v>
      </c>
      <c r="J16" s="18">
        <v>8</v>
      </c>
      <c r="K16" s="3">
        <v>8.4941999999999993</v>
      </c>
    </row>
    <row r="17" spans="1:11" x14ac:dyDescent="0.25">
      <c r="A17" s="18">
        <v>27520</v>
      </c>
      <c r="B17" s="18">
        <v>64</v>
      </c>
      <c r="C17" s="18">
        <v>2</v>
      </c>
      <c r="D17" s="18">
        <v>8</v>
      </c>
      <c r="E17" s="3">
        <v>9.8889999999999993</v>
      </c>
      <c r="G17" s="18">
        <v>27520</v>
      </c>
      <c r="H17" s="18">
        <v>64</v>
      </c>
      <c r="I17" s="18">
        <v>2</v>
      </c>
      <c r="J17" s="18">
        <v>8</v>
      </c>
      <c r="K17" s="3">
        <v>8.5246250000000003</v>
      </c>
    </row>
    <row r="18" spans="1:11" x14ac:dyDescent="0.25">
      <c r="A18" s="18">
        <v>29056</v>
      </c>
      <c r="B18" s="18">
        <v>64</v>
      </c>
      <c r="C18" s="18">
        <v>2</v>
      </c>
      <c r="D18" s="18">
        <v>8</v>
      </c>
      <c r="E18" s="3">
        <v>9.9418199999999999</v>
      </c>
      <c r="G18" s="18">
        <v>29056</v>
      </c>
      <c r="H18" s="18">
        <v>64</v>
      </c>
      <c r="I18" s="18">
        <v>2</v>
      </c>
      <c r="J18" s="18">
        <v>8</v>
      </c>
      <c r="K18" s="3">
        <v>8.5663999999999998</v>
      </c>
    </row>
    <row r="19" spans="1:11" x14ac:dyDescent="0.25">
      <c r="A19" s="18">
        <v>25984</v>
      </c>
      <c r="B19" s="18">
        <v>64</v>
      </c>
      <c r="C19" s="18">
        <v>4</v>
      </c>
      <c r="D19" s="18">
        <v>4</v>
      </c>
      <c r="E19" s="3">
        <v>9.7233200000000011</v>
      </c>
      <c r="G19" s="18">
        <v>25984</v>
      </c>
      <c r="H19" s="18">
        <v>64</v>
      </c>
      <c r="I19" s="18">
        <v>4</v>
      </c>
      <c r="J19" s="18">
        <v>4</v>
      </c>
      <c r="K19" s="3">
        <v>8.7292500000000004</v>
      </c>
    </row>
    <row r="20" spans="1:11" x14ac:dyDescent="0.25">
      <c r="A20" s="18">
        <v>27520</v>
      </c>
      <c r="B20" s="18">
        <v>64</v>
      </c>
      <c r="C20" s="18">
        <v>4</v>
      </c>
      <c r="D20" s="18">
        <v>4</v>
      </c>
      <c r="E20" s="3">
        <v>9.7839399999999994</v>
      </c>
      <c r="G20" s="18">
        <v>27520</v>
      </c>
      <c r="H20" s="18">
        <v>64</v>
      </c>
      <c r="I20" s="18">
        <v>4</v>
      </c>
      <c r="J20" s="18">
        <v>4</v>
      </c>
      <c r="K20" s="3">
        <v>8.6821000000000002</v>
      </c>
    </row>
    <row r="21" spans="1:11" x14ac:dyDescent="0.25">
      <c r="A21" s="18">
        <v>29056</v>
      </c>
      <c r="B21" s="18">
        <v>64</v>
      </c>
      <c r="C21" s="18">
        <v>4</v>
      </c>
      <c r="D21" s="18">
        <v>4</v>
      </c>
      <c r="E21" s="3">
        <v>9.8408800000000003</v>
      </c>
      <c r="G21" s="18">
        <v>29056</v>
      </c>
      <c r="H21" s="18">
        <v>64</v>
      </c>
      <c r="I21" s="18">
        <v>4</v>
      </c>
      <c r="J21" s="18">
        <v>4</v>
      </c>
      <c r="K21" s="3">
        <v>8.8155666666666672</v>
      </c>
    </row>
    <row r="22" spans="1:11" x14ac:dyDescent="0.25">
      <c r="A22" s="18">
        <v>25920</v>
      </c>
      <c r="B22" s="18">
        <v>96</v>
      </c>
      <c r="C22" s="18">
        <v>1</v>
      </c>
      <c r="D22" s="18">
        <v>16</v>
      </c>
      <c r="E22" s="3">
        <v>9.3758999999999997</v>
      </c>
      <c r="G22" s="18">
        <v>25920</v>
      </c>
      <c r="H22" s="18">
        <v>96</v>
      </c>
      <c r="I22" s="18">
        <v>1</v>
      </c>
      <c r="J22" s="18">
        <v>16</v>
      </c>
      <c r="K22" s="3">
        <v>8.3480600000000003</v>
      </c>
    </row>
    <row r="23" spans="1:11" x14ac:dyDescent="0.25">
      <c r="A23" s="18">
        <v>27456</v>
      </c>
      <c r="B23" s="18">
        <v>96</v>
      </c>
      <c r="C23" s="18">
        <v>1</v>
      </c>
      <c r="D23" s="18">
        <v>16</v>
      </c>
      <c r="E23" s="3">
        <v>9.4773200000000006</v>
      </c>
      <c r="G23" s="18">
        <v>27456</v>
      </c>
      <c r="H23" s="18">
        <v>96</v>
      </c>
      <c r="I23" s="18">
        <v>1</v>
      </c>
      <c r="J23" s="18">
        <v>16</v>
      </c>
      <c r="K23" s="3">
        <v>8.4121600000000001</v>
      </c>
    </row>
    <row r="24" spans="1:11" x14ac:dyDescent="0.25">
      <c r="A24" s="18">
        <v>28992</v>
      </c>
      <c r="B24" s="18">
        <v>96</v>
      </c>
      <c r="C24" s="18">
        <v>1</v>
      </c>
      <c r="D24" s="18">
        <v>16</v>
      </c>
      <c r="E24" s="3">
        <v>9.5436799999999984</v>
      </c>
      <c r="G24" s="18">
        <v>28992</v>
      </c>
      <c r="H24" s="18">
        <v>96</v>
      </c>
      <c r="I24" s="18">
        <v>1</v>
      </c>
      <c r="J24" s="18">
        <v>16</v>
      </c>
      <c r="K24" s="3">
        <v>8.4743999999999993</v>
      </c>
    </row>
    <row r="25" spans="1:11" x14ac:dyDescent="0.25">
      <c r="A25" s="18">
        <v>25920</v>
      </c>
      <c r="B25" s="18">
        <v>96</v>
      </c>
      <c r="C25" s="18">
        <v>2</v>
      </c>
      <c r="D25" s="18">
        <v>8</v>
      </c>
      <c r="E25" s="3">
        <v>9.6735799999999994</v>
      </c>
      <c r="G25" s="18">
        <v>25920</v>
      </c>
      <c r="H25" s="18">
        <v>96</v>
      </c>
      <c r="I25" s="18">
        <v>2</v>
      </c>
      <c r="J25" s="18">
        <v>8</v>
      </c>
      <c r="K25" s="3">
        <v>8.6877800000000001</v>
      </c>
    </row>
    <row r="26" spans="1:11" x14ac:dyDescent="0.25">
      <c r="A26" s="18">
        <v>27456</v>
      </c>
      <c r="B26" s="18">
        <v>96</v>
      </c>
      <c r="C26" s="18">
        <v>2</v>
      </c>
      <c r="D26" s="18">
        <v>8</v>
      </c>
      <c r="E26" s="3">
        <v>9.79908</v>
      </c>
      <c r="G26" s="18">
        <v>27456</v>
      </c>
      <c r="H26" s="18">
        <v>96</v>
      </c>
      <c r="I26" s="18">
        <v>2</v>
      </c>
      <c r="J26" s="18">
        <v>8</v>
      </c>
      <c r="K26" s="3">
        <v>8.7472600000000007</v>
      </c>
    </row>
    <row r="27" spans="1:11" x14ac:dyDescent="0.25">
      <c r="A27" s="18">
        <v>28992</v>
      </c>
      <c r="B27" s="18">
        <v>96</v>
      </c>
      <c r="C27" s="18">
        <v>2</v>
      </c>
      <c r="D27" s="18">
        <v>8</v>
      </c>
      <c r="E27" s="3">
        <v>9.8691600000000008</v>
      </c>
      <c r="G27" s="18">
        <v>28992</v>
      </c>
      <c r="H27" s="18">
        <v>96</v>
      </c>
      <c r="I27" s="18">
        <v>2</v>
      </c>
      <c r="J27" s="18">
        <v>8</v>
      </c>
      <c r="K27" s="3">
        <v>8.7934599999999996</v>
      </c>
    </row>
    <row r="28" spans="1:11" x14ac:dyDescent="0.25">
      <c r="A28" s="18">
        <v>25920</v>
      </c>
      <c r="B28" s="18">
        <v>96</v>
      </c>
      <c r="C28" s="18">
        <v>4</v>
      </c>
      <c r="D28" s="18">
        <v>4</v>
      </c>
      <c r="E28" s="3">
        <v>9.5786800000000003</v>
      </c>
      <c r="G28" s="18">
        <v>25920</v>
      </c>
      <c r="H28" s="18">
        <v>96</v>
      </c>
      <c r="I28" s="18">
        <v>4</v>
      </c>
      <c r="J28" s="18">
        <v>4</v>
      </c>
      <c r="K28" s="3">
        <v>8.6922999999999995</v>
      </c>
    </row>
    <row r="29" spans="1:11" x14ac:dyDescent="0.25">
      <c r="A29" s="18">
        <v>27456</v>
      </c>
      <c r="B29" s="18">
        <v>96</v>
      </c>
      <c r="C29" s="18">
        <v>4</v>
      </c>
      <c r="D29" s="18">
        <v>4</v>
      </c>
      <c r="E29" s="3">
        <v>9.7294199999999993</v>
      </c>
      <c r="G29" s="18">
        <v>27456</v>
      </c>
      <c r="H29" s="18">
        <v>96</v>
      </c>
      <c r="I29" s="18">
        <v>4</v>
      </c>
      <c r="J29" s="18">
        <v>4</v>
      </c>
      <c r="K29" s="3">
        <v>8.6753800000000005</v>
      </c>
    </row>
    <row r="30" spans="1:11" x14ac:dyDescent="0.25">
      <c r="A30" s="18">
        <v>28992</v>
      </c>
      <c r="B30" s="18">
        <v>96</v>
      </c>
      <c r="C30" s="18">
        <v>4</v>
      </c>
      <c r="D30" s="18">
        <v>4</v>
      </c>
      <c r="E30" s="3">
        <v>9.7971600000000016</v>
      </c>
      <c r="G30" s="18">
        <v>28992</v>
      </c>
      <c r="H30" s="18">
        <v>96</v>
      </c>
      <c r="I30" s="18">
        <v>4</v>
      </c>
      <c r="J30" s="18">
        <v>4</v>
      </c>
      <c r="K30" s="3">
        <v>8.8250200000000003</v>
      </c>
    </row>
    <row r="31" spans="1:11" x14ac:dyDescent="0.25">
      <c r="A31" s="18">
        <v>25984</v>
      </c>
      <c r="B31" s="18">
        <v>128</v>
      </c>
      <c r="C31" s="18">
        <v>1</v>
      </c>
      <c r="D31" s="18">
        <v>16</v>
      </c>
      <c r="E31" s="3">
        <v>9.1410799999999988</v>
      </c>
      <c r="G31" s="18">
        <v>25984</v>
      </c>
      <c r="H31" s="18">
        <v>128</v>
      </c>
      <c r="I31" s="18">
        <v>1</v>
      </c>
      <c r="J31" s="18">
        <v>16</v>
      </c>
      <c r="K31" s="3">
        <v>8.0597799999999999</v>
      </c>
    </row>
    <row r="32" spans="1:11" x14ac:dyDescent="0.25">
      <c r="A32" s="18">
        <v>27520</v>
      </c>
      <c r="B32" s="18">
        <v>128</v>
      </c>
      <c r="C32" s="18">
        <v>1</v>
      </c>
      <c r="D32" s="18">
        <v>16</v>
      </c>
      <c r="E32" s="3">
        <v>9.2016799999999996</v>
      </c>
      <c r="G32" s="18">
        <v>27520</v>
      </c>
      <c r="H32" s="18">
        <v>128</v>
      </c>
      <c r="I32" s="18">
        <v>1</v>
      </c>
      <c r="J32" s="18">
        <v>16</v>
      </c>
      <c r="K32" s="3">
        <v>8.1036600000000014</v>
      </c>
    </row>
    <row r="33" spans="1:11" x14ac:dyDescent="0.25">
      <c r="A33" s="18">
        <v>29056</v>
      </c>
      <c r="B33" s="18">
        <v>128</v>
      </c>
      <c r="C33" s="18">
        <v>1</v>
      </c>
      <c r="D33" s="18">
        <v>16</v>
      </c>
      <c r="E33" s="3">
        <v>9.2985599999999984</v>
      </c>
      <c r="G33" s="18">
        <v>29056</v>
      </c>
      <c r="H33" s="18">
        <v>128</v>
      </c>
      <c r="I33" s="18">
        <v>1</v>
      </c>
      <c r="J33" s="18">
        <v>16</v>
      </c>
      <c r="K33" s="3">
        <v>8.1985599999999987</v>
      </c>
    </row>
    <row r="34" spans="1:11" x14ac:dyDescent="0.25">
      <c r="A34" s="18">
        <v>25984</v>
      </c>
      <c r="B34" s="18">
        <v>128</v>
      </c>
      <c r="C34" s="18">
        <v>2</v>
      </c>
      <c r="D34" s="18">
        <v>8</v>
      </c>
      <c r="E34" s="3">
        <v>9.5605999999999991</v>
      </c>
      <c r="G34" s="18">
        <v>25984</v>
      </c>
      <c r="H34" s="18">
        <v>128</v>
      </c>
      <c r="I34" s="18">
        <v>2</v>
      </c>
      <c r="J34" s="18">
        <v>8</v>
      </c>
      <c r="K34" s="3">
        <v>8.4330999999999996</v>
      </c>
    </row>
    <row r="35" spans="1:11" x14ac:dyDescent="0.25">
      <c r="A35" s="18">
        <v>27520</v>
      </c>
      <c r="B35" s="18">
        <v>128</v>
      </c>
      <c r="C35" s="18">
        <v>2</v>
      </c>
      <c r="D35" s="18">
        <v>8</v>
      </c>
      <c r="E35" s="3">
        <v>9.5863600000000009</v>
      </c>
      <c r="G35" s="18">
        <v>27520</v>
      </c>
      <c r="H35" s="18">
        <v>128</v>
      </c>
      <c r="I35" s="18">
        <v>2</v>
      </c>
      <c r="J35" s="18">
        <v>8</v>
      </c>
      <c r="K35" s="3">
        <v>8.3785000000000007</v>
      </c>
    </row>
    <row r="36" spans="1:11" x14ac:dyDescent="0.25">
      <c r="A36" s="18">
        <v>29056</v>
      </c>
      <c r="B36" s="18">
        <v>128</v>
      </c>
      <c r="C36" s="18">
        <v>2</v>
      </c>
      <c r="D36" s="18">
        <v>8</v>
      </c>
      <c r="E36" s="3">
        <v>9.6924399999999995</v>
      </c>
      <c r="G36" s="18">
        <v>29056</v>
      </c>
      <c r="H36" s="18">
        <v>128</v>
      </c>
      <c r="I36" s="18">
        <v>2</v>
      </c>
      <c r="J36" s="18">
        <v>8</v>
      </c>
      <c r="K36" s="3">
        <v>8.5572799999999987</v>
      </c>
    </row>
    <row r="37" spans="1:11" x14ac:dyDescent="0.25">
      <c r="A37" s="18">
        <v>25984</v>
      </c>
      <c r="B37" s="18">
        <v>128</v>
      </c>
      <c r="C37" s="18">
        <v>4</v>
      </c>
      <c r="D37" s="18">
        <v>4</v>
      </c>
      <c r="E37" s="3">
        <v>9.503680000000001</v>
      </c>
      <c r="G37" s="18">
        <v>25984</v>
      </c>
      <c r="H37" s="18">
        <v>128</v>
      </c>
      <c r="I37" s="18">
        <v>4</v>
      </c>
      <c r="J37" s="18">
        <v>4</v>
      </c>
      <c r="K37" s="3">
        <v>8.6457200000000007</v>
      </c>
    </row>
    <row r="38" spans="1:11" x14ac:dyDescent="0.25">
      <c r="A38" s="18">
        <v>27520</v>
      </c>
      <c r="B38" s="18">
        <v>128</v>
      </c>
      <c r="C38" s="18">
        <v>4</v>
      </c>
      <c r="D38" s="18">
        <v>4</v>
      </c>
      <c r="E38" s="3">
        <v>9.5828600000000002</v>
      </c>
      <c r="G38" s="18">
        <v>27520</v>
      </c>
      <c r="H38" s="18">
        <v>128</v>
      </c>
      <c r="I38" s="18">
        <v>4</v>
      </c>
      <c r="J38" s="18">
        <v>4</v>
      </c>
      <c r="K38" s="3">
        <v>8.5977199999999989</v>
      </c>
    </row>
    <row r="39" spans="1:11" x14ac:dyDescent="0.25">
      <c r="A39" s="18">
        <v>29056</v>
      </c>
      <c r="B39" s="18">
        <v>128</v>
      </c>
      <c r="C39" s="18">
        <v>4</v>
      </c>
      <c r="D39" s="18">
        <v>4</v>
      </c>
      <c r="E39" s="3">
        <v>9.6569000000000003</v>
      </c>
      <c r="G39" s="18">
        <v>29056</v>
      </c>
      <c r="H39" s="18">
        <v>128</v>
      </c>
      <c r="I39" s="18">
        <v>4</v>
      </c>
      <c r="J39" s="18">
        <v>4</v>
      </c>
      <c r="K39" s="3">
        <v>8.7161200000000001</v>
      </c>
    </row>
    <row r="40" spans="1:11" x14ac:dyDescent="0.25">
      <c r="A40" s="18">
        <v>25920</v>
      </c>
      <c r="B40" s="18">
        <v>160</v>
      </c>
      <c r="C40" s="18">
        <v>1</v>
      </c>
      <c r="D40" s="18">
        <v>16</v>
      </c>
      <c r="E40" s="3">
        <v>8.9756800000000005</v>
      </c>
      <c r="G40" s="18">
        <v>25920</v>
      </c>
      <c r="H40" s="18">
        <v>160</v>
      </c>
      <c r="I40" s="18">
        <v>1</v>
      </c>
      <c r="J40" s="18">
        <v>16</v>
      </c>
      <c r="K40" s="3">
        <v>7.9623999999999997</v>
      </c>
    </row>
    <row r="41" spans="1:11" x14ac:dyDescent="0.25">
      <c r="A41" s="18">
        <v>27520</v>
      </c>
      <c r="B41" s="18">
        <v>160</v>
      </c>
      <c r="C41" s="18">
        <v>1</v>
      </c>
      <c r="D41" s="18">
        <v>16</v>
      </c>
      <c r="E41" s="3">
        <v>9.0373600000000014</v>
      </c>
      <c r="G41" s="18">
        <v>27520</v>
      </c>
      <c r="H41" s="18">
        <v>160</v>
      </c>
      <c r="I41" s="18">
        <v>1</v>
      </c>
      <c r="J41" s="18">
        <v>16</v>
      </c>
      <c r="K41" s="3">
        <v>7.9848200000000009</v>
      </c>
    </row>
    <row r="42" spans="1:11" x14ac:dyDescent="0.25">
      <c r="A42" s="18">
        <v>28960</v>
      </c>
      <c r="B42" s="18">
        <v>160</v>
      </c>
      <c r="C42" s="18">
        <v>1</v>
      </c>
      <c r="D42" s="18">
        <v>16</v>
      </c>
      <c r="E42" s="3">
        <v>9.1201399999999975</v>
      </c>
      <c r="G42" s="18">
        <v>28960</v>
      </c>
      <c r="H42" s="18">
        <v>160</v>
      </c>
      <c r="I42" s="18">
        <v>1</v>
      </c>
      <c r="J42" s="18">
        <v>16</v>
      </c>
      <c r="K42" s="3">
        <v>8.1071799999999996</v>
      </c>
    </row>
    <row r="43" spans="1:11" x14ac:dyDescent="0.25">
      <c r="A43" s="18">
        <v>25920</v>
      </c>
      <c r="B43" s="18">
        <v>160</v>
      </c>
      <c r="C43" s="18">
        <v>2</v>
      </c>
      <c r="D43" s="18">
        <v>8</v>
      </c>
      <c r="E43" s="3">
        <v>9.4663799999999991</v>
      </c>
      <c r="G43" s="18">
        <v>25920</v>
      </c>
      <c r="H43" s="18">
        <v>160</v>
      </c>
      <c r="I43" s="18">
        <v>2</v>
      </c>
      <c r="J43" s="18">
        <v>8</v>
      </c>
      <c r="K43" s="3">
        <v>8.4623400000000011</v>
      </c>
    </row>
    <row r="44" spans="1:11" x14ac:dyDescent="0.25">
      <c r="A44" s="18">
        <v>27520</v>
      </c>
      <c r="B44" s="18">
        <v>160</v>
      </c>
      <c r="C44" s="18">
        <v>2</v>
      </c>
      <c r="D44" s="18">
        <v>8</v>
      </c>
      <c r="E44" s="3">
        <v>9.5506400000000014</v>
      </c>
      <c r="G44" s="18">
        <v>27520</v>
      </c>
      <c r="H44" s="18">
        <v>160</v>
      </c>
      <c r="I44" s="18">
        <v>2</v>
      </c>
      <c r="J44" s="18">
        <v>8</v>
      </c>
      <c r="K44" s="3">
        <v>8.5068200000000012</v>
      </c>
    </row>
    <row r="45" spans="1:11" x14ac:dyDescent="0.25">
      <c r="A45" s="18">
        <v>28960</v>
      </c>
      <c r="B45" s="18">
        <v>160</v>
      </c>
      <c r="C45" s="18">
        <v>2</v>
      </c>
      <c r="D45" s="18">
        <v>8</v>
      </c>
      <c r="E45" s="3">
        <v>9.6245399999999997</v>
      </c>
      <c r="G45" s="18">
        <v>28960</v>
      </c>
      <c r="H45" s="18">
        <v>160</v>
      </c>
      <c r="I45" s="18">
        <v>2</v>
      </c>
      <c r="J45" s="18">
        <v>8</v>
      </c>
      <c r="K45" s="3">
        <v>8.5683600000000002</v>
      </c>
    </row>
    <row r="46" spans="1:11" x14ac:dyDescent="0.25">
      <c r="A46" s="18">
        <v>25920</v>
      </c>
      <c r="B46" s="18">
        <v>160</v>
      </c>
      <c r="C46" s="18">
        <v>4</v>
      </c>
      <c r="D46" s="18">
        <v>4</v>
      </c>
      <c r="E46" s="3">
        <v>9.4558</v>
      </c>
      <c r="G46" s="18">
        <v>25920</v>
      </c>
      <c r="H46" s="18">
        <v>160</v>
      </c>
      <c r="I46" s="18">
        <v>4</v>
      </c>
      <c r="J46" s="18">
        <v>4</v>
      </c>
      <c r="K46" s="3">
        <v>8.5682599999999987</v>
      </c>
    </row>
    <row r="47" spans="1:11" x14ac:dyDescent="0.25">
      <c r="A47" s="18">
        <v>27520</v>
      </c>
      <c r="B47" s="18">
        <v>160</v>
      </c>
      <c r="C47" s="18">
        <v>4</v>
      </c>
      <c r="D47" s="18">
        <v>4</v>
      </c>
      <c r="E47" s="3">
        <v>9.5339800000000015</v>
      </c>
      <c r="G47" s="18">
        <v>27520</v>
      </c>
      <c r="H47" s="18">
        <v>160</v>
      </c>
      <c r="I47" s="18">
        <v>4</v>
      </c>
      <c r="J47" s="18">
        <v>4</v>
      </c>
      <c r="K47" s="3">
        <v>8.6957399999999971</v>
      </c>
    </row>
    <row r="48" spans="1:11" x14ac:dyDescent="0.25">
      <c r="A48" s="18">
        <v>28960</v>
      </c>
      <c r="B48" s="18">
        <v>160</v>
      </c>
      <c r="C48" s="18">
        <v>4</v>
      </c>
      <c r="D48" s="18">
        <v>4</v>
      </c>
      <c r="E48" s="3">
        <v>9.6189399999999985</v>
      </c>
      <c r="G48" s="18">
        <v>28960</v>
      </c>
      <c r="H48" s="18">
        <v>160</v>
      </c>
      <c r="I48" s="18">
        <v>4</v>
      </c>
      <c r="J48" s="18">
        <v>4</v>
      </c>
      <c r="K48" s="3">
        <v>8.7570999999999994</v>
      </c>
    </row>
    <row r="49" spans="1:11" x14ac:dyDescent="0.25">
      <c r="A49" s="18">
        <v>25920</v>
      </c>
      <c r="B49" s="18">
        <v>192</v>
      </c>
      <c r="C49" s="18">
        <v>1</v>
      </c>
      <c r="D49" s="18">
        <v>16</v>
      </c>
      <c r="E49" s="3">
        <v>8.7433399999999999</v>
      </c>
      <c r="G49" s="18">
        <v>25920</v>
      </c>
      <c r="H49" s="18">
        <v>192</v>
      </c>
      <c r="I49" s="18">
        <v>1</v>
      </c>
      <c r="J49" s="18">
        <v>16</v>
      </c>
      <c r="K49" s="3">
        <v>7.8493599999999999</v>
      </c>
    </row>
    <row r="50" spans="1:11" x14ac:dyDescent="0.25">
      <c r="A50" s="18">
        <v>27456</v>
      </c>
      <c r="B50" s="18">
        <v>192</v>
      </c>
      <c r="C50" s="18">
        <v>1</v>
      </c>
      <c r="D50" s="18">
        <v>16</v>
      </c>
      <c r="E50" s="3">
        <v>8.8647200000000002</v>
      </c>
      <c r="G50" s="18">
        <v>27456</v>
      </c>
      <c r="H50" s="18">
        <v>192</v>
      </c>
      <c r="I50" s="18">
        <v>1</v>
      </c>
      <c r="J50" s="18">
        <v>16</v>
      </c>
      <c r="K50" s="3">
        <v>7.9562799999999996</v>
      </c>
    </row>
    <row r="51" spans="1:11" x14ac:dyDescent="0.25">
      <c r="A51" s="18">
        <v>28992</v>
      </c>
      <c r="B51" s="18">
        <v>192</v>
      </c>
      <c r="C51" s="18">
        <v>1</v>
      </c>
      <c r="D51" s="18">
        <v>16</v>
      </c>
      <c r="E51" s="3">
        <v>8.9154000000000018</v>
      </c>
      <c r="G51" s="18">
        <v>28992</v>
      </c>
      <c r="H51" s="18">
        <v>192</v>
      </c>
      <c r="I51" s="18">
        <v>1</v>
      </c>
      <c r="J51" s="18">
        <v>16</v>
      </c>
      <c r="K51" s="3">
        <v>7.958800000000001</v>
      </c>
    </row>
    <row r="52" spans="1:11" x14ac:dyDescent="0.25">
      <c r="A52" s="18">
        <v>25920</v>
      </c>
      <c r="B52" s="18">
        <v>192</v>
      </c>
      <c r="C52" s="18">
        <v>2</v>
      </c>
      <c r="D52" s="18">
        <v>8</v>
      </c>
      <c r="E52" s="3">
        <v>9.3412399999999991</v>
      </c>
      <c r="G52" s="18">
        <v>25920</v>
      </c>
      <c r="H52" s="18">
        <v>192</v>
      </c>
      <c r="I52" s="18">
        <v>2</v>
      </c>
      <c r="J52" s="18">
        <v>8</v>
      </c>
      <c r="K52" s="3">
        <v>8.3569599999999991</v>
      </c>
    </row>
    <row r="53" spans="1:11" x14ac:dyDescent="0.25">
      <c r="A53" s="18">
        <v>27456</v>
      </c>
      <c r="B53" s="18">
        <v>192</v>
      </c>
      <c r="C53" s="18">
        <v>2</v>
      </c>
      <c r="D53" s="18">
        <v>8</v>
      </c>
      <c r="E53" s="3">
        <v>9.4063799999999986</v>
      </c>
      <c r="G53" s="18">
        <v>27456</v>
      </c>
      <c r="H53" s="18">
        <v>192</v>
      </c>
      <c r="I53" s="18">
        <v>2</v>
      </c>
      <c r="J53" s="18">
        <v>8</v>
      </c>
      <c r="K53" s="3">
        <v>8.3307600000000015</v>
      </c>
    </row>
    <row r="54" spans="1:11" x14ac:dyDescent="0.25">
      <c r="A54" s="18">
        <v>28992</v>
      </c>
      <c r="B54" s="18">
        <v>192</v>
      </c>
      <c r="C54" s="18">
        <v>2</v>
      </c>
      <c r="D54" s="18">
        <v>8</v>
      </c>
      <c r="E54" s="3">
        <v>9.5130400000000002</v>
      </c>
      <c r="G54" s="18">
        <v>28992</v>
      </c>
      <c r="H54" s="18">
        <v>192</v>
      </c>
      <c r="I54" s="18">
        <v>2</v>
      </c>
      <c r="J54" s="18">
        <v>8</v>
      </c>
      <c r="K54" s="3">
        <v>8.5022800000000007</v>
      </c>
    </row>
    <row r="55" spans="1:11" x14ac:dyDescent="0.25">
      <c r="A55" s="18">
        <v>25920</v>
      </c>
      <c r="B55" s="18">
        <v>192</v>
      </c>
      <c r="C55" s="18">
        <v>4</v>
      </c>
      <c r="D55" s="18">
        <v>4</v>
      </c>
      <c r="E55" s="3">
        <v>9.3132599999999996</v>
      </c>
      <c r="G55" s="18">
        <v>25920</v>
      </c>
      <c r="H55" s="18">
        <v>192</v>
      </c>
      <c r="I55" s="18">
        <v>4</v>
      </c>
      <c r="J55" s="18">
        <v>4</v>
      </c>
      <c r="K55" s="3">
        <v>8.4873999999999992</v>
      </c>
    </row>
    <row r="56" spans="1:11" x14ac:dyDescent="0.25">
      <c r="A56" s="18">
        <v>27456</v>
      </c>
      <c r="B56" s="18">
        <v>192</v>
      </c>
      <c r="C56" s="18">
        <v>4</v>
      </c>
      <c r="D56" s="18">
        <v>4</v>
      </c>
      <c r="E56" s="3">
        <v>9.4525600000000001</v>
      </c>
      <c r="G56" s="18">
        <v>27456</v>
      </c>
      <c r="H56" s="18">
        <v>192</v>
      </c>
      <c r="I56" s="18">
        <v>4</v>
      </c>
      <c r="J56" s="18">
        <v>4</v>
      </c>
      <c r="K56" s="3">
        <v>8.4788199999999989</v>
      </c>
    </row>
    <row r="57" spans="1:11" x14ac:dyDescent="0.25">
      <c r="A57" s="18">
        <v>28992</v>
      </c>
      <c r="B57" s="18">
        <v>192</v>
      </c>
      <c r="C57" s="18">
        <v>4</v>
      </c>
      <c r="D57" s="18">
        <v>4</v>
      </c>
      <c r="E57" s="3">
        <v>9.5127800000000011</v>
      </c>
      <c r="G57" s="18">
        <v>28992</v>
      </c>
      <c r="H57" s="18">
        <v>192</v>
      </c>
      <c r="I57" s="18">
        <v>4</v>
      </c>
      <c r="J57" s="18">
        <v>4</v>
      </c>
      <c r="K57" s="3">
        <v>8.6183800000000002</v>
      </c>
    </row>
    <row r="58" spans="1:11" x14ac:dyDescent="0.25">
      <c r="A58" s="18">
        <v>25984</v>
      </c>
      <c r="B58" s="18">
        <v>224</v>
      </c>
      <c r="C58" s="18">
        <v>1</v>
      </c>
      <c r="D58" s="18">
        <v>16</v>
      </c>
      <c r="E58" s="3">
        <v>8.5509599999999999</v>
      </c>
      <c r="G58" s="18">
        <v>25984</v>
      </c>
      <c r="H58" s="18">
        <v>224</v>
      </c>
      <c r="I58" s="18">
        <v>1</v>
      </c>
      <c r="J58" s="18">
        <v>16</v>
      </c>
      <c r="K58" s="3">
        <v>7.5896799999999995</v>
      </c>
    </row>
    <row r="59" spans="1:11" x14ac:dyDescent="0.25">
      <c r="A59" s="18">
        <v>27328</v>
      </c>
      <c r="B59" s="18">
        <v>224</v>
      </c>
      <c r="C59" s="18">
        <v>1</v>
      </c>
      <c r="D59" s="18">
        <v>16</v>
      </c>
      <c r="E59" s="3">
        <v>8.61402</v>
      </c>
      <c r="G59" s="18">
        <v>27328</v>
      </c>
      <c r="H59" s="18">
        <v>224</v>
      </c>
      <c r="I59" s="18">
        <v>1</v>
      </c>
      <c r="J59" s="18">
        <v>16</v>
      </c>
      <c r="K59" s="3">
        <v>7.673519999999999</v>
      </c>
    </row>
    <row r="60" spans="1:11" x14ac:dyDescent="0.25">
      <c r="A60" s="18">
        <v>28896</v>
      </c>
      <c r="B60" s="18">
        <v>224</v>
      </c>
      <c r="C60" s="18">
        <v>1</v>
      </c>
      <c r="D60" s="18">
        <v>16</v>
      </c>
      <c r="E60" s="3">
        <v>8.7361599999999999</v>
      </c>
      <c r="G60" s="18">
        <v>28896</v>
      </c>
      <c r="H60" s="18">
        <v>224</v>
      </c>
      <c r="I60" s="18">
        <v>1</v>
      </c>
      <c r="J60" s="18">
        <v>16</v>
      </c>
      <c r="K60" s="3">
        <v>7.8007999999999997</v>
      </c>
    </row>
    <row r="61" spans="1:11" x14ac:dyDescent="0.25">
      <c r="A61" s="18">
        <v>25984</v>
      </c>
      <c r="B61" s="18">
        <v>224</v>
      </c>
      <c r="C61" s="18">
        <v>2</v>
      </c>
      <c r="D61" s="18">
        <v>8</v>
      </c>
      <c r="E61" s="3">
        <v>9.1887599999999985</v>
      </c>
      <c r="G61" s="18">
        <v>25984</v>
      </c>
      <c r="H61" s="18">
        <v>224</v>
      </c>
      <c r="I61" s="18">
        <v>2</v>
      </c>
      <c r="J61" s="18">
        <v>8</v>
      </c>
      <c r="K61" s="3">
        <v>8.2303400000000018</v>
      </c>
    </row>
    <row r="62" spans="1:11" x14ac:dyDescent="0.25">
      <c r="A62" s="18">
        <v>27328</v>
      </c>
      <c r="B62" s="18">
        <v>224</v>
      </c>
      <c r="C62" s="18">
        <v>2</v>
      </c>
      <c r="D62" s="18">
        <v>8</v>
      </c>
      <c r="E62" s="3">
        <v>9.2763400000000011</v>
      </c>
      <c r="G62" s="18">
        <v>27328</v>
      </c>
      <c r="H62" s="18">
        <v>224</v>
      </c>
      <c r="I62" s="18">
        <v>2</v>
      </c>
      <c r="J62" s="18">
        <v>8</v>
      </c>
      <c r="K62" s="3">
        <v>8.3139000000000003</v>
      </c>
    </row>
    <row r="63" spans="1:11" x14ac:dyDescent="0.25">
      <c r="A63" s="18">
        <v>28896</v>
      </c>
      <c r="B63" s="18">
        <v>224</v>
      </c>
      <c r="C63" s="18">
        <v>2</v>
      </c>
      <c r="D63" s="18">
        <v>8</v>
      </c>
      <c r="E63" s="3">
        <v>9.3466199999999997</v>
      </c>
      <c r="G63" s="18">
        <v>28896</v>
      </c>
      <c r="H63" s="18">
        <v>224</v>
      </c>
      <c r="I63" s="18">
        <v>2</v>
      </c>
      <c r="J63" s="18">
        <v>8</v>
      </c>
      <c r="K63" s="3">
        <v>8.3149199999999972</v>
      </c>
    </row>
    <row r="64" spans="1:11" x14ac:dyDescent="0.25">
      <c r="A64" s="18">
        <v>25984</v>
      </c>
      <c r="B64" s="18">
        <v>224</v>
      </c>
      <c r="C64" s="18">
        <v>4</v>
      </c>
      <c r="D64" s="18">
        <v>4</v>
      </c>
      <c r="E64" s="3">
        <v>9.2043200000000009</v>
      </c>
      <c r="G64" s="18">
        <v>25984</v>
      </c>
      <c r="H64" s="18">
        <v>224</v>
      </c>
      <c r="I64" s="18">
        <v>4</v>
      </c>
      <c r="J64" s="18">
        <v>4</v>
      </c>
      <c r="K64" s="3">
        <v>8.3906399999999994</v>
      </c>
    </row>
    <row r="65" spans="1:11" x14ac:dyDescent="0.25">
      <c r="A65" s="18">
        <v>27328</v>
      </c>
      <c r="B65" s="18">
        <v>224</v>
      </c>
      <c r="C65" s="18">
        <v>4</v>
      </c>
      <c r="D65" s="18">
        <v>4</v>
      </c>
      <c r="E65" s="3">
        <v>9.3203399999999981</v>
      </c>
      <c r="G65" s="18">
        <v>27328</v>
      </c>
      <c r="H65" s="18">
        <v>224</v>
      </c>
      <c r="I65" s="18">
        <v>4</v>
      </c>
      <c r="J65" s="18">
        <v>4</v>
      </c>
      <c r="K65" s="3">
        <v>8.447379999999999</v>
      </c>
    </row>
    <row r="66" spans="1:11" x14ac:dyDescent="0.25">
      <c r="A66" s="18">
        <v>28896</v>
      </c>
      <c r="B66" s="18">
        <v>224</v>
      </c>
      <c r="C66" s="18">
        <v>4</v>
      </c>
      <c r="D66" s="18">
        <v>4</v>
      </c>
      <c r="E66" s="3">
        <v>9.3889999999999993</v>
      </c>
      <c r="G66" s="18">
        <v>28896</v>
      </c>
      <c r="H66" s="18">
        <v>224</v>
      </c>
      <c r="I66" s="18">
        <v>4</v>
      </c>
      <c r="J66" s="18">
        <v>4</v>
      </c>
      <c r="K66" s="3">
        <v>8.3788199999999993</v>
      </c>
    </row>
    <row r="67" spans="1:11" x14ac:dyDescent="0.25">
      <c r="A67" s="18">
        <v>25856</v>
      </c>
      <c r="B67" s="18">
        <v>256</v>
      </c>
      <c r="C67" s="18">
        <v>1</v>
      </c>
      <c r="D67" s="18">
        <v>16</v>
      </c>
      <c r="E67" s="3">
        <v>8.3009999999999984</v>
      </c>
      <c r="G67" s="18">
        <v>25856</v>
      </c>
      <c r="H67" s="18">
        <v>256</v>
      </c>
      <c r="I67" s="18">
        <v>1</v>
      </c>
      <c r="J67" s="18">
        <v>16</v>
      </c>
      <c r="K67" s="3">
        <v>7.3652250000000006</v>
      </c>
    </row>
    <row r="68" spans="1:11" x14ac:dyDescent="0.25">
      <c r="A68" s="18">
        <v>27392</v>
      </c>
      <c r="B68" s="18">
        <v>256</v>
      </c>
      <c r="C68" s="18">
        <v>1</v>
      </c>
      <c r="D68" s="18">
        <v>16</v>
      </c>
      <c r="E68" s="3">
        <v>8.3899399999999993</v>
      </c>
      <c r="G68" s="18">
        <v>27392</v>
      </c>
      <c r="H68" s="18">
        <v>256</v>
      </c>
      <c r="I68" s="18">
        <v>1</v>
      </c>
      <c r="J68" s="18">
        <v>16</v>
      </c>
      <c r="K68" s="3">
        <v>7.4457250000000004</v>
      </c>
    </row>
    <row r="69" spans="1:11" x14ac:dyDescent="0.25">
      <c r="A69" s="18">
        <v>28928</v>
      </c>
      <c r="B69" s="18">
        <v>256</v>
      </c>
      <c r="C69" s="18">
        <v>1</v>
      </c>
      <c r="D69" s="18">
        <v>16</v>
      </c>
      <c r="E69" s="3">
        <v>8.5213999999999999</v>
      </c>
      <c r="G69" s="18">
        <v>28928</v>
      </c>
      <c r="H69" s="18">
        <v>256</v>
      </c>
      <c r="I69" s="18">
        <v>1</v>
      </c>
      <c r="J69" s="18">
        <v>16</v>
      </c>
      <c r="K69" s="3">
        <v>7.5747333333333335</v>
      </c>
    </row>
    <row r="70" spans="1:11" x14ac:dyDescent="0.25">
      <c r="A70" s="18">
        <v>25856</v>
      </c>
      <c r="B70" s="18">
        <v>256</v>
      </c>
      <c r="C70" s="18">
        <v>2</v>
      </c>
      <c r="D70" s="18">
        <v>8</v>
      </c>
      <c r="E70" s="3">
        <v>9.019680000000001</v>
      </c>
      <c r="G70" s="18">
        <v>25856</v>
      </c>
      <c r="H70" s="18">
        <v>256</v>
      </c>
      <c r="I70" s="18">
        <v>2</v>
      </c>
      <c r="J70" s="18">
        <v>8</v>
      </c>
      <c r="K70" s="3">
        <v>8.0311000000000003</v>
      </c>
    </row>
    <row r="71" spans="1:11" x14ac:dyDescent="0.25">
      <c r="A71" s="18">
        <v>27392</v>
      </c>
      <c r="B71" s="18">
        <v>256</v>
      </c>
      <c r="C71" s="18">
        <v>2</v>
      </c>
      <c r="D71" s="18">
        <v>8</v>
      </c>
      <c r="E71" s="3">
        <v>9.0854999999999997</v>
      </c>
      <c r="G71" s="18">
        <v>27392</v>
      </c>
      <c r="H71" s="18">
        <v>256</v>
      </c>
      <c r="I71" s="18">
        <v>2</v>
      </c>
      <c r="J71" s="18">
        <v>8</v>
      </c>
      <c r="K71" s="3">
        <v>8.0418000000000003</v>
      </c>
    </row>
    <row r="72" spans="1:11" x14ac:dyDescent="0.25">
      <c r="A72" s="18">
        <v>28928</v>
      </c>
      <c r="B72" s="18">
        <v>256</v>
      </c>
      <c r="C72" s="18">
        <v>2</v>
      </c>
      <c r="D72" s="18">
        <v>8</v>
      </c>
      <c r="E72" s="3">
        <v>9.2107600000000005</v>
      </c>
      <c r="G72" s="18">
        <v>28928</v>
      </c>
      <c r="H72" s="18">
        <v>256</v>
      </c>
      <c r="I72" s="18">
        <v>2</v>
      </c>
      <c r="J72" s="18">
        <v>8</v>
      </c>
      <c r="K72" s="3">
        <v>8.1998333333333324</v>
      </c>
    </row>
    <row r="73" spans="1:11" x14ac:dyDescent="0.25">
      <c r="A73" s="18">
        <v>25856</v>
      </c>
      <c r="B73" s="18">
        <v>256</v>
      </c>
      <c r="C73" s="18">
        <v>4</v>
      </c>
      <c r="D73" s="18">
        <v>4</v>
      </c>
      <c r="E73" s="3">
        <v>9.1088399999999989</v>
      </c>
      <c r="G73" s="18">
        <v>25856</v>
      </c>
      <c r="H73" s="18">
        <v>256</v>
      </c>
      <c r="I73" s="18">
        <v>4</v>
      </c>
      <c r="J73" s="18">
        <v>4</v>
      </c>
      <c r="K73" s="3">
        <v>8.2062500000000007</v>
      </c>
    </row>
    <row r="74" spans="1:11" x14ac:dyDescent="0.25">
      <c r="A74" s="18">
        <v>27392</v>
      </c>
      <c r="B74" s="18">
        <v>256</v>
      </c>
      <c r="C74" s="18">
        <v>4</v>
      </c>
      <c r="D74" s="18">
        <v>4</v>
      </c>
      <c r="E74" s="3">
        <v>9.1930800000000001</v>
      </c>
      <c r="G74" s="18">
        <v>27392</v>
      </c>
      <c r="H74" s="18">
        <v>256</v>
      </c>
      <c r="I74" s="18">
        <v>4</v>
      </c>
      <c r="J74" s="18">
        <v>4</v>
      </c>
      <c r="K74" s="3">
        <v>8.2853499999999993</v>
      </c>
    </row>
    <row r="75" spans="1:11" x14ac:dyDescent="0.25">
      <c r="A75" s="18">
        <v>28928</v>
      </c>
      <c r="B75" s="18">
        <v>256</v>
      </c>
      <c r="C75" s="18">
        <v>4</v>
      </c>
      <c r="D75" s="18">
        <v>4</v>
      </c>
      <c r="E75" s="3">
        <v>9.2714199999999991</v>
      </c>
      <c r="G75" s="18">
        <v>28928</v>
      </c>
      <c r="H75" s="18">
        <v>256</v>
      </c>
      <c r="I75" s="18">
        <v>4</v>
      </c>
      <c r="J75" s="18">
        <v>4</v>
      </c>
      <c r="K75" s="3">
        <v>8.3457999999999988</v>
      </c>
    </row>
    <row r="76" spans="1:11" x14ac:dyDescent="0.25">
      <c r="A76" s="18">
        <v>29056</v>
      </c>
      <c r="B76" s="18">
        <v>64</v>
      </c>
      <c r="C76" s="18">
        <v>2</v>
      </c>
      <c r="D76" s="18">
        <v>8</v>
      </c>
      <c r="E76" s="3">
        <v>0</v>
      </c>
      <c r="G76" s="18">
        <v>29040</v>
      </c>
      <c r="H76" s="18">
        <v>60</v>
      </c>
      <c r="I76" s="18">
        <v>2</v>
      </c>
      <c r="J76" s="18">
        <v>8</v>
      </c>
      <c r="K76" s="3">
        <v>0</v>
      </c>
    </row>
    <row r="77" spans="1:11" x14ac:dyDescent="0.25">
      <c r="A77" s="18">
        <v>29056</v>
      </c>
      <c r="B77" s="18">
        <v>64</v>
      </c>
      <c r="C77" s="18">
        <v>4</v>
      </c>
      <c r="D77" s="18">
        <v>4</v>
      </c>
      <c r="E77" s="3">
        <v>0</v>
      </c>
      <c r="G77" s="18">
        <v>29040</v>
      </c>
      <c r="H77" s="18">
        <v>60</v>
      </c>
      <c r="I77" s="18">
        <v>4</v>
      </c>
      <c r="J77" s="18">
        <v>4</v>
      </c>
      <c r="K77" s="3">
        <v>0</v>
      </c>
    </row>
    <row r="78" spans="1:11" x14ac:dyDescent="0.25">
      <c r="A78" s="18">
        <v>29016</v>
      </c>
      <c r="B78" s="18">
        <v>72</v>
      </c>
      <c r="C78" s="18">
        <v>2</v>
      </c>
      <c r="D78" s="18">
        <v>8</v>
      </c>
      <c r="E78" s="3">
        <v>0</v>
      </c>
      <c r="G78" s="18">
        <v>29056</v>
      </c>
      <c r="H78" s="18">
        <v>64</v>
      </c>
      <c r="I78" s="18">
        <v>2</v>
      </c>
      <c r="J78" s="18">
        <v>8</v>
      </c>
      <c r="K78" s="3">
        <v>0</v>
      </c>
    </row>
    <row r="79" spans="1:11" x14ac:dyDescent="0.25">
      <c r="A79" s="18">
        <v>29016</v>
      </c>
      <c r="B79" s="18">
        <v>72</v>
      </c>
      <c r="C79" s="18">
        <v>4</v>
      </c>
      <c r="D79" s="18">
        <v>4</v>
      </c>
      <c r="E79" s="3">
        <v>0</v>
      </c>
      <c r="G79" s="18">
        <v>29056</v>
      </c>
      <c r="H79" s="18">
        <v>64</v>
      </c>
      <c r="I79" s="18">
        <v>4</v>
      </c>
      <c r="J79" s="18">
        <v>4</v>
      </c>
      <c r="K79" s="3">
        <v>0</v>
      </c>
    </row>
    <row r="80" spans="1:11" x14ac:dyDescent="0.25">
      <c r="A80" s="18">
        <v>29040</v>
      </c>
      <c r="B80" s="18">
        <v>80</v>
      </c>
      <c r="C80" s="18">
        <v>2</v>
      </c>
      <c r="D80" s="18">
        <v>8</v>
      </c>
      <c r="E80" s="3">
        <v>0</v>
      </c>
      <c r="G80" s="18">
        <v>29036</v>
      </c>
      <c r="H80" s="18">
        <v>68</v>
      </c>
      <c r="I80" s="18">
        <v>2</v>
      </c>
      <c r="J80" s="18">
        <v>8</v>
      </c>
      <c r="K80" s="3">
        <v>0</v>
      </c>
    </row>
    <row r="81" spans="1:11" x14ac:dyDescent="0.25">
      <c r="A81" s="18">
        <v>29040</v>
      </c>
      <c r="B81" s="18">
        <v>80</v>
      </c>
      <c r="C81" s="18">
        <v>4</v>
      </c>
      <c r="D81" s="18">
        <v>4</v>
      </c>
      <c r="E81" s="3">
        <v>0</v>
      </c>
      <c r="G81" s="18">
        <v>29036</v>
      </c>
      <c r="H81" s="18">
        <v>68</v>
      </c>
      <c r="I81" s="18">
        <v>4</v>
      </c>
      <c r="J81" s="18">
        <v>4</v>
      </c>
      <c r="K81" s="3">
        <v>0</v>
      </c>
    </row>
    <row r="82" spans="1:11" x14ac:dyDescent="0.25">
      <c r="A82" s="18">
        <v>0</v>
      </c>
      <c r="B82" s="18">
        <v>0</v>
      </c>
      <c r="C82" s="18">
        <v>0</v>
      </c>
      <c r="D82" s="18">
        <v>0</v>
      </c>
      <c r="E82" s="3">
        <v>0</v>
      </c>
      <c r="G82" s="18">
        <v>29016</v>
      </c>
      <c r="H82" s="18">
        <v>72</v>
      </c>
      <c r="I82" s="18">
        <v>2</v>
      </c>
      <c r="J82" s="18">
        <v>8</v>
      </c>
      <c r="K82" s="3">
        <v>0</v>
      </c>
    </row>
    <row r="83" spans="1:11" x14ac:dyDescent="0.25">
      <c r="A83" s="18">
        <v>0</v>
      </c>
      <c r="B83" s="18">
        <v>0</v>
      </c>
      <c r="C83" s="18">
        <v>0</v>
      </c>
      <c r="D83" s="18">
        <v>0</v>
      </c>
      <c r="E83" s="3">
        <v>0</v>
      </c>
      <c r="G83" s="18">
        <v>29016</v>
      </c>
      <c r="H83" s="18">
        <v>72</v>
      </c>
      <c r="I83" s="18">
        <v>4</v>
      </c>
      <c r="J83" s="18">
        <v>4</v>
      </c>
      <c r="K83" s="3">
        <v>0</v>
      </c>
    </row>
    <row r="84" spans="1:11" x14ac:dyDescent="0.25">
      <c r="A84" s="18">
        <v>0</v>
      </c>
      <c r="B84" s="18">
        <v>0</v>
      </c>
      <c r="C84" s="18">
        <v>0</v>
      </c>
      <c r="D84" s="18">
        <v>0</v>
      </c>
      <c r="E84" s="3">
        <v>0</v>
      </c>
      <c r="G84" s="18">
        <v>29040</v>
      </c>
      <c r="H84" s="18">
        <v>80</v>
      </c>
      <c r="I84" s="18">
        <v>2</v>
      </c>
      <c r="J84" s="18">
        <v>8</v>
      </c>
      <c r="K84" s="3">
        <v>0</v>
      </c>
    </row>
    <row r="85" spans="1:11" x14ac:dyDescent="0.25">
      <c r="A85" s="18">
        <v>0</v>
      </c>
      <c r="B85" s="18">
        <v>0</v>
      </c>
      <c r="C85" s="18">
        <v>0</v>
      </c>
      <c r="D85" s="18">
        <v>0</v>
      </c>
      <c r="E85" s="3">
        <v>0</v>
      </c>
      <c r="G85" s="18">
        <v>29040</v>
      </c>
      <c r="H85" s="18">
        <v>80</v>
      </c>
      <c r="I85" s="18">
        <v>4</v>
      </c>
      <c r="J85" s="18">
        <v>4</v>
      </c>
      <c r="K85" s="3">
        <v>0</v>
      </c>
    </row>
    <row r="86" spans="1:11" x14ac:dyDescent="0.25">
      <c r="A86" s="18">
        <v>0</v>
      </c>
      <c r="B86" s="18">
        <v>0</v>
      </c>
      <c r="C86" s="18">
        <v>0</v>
      </c>
      <c r="D86" s="18">
        <v>0</v>
      </c>
      <c r="E86" s="3">
        <v>0</v>
      </c>
      <c r="G86" s="18">
        <v>29040</v>
      </c>
      <c r="H86" s="18">
        <v>88</v>
      </c>
      <c r="I86" s="18">
        <v>2</v>
      </c>
      <c r="J86" s="18">
        <v>8</v>
      </c>
      <c r="K86" s="3">
        <v>0</v>
      </c>
    </row>
    <row r="87" spans="1:11" x14ac:dyDescent="0.25">
      <c r="A87" s="18">
        <v>0</v>
      </c>
      <c r="B87" s="18">
        <v>0</v>
      </c>
      <c r="C87" s="18">
        <v>0</v>
      </c>
      <c r="D87" s="18">
        <v>0</v>
      </c>
      <c r="E87" s="3">
        <v>0</v>
      </c>
      <c r="G87" s="18">
        <v>29040</v>
      </c>
      <c r="H87" s="18">
        <v>88</v>
      </c>
      <c r="I87" s="18">
        <v>4</v>
      </c>
      <c r="J87" s="18">
        <v>4</v>
      </c>
      <c r="K87" s="3">
        <v>0</v>
      </c>
    </row>
    <row r="88" spans="1:11" x14ac:dyDescent="0.25">
      <c r="A88" s="18">
        <v>0</v>
      </c>
      <c r="B88" s="18">
        <v>0</v>
      </c>
      <c r="C88" s="18">
        <v>0</v>
      </c>
      <c r="D88" s="18">
        <v>0</v>
      </c>
      <c r="E88" s="3">
        <v>0</v>
      </c>
      <c r="G88" s="18">
        <v>0</v>
      </c>
      <c r="H88" s="18">
        <v>0</v>
      </c>
      <c r="I88" s="18">
        <v>0</v>
      </c>
      <c r="J88" s="18">
        <v>0</v>
      </c>
      <c r="K88" s="3">
        <v>0</v>
      </c>
    </row>
    <row r="89" spans="1:11" x14ac:dyDescent="0.25">
      <c r="A89" s="18">
        <v>0</v>
      </c>
      <c r="B89" s="18">
        <v>0</v>
      </c>
      <c r="C89" s="18">
        <v>0</v>
      </c>
      <c r="D89" s="18">
        <v>0</v>
      </c>
      <c r="E89" s="3">
        <v>0</v>
      </c>
      <c r="G89" s="18">
        <v>0</v>
      </c>
      <c r="H89" s="18">
        <v>0</v>
      </c>
      <c r="I89" s="18">
        <v>0</v>
      </c>
      <c r="J89" s="18">
        <v>0</v>
      </c>
      <c r="K89" s="3">
        <v>0</v>
      </c>
    </row>
    <row r="90" spans="1:11" x14ac:dyDescent="0.25">
      <c r="A90" s="18">
        <v>0</v>
      </c>
      <c r="B90" s="18">
        <v>0</v>
      </c>
      <c r="C90" s="18">
        <v>0</v>
      </c>
      <c r="D90" s="18">
        <v>0</v>
      </c>
      <c r="E90" s="3">
        <v>0</v>
      </c>
      <c r="G90" s="18">
        <v>0</v>
      </c>
      <c r="H90" s="18">
        <v>0</v>
      </c>
      <c r="I90" s="18">
        <v>0</v>
      </c>
      <c r="J90" s="18">
        <v>0</v>
      </c>
      <c r="K90" s="3">
        <v>0</v>
      </c>
    </row>
    <row r="91" spans="1:11" x14ac:dyDescent="0.25">
      <c r="A91" s="18">
        <v>0</v>
      </c>
      <c r="B91" s="18">
        <v>0</v>
      </c>
      <c r="C91" s="18">
        <v>0</v>
      </c>
      <c r="D91" s="18">
        <v>0</v>
      </c>
      <c r="E91" s="3">
        <v>0</v>
      </c>
      <c r="G91" s="18">
        <v>0</v>
      </c>
      <c r="H91" s="18">
        <v>0</v>
      </c>
      <c r="I91" s="18">
        <v>0</v>
      </c>
      <c r="J91" s="18">
        <v>0</v>
      </c>
      <c r="K91" s="3">
        <v>0</v>
      </c>
    </row>
    <row r="92" spans="1:11" x14ac:dyDescent="0.25">
      <c r="A92" s="18">
        <v>0</v>
      </c>
      <c r="B92" s="18">
        <v>0</v>
      </c>
      <c r="C92" s="18">
        <v>0</v>
      </c>
      <c r="D92" s="18">
        <v>0</v>
      </c>
      <c r="E92" s="3">
        <v>0</v>
      </c>
      <c r="G92" s="18">
        <v>0</v>
      </c>
      <c r="H92" s="18">
        <v>0</v>
      </c>
      <c r="I92" s="18">
        <v>0</v>
      </c>
      <c r="J92" s="18">
        <v>0</v>
      </c>
      <c r="K92" s="3">
        <v>0</v>
      </c>
    </row>
    <row r="93" spans="1:11" x14ac:dyDescent="0.25">
      <c r="A93" s="18">
        <v>0</v>
      </c>
      <c r="B93" s="18">
        <v>0</v>
      </c>
      <c r="C93" s="18">
        <v>0</v>
      </c>
      <c r="D93" s="18">
        <v>0</v>
      </c>
      <c r="E93" s="3">
        <v>0</v>
      </c>
      <c r="G93" s="18">
        <v>0</v>
      </c>
      <c r="H93" s="18">
        <v>0</v>
      </c>
      <c r="I93" s="18">
        <v>0</v>
      </c>
      <c r="J93" s="18">
        <v>0</v>
      </c>
      <c r="K93" s="3">
        <v>0</v>
      </c>
    </row>
    <row r="94" spans="1:11" x14ac:dyDescent="0.25">
      <c r="A94" s="18">
        <v>0</v>
      </c>
      <c r="B94" s="18">
        <v>0</v>
      </c>
      <c r="C94" s="18">
        <v>0</v>
      </c>
      <c r="D94" s="18">
        <v>0</v>
      </c>
      <c r="E94" s="3">
        <v>0</v>
      </c>
      <c r="G94" s="18">
        <v>0</v>
      </c>
      <c r="H94" s="18">
        <v>0</v>
      </c>
      <c r="I94" s="18">
        <v>0</v>
      </c>
      <c r="J94" s="18">
        <v>0</v>
      </c>
      <c r="K94" s="3">
        <v>0</v>
      </c>
    </row>
    <row r="95" spans="1:11" x14ac:dyDescent="0.25">
      <c r="A95" s="18">
        <v>0</v>
      </c>
      <c r="B95" s="18">
        <v>0</v>
      </c>
      <c r="C95" s="18">
        <v>0</v>
      </c>
      <c r="D95" s="18">
        <v>0</v>
      </c>
      <c r="E95" s="3">
        <v>0</v>
      </c>
      <c r="G95" s="18">
        <v>0</v>
      </c>
      <c r="H95" s="18">
        <v>0</v>
      </c>
      <c r="I95" s="18">
        <v>0</v>
      </c>
      <c r="J95" s="18">
        <v>0</v>
      </c>
      <c r="K95" s="3">
        <v>0</v>
      </c>
    </row>
    <row r="96" spans="1:11" x14ac:dyDescent="0.25">
      <c r="A96" s="18">
        <v>0</v>
      </c>
      <c r="B96" s="18">
        <v>0</v>
      </c>
      <c r="C96" s="18">
        <v>0</v>
      </c>
      <c r="D96" s="18">
        <v>0</v>
      </c>
      <c r="E96" s="3">
        <v>0</v>
      </c>
      <c r="G96" s="18">
        <v>0</v>
      </c>
      <c r="H96" s="18">
        <v>0</v>
      </c>
      <c r="I96" s="18">
        <v>0</v>
      </c>
      <c r="J96" s="18">
        <v>0</v>
      </c>
      <c r="K96" s="3">
        <v>0</v>
      </c>
    </row>
    <row r="97" spans="1:11" x14ac:dyDescent="0.25">
      <c r="A97" s="18">
        <v>0</v>
      </c>
      <c r="B97" s="18">
        <v>0</v>
      </c>
      <c r="C97" s="18">
        <v>0</v>
      </c>
      <c r="D97" s="18">
        <v>0</v>
      </c>
      <c r="E97" s="3">
        <v>0</v>
      </c>
      <c r="G97" s="18">
        <v>0</v>
      </c>
      <c r="H97" s="18">
        <v>0</v>
      </c>
      <c r="I97" s="18">
        <v>0</v>
      </c>
      <c r="J97" s="18">
        <v>0</v>
      </c>
      <c r="K97" s="3">
        <v>0</v>
      </c>
    </row>
    <row r="98" spans="1:11" x14ac:dyDescent="0.25">
      <c r="A98" s="18">
        <v>0</v>
      </c>
      <c r="B98" s="18">
        <v>0</v>
      </c>
      <c r="C98" s="18">
        <v>0</v>
      </c>
      <c r="D98" s="18">
        <v>0</v>
      </c>
      <c r="E98" s="3">
        <v>0</v>
      </c>
      <c r="G98" s="18">
        <v>0</v>
      </c>
      <c r="H98" s="18">
        <v>0</v>
      </c>
      <c r="I98" s="18">
        <v>0</v>
      </c>
      <c r="J98" s="18">
        <v>0</v>
      </c>
      <c r="K98" s="3">
        <v>0</v>
      </c>
    </row>
    <row r="99" spans="1:11" x14ac:dyDescent="0.25">
      <c r="A99" s="18">
        <v>0</v>
      </c>
      <c r="B99" s="18">
        <v>0</v>
      </c>
      <c r="C99" s="18">
        <v>0</v>
      </c>
      <c r="D99" s="18">
        <v>0</v>
      </c>
      <c r="E99" s="3">
        <v>0</v>
      </c>
      <c r="G99" s="18">
        <v>0</v>
      </c>
      <c r="H99" s="18">
        <v>0</v>
      </c>
      <c r="I99" s="18">
        <v>0</v>
      </c>
      <c r="J99" s="18">
        <v>0</v>
      </c>
      <c r="K99" s="3">
        <v>0</v>
      </c>
    </row>
    <row r="100" spans="1:11" x14ac:dyDescent="0.25">
      <c r="A100" s="18">
        <v>0</v>
      </c>
      <c r="B100" s="18">
        <v>0</v>
      </c>
      <c r="C100" s="18">
        <v>0</v>
      </c>
      <c r="D100" s="18">
        <v>0</v>
      </c>
      <c r="E100" s="3">
        <v>0</v>
      </c>
      <c r="G100" s="18">
        <v>0</v>
      </c>
      <c r="H100" s="18">
        <v>0</v>
      </c>
      <c r="I100" s="18">
        <v>0</v>
      </c>
      <c r="J100" s="18">
        <v>0</v>
      </c>
      <c r="K100" s="3">
        <v>0</v>
      </c>
    </row>
    <row r="101" spans="1:11" x14ac:dyDescent="0.25">
      <c r="A101" s="18">
        <v>0</v>
      </c>
      <c r="B101" s="18">
        <v>0</v>
      </c>
      <c r="C101" s="18">
        <v>0</v>
      </c>
      <c r="D101" s="18">
        <v>0</v>
      </c>
      <c r="E101" s="3">
        <v>0</v>
      </c>
      <c r="G101" s="18">
        <v>0</v>
      </c>
      <c r="H101" s="18">
        <v>0</v>
      </c>
      <c r="I101" s="18">
        <v>0</v>
      </c>
      <c r="J101" s="18">
        <v>0</v>
      </c>
      <c r="K101" s="3">
        <v>0</v>
      </c>
    </row>
    <row r="102" spans="1:11" x14ac:dyDescent="0.25">
      <c r="A102" s="18">
        <v>0</v>
      </c>
      <c r="B102" s="18">
        <v>0</v>
      </c>
      <c r="C102" s="18">
        <v>0</v>
      </c>
      <c r="D102" s="18">
        <v>0</v>
      </c>
      <c r="E102" s="3">
        <v>0</v>
      </c>
      <c r="G102" s="18">
        <v>0</v>
      </c>
      <c r="H102" s="18">
        <v>0</v>
      </c>
      <c r="I102" s="18">
        <v>0</v>
      </c>
      <c r="J102" s="18">
        <v>0</v>
      </c>
      <c r="K102" s="3">
        <v>0</v>
      </c>
    </row>
    <row r="103" spans="1:11" x14ac:dyDescent="0.25">
      <c r="A103" s="18">
        <v>0</v>
      </c>
      <c r="B103" s="18">
        <v>0</v>
      </c>
      <c r="C103" s="18">
        <v>0</v>
      </c>
      <c r="D103" s="18">
        <v>0</v>
      </c>
      <c r="E103" s="3">
        <v>0</v>
      </c>
      <c r="G103" s="18">
        <v>0</v>
      </c>
      <c r="H103" s="18">
        <v>0</v>
      </c>
      <c r="I103" s="18">
        <v>0</v>
      </c>
      <c r="J103" s="18">
        <v>0</v>
      </c>
      <c r="K103" s="3">
        <v>0</v>
      </c>
    </row>
    <row r="104" spans="1:11" x14ac:dyDescent="0.25">
      <c r="A104" s="18">
        <v>0</v>
      </c>
      <c r="B104" s="18">
        <v>0</v>
      </c>
      <c r="C104" s="18">
        <v>0</v>
      </c>
      <c r="D104" s="18">
        <v>0</v>
      </c>
      <c r="E104" s="3">
        <v>0</v>
      </c>
      <c r="G104" s="18">
        <v>0</v>
      </c>
      <c r="H104" s="18">
        <v>0</v>
      </c>
      <c r="I104" s="18">
        <v>0</v>
      </c>
      <c r="J104" s="18">
        <v>0</v>
      </c>
      <c r="K104" s="3">
        <v>0</v>
      </c>
    </row>
    <row r="105" spans="1:11" x14ac:dyDescent="0.25">
      <c r="A105" s="18">
        <v>0</v>
      </c>
      <c r="B105" s="18">
        <v>0</v>
      </c>
      <c r="C105" s="18">
        <v>0</v>
      </c>
      <c r="D105" s="18">
        <v>0</v>
      </c>
      <c r="E105" s="3">
        <v>0</v>
      </c>
      <c r="G105" s="18">
        <v>0</v>
      </c>
      <c r="H105" s="18">
        <v>0</v>
      </c>
      <c r="I105" s="18">
        <v>0</v>
      </c>
      <c r="J105" s="18">
        <v>0</v>
      </c>
      <c r="K105" s="3">
        <v>0</v>
      </c>
    </row>
    <row r="106" spans="1:11" x14ac:dyDescent="0.25">
      <c r="A106" s="18">
        <v>0</v>
      </c>
      <c r="B106" s="18">
        <v>0</v>
      </c>
      <c r="C106" s="18">
        <v>0</v>
      </c>
      <c r="D106" s="18">
        <v>0</v>
      </c>
      <c r="E106" s="3">
        <v>0</v>
      </c>
      <c r="G106" s="18">
        <v>0</v>
      </c>
      <c r="H106" s="18">
        <v>0</v>
      </c>
      <c r="I106" s="18">
        <v>0</v>
      </c>
      <c r="J106" s="18">
        <v>0</v>
      </c>
      <c r="K106" s="3">
        <v>0</v>
      </c>
    </row>
    <row r="107" spans="1:11" x14ac:dyDescent="0.25">
      <c r="A107" s="18">
        <v>0</v>
      </c>
      <c r="B107" s="18">
        <v>0</v>
      </c>
      <c r="C107" s="18">
        <v>0</v>
      </c>
      <c r="D107" s="18">
        <v>0</v>
      </c>
      <c r="E107" s="3">
        <v>0</v>
      </c>
      <c r="G107" s="18">
        <v>0</v>
      </c>
      <c r="H107" s="18">
        <v>0</v>
      </c>
      <c r="I107" s="18">
        <v>0</v>
      </c>
      <c r="J107" s="18">
        <v>0</v>
      </c>
      <c r="K107" s="3">
        <v>0</v>
      </c>
    </row>
    <row r="108" spans="1:11" x14ac:dyDescent="0.25">
      <c r="A108" s="18">
        <v>0</v>
      </c>
      <c r="B108" s="18">
        <v>0</v>
      </c>
      <c r="C108" s="18">
        <v>0</v>
      </c>
      <c r="D108" s="18">
        <v>0</v>
      </c>
      <c r="E108" s="3">
        <v>0</v>
      </c>
      <c r="G108" s="18">
        <v>0</v>
      </c>
      <c r="H108" s="18">
        <v>0</v>
      </c>
      <c r="I108" s="18">
        <v>0</v>
      </c>
      <c r="J108" s="18">
        <v>0</v>
      </c>
      <c r="K108" s="3">
        <v>0</v>
      </c>
    </row>
    <row r="109" spans="1:11" x14ac:dyDescent="0.25">
      <c r="A109" s="18">
        <v>0</v>
      </c>
      <c r="B109" s="18">
        <v>0</v>
      </c>
      <c r="C109" s="18">
        <v>0</v>
      </c>
      <c r="D109" s="18">
        <v>0</v>
      </c>
      <c r="E109" s="3">
        <v>0</v>
      </c>
      <c r="G109" s="18">
        <v>0</v>
      </c>
      <c r="H109" s="18">
        <v>0</v>
      </c>
      <c r="I109" s="18">
        <v>0</v>
      </c>
      <c r="J109" s="18">
        <v>0</v>
      </c>
      <c r="K109" s="3">
        <v>0</v>
      </c>
    </row>
    <row r="110" spans="1:11" x14ac:dyDescent="0.25">
      <c r="A110" s="18">
        <v>0</v>
      </c>
      <c r="B110" s="18">
        <v>0</v>
      </c>
      <c r="C110" s="18">
        <v>0</v>
      </c>
      <c r="D110" s="18">
        <v>0</v>
      </c>
      <c r="E110" s="3">
        <v>0</v>
      </c>
      <c r="G110" s="18">
        <v>0</v>
      </c>
      <c r="H110" s="18">
        <v>0</v>
      </c>
      <c r="I110" s="18">
        <v>0</v>
      </c>
      <c r="J110" s="18">
        <v>0</v>
      </c>
      <c r="K110" s="3">
        <v>0</v>
      </c>
    </row>
    <row r="111" spans="1:11" x14ac:dyDescent="0.25">
      <c r="A111" s="18">
        <v>0</v>
      </c>
      <c r="B111" s="18">
        <v>0</v>
      </c>
      <c r="C111" s="18">
        <v>0</v>
      </c>
      <c r="D111" s="18">
        <v>0</v>
      </c>
      <c r="E111" s="3">
        <v>0</v>
      </c>
      <c r="G111" s="18">
        <v>0</v>
      </c>
      <c r="H111" s="18">
        <v>0</v>
      </c>
      <c r="I111" s="18">
        <v>0</v>
      </c>
      <c r="J111" s="18">
        <v>0</v>
      </c>
      <c r="K111" s="3">
        <v>0</v>
      </c>
    </row>
    <row r="112" spans="1:11" x14ac:dyDescent="0.25">
      <c r="A112" s="18">
        <v>0</v>
      </c>
      <c r="B112" s="18">
        <v>0</v>
      </c>
      <c r="C112" s="18">
        <v>0</v>
      </c>
      <c r="D112" s="18">
        <v>0</v>
      </c>
      <c r="E112" s="3">
        <v>0</v>
      </c>
      <c r="G112" s="18">
        <v>0</v>
      </c>
      <c r="H112" s="18">
        <v>0</v>
      </c>
      <c r="I112" s="18">
        <v>0</v>
      </c>
      <c r="J112" s="18">
        <v>0</v>
      </c>
      <c r="K112" s="3">
        <v>0</v>
      </c>
    </row>
    <row r="113" spans="1:11" x14ac:dyDescent="0.25">
      <c r="A113" s="18">
        <v>0</v>
      </c>
      <c r="B113" s="18">
        <v>0</v>
      </c>
      <c r="C113" s="18">
        <v>0</v>
      </c>
      <c r="D113" s="18">
        <v>0</v>
      </c>
      <c r="E113" s="3">
        <v>0</v>
      </c>
      <c r="G113" s="18">
        <v>0</v>
      </c>
      <c r="H113" s="18">
        <v>0</v>
      </c>
      <c r="I113" s="18">
        <v>0</v>
      </c>
      <c r="J113" s="18">
        <v>0</v>
      </c>
      <c r="K113" s="3">
        <v>0</v>
      </c>
    </row>
    <row r="114" spans="1:11" x14ac:dyDescent="0.25">
      <c r="A114" s="18">
        <v>0</v>
      </c>
      <c r="B114" s="18">
        <v>0</v>
      </c>
      <c r="C114" s="18">
        <v>0</v>
      </c>
      <c r="D114" s="18">
        <v>0</v>
      </c>
      <c r="E114" s="3">
        <v>0</v>
      </c>
      <c r="G114" s="18">
        <v>0</v>
      </c>
      <c r="H114" s="18">
        <v>0</v>
      </c>
      <c r="I114" s="18">
        <v>0</v>
      </c>
      <c r="J114" s="18">
        <v>0</v>
      </c>
      <c r="K114" s="3">
        <v>0</v>
      </c>
    </row>
    <row r="115" spans="1:11" x14ac:dyDescent="0.25">
      <c r="A115" s="18">
        <v>0</v>
      </c>
      <c r="B115" s="18">
        <v>0</v>
      </c>
      <c r="C115" s="18">
        <v>0</v>
      </c>
      <c r="D115" s="18">
        <v>0</v>
      </c>
      <c r="E115" s="3">
        <v>0</v>
      </c>
      <c r="G115" s="18">
        <v>0</v>
      </c>
      <c r="H115" s="18">
        <v>0</v>
      </c>
      <c r="I115" s="18">
        <v>0</v>
      </c>
      <c r="J115" s="18">
        <v>0</v>
      </c>
      <c r="K115" s="3">
        <v>0</v>
      </c>
    </row>
    <row r="116" spans="1:11" x14ac:dyDescent="0.25">
      <c r="A116" s="18">
        <v>0</v>
      </c>
      <c r="B116" s="18">
        <v>0</v>
      </c>
      <c r="C116" s="18">
        <v>0</v>
      </c>
      <c r="D116" s="18">
        <v>0</v>
      </c>
      <c r="E116" s="3">
        <v>0</v>
      </c>
      <c r="G116" s="18">
        <v>0</v>
      </c>
      <c r="H116" s="18">
        <v>0</v>
      </c>
      <c r="I116" s="18">
        <v>0</v>
      </c>
      <c r="J116" s="18">
        <v>0</v>
      </c>
      <c r="K116" s="3">
        <v>0</v>
      </c>
    </row>
    <row r="117" spans="1:11" x14ac:dyDescent="0.25">
      <c r="A117" s="18">
        <v>0</v>
      </c>
      <c r="B117" s="18">
        <v>0</v>
      </c>
      <c r="C117" s="18">
        <v>0</v>
      </c>
      <c r="D117" s="18">
        <v>0</v>
      </c>
      <c r="E117" s="3">
        <v>0</v>
      </c>
      <c r="G117" s="18">
        <v>0</v>
      </c>
      <c r="H117" s="18">
        <v>0</v>
      </c>
      <c r="I117" s="18">
        <v>0</v>
      </c>
      <c r="J117" s="18">
        <v>0</v>
      </c>
      <c r="K117" s="3">
        <v>0</v>
      </c>
    </row>
    <row r="118" spans="1:11" x14ac:dyDescent="0.25">
      <c r="A118" s="18">
        <v>0</v>
      </c>
      <c r="B118" s="18">
        <v>0</v>
      </c>
      <c r="C118" s="18">
        <v>0</v>
      </c>
      <c r="D118" s="18">
        <v>0</v>
      </c>
      <c r="E118" s="3">
        <v>0</v>
      </c>
      <c r="G118" s="18">
        <v>0</v>
      </c>
      <c r="H118" s="18">
        <v>0</v>
      </c>
      <c r="I118" s="18">
        <v>0</v>
      </c>
      <c r="J118" s="18">
        <v>0</v>
      </c>
      <c r="K118" s="3">
        <v>0</v>
      </c>
    </row>
    <row r="119" spans="1:11" x14ac:dyDescent="0.25">
      <c r="A119" s="18">
        <v>0</v>
      </c>
      <c r="B119" s="18">
        <v>0</v>
      </c>
      <c r="C119" s="18">
        <v>0</v>
      </c>
      <c r="D119" s="18">
        <v>0</v>
      </c>
      <c r="E119" s="3">
        <v>0</v>
      </c>
      <c r="G119" s="18">
        <v>0</v>
      </c>
      <c r="H119" s="18">
        <v>0</v>
      </c>
      <c r="I119" s="18">
        <v>0</v>
      </c>
      <c r="J119" s="18">
        <v>0</v>
      </c>
      <c r="K119" s="3">
        <v>0</v>
      </c>
    </row>
    <row r="120" spans="1:11" x14ac:dyDescent="0.25">
      <c r="A120" s="18">
        <v>0</v>
      </c>
      <c r="B120" s="18">
        <v>0</v>
      </c>
      <c r="C120" s="18">
        <v>0</v>
      </c>
      <c r="D120" s="18">
        <v>0</v>
      </c>
      <c r="E120" s="3">
        <v>0</v>
      </c>
      <c r="G120" s="18">
        <v>0</v>
      </c>
      <c r="H120" s="18">
        <v>0</v>
      </c>
      <c r="I120" s="18">
        <v>0</v>
      </c>
      <c r="J120" s="18">
        <v>0</v>
      </c>
      <c r="K120" s="3">
        <v>0</v>
      </c>
    </row>
    <row r="121" spans="1:11" x14ac:dyDescent="0.25">
      <c r="A121" s="18">
        <v>0</v>
      </c>
      <c r="B121" s="18">
        <v>0</v>
      </c>
      <c r="C121" s="18">
        <v>0</v>
      </c>
      <c r="D121" s="18">
        <v>0</v>
      </c>
      <c r="E121" s="3">
        <v>0</v>
      </c>
      <c r="G121" s="18">
        <v>0</v>
      </c>
      <c r="H121" s="18">
        <v>0</v>
      </c>
      <c r="I121" s="18">
        <v>0</v>
      </c>
      <c r="J121" s="18">
        <v>0</v>
      </c>
      <c r="K121" s="3">
        <v>0</v>
      </c>
    </row>
    <row r="122" spans="1:11" x14ac:dyDescent="0.25">
      <c r="A122" s="18">
        <v>0</v>
      </c>
      <c r="B122" s="18">
        <v>0</v>
      </c>
      <c r="C122" s="18">
        <v>0</v>
      </c>
      <c r="D122" s="18">
        <v>0</v>
      </c>
      <c r="E122" s="3">
        <v>0</v>
      </c>
      <c r="G122" s="18">
        <v>0</v>
      </c>
      <c r="H122" s="18">
        <v>0</v>
      </c>
      <c r="I122" s="18">
        <v>0</v>
      </c>
      <c r="J122" s="18">
        <v>0</v>
      </c>
      <c r="K122" s="3">
        <v>0</v>
      </c>
    </row>
    <row r="123" spans="1:11" x14ac:dyDescent="0.25">
      <c r="A123" s="18">
        <v>0</v>
      </c>
      <c r="B123" s="18">
        <v>0</v>
      </c>
      <c r="C123" s="18">
        <v>0</v>
      </c>
      <c r="D123" s="18">
        <v>0</v>
      </c>
      <c r="E123" s="3">
        <v>0</v>
      </c>
      <c r="G123" s="18">
        <v>0</v>
      </c>
      <c r="H123" s="18">
        <v>0</v>
      </c>
      <c r="I123" s="18">
        <v>0</v>
      </c>
      <c r="J123" s="18">
        <v>0</v>
      </c>
      <c r="K123" s="3">
        <v>0</v>
      </c>
    </row>
    <row r="124" spans="1:11" x14ac:dyDescent="0.25">
      <c r="A124" s="18">
        <v>0</v>
      </c>
      <c r="B124" s="18">
        <v>0</v>
      </c>
      <c r="C124" s="18">
        <v>0</v>
      </c>
      <c r="D124" s="18">
        <v>0</v>
      </c>
      <c r="E124" s="3">
        <v>0</v>
      </c>
      <c r="G124" s="18">
        <v>0</v>
      </c>
      <c r="H124" s="18">
        <v>0</v>
      </c>
      <c r="I124" s="18">
        <v>0</v>
      </c>
      <c r="J124" s="18">
        <v>0</v>
      </c>
      <c r="K124" s="3">
        <v>0</v>
      </c>
    </row>
    <row r="125" spans="1:11" x14ac:dyDescent="0.25">
      <c r="A125" s="18">
        <v>0</v>
      </c>
      <c r="B125" s="18">
        <v>0</v>
      </c>
      <c r="C125" s="18">
        <v>0</v>
      </c>
      <c r="D125" s="18">
        <v>0</v>
      </c>
      <c r="E125" s="3">
        <v>0</v>
      </c>
      <c r="G125" s="18">
        <v>0</v>
      </c>
      <c r="H125" s="18">
        <v>0</v>
      </c>
      <c r="I125" s="18">
        <v>0</v>
      </c>
      <c r="J125" s="18">
        <v>0</v>
      </c>
      <c r="K125" s="3">
        <v>0</v>
      </c>
    </row>
    <row r="126" spans="1:11" x14ac:dyDescent="0.25">
      <c r="A126" s="18">
        <v>0</v>
      </c>
      <c r="B126" s="18">
        <v>0</v>
      </c>
      <c r="C126" s="18">
        <v>0</v>
      </c>
      <c r="D126" s="18">
        <v>0</v>
      </c>
      <c r="E126" s="3">
        <v>0</v>
      </c>
      <c r="G126" s="18">
        <v>0</v>
      </c>
      <c r="H126" s="18">
        <v>0</v>
      </c>
      <c r="I126" s="18">
        <v>0</v>
      </c>
      <c r="J126" s="18">
        <v>0</v>
      </c>
      <c r="K126" s="3">
        <v>0</v>
      </c>
    </row>
    <row r="127" spans="1:11" x14ac:dyDescent="0.25">
      <c r="A127" s="18">
        <v>0</v>
      </c>
      <c r="B127" s="18">
        <v>0</v>
      </c>
      <c r="C127" s="18">
        <v>0</v>
      </c>
      <c r="D127" s="18">
        <v>0</v>
      </c>
      <c r="E127" s="3">
        <v>0</v>
      </c>
      <c r="G127" s="18">
        <v>0</v>
      </c>
      <c r="H127" s="18">
        <v>0</v>
      </c>
      <c r="I127" s="18">
        <v>0</v>
      </c>
      <c r="J127" s="18">
        <v>0</v>
      </c>
      <c r="K127" s="3">
        <v>0</v>
      </c>
    </row>
    <row r="128" spans="1:11" x14ac:dyDescent="0.25">
      <c r="A128" s="18">
        <v>0</v>
      </c>
      <c r="B128" s="18">
        <v>0</v>
      </c>
      <c r="C128" s="18">
        <v>0</v>
      </c>
      <c r="D128" s="18">
        <v>0</v>
      </c>
      <c r="E128" s="3">
        <v>0</v>
      </c>
      <c r="G128" s="18">
        <v>0</v>
      </c>
      <c r="H128" s="18">
        <v>0</v>
      </c>
      <c r="I128" s="18">
        <v>0</v>
      </c>
      <c r="J128" s="18">
        <v>0</v>
      </c>
      <c r="K128" s="3">
        <v>0</v>
      </c>
    </row>
    <row r="129" spans="1:11" x14ac:dyDescent="0.25">
      <c r="A129" s="18">
        <v>0</v>
      </c>
      <c r="B129" s="18">
        <v>0</v>
      </c>
      <c r="C129" s="18">
        <v>0</v>
      </c>
      <c r="D129" s="18">
        <v>0</v>
      </c>
      <c r="E129" s="3">
        <v>0</v>
      </c>
      <c r="G129" s="18">
        <v>0</v>
      </c>
      <c r="H129" s="18">
        <v>0</v>
      </c>
      <c r="I129" s="18">
        <v>0</v>
      </c>
      <c r="J129" s="18">
        <v>0</v>
      </c>
      <c r="K129" s="3">
        <v>0</v>
      </c>
    </row>
    <row r="130" spans="1:11" x14ac:dyDescent="0.25">
      <c r="A130" s="18">
        <v>0</v>
      </c>
      <c r="B130" s="18">
        <v>0</v>
      </c>
      <c r="C130" s="18">
        <v>0</v>
      </c>
      <c r="D130" s="18">
        <v>0</v>
      </c>
      <c r="E130" s="3">
        <v>0</v>
      </c>
      <c r="G130" s="18">
        <v>0</v>
      </c>
      <c r="H130" s="18">
        <v>0</v>
      </c>
      <c r="I130" s="18">
        <v>0</v>
      </c>
      <c r="J130" s="18">
        <v>0</v>
      </c>
      <c r="K130" s="3">
        <v>0</v>
      </c>
    </row>
    <row r="131" spans="1:11" x14ac:dyDescent="0.25">
      <c r="A131" s="18">
        <v>0</v>
      </c>
      <c r="B131" s="18">
        <v>0</v>
      </c>
      <c r="C131" s="18">
        <v>0</v>
      </c>
      <c r="D131" s="18">
        <v>0</v>
      </c>
      <c r="E131" s="3">
        <v>0</v>
      </c>
      <c r="G131" s="18">
        <v>0</v>
      </c>
      <c r="H131" s="18">
        <v>0</v>
      </c>
      <c r="I131" s="18">
        <v>0</v>
      </c>
      <c r="J131" s="18">
        <v>0</v>
      </c>
      <c r="K131" s="3">
        <v>0</v>
      </c>
    </row>
    <row r="132" spans="1:11" x14ac:dyDescent="0.25">
      <c r="A132" s="18">
        <v>0</v>
      </c>
      <c r="B132" s="18">
        <v>0</v>
      </c>
      <c r="C132" s="18">
        <v>0</v>
      </c>
      <c r="D132" s="18">
        <v>0</v>
      </c>
      <c r="E132" s="3">
        <v>0</v>
      </c>
      <c r="G132" s="18">
        <v>0</v>
      </c>
      <c r="H132" s="18">
        <v>0</v>
      </c>
      <c r="I132" s="18">
        <v>0</v>
      </c>
      <c r="J132" s="18">
        <v>0</v>
      </c>
      <c r="K132" s="3">
        <v>0</v>
      </c>
    </row>
    <row r="133" spans="1:11" x14ac:dyDescent="0.25">
      <c r="A133" s="18">
        <v>0</v>
      </c>
      <c r="B133" s="18">
        <v>0</v>
      </c>
      <c r="C133" s="18">
        <v>0</v>
      </c>
      <c r="D133" s="18">
        <v>0</v>
      </c>
      <c r="E133" s="3">
        <v>0</v>
      </c>
      <c r="G133" s="18">
        <v>0</v>
      </c>
      <c r="H133" s="18">
        <v>0</v>
      </c>
      <c r="I133" s="18">
        <v>0</v>
      </c>
      <c r="J133" s="18">
        <v>0</v>
      </c>
      <c r="K133" s="3">
        <v>0</v>
      </c>
    </row>
    <row r="134" spans="1:11" x14ac:dyDescent="0.25">
      <c r="A134" s="18">
        <v>0</v>
      </c>
      <c r="B134" s="18">
        <v>0</v>
      </c>
      <c r="C134" s="18">
        <v>0</v>
      </c>
      <c r="D134" s="18">
        <v>0</v>
      </c>
      <c r="E134" s="3">
        <v>0</v>
      </c>
      <c r="G134" s="18">
        <v>0</v>
      </c>
      <c r="H134" s="18">
        <v>0</v>
      </c>
      <c r="I134" s="18">
        <v>0</v>
      </c>
      <c r="J134" s="18">
        <v>0</v>
      </c>
      <c r="K134" s="3">
        <v>0</v>
      </c>
    </row>
    <row r="135" spans="1:11" x14ac:dyDescent="0.25">
      <c r="A135" s="18">
        <v>0</v>
      </c>
      <c r="B135" s="18">
        <v>0</v>
      </c>
      <c r="C135" s="18">
        <v>0</v>
      </c>
      <c r="D135" s="18">
        <v>0</v>
      </c>
      <c r="E135" s="3">
        <v>0</v>
      </c>
      <c r="G135" s="18">
        <v>0</v>
      </c>
      <c r="H135" s="18">
        <v>0</v>
      </c>
      <c r="I135" s="18">
        <v>0</v>
      </c>
      <c r="J135" s="18">
        <v>0</v>
      </c>
      <c r="K135" s="3">
        <v>0</v>
      </c>
    </row>
    <row r="136" spans="1:11" x14ac:dyDescent="0.25">
      <c r="A136" s="18">
        <v>0</v>
      </c>
      <c r="B136" s="18">
        <v>0</v>
      </c>
      <c r="C136" s="18">
        <v>0</v>
      </c>
      <c r="D136" s="18">
        <v>0</v>
      </c>
      <c r="E136" s="3">
        <v>0</v>
      </c>
      <c r="G136" s="18">
        <v>0</v>
      </c>
      <c r="H136" s="18">
        <v>0</v>
      </c>
      <c r="I136" s="18">
        <v>0</v>
      </c>
      <c r="J136" s="18">
        <v>0</v>
      </c>
      <c r="K136" s="3">
        <v>0</v>
      </c>
    </row>
    <row r="137" spans="1:11" x14ac:dyDescent="0.25">
      <c r="A137" s="18">
        <v>0</v>
      </c>
      <c r="B137" s="18">
        <v>0</v>
      </c>
      <c r="C137" s="18">
        <v>0</v>
      </c>
      <c r="D137" s="18">
        <v>0</v>
      </c>
      <c r="E137" s="3">
        <v>0</v>
      </c>
      <c r="G137" s="18">
        <v>0</v>
      </c>
      <c r="H137" s="18">
        <v>0</v>
      </c>
      <c r="I137" s="18">
        <v>0</v>
      </c>
      <c r="J137" s="18">
        <v>0</v>
      </c>
      <c r="K137" s="3">
        <v>0</v>
      </c>
    </row>
    <row r="138" spans="1:11" x14ac:dyDescent="0.25">
      <c r="A138" s="18">
        <v>0</v>
      </c>
      <c r="B138" s="18">
        <v>0</v>
      </c>
      <c r="C138" s="18">
        <v>0</v>
      </c>
      <c r="D138" s="18">
        <v>0</v>
      </c>
      <c r="E138" s="3">
        <v>0</v>
      </c>
      <c r="G138" s="18">
        <v>0</v>
      </c>
      <c r="H138" s="18">
        <v>0</v>
      </c>
      <c r="I138" s="18">
        <v>0</v>
      </c>
      <c r="J138" s="18">
        <v>0</v>
      </c>
      <c r="K138" s="3">
        <v>0</v>
      </c>
    </row>
    <row r="139" spans="1:11" x14ac:dyDescent="0.25">
      <c r="A139" s="18">
        <v>0</v>
      </c>
      <c r="B139" s="18">
        <v>0</v>
      </c>
      <c r="C139" s="18">
        <v>0</v>
      </c>
      <c r="D139" s="18">
        <v>0</v>
      </c>
      <c r="E139" s="3">
        <v>0</v>
      </c>
      <c r="G139" s="18">
        <v>0</v>
      </c>
      <c r="H139" s="18">
        <v>0</v>
      </c>
      <c r="I139" s="18">
        <v>0</v>
      </c>
      <c r="J139" s="18">
        <v>0</v>
      </c>
      <c r="K139" s="3">
        <v>0</v>
      </c>
    </row>
    <row r="140" spans="1:11" x14ac:dyDescent="0.25">
      <c r="A140" s="18">
        <v>0</v>
      </c>
      <c r="B140" s="18">
        <v>0</v>
      </c>
      <c r="C140" s="18">
        <v>0</v>
      </c>
      <c r="D140" s="18">
        <v>0</v>
      </c>
      <c r="E140" s="3">
        <v>0</v>
      </c>
      <c r="G140" s="18">
        <v>0</v>
      </c>
      <c r="H140" s="18">
        <v>0</v>
      </c>
      <c r="I140" s="18">
        <v>0</v>
      </c>
      <c r="J140" s="18">
        <v>0</v>
      </c>
      <c r="K140" s="3">
        <v>0</v>
      </c>
    </row>
    <row r="141" spans="1:11" x14ac:dyDescent="0.25">
      <c r="A141" s="18">
        <v>0</v>
      </c>
      <c r="B141" s="18">
        <v>0</v>
      </c>
      <c r="C141" s="18">
        <v>0</v>
      </c>
      <c r="D141" s="18">
        <v>0</v>
      </c>
      <c r="E141" s="3">
        <v>0</v>
      </c>
      <c r="G141" s="18">
        <v>0</v>
      </c>
      <c r="H141" s="18">
        <v>0</v>
      </c>
      <c r="I141" s="18">
        <v>0</v>
      </c>
      <c r="J141" s="18">
        <v>0</v>
      </c>
      <c r="K141" s="3">
        <v>0</v>
      </c>
    </row>
    <row r="142" spans="1:11" x14ac:dyDescent="0.25">
      <c r="A142" s="18">
        <v>0</v>
      </c>
      <c r="B142" s="18">
        <v>0</v>
      </c>
      <c r="C142" s="18">
        <v>0</v>
      </c>
      <c r="D142" s="18">
        <v>0</v>
      </c>
      <c r="E142" s="3">
        <v>0</v>
      </c>
      <c r="G142" s="18">
        <v>0</v>
      </c>
      <c r="H142" s="18">
        <v>0</v>
      </c>
      <c r="I142" s="18">
        <v>0</v>
      </c>
      <c r="J142" s="18">
        <v>0</v>
      </c>
      <c r="K142" s="3">
        <v>0</v>
      </c>
    </row>
    <row r="143" spans="1:11" x14ac:dyDescent="0.25">
      <c r="A143" s="18">
        <v>0</v>
      </c>
      <c r="B143" s="18">
        <v>0</v>
      </c>
      <c r="C143" s="18">
        <v>0</v>
      </c>
      <c r="D143" s="18">
        <v>0</v>
      </c>
      <c r="E143" s="3">
        <v>0</v>
      </c>
      <c r="G143" s="18">
        <v>0</v>
      </c>
      <c r="H143" s="18">
        <v>0</v>
      </c>
      <c r="I143" s="18">
        <v>0</v>
      </c>
      <c r="J143" s="18">
        <v>0</v>
      </c>
      <c r="K143" s="3">
        <v>0</v>
      </c>
    </row>
    <row r="144" spans="1:11" x14ac:dyDescent="0.25">
      <c r="A144" s="18">
        <v>0</v>
      </c>
      <c r="B144" s="18">
        <v>0</v>
      </c>
      <c r="C144" s="18">
        <v>0</v>
      </c>
      <c r="D144" s="18">
        <v>0</v>
      </c>
      <c r="E144" s="3">
        <v>0</v>
      </c>
      <c r="G144" s="18">
        <v>0</v>
      </c>
      <c r="H144" s="18">
        <v>0</v>
      </c>
      <c r="I144" s="18">
        <v>0</v>
      </c>
      <c r="J144" s="18">
        <v>0</v>
      </c>
      <c r="K144" s="3">
        <v>0</v>
      </c>
    </row>
    <row r="145" spans="1:11" x14ac:dyDescent="0.25">
      <c r="A145" s="18">
        <v>0</v>
      </c>
      <c r="B145" s="18">
        <v>0</v>
      </c>
      <c r="C145" s="18">
        <v>0</v>
      </c>
      <c r="D145" s="18">
        <v>0</v>
      </c>
      <c r="E145" s="3">
        <v>0</v>
      </c>
      <c r="G145" s="18">
        <v>0</v>
      </c>
      <c r="H145" s="18">
        <v>0</v>
      </c>
      <c r="I145" s="18">
        <v>0</v>
      </c>
      <c r="J145" s="18">
        <v>0</v>
      </c>
      <c r="K145" s="3">
        <v>0</v>
      </c>
    </row>
    <row r="146" spans="1:11" x14ac:dyDescent="0.25">
      <c r="A146" s="18">
        <v>0</v>
      </c>
      <c r="B146" s="18">
        <v>0</v>
      </c>
      <c r="C146" s="18">
        <v>0</v>
      </c>
      <c r="D146" s="18">
        <v>0</v>
      </c>
      <c r="E146" s="3">
        <v>0</v>
      </c>
      <c r="G146" s="18">
        <v>0</v>
      </c>
      <c r="H146" s="18">
        <v>0</v>
      </c>
      <c r="I146" s="18">
        <v>0</v>
      </c>
      <c r="J146" s="18">
        <v>0</v>
      </c>
      <c r="K146" s="3">
        <v>0</v>
      </c>
    </row>
    <row r="147" spans="1:11" x14ac:dyDescent="0.25">
      <c r="A147" s="18">
        <v>0</v>
      </c>
      <c r="B147" s="18">
        <v>0</v>
      </c>
      <c r="C147" s="18">
        <v>0</v>
      </c>
      <c r="D147" s="18">
        <v>0</v>
      </c>
      <c r="E147" s="3">
        <v>0</v>
      </c>
      <c r="G147" s="18">
        <v>0</v>
      </c>
      <c r="H147" s="18">
        <v>0</v>
      </c>
      <c r="I147" s="18">
        <v>0</v>
      </c>
      <c r="J147" s="18">
        <v>0</v>
      </c>
      <c r="K147" s="3">
        <v>0</v>
      </c>
    </row>
    <row r="148" spans="1:11" x14ac:dyDescent="0.25">
      <c r="A148" s="18">
        <v>0</v>
      </c>
      <c r="B148" s="18">
        <v>0</v>
      </c>
      <c r="C148" s="18">
        <v>0</v>
      </c>
      <c r="D148" s="18">
        <v>0</v>
      </c>
      <c r="E148" s="3">
        <v>0</v>
      </c>
      <c r="G148" s="18">
        <v>0</v>
      </c>
      <c r="H148" s="18">
        <v>0</v>
      </c>
      <c r="I148" s="18">
        <v>0</v>
      </c>
      <c r="J148" s="18">
        <v>0</v>
      </c>
      <c r="K148" s="3">
        <v>0</v>
      </c>
    </row>
    <row r="149" spans="1:11" x14ac:dyDescent="0.25">
      <c r="A149" s="18">
        <v>0</v>
      </c>
      <c r="B149" s="18">
        <v>0</v>
      </c>
      <c r="C149" s="18">
        <v>0</v>
      </c>
      <c r="D149" s="18">
        <v>0</v>
      </c>
      <c r="E149" s="3">
        <v>0</v>
      </c>
      <c r="G149" s="18">
        <v>0</v>
      </c>
      <c r="H149" s="18">
        <v>0</v>
      </c>
      <c r="I149" s="18">
        <v>0</v>
      </c>
      <c r="J149" s="18">
        <v>0</v>
      </c>
      <c r="K149" s="3">
        <v>0</v>
      </c>
    </row>
    <row r="150" spans="1:11" x14ac:dyDescent="0.25">
      <c r="A150" s="18">
        <v>0</v>
      </c>
      <c r="B150" s="18">
        <v>0</v>
      </c>
      <c r="C150" s="18">
        <v>0</v>
      </c>
      <c r="D150" s="18">
        <v>0</v>
      </c>
      <c r="E150" s="3">
        <v>0</v>
      </c>
      <c r="G150" s="18">
        <v>0</v>
      </c>
      <c r="H150" s="18">
        <v>0</v>
      </c>
      <c r="I150" s="18">
        <v>0</v>
      </c>
      <c r="J150" s="18">
        <v>0</v>
      </c>
      <c r="K150" s="3">
        <v>0</v>
      </c>
    </row>
    <row r="151" spans="1:11" x14ac:dyDescent="0.25">
      <c r="A151" s="18">
        <v>0</v>
      </c>
      <c r="B151" s="18">
        <v>0</v>
      </c>
      <c r="C151" s="18">
        <v>0</v>
      </c>
      <c r="D151" s="18">
        <v>0</v>
      </c>
      <c r="E151" s="3">
        <v>0</v>
      </c>
      <c r="G151" s="18">
        <v>0</v>
      </c>
      <c r="H151" s="18">
        <v>0</v>
      </c>
      <c r="I151" s="18">
        <v>0</v>
      </c>
      <c r="J151" s="18">
        <v>0</v>
      </c>
      <c r="K151" s="3">
        <v>0</v>
      </c>
    </row>
    <row r="152" spans="1:11" x14ac:dyDescent="0.25">
      <c r="A152" s="18">
        <v>0</v>
      </c>
      <c r="B152" s="18">
        <v>0</v>
      </c>
      <c r="C152" s="18">
        <v>0</v>
      </c>
      <c r="D152" s="18">
        <v>0</v>
      </c>
      <c r="E152" s="3">
        <v>0</v>
      </c>
      <c r="G152" s="18">
        <v>0</v>
      </c>
      <c r="H152" s="18">
        <v>0</v>
      </c>
      <c r="I152" s="18">
        <v>0</v>
      </c>
      <c r="J152" s="18">
        <v>0</v>
      </c>
      <c r="K152" s="3">
        <v>0</v>
      </c>
    </row>
    <row r="153" spans="1:11" x14ac:dyDescent="0.25">
      <c r="A153" s="18">
        <v>0</v>
      </c>
      <c r="B153" s="18">
        <v>0</v>
      </c>
      <c r="C153" s="18">
        <v>0</v>
      </c>
      <c r="D153" s="18">
        <v>0</v>
      </c>
      <c r="E153" s="3">
        <v>0</v>
      </c>
      <c r="G153" s="18">
        <v>0</v>
      </c>
      <c r="H153" s="18">
        <v>0</v>
      </c>
      <c r="I153" s="18">
        <v>0</v>
      </c>
      <c r="J153" s="18">
        <v>0</v>
      </c>
      <c r="K153" s="3">
        <v>0</v>
      </c>
    </row>
    <row r="154" spans="1:11" x14ac:dyDescent="0.25">
      <c r="A154" s="18">
        <v>0</v>
      </c>
      <c r="B154" s="18">
        <v>0</v>
      </c>
      <c r="C154" s="18">
        <v>0</v>
      </c>
      <c r="D154" s="18">
        <v>0</v>
      </c>
      <c r="E154" s="3">
        <v>0</v>
      </c>
      <c r="G154" s="18">
        <v>0</v>
      </c>
      <c r="H154" s="18">
        <v>0</v>
      </c>
      <c r="I154" s="18">
        <v>0</v>
      </c>
      <c r="J154" s="18">
        <v>0</v>
      </c>
      <c r="K154" s="3">
        <v>0</v>
      </c>
    </row>
    <row r="155" spans="1:11" x14ac:dyDescent="0.25">
      <c r="A155" s="18">
        <v>0</v>
      </c>
      <c r="B155" s="18">
        <v>0</v>
      </c>
      <c r="C155" s="18">
        <v>0</v>
      </c>
      <c r="D155" s="18">
        <v>0</v>
      </c>
      <c r="E155" s="3">
        <v>0</v>
      </c>
      <c r="G155" s="18">
        <v>0</v>
      </c>
      <c r="H155" s="18">
        <v>0</v>
      </c>
      <c r="I155" s="18">
        <v>0</v>
      </c>
      <c r="J155" s="18">
        <v>0</v>
      </c>
      <c r="K155" s="3">
        <v>0</v>
      </c>
    </row>
    <row r="156" spans="1:11" x14ac:dyDescent="0.25">
      <c r="A156" s="18">
        <v>0</v>
      </c>
      <c r="B156" s="18">
        <v>0</v>
      </c>
      <c r="C156" s="18">
        <v>0</v>
      </c>
      <c r="D156" s="18">
        <v>0</v>
      </c>
      <c r="E156" s="3">
        <v>0</v>
      </c>
      <c r="G156" s="18">
        <v>0</v>
      </c>
      <c r="H156" s="18">
        <v>0</v>
      </c>
      <c r="I156" s="18">
        <v>0</v>
      </c>
      <c r="J156" s="18">
        <v>0</v>
      </c>
      <c r="K156" s="3">
        <v>0</v>
      </c>
    </row>
    <row r="157" spans="1:11" x14ac:dyDescent="0.25">
      <c r="A157" s="18">
        <v>0</v>
      </c>
      <c r="B157" s="18">
        <v>0</v>
      </c>
      <c r="C157" s="18">
        <v>0</v>
      </c>
      <c r="D157" s="18">
        <v>0</v>
      </c>
      <c r="E157" s="3">
        <v>0</v>
      </c>
      <c r="G157" s="18">
        <v>0</v>
      </c>
      <c r="H157" s="18">
        <v>0</v>
      </c>
      <c r="I157" s="18">
        <v>0</v>
      </c>
      <c r="J157" s="18">
        <v>0</v>
      </c>
      <c r="K157" s="3">
        <v>0</v>
      </c>
    </row>
    <row r="158" spans="1:11" x14ac:dyDescent="0.25">
      <c r="A158" s="18">
        <v>0</v>
      </c>
      <c r="B158" s="18">
        <v>0</v>
      </c>
      <c r="C158" s="18">
        <v>0</v>
      </c>
      <c r="D158" s="18">
        <v>0</v>
      </c>
      <c r="E158" s="3">
        <v>0</v>
      </c>
      <c r="G158" s="18">
        <v>0</v>
      </c>
      <c r="H158" s="18">
        <v>0</v>
      </c>
      <c r="I158" s="18">
        <v>0</v>
      </c>
      <c r="J158" s="18">
        <v>0</v>
      </c>
      <c r="K158" s="3">
        <v>0</v>
      </c>
    </row>
    <row r="159" spans="1:11" x14ac:dyDescent="0.25">
      <c r="A159" s="18">
        <v>0</v>
      </c>
      <c r="B159" s="18">
        <v>0</v>
      </c>
      <c r="C159" s="18">
        <v>0</v>
      </c>
      <c r="D159" s="18">
        <v>0</v>
      </c>
      <c r="E159" s="3">
        <v>0</v>
      </c>
      <c r="G159" s="18">
        <v>0</v>
      </c>
      <c r="H159" s="18">
        <v>0</v>
      </c>
      <c r="I159" s="18">
        <v>0</v>
      </c>
      <c r="J159" s="18">
        <v>0</v>
      </c>
      <c r="K159" s="3">
        <v>0</v>
      </c>
    </row>
    <row r="160" spans="1:11" x14ac:dyDescent="0.25">
      <c r="A160" s="18">
        <v>0</v>
      </c>
      <c r="B160" s="18">
        <v>0</v>
      </c>
      <c r="C160" s="18">
        <v>0</v>
      </c>
      <c r="D160" s="18">
        <v>0</v>
      </c>
      <c r="E160" s="3">
        <v>0</v>
      </c>
      <c r="G160" s="18">
        <v>0</v>
      </c>
      <c r="H160" s="18">
        <v>0</v>
      </c>
      <c r="I160" s="18">
        <v>0</v>
      </c>
      <c r="J160" s="18">
        <v>0</v>
      </c>
      <c r="K160" s="3">
        <v>0</v>
      </c>
    </row>
    <row r="161" spans="1:11" x14ac:dyDescent="0.25">
      <c r="A161" s="18">
        <v>0</v>
      </c>
      <c r="B161" s="18">
        <v>0</v>
      </c>
      <c r="C161" s="18">
        <v>0</v>
      </c>
      <c r="D161" s="18">
        <v>0</v>
      </c>
      <c r="E161" s="3">
        <v>0</v>
      </c>
      <c r="G161" s="18">
        <v>0</v>
      </c>
      <c r="H161" s="18">
        <v>0</v>
      </c>
      <c r="I161" s="18">
        <v>0</v>
      </c>
      <c r="J161" s="18">
        <v>0</v>
      </c>
      <c r="K161" s="3">
        <v>0</v>
      </c>
    </row>
    <row r="162" spans="1:11" x14ac:dyDescent="0.25">
      <c r="A162" s="18">
        <v>0</v>
      </c>
      <c r="B162" s="18">
        <v>0</v>
      </c>
      <c r="C162" s="18">
        <v>0</v>
      </c>
      <c r="D162" s="18">
        <v>0</v>
      </c>
      <c r="E162" s="3">
        <v>0</v>
      </c>
      <c r="G162" s="18">
        <v>0</v>
      </c>
      <c r="H162" s="18">
        <v>0</v>
      </c>
      <c r="I162" s="18">
        <v>0</v>
      </c>
      <c r="J162" s="18">
        <v>0</v>
      </c>
      <c r="K162" s="3">
        <v>0</v>
      </c>
    </row>
    <row r="163" spans="1:11" x14ac:dyDescent="0.25">
      <c r="A163" s="18">
        <v>0</v>
      </c>
      <c r="B163" s="18">
        <v>0</v>
      </c>
      <c r="C163" s="18">
        <v>0</v>
      </c>
      <c r="D163" s="18">
        <v>0</v>
      </c>
      <c r="E163" s="3">
        <v>0</v>
      </c>
      <c r="G163" s="18">
        <v>0</v>
      </c>
      <c r="H163" s="18">
        <v>0</v>
      </c>
      <c r="I163" s="18">
        <v>0</v>
      </c>
      <c r="J163" s="18">
        <v>0</v>
      </c>
      <c r="K163" s="3">
        <v>0</v>
      </c>
    </row>
    <row r="164" spans="1:11" x14ac:dyDescent="0.25">
      <c r="A164" s="18">
        <v>0</v>
      </c>
      <c r="B164" s="18">
        <v>0</v>
      </c>
      <c r="C164" s="18">
        <v>0</v>
      </c>
      <c r="D164" s="18">
        <v>0</v>
      </c>
      <c r="E164" s="3">
        <v>0</v>
      </c>
      <c r="G164" s="18">
        <v>0</v>
      </c>
      <c r="H164" s="18">
        <v>0</v>
      </c>
      <c r="I164" s="18">
        <v>0</v>
      </c>
      <c r="J164" s="18">
        <v>0</v>
      </c>
      <c r="K164" s="3">
        <v>0</v>
      </c>
    </row>
    <row r="165" spans="1:11" x14ac:dyDescent="0.25">
      <c r="A165" s="18">
        <v>0</v>
      </c>
      <c r="B165" s="18">
        <v>0</v>
      </c>
      <c r="C165" s="18">
        <v>0</v>
      </c>
      <c r="D165" s="18">
        <v>0</v>
      </c>
      <c r="E165" s="3">
        <v>0</v>
      </c>
    </row>
    <row r="166" spans="1:11" x14ac:dyDescent="0.25">
      <c r="A166" s="18">
        <v>0</v>
      </c>
      <c r="B166" s="18">
        <v>0</v>
      </c>
      <c r="C166" s="18">
        <v>0</v>
      </c>
      <c r="D166" s="18">
        <v>0</v>
      </c>
      <c r="E166" s="3">
        <v>0</v>
      </c>
    </row>
    <row r="167" spans="1:11" x14ac:dyDescent="0.25">
      <c r="A167" s="18">
        <v>0</v>
      </c>
      <c r="B167" s="18">
        <v>0</v>
      </c>
      <c r="C167" s="18">
        <v>0</v>
      </c>
      <c r="D167" s="18">
        <v>0</v>
      </c>
      <c r="E167" s="3">
        <v>0</v>
      </c>
    </row>
    <row r="168" spans="1:11" x14ac:dyDescent="0.25">
      <c r="A168" s="18">
        <v>0</v>
      </c>
      <c r="B168" s="18">
        <v>0</v>
      </c>
      <c r="C168" s="18">
        <v>0</v>
      </c>
      <c r="D168" s="18">
        <v>0</v>
      </c>
      <c r="E168" s="3">
        <v>0</v>
      </c>
    </row>
    <row r="169" spans="1:11" x14ac:dyDescent="0.25">
      <c r="A169" s="18">
        <v>0</v>
      </c>
      <c r="B169" s="18">
        <v>0</v>
      </c>
      <c r="C169" s="18">
        <v>0</v>
      </c>
      <c r="D169" s="18">
        <v>0</v>
      </c>
      <c r="E169" s="3">
        <v>0</v>
      </c>
    </row>
    <row r="170" spans="1:11" x14ac:dyDescent="0.25">
      <c r="A170" s="18">
        <v>0</v>
      </c>
      <c r="B170" s="18">
        <v>0</v>
      </c>
      <c r="C170" s="18">
        <v>0</v>
      </c>
      <c r="D170" s="18">
        <v>0</v>
      </c>
      <c r="E170" s="3">
        <v>0</v>
      </c>
    </row>
    <row r="171" spans="1:11" x14ac:dyDescent="0.25">
      <c r="A171" s="18">
        <v>0</v>
      </c>
      <c r="B171" s="18">
        <v>0</v>
      </c>
      <c r="C171" s="18">
        <v>0</v>
      </c>
      <c r="D171" s="18">
        <v>0</v>
      </c>
      <c r="E171" s="3">
        <v>0</v>
      </c>
    </row>
    <row r="172" spans="1:11" x14ac:dyDescent="0.25">
      <c r="A172" s="18">
        <v>0</v>
      </c>
      <c r="B172" s="18">
        <v>0</v>
      </c>
      <c r="C172" s="18">
        <v>0</v>
      </c>
      <c r="D172" s="18">
        <v>0</v>
      </c>
      <c r="E172" s="3">
        <v>0</v>
      </c>
    </row>
    <row r="173" spans="1:11" x14ac:dyDescent="0.25">
      <c r="A173" s="18">
        <v>0</v>
      </c>
      <c r="B173" s="18">
        <v>0</v>
      </c>
      <c r="C173" s="18">
        <v>0</v>
      </c>
      <c r="D173" s="18">
        <v>0</v>
      </c>
      <c r="E173" s="3">
        <v>0</v>
      </c>
    </row>
    <row r="174" spans="1:11" x14ac:dyDescent="0.25">
      <c r="A174" s="18">
        <v>0</v>
      </c>
      <c r="B174" s="18">
        <v>0</v>
      </c>
      <c r="C174" s="18">
        <v>0</v>
      </c>
      <c r="D174" s="18">
        <v>0</v>
      </c>
      <c r="E174" s="3">
        <v>0</v>
      </c>
    </row>
    <row r="175" spans="1:11" x14ac:dyDescent="0.25">
      <c r="A175" s="18">
        <v>0</v>
      </c>
      <c r="B175" s="18">
        <v>0</v>
      </c>
      <c r="C175" s="18">
        <v>0</v>
      </c>
      <c r="D175" s="18">
        <v>0</v>
      </c>
      <c r="E175" s="3">
        <v>0</v>
      </c>
    </row>
    <row r="176" spans="1:11" x14ac:dyDescent="0.25">
      <c r="A176" s="18">
        <v>0</v>
      </c>
      <c r="B176" s="18">
        <v>0</v>
      </c>
      <c r="C176" s="18">
        <v>0</v>
      </c>
      <c r="D176" s="18">
        <v>0</v>
      </c>
      <c r="E176" s="3">
        <v>0</v>
      </c>
    </row>
    <row r="177" spans="1:5" x14ac:dyDescent="0.25">
      <c r="A177" s="18">
        <v>0</v>
      </c>
      <c r="B177" s="18">
        <v>0</v>
      </c>
      <c r="C177" s="18">
        <v>0</v>
      </c>
      <c r="D177" s="18">
        <v>0</v>
      </c>
      <c r="E177" s="3">
        <v>0</v>
      </c>
    </row>
    <row r="178" spans="1:5" x14ac:dyDescent="0.25">
      <c r="A178" s="18">
        <v>0</v>
      </c>
      <c r="B178" s="18">
        <v>0</v>
      </c>
      <c r="C178" s="18">
        <v>0</v>
      </c>
      <c r="D178" s="18">
        <v>0</v>
      </c>
      <c r="E178" s="3">
        <v>0</v>
      </c>
    </row>
    <row r="179" spans="1:5" x14ac:dyDescent="0.25">
      <c r="A179" s="18">
        <v>0</v>
      </c>
      <c r="B179" s="18">
        <v>0</v>
      </c>
      <c r="C179" s="18">
        <v>0</v>
      </c>
      <c r="D179" s="18">
        <v>0</v>
      </c>
      <c r="E179" s="3">
        <v>0</v>
      </c>
    </row>
    <row r="180" spans="1:5" x14ac:dyDescent="0.25">
      <c r="A180" s="18">
        <v>0</v>
      </c>
      <c r="B180" s="18">
        <v>0</v>
      </c>
      <c r="C180" s="18">
        <v>0</v>
      </c>
      <c r="D180" s="18">
        <v>0</v>
      </c>
      <c r="E180" s="3">
        <v>0</v>
      </c>
    </row>
    <row r="181" spans="1:5" x14ac:dyDescent="0.25">
      <c r="A181" s="18">
        <v>0</v>
      </c>
      <c r="B181" s="18">
        <v>0</v>
      </c>
      <c r="C181" s="18">
        <v>0</v>
      </c>
      <c r="D181" s="18">
        <v>0</v>
      </c>
      <c r="E181" s="3">
        <v>0</v>
      </c>
    </row>
    <row r="182" spans="1:5" x14ac:dyDescent="0.25">
      <c r="A182" s="18">
        <v>0</v>
      </c>
      <c r="B182" s="18">
        <v>0</v>
      </c>
      <c r="C182" s="18">
        <v>0</v>
      </c>
      <c r="D182" s="18">
        <v>0</v>
      </c>
      <c r="E182" s="3">
        <v>0</v>
      </c>
    </row>
    <row r="183" spans="1:5" x14ac:dyDescent="0.25">
      <c r="A183" s="18">
        <v>0</v>
      </c>
      <c r="B183" s="18">
        <v>0</v>
      </c>
      <c r="C183" s="18">
        <v>0</v>
      </c>
      <c r="D183" s="18">
        <v>0</v>
      </c>
      <c r="E183" s="3">
        <v>0</v>
      </c>
    </row>
    <row r="184" spans="1:5" x14ac:dyDescent="0.25">
      <c r="A184" s="18">
        <v>0</v>
      </c>
      <c r="B184" s="18">
        <v>0</v>
      </c>
      <c r="C184" s="18">
        <v>0</v>
      </c>
      <c r="D184" s="18">
        <v>0</v>
      </c>
      <c r="E184" s="3">
        <v>0</v>
      </c>
    </row>
    <row r="185" spans="1:5" x14ac:dyDescent="0.25">
      <c r="A185" s="18">
        <v>0</v>
      </c>
      <c r="B185" s="18">
        <v>0</v>
      </c>
      <c r="C185" s="18">
        <v>0</v>
      </c>
      <c r="D185" s="18">
        <v>0</v>
      </c>
      <c r="E185" s="3">
        <v>0</v>
      </c>
    </row>
    <row r="186" spans="1:5" x14ac:dyDescent="0.25">
      <c r="A186" s="18">
        <v>0</v>
      </c>
      <c r="B186" s="18">
        <v>0</v>
      </c>
      <c r="C186" s="18">
        <v>0</v>
      </c>
      <c r="D186" s="18">
        <v>0</v>
      </c>
      <c r="E186" s="3">
        <v>0</v>
      </c>
    </row>
    <row r="187" spans="1:5" x14ac:dyDescent="0.25">
      <c r="A187" s="18">
        <v>0</v>
      </c>
      <c r="B187" s="18">
        <v>0</v>
      </c>
      <c r="C187" s="18">
        <v>0</v>
      </c>
      <c r="D187" s="18">
        <v>0</v>
      </c>
      <c r="E187" s="3">
        <v>0</v>
      </c>
    </row>
    <row r="188" spans="1:5" x14ac:dyDescent="0.25">
      <c r="A188" s="18">
        <v>0</v>
      </c>
      <c r="B188" s="18">
        <v>0</v>
      </c>
      <c r="C188" s="18">
        <v>0</v>
      </c>
      <c r="D188" s="18">
        <v>0</v>
      </c>
      <c r="E188" s="3">
        <v>0</v>
      </c>
    </row>
  </sheetData>
  <mergeCells count="2">
    <mergeCell ref="A1:E1"/>
    <mergeCell ref="G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9EDF2-8525-449C-99AC-C3255C0707F8}">
  <dimension ref="A1:S43"/>
  <sheetViews>
    <sheetView topLeftCell="D1" workbookViewId="0">
      <selection activeCell="O17" sqref="O17"/>
    </sheetView>
  </sheetViews>
  <sheetFormatPr defaultColWidth="8.85546875" defaultRowHeight="15" x14ac:dyDescent="0.25"/>
  <cols>
    <col min="1" max="1" width="10.140625" bestFit="1" customWidth="1"/>
    <col min="2" max="2" width="11.42578125" bestFit="1" customWidth="1"/>
    <col min="3" max="3" width="8.42578125" style="18" bestFit="1" customWidth="1"/>
    <col min="4" max="4" width="8.140625" style="18" bestFit="1" customWidth="1"/>
    <col min="5" max="5" width="7.140625" style="18" bestFit="1" customWidth="1"/>
    <col min="6" max="6" width="6.7109375" style="18" bestFit="1" customWidth="1"/>
    <col min="7" max="7" width="7.7109375" style="16" bestFit="1" customWidth="1"/>
    <col min="8" max="8" width="45" style="16" bestFit="1" customWidth="1"/>
    <col min="9" max="9" width="20.42578125" style="16" bestFit="1" customWidth="1"/>
    <col min="11" max="11" width="10.140625" bestFit="1" customWidth="1"/>
    <col min="12" max="12" width="11.42578125" bestFit="1" customWidth="1"/>
    <col min="13" max="16" width="6" bestFit="1" customWidth="1"/>
    <col min="17" max="17" width="7.7109375" style="16" bestFit="1" customWidth="1"/>
    <col min="18" max="18" width="45" bestFit="1" customWidth="1"/>
    <col min="19" max="19" width="20.42578125" bestFit="1" customWidth="1"/>
  </cols>
  <sheetData>
    <row r="1" spans="1:19" ht="15.75" thickBot="1" x14ac:dyDescent="0.3">
      <c r="A1" s="85" t="s">
        <v>36</v>
      </c>
      <c r="B1" s="86"/>
      <c r="C1" s="86"/>
      <c r="D1" s="86"/>
      <c r="E1" s="86"/>
      <c r="F1" s="86"/>
      <c r="G1" s="86"/>
      <c r="H1" s="86"/>
      <c r="I1" s="87"/>
      <c r="K1" s="85" t="s">
        <v>35</v>
      </c>
      <c r="L1" s="86"/>
      <c r="M1" s="86"/>
      <c r="N1" s="86"/>
      <c r="O1" s="86"/>
      <c r="P1" s="86"/>
      <c r="Q1" s="86"/>
      <c r="R1" s="86"/>
      <c r="S1" s="87"/>
    </row>
    <row r="2" spans="1:19" x14ac:dyDescent="0.25">
      <c r="A2" s="88" t="s">
        <v>48</v>
      </c>
      <c r="B2" s="88"/>
      <c r="C2" s="88"/>
      <c r="D2" s="88"/>
      <c r="E2" s="88"/>
      <c r="F2" s="88"/>
      <c r="G2" s="88"/>
      <c r="H2" s="88"/>
      <c r="I2" s="88"/>
      <c r="K2" s="88" t="s">
        <v>50</v>
      </c>
      <c r="L2" s="88"/>
      <c r="M2" s="88"/>
      <c r="N2" s="88"/>
      <c r="O2" s="88"/>
      <c r="P2" s="88"/>
      <c r="Q2" s="88"/>
      <c r="R2" s="88"/>
      <c r="S2" s="88"/>
    </row>
    <row r="3" spans="1:19" x14ac:dyDescent="0.25">
      <c r="A3" s="8" t="s">
        <v>31</v>
      </c>
      <c r="B3" s="8" t="s">
        <v>29</v>
      </c>
      <c r="C3" s="21" t="s">
        <v>12</v>
      </c>
      <c r="D3" s="21" t="s">
        <v>13</v>
      </c>
      <c r="E3" s="21" t="s">
        <v>14</v>
      </c>
      <c r="F3" s="21" t="s">
        <v>15</v>
      </c>
      <c r="G3" s="22" t="s">
        <v>30</v>
      </c>
      <c r="H3" s="22" t="s">
        <v>34</v>
      </c>
      <c r="I3" s="22" t="s">
        <v>33</v>
      </c>
      <c r="K3" s="8" t="s">
        <v>31</v>
      </c>
      <c r="L3" s="8" t="s">
        <v>29</v>
      </c>
      <c r="M3" s="21" t="s">
        <v>12</v>
      </c>
      <c r="N3" s="21" t="s">
        <v>13</v>
      </c>
      <c r="O3" s="21" t="s">
        <v>14</v>
      </c>
      <c r="P3" s="21" t="s">
        <v>15</v>
      </c>
      <c r="Q3" s="22" t="s">
        <v>30</v>
      </c>
      <c r="R3" s="22" t="s">
        <v>34</v>
      </c>
      <c r="S3" s="22" t="s">
        <v>33</v>
      </c>
    </row>
    <row r="4" spans="1:19" x14ac:dyDescent="0.25">
      <c r="A4" s="6" t="s">
        <v>28</v>
      </c>
      <c r="B4" s="6">
        <v>825</v>
      </c>
      <c r="C4" s="20">
        <f>'825 params, RAW'!AD1</f>
        <v>28992</v>
      </c>
      <c r="D4" s="20">
        <f>'825 params, RAW'!AE1</f>
        <v>96</v>
      </c>
      <c r="E4" s="20">
        <f>'825 params, RAW'!AF1</f>
        <v>4</v>
      </c>
      <c r="F4" s="20">
        <f>'825 params, RAW'!AG1</f>
        <v>4</v>
      </c>
      <c r="G4" s="23">
        <f>'825 params, RAW'!AC1</f>
        <v>8.8250200000000003</v>
      </c>
      <c r="H4" s="23"/>
      <c r="I4" s="23"/>
      <c r="K4" s="6" t="s">
        <v>28</v>
      </c>
      <c r="L4" s="6">
        <v>825</v>
      </c>
      <c r="M4" s="20">
        <f>'[1]4 node, 825, params (2024)'!G$3</f>
        <v>28960</v>
      </c>
      <c r="N4" s="20">
        <f>'[1]4 node, 825, params (2024)'!H$3</f>
        <v>160</v>
      </c>
      <c r="O4" s="20">
        <f>'[1]4 node, 825, params (2024)'!I$3</f>
        <v>2</v>
      </c>
      <c r="P4" s="20">
        <f>'[1]4 node, 825, params (2024)'!J$3</f>
        <v>8</v>
      </c>
      <c r="Q4" s="23">
        <f>'[1]4 node, 825, params (2024)'!$F$3</f>
        <v>37.409800000000004</v>
      </c>
      <c r="R4" s="23"/>
      <c r="S4" s="23"/>
    </row>
    <row r="5" spans="1:19" x14ac:dyDescent="0.25">
      <c r="A5" s="6" t="s">
        <v>28</v>
      </c>
      <c r="B5" s="6">
        <v>933</v>
      </c>
      <c r="C5" s="20">
        <f>'933 params, RAW'!F1</f>
        <v>28992</v>
      </c>
      <c r="D5" s="20">
        <f>'933 params, RAW'!G1</f>
        <v>96</v>
      </c>
      <c r="E5" s="20">
        <f>'933 params, RAW'!H1</f>
        <v>2</v>
      </c>
      <c r="F5" s="20">
        <f>'933 params, RAW'!I1</f>
        <v>8</v>
      </c>
      <c r="G5" s="23">
        <f>'933 params, RAW'!E1</f>
        <v>9.0212199999999996</v>
      </c>
      <c r="H5" s="23">
        <f>((G5/G4-1)*100)</f>
        <v>2.2232244232874177</v>
      </c>
      <c r="I5" s="23">
        <f>((G6/G4-1)*100)</f>
        <v>12.65492882735677</v>
      </c>
      <c r="K5" s="6" t="s">
        <v>28</v>
      </c>
      <c r="L5" s="6">
        <v>933</v>
      </c>
      <c r="M5" s="20">
        <f>'[1]4 node, 933, params (2024)'!G$3</f>
        <v>28888</v>
      </c>
      <c r="N5" s="20">
        <f>'[1]4 node, 933, params (2024)'!H$3</f>
        <v>184</v>
      </c>
      <c r="O5" s="20">
        <f>'[1]4 node, 933, params (2024)'!I$3</f>
        <v>2</v>
      </c>
      <c r="P5" s="20">
        <f>'[1]4 node, 933, params (2024)'!J$3</f>
        <v>8</v>
      </c>
      <c r="Q5" s="23">
        <f>'[1]4 node, 933, params (2024)'!F$3</f>
        <v>38.205200000000005</v>
      </c>
      <c r="R5" s="23">
        <f>((Q5/Q4-1)*100)</f>
        <v>2.1261808403145732</v>
      </c>
      <c r="S5" s="23">
        <f>((Q6/Q4-1)*100)</f>
        <v>9.1232778576736386</v>
      </c>
    </row>
    <row r="6" spans="1:19" x14ac:dyDescent="0.25">
      <c r="A6" s="6" t="s">
        <v>32</v>
      </c>
      <c r="B6" s="6">
        <v>825</v>
      </c>
      <c r="C6" s="20">
        <f>'825 params, RAW'!F1</f>
        <v>29056</v>
      </c>
      <c r="D6" s="20">
        <f>'825 params, RAW'!G1</f>
        <v>64</v>
      </c>
      <c r="E6" s="20">
        <f>'825 params, RAW'!H1</f>
        <v>2</v>
      </c>
      <c r="F6" s="20">
        <f>'825 params, RAW'!I1</f>
        <v>8</v>
      </c>
      <c r="G6" s="23">
        <f>'825 params, RAW'!E1</f>
        <v>9.9418199999999999</v>
      </c>
      <c r="H6" s="23"/>
      <c r="I6" s="23"/>
      <c r="K6" s="6" t="s">
        <v>32</v>
      </c>
      <c r="L6" s="6">
        <v>825</v>
      </c>
      <c r="M6" s="20">
        <f>'[1]4 node, 825, params (2024)'!AE$3</f>
        <v>28992</v>
      </c>
      <c r="N6" s="20">
        <f>'[1]4 node, 825, params (2024)'!AF$3</f>
        <v>96</v>
      </c>
      <c r="O6" s="20">
        <f>'[1]4 node, 825, params (2024)'!AG$3</f>
        <v>2</v>
      </c>
      <c r="P6" s="20">
        <f>'[1]4 node, 825, params (2024)'!AH$3</f>
        <v>8</v>
      </c>
      <c r="Q6" s="23">
        <f>'[1]4 node, 825, params (2024)'!$AD$3</f>
        <v>40.822799999999994</v>
      </c>
      <c r="R6" s="23"/>
      <c r="S6" s="23"/>
    </row>
    <row r="7" spans="1:19" x14ac:dyDescent="0.25">
      <c r="A7" s="6" t="s">
        <v>32</v>
      </c>
      <c r="B7" s="6">
        <v>933</v>
      </c>
      <c r="C7" s="20">
        <f>'933 params, RAW'!AD1</f>
        <v>29056</v>
      </c>
      <c r="D7" s="20">
        <f>'933 params, RAW'!AE1</f>
        <v>64</v>
      </c>
      <c r="E7" s="20">
        <f>'933 params, RAW'!AF1</f>
        <v>2</v>
      </c>
      <c r="F7" s="20">
        <f>'933 params, RAW'!AG1</f>
        <v>8</v>
      </c>
      <c r="G7" s="23">
        <f>'933 params, RAW'!AC1</f>
        <v>10.039</v>
      </c>
      <c r="H7" s="23">
        <f>((G7/G6-1)*100)</f>
        <v>0.97748701947932837</v>
      </c>
      <c r="I7" s="23">
        <f>((G7/G5-1)*100)</f>
        <v>11.282066062018226</v>
      </c>
      <c r="K7" s="6" t="s">
        <v>32</v>
      </c>
      <c r="L7" s="6">
        <v>933</v>
      </c>
      <c r="M7" s="20">
        <f>'[1]4 node, 933, params (2024)'!AE$3</f>
        <v>29040</v>
      </c>
      <c r="N7" s="20">
        <f>'[1]4 node, 933, params (2024)'!AF$3</f>
        <v>120</v>
      </c>
      <c r="O7" s="20">
        <f>'[1]4 node, 933, params (2024)'!AG$3</f>
        <v>2</v>
      </c>
      <c r="P7" s="20">
        <f>'[1]4 node, 933, params (2024)'!AH$3</f>
        <v>8</v>
      </c>
      <c r="Q7" s="23">
        <f>'[1]4 node, 933, params (2024)'!$AD$3</f>
        <v>41.718399999999995</v>
      </c>
      <c r="R7" s="23">
        <f>((Q7/Q6-1)*100)</f>
        <v>2.1938720518925647</v>
      </c>
      <c r="S7" s="23">
        <f>((Q7/Q5-1)*100)</f>
        <v>9.1956068807387261</v>
      </c>
    </row>
    <row r="8" spans="1:19" x14ac:dyDescent="0.25">
      <c r="A8" s="6"/>
      <c r="B8" s="6"/>
      <c r="C8" s="20"/>
      <c r="D8" s="20"/>
      <c r="E8" s="20"/>
      <c r="F8" s="20"/>
      <c r="G8" s="23"/>
      <c r="H8" s="23"/>
      <c r="I8" s="23"/>
      <c r="K8" s="6"/>
      <c r="L8" s="6"/>
      <c r="M8" s="20"/>
      <c r="N8" s="20"/>
      <c r="O8" s="20"/>
      <c r="P8" s="20"/>
      <c r="Q8" s="23"/>
      <c r="R8" s="23"/>
      <c r="S8" s="23"/>
    </row>
    <row r="9" spans="1:19" x14ac:dyDescent="0.25">
      <c r="A9" s="6"/>
      <c r="B9" s="6"/>
      <c r="C9" s="20"/>
      <c r="D9" s="20"/>
      <c r="E9" s="20"/>
      <c r="F9" s="20"/>
      <c r="G9" s="23"/>
      <c r="H9" s="23"/>
      <c r="I9" s="23"/>
      <c r="K9" s="6"/>
      <c r="L9" s="6"/>
      <c r="M9" s="20"/>
      <c r="N9" s="20"/>
      <c r="O9" s="20"/>
      <c r="P9" s="20"/>
      <c r="Q9" s="23"/>
      <c r="R9" s="23"/>
      <c r="S9" s="23"/>
    </row>
    <row r="10" spans="1:19" x14ac:dyDescent="0.25">
      <c r="A10" s="6"/>
      <c r="B10" s="6"/>
      <c r="C10" s="20"/>
      <c r="D10" s="20"/>
      <c r="E10" s="20"/>
      <c r="F10" s="20"/>
      <c r="G10" s="23"/>
      <c r="H10" s="23"/>
      <c r="I10" s="23"/>
      <c r="K10" s="6"/>
      <c r="L10" s="6"/>
      <c r="M10" s="20"/>
      <c r="N10" s="20"/>
      <c r="O10" s="20"/>
      <c r="P10" s="20"/>
      <c r="Q10" s="23"/>
      <c r="R10" s="23"/>
      <c r="S10" s="23"/>
    </row>
    <row r="11" spans="1:19" x14ac:dyDescent="0.25">
      <c r="A11" s="6"/>
      <c r="B11" s="6"/>
      <c r="C11" s="20"/>
      <c r="D11" s="20"/>
      <c r="E11" s="20"/>
      <c r="F11" s="20"/>
      <c r="G11" s="23"/>
      <c r="H11" s="23"/>
      <c r="I11" s="23"/>
      <c r="K11" s="6"/>
      <c r="L11" s="6"/>
      <c r="M11" s="20"/>
      <c r="N11" s="20"/>
      <c r="O11" s="20"/>
      <c r="P11" s="20"/>
      <c r="Q11" s="23"/>
      <c r="R11" s="23"/>
      <c r="S11" s="23"/>
    </row>
    <row r="12" spans="1:19" x14ac:dyDescent="0.25">
      <c r="A12" s="89" t="s">
        <v>49</v>
      </c>
      <c r="B12" s="89"/>
      <c r="C12" s="89"/>
      <c r="D12" s="89"/>
      <c r="E12" s="89"/>
      <c r="F12" s="89"/>
      <c r="G12" s="89"/>
      <c r="H12" s="89"/>
      <c r="I12" s="89"/>
      <c r="K12" s="89" t="s">
        <v>49</v>
      </c>
      <c r="L12" s="89"/>
      <c r="M12" s="89"/>
      <c r="N12" s="89"/>
      <c r="O12" s="89"/>
      <c r="P12" s="89"/>
      <c r="Q12" s="89"/>
      <c r="R12" s="89"/>
      <c r="S12" s="89"/>
    </row>
    <row r="13" spans="1:19" x14ac:dyDescent="0.25">
      <c r="A13" s="8" t="s">
        <v>31</v>
      </c>
      <c r="B13" s="8" t="s">
        <v>29</v>
      </c>
      <c r="C13" s="21" t="s">
        <v>12</v>
      </c>
      <c r="D13" s="21" t="s">
        <v>13</v>
      </c>
      <c r="E13" s="21" t="s">
        <v>14</v>
      </c>
      <c r="F13" s="21" t="s">
        <v>15</v>
      </c>
      <c r="G13" s="22" t="s">
        <v>30</v>
      </c>
      <c r="H13" s="22" t="s">
        <v>34</v>
      </c>
      <c r="I13" s="22" t="s">
        <v>33</v>
      </c>
      <c r="K13" s="8" t="s">
        <v>31</v>
      </c>
      <c r="L13" s="8" t="s">
        <v>29</v>
      </c>
      <c r="M13" s="21" t="s">
        <v>12</v>
      </c>
      <c r="N13" s="21" t="s">
        <v>13</v>
      </c>
      <c r="O13" s="21" t="s">
        <v>14</v>
      </c>
      <c r="P13" s="21" t="s">
        <v>15</v>
      </c>
      <c r="Q13" s="22" t="s">
        <v>30</v>
      </c>
      <c r="R13" s="22" t="s">
        <v>34</v>
      </c>
      <c r="S13" s="22" t="s">
        <v>33</v>
      </c>
    </row>
    <row r="14" spans="1:19" x14ac:dyDescent="0.25">
      <c r="A14" s="6" t="s">
        <v>28</v>
      </c>
      <c r="B14" s="6">
        <v>825</v>
      </c>
      <c r="C14" s="20">
        <f>'825 params 1 node, RAW'!C4</f>
        <v>13056</v>
      </c>
      <c r="D14" s="20">
        <f>'825 params 1 node, RAW'!D4</f>
        <v>32</v>
      </c>
      <c r="E14" s="20">
        <f>'825 params 1 node, RAW'!E4</f>
        <v>1</v>
      </c>
      <c r="F14" s="20">
        <f>'825 params 1 node, RAW'!F4</f>
        <v>4</v>
      </c>
      <c r="G14" s="23">
        <f>'825 params 1 node, RAW'!H4</f>
        <v>2.1842999999999999</v>
      </c>
      <c r="H14" s="23"/>
      <c r="I14" s="23"/>
      <c r="K14" s="6" t="s">
        <v>28</v>
      </c>
      <c r="L14" s="6">
        <v>825</v>
      </c>
      <c r="M14" s="20">
        <f>'[1]1 node, 825, params (2024)'!D$2</f>
        <v>14560</v>
      </c>
      <c r="N14" s="20">
        <f>'[1]1 node, 825, params (2024)'!E$2</f>
        <v>160</v>
      </c>
      <c r="O14" s="20">
        <f>'[1]1 node, 825, params (2024)'!F$2</f>
        <v>2</v>
      </c>
      <c r="P14" s="20">
        <f>'[1]1 node, 825, params (2024)'!G$2</f>
        <v>2</v>
      </c>
      <c r="Q14" s="23">
        <f>'[1]1 node, 825, params (2024)'!$C$2</f>
        <v>10.5688</v>
      </c>
      <c r="R14" s="23"/>
      <c r="S14" s="23"/>
    </row>
    <row r="15" spans="1:19" x14ac:dyDescent="0.25">
      <c r="A15" s="6" t="s">
        <v>28</v>
      </c>
      <c r="B15" s="6">
        <v>933</v>
      </c>
      <c r="C15" s="20">
        <f>'933 params 1 node, RAW'!C4</f>
        <v>13056</v>
      </c>
      <c r="D15" s="20">
        <f>'933 params 1 node, RAW'!D4</f>
        <v>32</v>
      </c>
      <c r="E15" s="20">
        <f>'933 params 1 node, RAW'!E4</f>
        <v>1</v>
      </c>
      <c r="F15" s="20">
        <f>'933 params 1 node, RAW'!F4</f>
        <v>4</v>
      </c>
      <c r="G15" s="23">
        <f>'933 params 1 node, RAW'!H4</f>
        <v>2.2187000000000001</v>
      </c>
      <c r="H15" s="23">
        <f>((G15/G14-1)*100)</f>
        <v>1.5748752460742699</v>
      </c>
      <c r="I15" s="23">
        <f>((G16/G14-1)*100)</f>
        <v>12.081673762761525</v>
      </c>
      <c r="K15" s="6" t="s">
        <v>28</v>
      </c>
      <c r="L15" s="6">
        <v>933</v>
      </c>
      <c r="M15" s="20">
        <f>'[1]1 node, 933, params (2024)'!D$2</f>
        <v>14560</v>
      </c>
      <c r="N15" s="20">
        <f>'[1]1 node, 933, params (2024)'!E$2</f>
        <v>160</v>
      </c>
      <c r="O15" s="20">
        <f>'[1]1 node, 933, params (2024)'!F$2</f>
        <v>2</v>
      </c>
      <c r="P15" s="20">
        <f>'[1]1 node, 933, params (2024)'!G$2</f>
        <v>2</v>
      </c>
      <c r="Q15" s="23">
        <f>'[1]1 node, 933, params (2024)'!$C$2</f>
        <v>10.793400000000002</v>
      </c>
      <c r="R15" s="23">
        <f>((Q15/Q14-1)*100)</f>
        <v>2.1251230035576718</v>
      </c>
      <c r="S15" s="23">
        <f>((Q16/Q14-1)*100)</f>
        <v>6.1217924456891781</v>
      </c>
    </row>
    <row r="16" spans="1:19" x14ac:dyDescent="0.25">
      <c r="A16" s="6" t="s">
        <v>32</v>
      </c>
      <c r="B16" s="6">
        <v>825</v>
      </c>
      <c r="C16" s="20">
        <f>'825 params 1 node, RAW'!R4</f>
        <v>13056</v>
      </c>
      <c r="D16" s="20">
        <f>'825 params 1 node, RAW'!S4</f>
        <v>32</v>
      </c>
      <c r="E16" s="20">
        <f>'825 params 1 node, RAW'!T4</f>
        <v>1</v>
      </c>
      <c r="F16" s="20">
        <f>'825 params 1 node, RAW'!U4</f>
        <v>4</v>
      </c>
      <c r="G16" s="23">
        <f>'825 params 1 node, RAW'!W4</f>
        <v>2.4481999999999999</v>
      </c>
      <c r="H16" s="23"/>
      <c r="I16" s="23"/>
      <c r="K16" s="6" t="s">
        <v>32</v>
      </c>
      <c r="L16" s="6">
        <v>825</v>
      </c>
      <c r="M16" s="20">
        <f>'[1]1 node, 825, params (2024)'!T$2</f>
        <v>14592</v>
      </c>
      <c r="N16" s="20">
        <f>'[1]1 node, 825, params (2024)'!U$2</f>
        <v>192</v>
      </c>
      <c r="O16" s="20">
        <f>'[1]1 node, 825, params (2024)'!V$2</f>
        <v>2</v>
      </c>
      <c r="P16" s="20">
        <f>'[1]1 node, 825, params (2024)'!W$2</f>
        <v>2</v>
      </c>
      <c r="Q16" s="23">
        <f>'[1]1 node, 825, params (2024)'!$S$2</f>
        <v>11.215799999999998</v>
      </c>
      <c r="R16" s="23"/>
      <c r="S16" s="23"/>
    </row>
    <row r="17" spans="1:19" x14ac:dyDescent="0.25">
      <c r="A17" s="6" t="s">
        <v>32</v>
      </c>
      <c r="B17" s="6">
        <v>933</v>
      </c>
      <c r="C17" s="20">
        <f>'933 params 1 node, RAW'!R4</f>
        <v>13056</v>
      </c>
      <c r="D17" s="20">
        <f>'933 params 1 node, RAW'!S4</f>
        <v>32</v>
      </c>
      <c r="E17" s="20">
        <f>'933 params 1 node, RAW'!T4</f>
        <v>1</v>
      </c>
      <c r="F17" s="20">
        <f>'933 params 1 node, RAW'!U4</f>
        <v>4</v>
      </c>
      <c r="G17" s="23">
        <f>'933 params 1 node, RAW'!W4</f>
        <v>2.4733999999999998</v>
      </c>
      <c r="H17" s="23">
        <f>((G17/G16-1)*100)</f>
        <v>1.0293276693080555</v>
      </c>
      <c r="I17" s="23">
        <f>((G17/G15-1)*100)</f>
        <v>11.479695317077553</v>
      </c>
      <c r="K17" s="6" t="s">
        <v>32</v>
      </c>
      <c r="L17" s="6">
        <v>933</v>
      </c>
      <c r="M17" s="20">
        <f>'[1]1 node, 933, params (2024)'!T$2</f>
        <v>14544</v>
      </c>
      <c r="N17" s="20">
        <f>'[1]1 node, 933, params (2024)'!U$2</f>
        <v>144</v>
      </c>
      <c r="O17" s="20">
        <f>'[1]1 node, 933, params (2024)'!V$2</f>
        <v>2</v>
      </c>
      <c r="P17" s="20">
        <f>'[1]1 node, 933, params (2024)'!W$2</f>
        <v>2</v>
      </c>
      <c r="Q17" s="23">
        <f>'[1]1 node, 933, params (2024)'!$S$2</f>
        <v>11.4762</v>
      </c>
      <c r="R17" s="23">
        <f>((Q17/Q16-1)*100)</f>
        <v>2.3217247097844229</v>
      </c>
      <c r="S17" s="23">
        <f>((Q17/Q15-1)*100)</f>
        <v>6.3260881649896961</v>
      </c>
    </row>
    <row r="18" spans="1:19" x14ac:dyDescent="0.25">
      <c r="A18" s="6"/>
      <c r="B18" s="6"/>
      <c r="C18" s="20"/>
      <c r="D18" s="20"/>
      <c r="E18" s="20"/>
      <c r="F18" s="20"/>
      <c r="G18" s="23"/>
      <c r="H18" s="23"/>
      <c r="I18" s="23"/>
      <c r="K18" s="6"/>
      <c r="L18" s="6"/>
      <c r="M18" s="6"/>
      <c r="N18" s="6"/>
      <c r="O18" s="6"/>
      <c r="P18" s="6"/>
      <c r="Q18" s="23"/>
      <c r="R18" s="6"/>
      <c r="S18" s="6"/>
    </row>
    <row r="19" spans="1:19" x14ac:dyDescent="0.25">
      <c r="A19" s="6"/>
      <c r="B19" s="6"/>
      <c r="C19" s="20"/>
      <c r="D19" s="20"/>
      <c r="E19" s="20"/>
      <c r="F19" s="20"/>
      <c r="G19" s="23"/>
      <c r="H19" s="23"/>
      <c r="I19" s="23"/>
      <c r="K19" s="6"/>
      <c r="L19" s="6"/>
      <c r="M19" s="6"/>
      <c r="N19" s="6"/>
      <c r="O19" s="6"/>
      <c r="P19" s="6"/>
      <c r="Q19" s="23"/>
      <c r="R19" s="6"/>
      <c r="S19" s="6"/>
    </row>
    <row r="20" spans="1:19" x14ac:dyDescent="0.25">
      <c r="A20" s="6"/>
      <c r="B20" s="6"/>
      <c r="C20" s="20"/>
      <c r="D20" s="20"/>
      <c r="E20" s="20"/>
      <c r="F20" s="20"/>
      <c r="G20" s="23"/>
      <c r="H20" s="23"/>
      <c r="I20" s="23"/>
      <c r="K20" s="6"/>
      <c r="L20" s="6"/>
      <c r="M20" s="6"/>
      <c r="N20" s="6"/>
      <c r="O20" s="6"/>
      <c r="P20" s="6"/>
      <c r="Q20" s="23"/>
      <c r="R20" s="6"/>
      <c r="S20" s="6"/>
    </row>
    <row r="21" spans="1:19" x14ac:dyDescent="0.25">
      <c r="A21" s="6"/>
      <c r="B21" s="6"/>
      <c r="C21" s="20"/>
      <c r="D21" s="20"/>
      <c r="E21" s="20"/>
      <c r="F21" s="20"/>
      <c r="G21" s="23"/>
      <c r="H21" s="23"/>
      <c r="I21" s="23"/>
      <c r="K21" s="6"/>
      <c r="L21" s="6"/>
      <c r="M21" s="6"/>
      <c r="N21" s="6"/>
      <c r="O21" s="6"/>
      <c r="P21" s="6"/>
      <c r="Q21" s="23"/>
      <c r="R21" s="6"/>
      <c r="S21" s="6"/>
    </row>
    <row r="22" spans="1:19" ht="15.75" thickBot="1" x14ac:dyDescent="0.3"/>
    <row r="23" spans="1:19" ht="15.75" thickBot="1" x14ac:dyDescent="0.3">
      <c r="A23" s="85" t="s">
        <v>39</v>
      </c>
      <c r="B23" s="86"/>
      <c r="C23" s="86"/>
      <c r="D23" s="86"/>
      <c r="E23" s="86"/>
      <c r="F23" s="86"/>
      <c r="G23" s="86"/>
      <c r="H23" s="86"/>
      <c r="I23" s="86"/>
      <c r="J23" s="86"/>
      <c r="K23" s="86"/>
      <c r="L23" s="86"/>
      <c r="M23" s="86"/>
      <c r="N23" s="86"/>
      <c r="O23" s="86"/>
      <c r="P23" s="86"/>
      <c r="Q23" s="86"/>
      <c r="R23" s="86"/>
      <c r="S23" s="87"/>
    </row>
    <row r="24" spans="1:19" x14ac:dyDescent="0.25">
      <c r="A24" t="s">
        <v>37</v>
      </c>
      <c r="K24" t="s">
        <v>38</v>
      </c>
    </row>
    <row r="25" spans="1:19" x14ac:dyDescent="0.25">
      <c r="A25" t="s">
        <v>35</v>
      </c>
      <c r="K25" t="s">
        <v>35</v>
      </c>
    </row>
    <row r="26" spans="1:19" x14ac:dyDescent="0.25">
      <c r="A26" t="s">
        <v>31</v>
      </c>
      <c r="B26" t="s">
        <v>29</v>
      </c>
      <c r="C26" s="18" t="s">
        <v>12</v>
      </c>
      <c r="D26" s="18" t="s">
        <v>13</v>
      </c>
      <c r="E26" s="18" t="s">
        <v>14</v>
      </c>
      <c r="F26" s="18" t="s">
        <v>15</v>
      </c>
      <c r="G26" s="16" t="s">
        <v>30</v>
      </c>
      <c r="K26" t="s">
        <v>31</v>
      </c>
      <c r="L26" t="s">
        <v>29</v>
      </c>
      <c r="M26" t="s">
        <v>12</v>
      </c>
      <c r="N26" t="s">
        <v>13</v>
      </c>
      <c r="O26" t="s">
        <v>14</v>
      </c>
      <c r="P26" t="s">
        <v>15</v>
      </c>
      <c r="Q26" s="16" t="s">
        <v>30</v>
      </c>
    </row>
    <row r="27" spans="1:19" x14ac:dyDescent="0.25">
      <c r="A27" t="s">
        <v>43</v>
      </c>
      <c r="B27">
        <v>825</v>
      </c>
      <c r="C27">
        <v>29184</v>
      </c>
      <c r="D27">
        <v>128</v>
      </c>
      <c r="E27">
        <v>2</v>
      </c>
      <c r="F27">
        <v>8</v>
      </c>
      <c r="G27" s="16">
        <v>7.9950000000000001</v>
      </c>
      <c r="K27" t="s">
        <v>43</v>
      </c>
      <c r="L27">
        <v>825</v>
      </c>
      <c r="M27">
        <v>29184</v>
      </c>
      <c r="N27">
        <v>128</v>
      </c>
      <c r="O27">
        <v>2</v>
      </c>
      <c r="P27">
        <v>8</v>
      </c>
      <c r="Q27" s="16">
        <v>30.899000000000001</v>
      </c>
    </row>
    <row r="28" spans="1:19" x14ac:dyDescent="0.25">
      <c r="A28" t="s">
        <v>44</v>
      </c>
      <c r="B28">
        <v>825</v>
      </c>
      <c r="C28" s="18">
        <v>29040</v>
      </c>
      <c r="D28" s="18">
        <v>88</v>
      </c>
      <c r="E28" s="18">
        <v>4</v>
      </c>
      <c r="F28" s="18">
        <v>4</v>
      </c>
      <c r="G28" s="16">
        <v>8.8926600000000011</v>
      </c>
      <c r="K28" t="s">
        <v>44</v>
      </c>
      <c r="L28">
        <v>825</v>
      </c>
      <c r="M28">
        <v>28960</v>
      </c>
      <c r="N28">
        <v>160</v>
      </c>
      <c r="O28">
        <v>2</v>
      </c>
      <c r="P28">
        <v>8</v>
      </c>
      <c r="Q28" s="16">
        <v>37.409800000000004</v>
      </c>
    </row>
    <row r="29" spans="1:19" x14ac:dyDescent="0.25">
      <c r="A29" t="s">
        <v>45</v>
      </c>
      <c r="B29">
        <v>933</v>
      </c>
      <c r="C29" s="18">
        <v>29040</v>
      </c>
      <c r="D29" s="18">
        <v>88</v>
      </c>
      <c r="E29" s="18">
        <v>4</v>
      </c>
      <c r="F29" s="18">
        <v>4</v>
      </c>
      <c r="G29" s="16">
        <v>8.99756</v>
      </c>
      <c r="K29" t="s">
        <v>45</v>
      </c>
      <c r="L29">
        <v>933</v>
      </c>
      <c r="M29">
        <v>28888</v>
      </c>
      <c r="N29">
        <v>184</v>
      </c>
      <c r="O29">
        <v>2</v>
      </c>
      <c r="P29">
        <v>8</v>
      </c>
      <c r="Q29" s="16">
        <v>38.205200000000005</v>
      </c>
    </row>
    <row r="30" spans="1:19" x14ac:dyDescent="0.25">
      <c r="A30" t="s">
        <v>46</v>
      </c>
      <c r="B30">
        <v>825</v>
      </c>
      <c r="C30" s="18">
        <v>29016</v>
      </c>
      <c r="D30" s="18">
        <v>72</v>
      </c>
      <c r="E30" s="18">
        <v>2</v>
      </c>
      <c r="F30" s="18">
        <v>8</v>
      </c>
      <c r="G30" s="16">
        <v>9.9495400000000007</v>
      </c>
      <c r="K30" t="s">
        <v>46</v>
      </c>
      <c r="L30">
        <v>825</v>
      </c>
      <c r="M30">
        <v>28992</v>
      </c>
      <c r="N30">
        <v>96</v>
      </c>
      <c r="O30">
        <v>2</v>
      </c>
      <c r="P30">
        <v>8</v>
      </c>
      <c r="Q30" s="16">
        <v>40.822799999999994</v>
      </c>
    </row>
    <row r="31" spans="1:19" x14ac:dyDescent="0.25">
      <c r="A31" t="s">
        <v>47</v>
      </c>
      <c r="B31">
        <v>933</v>
      </c>
      <c r="C31" s="18">
        <v>29056</v>
      </c>
      <c r="D31" s="18">
        <v>64</v>
      </c>
      <c r="E31" s="18">
        <v>2</v>
      </c>
      <c r="F31" s="18">
        <v>8</v>
      </c>
      <c r="G31" s="16">
        <v>10.039</v>
      </c>
      <c r="K31" t="s">
        <v>47</v>
      </c>
      <c r="L31">
        <v>933</v>
      </c>
      <c r="M31">
        <v>29040</v>
      </c>
      <c r="N31">
        <v>120</v>
      </c>
      <c r="O31">
        <v>2</v>
      </c>
      <c r="P31">
        <v>8</v>
      </c>
      <c r="Q31" s="16">
        <v>41.718399999999995</v>
      </c>
    </row>
    <row r="35" spans="1:17" x14ac:dyDescent="0.25">
      <c r="A35" t="s">
        <v>36</v>
      </c>
      <c r="K35" t="s">
        <v>36</v>
      </c>
    </row>
    <row r="36" spans="1:17" x14ac:dyDescent="0.25">
      <c r="A36" t="s">
        <v>31</v>
      </c>
      <c r="B36" t="s">
        <v>29</v>
      </c>
      <c r="C36" s="18" t="s">
        <v>12</v>
      </c>
      <c r="D36" s="18" t="s">
        <v>13</v>
      </c>
      <c r="E36" s="18" t="s">
        <v>14</v>
      </c>
      <c r="F36" s="18" t="s">
        <v>15</v>
      </c>
      <c r="G36" s="16" t="s">
        <v>30</v>
      </c>
      <c r="K36" t="s">
        <v>31</v>
      </c>
      <c r="L36" t="s">
        <v>29</v>
      </c>
      <c r="M36" t="s">
        <v>12</v>
      </c>
      <c r="N36" t="s">
        <v>13</v>
      </c>
      <c r="O36" t="s">
        <v>14</v>
      </c>
      <c r="P36" t="s">
        <v>15</v>
      </c>
      <c r="Q36" s="16" t="s">
        <v>30</v>
      </c>
    </row>
    <row r="37" spans="1:17" x14ac:dyDescent="0.25">
      <c r="A37" t="s">
        <v>40</v>
      </c>
      <c r="B37" t="s">
        <v>41</v>
      </c>
      <c r="G37" s="16">
        <v>1.98</v>
      </c>
      <c r="K37" t="s">
        <v>42</v>
      </c>
      <c r="L37" t="s">
        <v>41</v>
      </c>
      <c r="M37" s="18"/>
      <c r="N37" s="18"/>
      <c r="O37" s="18"/>
      <c r="P37" s="18"/>
      <c r="Q37" s="16">
        <v>8.3000000000000007</v>
      </c>
    </row>
    <row r="38" spans="1:17" x14ac:dyDescent="0.25">
      <c r="A38" t="s">
        <v>43</v>
      </c>
      <c r="B38">
        <v>825</v>
      </c>
      <c r="C38" s="18">
        <v>14592</v>
      </c>
      <c r="D38" s="18">
        <v>128</v>
      </c>
      <c r="E38" s="18">
        <v>2</v>
      </c>
      <c r="F38" s="18">
        <v>2</v>
      </c>
      <c r="G38" s="16">
        <v>2.0659999999999998</v>
      </c>
      <c r="K38" t="s">
        <v>43</v>
      </c>
      <c r="L38">
        <v>825</v>
      </c>
      <c r="M38" s="18">
        <v>14592</v>
      </c>
      <c r="N38" s="18">
        <v>128</v>
      </c>
      <c r="O38" s="18">
        <v>2</v>
      </c>
      <c r="P38" s="18">
        <v>2</v>
      </c>
      <c r="Q38" s="16">
        <v>8.8059999999999992</v>
      </c>
    </row>
    <row r="39" spans="1:17" x14ac:dyDescent="0.25">
      <c r="A39" t="s">
        <v>44</v>
      </c>
      <c r="B39">
        <v>825</v>
      </c>
      <c r="C39" s="18">
        <v>14560</v>
      </c>
      <c r="D39" s="18">
        <v>112</v>
      </c>
      <c r="E39" s="18">
        <v>2</v>
      </c>
      <c r="F39" s="18">
        <v>2</v>
      </c>
      <c r="G39" s="16">
        <v>2.3067000000000002</v>
      </c>
      <c r="K39" t="s">
        <v>40</v>
      </c>
      <c r="L39" t="s">
        <v>41</v>
      </c>
      <c r="M39" s="18"/>
      <c r="N39" s="18"/>
      <c r="O39" s="18"/>
      <c r="P39" s="18"/>
      <c r="Q39" s="16">
        <v>9.34</v>
      </c>
    </row>
    <row r="40" spans="1:17" x14ac:dyDescent="0.25">
      <c r="A40" t="s">
        <v>45</v>
      </c>
      <c r="B40">
        <v>933</v>
      </c>
      <c r="C40" s="18">
        <v>13776</v>
      </c>
      <c r="D40" s="18">
        <v>112</v>
      </c>
      <c r="E40" s="18">
        <v>2</v>
      </c>
      <c r="F40" s="18">
        <v>2</v>
      </c>
      <c r="G40" s="16">
        <v>2.3340999999999998</v>
      </c>
      <c r="K40" t="s">
        <v>44</v>
      </c>
      <c r="L40">
        <v>825</v>
      </c>
      <c r="M40">
        <v>14560</v>
      </c>
      <c r="N40">
        <v>160</v>
      </c>
      <c r="O40">
        <v>2</v>
      </c>
      <c r="P40">
        <v>2</v>
      </c>
      <c r="Q40" s="16">
        <v>10.5688</v>
      </c>
    </row>
    <row r="41" spans="1:17" x14ac:dyDescent="0.25">
      <c r="A41" t="s">
        <v>46</v>
      </c>
      <c r="B41">
        <v>825</v>
      </c>
      <c r="C41" s="18">
        <v>14640</v>
      </c>
      <c r="D41" s="18">
        <v>80</v>
      </c>
      <c r="E41" s="18">
        <v>1</v>
      </c>
      <c r="F41" s="18">
        <v>4</v>
      </c>
      <c r="G41" s="16">
        <v>2.5746000000000002</v>
      </c>
      <c r="K41" t="s">
        <v>45</v>
      </c>
      <c r="L41">
        <v>933</v>
      </c>
      <c r="M41">
        <v>14560</v>
      </c>
      <c r="N41">
        <v>160</v>
      </c>
      <c r="O41">
        <v>2</v>
      </c>
      <c r="P41">
        <v>2</v>
      </c>
      <c r="Q41" s="16">
        <v>10.793400000000002</v>
      </c>
    </row>
    <row r="42" spans="1:17" x14ac:dyDescent="0.25">
      <c r="A42" t="s">
        <v>47</v>
      </c>
      <c r="B42">
        <v>933</v>
      </c>
      <c r="C42" s="18">
        <v>14640</v>
      </c>
      <c r="D42" s="18">
        <v>80</v>
      </c>
      <c r="E42" s="18">
        <v>1</v>
      </c>
      <c r="F42" s="18">
        <v>4</v>
      </c>
      <c r="G42" s="16">
        <v>2.5901999999999998</v>
      </c>
      <c r="K42" t="s">
        <v>46</v>
      </c>
      <c r="L42">
        <v>825</v>
      </c>
      <c r="M42">
        <v>14592</v>
      </c>
      <c r="N42">
        <v>192</v>
      </c>
      <c r="O42">
        <v>2</v>
      </c>
      <c r="P42">
        <v>2</v>
      </c>
      <c r="Q42" s="16">
        <v>11.215799999999998</v>
      </c>
    </row>
    <row r="43" spans="1:17" x14ac:dyDescent="0.25">
      <c r="K43" t="s">
        <v>47</v>
      </c>
      <c r="L43">
        <v>933</v>
      </c>
      <c r="M43">
        <v>14544</v>
      </c>
      <c r="N43">
        <v>144</v>
      </c>
      <c r="O43">
        <v>2</v>
      </c>
      <c r="P43">
        <v>2</v>
      </c>
      <c r="Q43" s="16">
        <v>11.4762</v>
      </c>
    </row>
  </sheetData>
  <sortState xmlns:xlrd2="http://schemas.microsoft.com/office/spreadsheetml/2017/richdata2" ref="A37:G42">
    <sortCondition ref="G37:G42"/>
  </sortState>
  <mergeCells count="7">
    <mergeCell ref="A1:I1"/>
    <mergeCell ref="K1:S1"/>
    <mergeCell ref="A23:S23"/>
    <mergeCell ref="A2:I2"/>
    <mergeCell ref="A12:I12"/>
    <mergeCell ref="K2:S2"/>
    <mergeCell ref="K12:S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8399-B655-4DA9-AB4F-52B894DE7A78}">
  <dimension ref="A1:AD303"/>
  <sheetViews>
    <sheetView topLeftCell="A79" zoomScale="85" zoomScaleNormal="85" workbookViewId="0">
      <selection activeCell="V101" sqref="V101"/>
    </sheetView>
  </sheetViews>
  <sheetFormatPr defaultColWidth="8.85546875" defaultRowHeight="15" x14ac:dyDescent="0.25"/>
  <cols>
    <col min="8" max="8" width="9.140625" style="27"/>
    <col min="23" max="23" width="9.140625" style="3"/>
  </cols>
  <sheetData>
    <row r="1" spans="1:30" x14ac:dyDescent="0.25">
      <c r="A1" s="83" t="s">
        <v>27</v>
      </c>
      <c r="B1" s="83"/>
      <c r="C1" s="83"/>
      <c r="D1" s="83"/>
      <c r="E1" s="28">
        <f>MAX(N:N)</f>
        <v>2.3348199999999997</v>
      </c>
      <c r="F1" s="20">
        <f>INDEX(C:C,MATCH(MAX($N:$N),$N:$N,0))</f>
        <v>14560</v>
      </c>
      <c r="G1" s="20">
        <f>INDEX(D:D,MATCH(MAX($N:$N),$N:$N,0))</f>
        <v>112</v>
      </c>
      <c r="H1" s="20">
        <f>INDEX(E:E,MATCH(MAX($N:$N),$N:$N,0))</f>
        <v>2</v>
      </c>
      <c r="I1" s="20">
        <f>INDEX(F:F,MATCH(MAX($N:$N),$N:$N,0))</f>
        <v>2</v>
      </c>
      <c r="J1" s="6"/>
      <c r="K1" s="84" t="s">
        <v>52</v>
      </c>
      <c r="L1" s="84"/>
      <c r="M1" s="84"/>
      <c r="P1" s="83" t="s">
        <v>27</v>
      </c>
      <c r="Q1" s="83"/>
      <c r="R1" s="83"/>
      <c r="S1" s="83"/>
      <c r="T1" s="28">
        <f>MAX(AC:AC)</f>
        <v>2.5904399999999996</v>
      </c>
      <c r="U1" s="20">
        <f>INDEX(R:R,MATCH(MAX($AC:$AC),$AC:$AC,0))</f>
        <v>14640</v>
      </c>
      <c r="V1" s="20">
        <f>INDEX(S:S,MATCH(MAX($AC:$AC),$AC:$AC,0))</f>
        <v>80</v>
      </c>
      <c r="W1" s="20">
        <f>INDEX(T:T,MATCH(MAX($AC:$AC),$AC:$AC,0))</f>
        <v>1</v>
      </c>
      <c r="X1" s="20">
        <f>INDEX(U:U,MATCH(MAX($AC:$AC),$AC:$AC,0))</f>
        <v>4</v>
      </c>
      <c r="Y1" s="6"/>
      <c r="Z1" s="84" t="s">
        <v>32</v>
      </c>
      <c r="AA1" s="84"/>
      <c r="AB1" s="84"/>
    </row>
    <row r="2" spans="1:30" x14ac:dyDescent="0.25">
      <c r="A2" s="80" t="s">
        <v>22</v>
      </c>
      <c r="B2" s="80"/>
      <c r="C2" s="29">
        <f>MAX(H4:H840)</f>
        <v>2.3363999999999998</v>
      </c>
      <c r="D2" s="6"/>
      <c r="E2" s="6"/>
      <c r="F2" s="6"/>
      <c r="G2" s="6"/>
      <c r="H2" s="25"/>
      <c r="I2" s="6"/>
      <c r="J2" s="6"/>
      <c r="K2" s="90" t="s">
        <v>23</v>
      </c>
      <c r="L2" s="90"/>
      <c r="M2" s="90"/>
      <c r="P2" s="80" t="s">
        <v>22</v>
      </c>
      <c r="Q2" s="80"/>
      <c r="R2" s="29">
        <f>MAX(W4:W841)</f>
        <v>2.5960999999999999</v>
      </c>
      <c r="S2" s="6"/>
      <c r="T2" s="6"/>
      <c r="U2" s="6"/>
      <c r="V2" s="6"/>
      <c r="W2" s="7"/>
      <c r="X2" s="6"/>
      <c r="Y2" s="6"/>
      <c r="Z2" s="90" t="s">
        <v>23</v>
      </c>
      <c r="AA2" s="90"/>
      <c r="AB2" s="90"/>
    </row>
    <row r="3" spans="1:30" x14ac:dyDescent="0.25">
      <c r="A3" s="8" t="s">
        <v>11</v>
      </c>
      <c r="B3" s="8"/>
      <c r="C3" s="8" t="s">
        <v>12</v>
      </c>
      <c r="D3" s="8" t="s">
        <v>13</v>
      </c>
      <c r="E3" s="8" t="s">
        <v>14</v>
      </c>
      <c r="F3" s="8" t="s">
        <v>15</v>
      </c>
      <c r="G3" s="8" t="s">
        <v>16</v>
      </c>
      <c r="H3" s="9" t="s">
        <v>17</v>
      </c>
      <c r="I3" s="10" t="s">
        <v>18</v>
      </c>
      <c r="J3" s="8" t="s">
        <v>16</v>
      </c>
      <c r="K3" s="11" t="s">
        <v>19</v>
      </c>
      <c r="L3" s="11" t="s">
        <v>20</v>
      </c>
      <c r="M3" s="11" t="s">
        <v>21</v>
      </c>
      <c r="P3" s="8" t="s">
        <v>11</v>
      </c>
      <c r="Q3" s="8"/>
      <c r="R3" s="8" t="s">
        <v>12</v>
      </c>
      <c r="S3" s="8" t="s">
        <v>13</v>
      </c>
      <c r="T3" s="8" t="s">
        <v>14</v>
      </c>
      <c r="U3" s="8" t="s">
        <v>15</v>
      </c>
      <c r="V3" s="8" t="s">
        <v>16</v>
      </c>
      <c r="W3" s="10" t="s">
        <v>17</v>
      </c>
      <c r="X3" s="10" t="s">
        <v>18</v>
      </c>
      <c r="Y3" s="8" t="s">
        <v>16</v>
      </c>
      <c r="Z3" s="11" t="s">
        <v>19</v>
      </c>
      <c r="AA3" s="11" t="s">
        <v>20</v>
      </c>
      <c r="AB3" s="11" t="s">
        <v>21</v>
      </c>
    </row>
    <row r="4" spans="1:30" x14ac:dyDescent="0.25">
      <c r="A4">
        <v>0</v>
      </c>
      <c r="B4" t="s">
        <v>1</v>
      </c>
      <c r="C4">
        <v>13056</v>
      </c>
      <c r="D4">
        <v>32</v>
      </c>
      <c r="E4">
        <v>1</v>
      </c>
      <c r="F4">
        <v>4</v>
      </c>
      <c r="G4">
        <v>668.84</v>
      </c>
      <c r="H4" s="26">
        <v>2.2187000000000001</v>
      </c>
      <c r="I4" s="1">
        <v>45477</v>
      </c>
      <c r="J4" s="2">
        <v>0.42598379629629629</v>
      </c>
      <c r="K4">
        <v>0</v>
      </c>
      <c r="L4">
        <v>0</v>
      </c>
      <c r="M4">
        <v>0</v>
      </c>
      <c r="N4" s="27">
        <f>AVERAGE(H4:H8)</f>
        <v>2.2183999999999999</v>
      </c>
      <c r="P4">
        <v>0</v>
      </c>
      <c r="Q4" t="s">
        <v>1</v>
      </c>
      <c r="R4">
        <v>13056</v>
      </c>
      <c r="S4">
        <v>32</v>
      </c>
      <c r="T4">
        <v>1</v>
      </c>
      <c r="U4">
        <v>4</v>
      </c>
      <c r="V4">
        <v>599.96</v>
      </c>
      <c r="W4" s="38">
        <v>2.4733999999999998</v>
      </c>
      <c r="X4" s="1">
        <v>45477</v>
      </c>
      <c r="Y4" s="2">
        <v>0.42525462962962962</v>
      </c>
      <c r="Z4">
        <v>0</v>
      </c>
      <c r="AA4">
        <v>0</v>
      </c>
      <c r="AB4">
        <v>0</v>
      </c>
      <c r="AC4" s="3">
        <f>AVERAGE(W4:W8)</f>
        <v>2.4730599999999998</v>
      </c>
      <c r="AD4" s="3"/>
    </row>
    <row r="5" spans="1:30" x14ac:dyDescent="0.25">
      <c r="A5">
        <v>1</v>
      </c>
      <c r="B5" t="s">
        <v>1</v>
      </c>
      <c r="C5">
        <v>13056</v>
      </c>
      <c r="D5">
        <v>32</v>
      </c>
      <c r="E5">
        <v>1</v>
      </c>
      <c r="F5">
        <v>4</v>
      </c>
      <c r="G5">
        <v>669.72</v>
      </c>
      <c r="H5" s="26">
        <v>2.2157</v>
      </c>
      <c r="I5" s="1">
        <v>45477</v>
      </c>
      <c r="J5" s="2">
        <v>0.48334490740740743</v>
      </c>
      <c r="K5">
        <v>0</v>
      </c>
      <c r="L5">
        <v>0</v>
      </c>
      <c r="M5">
        <v>0</v>
      </c>
      <c r="N5" s="27">
        <f>N4</f>
        <v>2.2183999999999999</v>
      </c>
      <c r="P5">
        <v>1</v>
      </c>
      <c r="Q5" t="s">
        <v>1</v>
      </c>
      <c r="R5">
        <v>13056</v>
      </c>
      <c r="S5">
        <v>32</v>
      </c>
      <c r="T5">
        <v>1</v>
      </c>
      <c r="U5">
        <v>4</v>
      </c>
      <c r="V5">
        <v>599.92999999999995</v>
      </c>
      <c r="W5" s="38">
        <v>2.4735</v>
      </c>
      <c r="X5" s="1">
        <v>45477</v>
      </c>
      <c r="Y5" s="2">
        <v>0.48403935185185187</v>
      </c>
      <c r="Z5">
        <v>0</v>
      </c>
      <c r="AA5">
        <v>0</v>
      </c>
      <c r="AB5">
        <v>0</v>
      </c>
      <c r="AC5" s="3">
        <f>AC4</f>
        <v>2.4730599999999998</v>
      </c>
      <c r="AD5" s="3"/>
    </row>
    <row r="6" spans="1:30" x14ac:dyDescent="0.25">
      <c r="A6">
        <v>2</v>
      </c>
      <c r="B6" t="s">
        <v>1</v>
      </c>
      <c r="C6">
        <v>13056</v>
      </c>
      <c r="D6">
        <v>32</v>
      </c>
      <c r="E6">
        <v>1</v>
      </c>
      <c r="F6">
        <v>4</v>
      </c>
      <c r="G6">
        <v>668.77</v>
      </c>
      <c r="H6" s="26">
        <v>2.2189000000000001</v>
      </c>
      <c r="I6" s="1">
        <v>45477</v>
      </c>
      <c r="J6" s="2">
        <v>0.54071759259259256</v>
      </c>
      <c r="K6">
        <v>0</v>
      </c>
      <c r="L6">
        <v>0</v>
      </c>
      <c r="M6">
        <v>0</v>
      </c>
      <c r="N6" s="27">
        <f t="shared" ref="N6:N8" si="0">N5</f>
        <v>2.2183999999999999</v>
      </c>
      <c r="P6">
        <v>2</v>
      </c>
      <c r="Q6" t="s">
        <v>1</v>
      </c>
      <c r="R6">
        <v>13056</v>
      </c>
      <c r="S6">
        <v>32</v>
      </c>
      <c r="T6">
        <v>1</v>
      </c>
      <c r="U6">
        <v>4</v>
      </c>
      <c r="V6">
        <v>599.86</v>
      </c>
      <c r="W6" s="38">
        <v>2.4738000000000002</v>
      </c>
      <c r="X6" s="1">
        <v>45477</v>
      </c>
      <c r="Y6" s="2">
        <v>0.54282407407407407</v>
      </c>
      <c r="Z6">
        <v>0</v>
      </c>
      <c r="AA6">
        <v>0</v>
      </c>
      <c r="AB6">
        <v>0</v>
      </c>
      <c r="AC6" s="3">
        <f t="shared" ref="AC6:AC8" si="1">AC5</f>
        <v>2.4730599999999998</v>
      </c>
      <c r="AD6" s="3"/>
    </row>
    <row r="7" spans="1:30" x14ac:dyDescent="0.25">
      <c r="A7">
        <v>3</v>
      </c>
      <c r="B7" t="s">
        <v>1</v>
      </c>
      <c r="C7">
        <v>13056</v>
      </c>
      <c r="D7">
        <v>32</v>
      </c>
      <c r="E7">
        <v>1</v>
      </c>
      <c r="F7">
        <v>4</v>
      </c>
      <c r="G7">
        <v>668.51</v>
      </c>
      <c r="H7" s="26">
        <v>2.2198000000000002</v>
      </c>
      <c r="I7" s="1">
        <v>45477</v>
      </c>
      <c r="J7" s="2">
        <v>0.59356481481481482</v>
      </c>
      <c r="K7">
        <v>0</v>
      </c>
      <c r="L7">
        <v>0</v>
      </c>
      <c r="M7">
        <v>0</v>
      </c>
      <c r="N7" s="27">
        <f t="shared" si="0"/>
        <v>2.2183999999999999</v>
      </c>
      <c r="P7">
        <v>3</v>
      </c>
      <c r="Q7" t="s">
        <v>1</v>
      </c>
      <c r="R7">
        <v>13056</v>
      </c>
      <c r="S7">
        <v>32</v>
      </c>
      <c r="T7">
        <v>1</v>
      </c>
      <c r="U7">
        <v>4</v>
      </c>
      <c r="V7">
        <v>599.94000000000005</v>
      </c>
      <c r="W7" s="38">
        <v>2.4735</v>
      </c>
      <c r="X7" s="1">
        <v>45477</v>
      </c>
      <c r="Y7" s="2">
        <v>0.60160879629629627</v>
      </c>
      <c r="Z7">
        <v>0</v>
      </c>
      <c r="AA7">
        <v>0</v>
      </c>
      <c r="AB7">
        <v>0</v>
      </c>
      <c r="AC7" s="3">
        <f t="shared" si="1"/>
        <v>2.4730599999999998</v>
      </c>
      <c r="AD7" s="3"/>
    </row>
    <row r="8" spans="1:30" x14ac:dyDescent="0.25">
      <c r="A8">
        <v>4</v>
      </c>
      <c r="B8" t="s">
        <v>1</v>
      </c>
      <c r="C8">
        <v>13056</v>
      </c>
      <c r="D8">
        <v>32</v>
      </c>
      <c r="E8">
        <v>1</v>
      </c>
      <c r="F8">
        <v>4</v>
      </c>
      <c r="G8">
        <v>668.76</v>
      </c>
      <c r="H8" s="26">
        <v>2.2189000000000001</v>
      </c>
      <c r="I8" s="1">
        <v>45477</v>
      </c>
      <c r="J8" s="2">
        <v>0.65082175925925922</v>
      </c>
      <c r="K8">
        <v>0</v>
      </c>
      <c r="L8">
        <v>0</v>
      </c>
      <c r="M8">
        <v>0</v>
      </c>
      <c r="N8" s="27">
        <f t="shared" si="0"/>
        <v>2.2183999999999999</v>
      </c>
      <c r="P8">
        <v>4</v>
      </c>
      <c r="Q8" t="s">
        <v>1</v>
      </c>
      <c r="R8">
        <v>13056</v>
      </c>
      <c r="S8">
        <v>32</v>
      </c>
      <c r="T8">
        <v>1</v>
      </c>
      <c r="U8">
        <v>4</v>
      </c>
      <c r="V8">
        <v>600.52</v>
      </c>
      <c r="W8" s="38">
        <v>2.4710999999999999</v>
      </c>
      <c r="X8" s="1">
        <v>45477</v>
      </c>
      <c r="Y8" s="2">
        <v>0.66038194444444442</v>
      </c>
      <c r="Z8">
        <v>0</v>
      </c>
      <c r="AA8">
        <v>0</v>
      </c>
      <c r="AB8">
        <v>0</v>
      </c>
      <c r="AC8" s="3">
        <f t="shared" si="1"/>
        <v>2.4730599999999998</v>
      </c>
      <c r="AD8" s="3"/>
    </row>
    <row r="9" spans="1:30" x14ac:dyDescent="0.25">
      <c r="A9">
        <v>0</v>
      </c>
      <c r="B9" t="s">
        <v>1</v>
      </c>
      <c r="C9">
        <v>13824</v>
      </c>
      <c r="D9">
        <v>32</v>
      </c>
      <c r="E9">
        <v>1</v>
      </c>
      <c r="F9">
        <v>4</v>
      </c>
      <c r="G9">
        <v>806</v>
      </c>
      <c r="H9" s="26">
        <v>2.1855000000000002</v>
      </c>
      <c r="I9" s="1">
        <v>45477</v>
      </c>
      <c r="J9" s="2">
        <v>0.44359953703703703</v>
      </c>
      <c r="K9">
        <v>0</v>
      </c>
      <c r="L9">
        <v>0</v>
      </c>
      <c r="M9">
        <v>0</v>
      </c>
      <c r="N9" s="27">
        <f>AVERAGE(H9:H13)</f>
        <v>2.1856800000000001</v>
      </c>
      <c r="P9">
        <v>0</v>
      </c>
      <c r="Q9" t="s">
        <v>1</v>
      </c>
      <c r="R9">
        <v>13824</v>
      </c>
      <c r="S9">
        <v>32</v>
      </c>
      <c r="T9">
        <v>1</v>
      </c>
      <c r="U9">
        <v>4</v>
      </c>
      <c r="V9">
        <v>715.43</v>
      </c>
      <c r="W9" s="38">
        <v>2.4622000000000002</v>
      </c>
      <c r="X9" s="1">
        <v>45477</v>
      </c>
      <c r="Y9" s="2">
        <v>0.44333333333333336</v>
      </c>
      <c r="Z9">
        <v>0</v>
      </c>
      <c r="AA9">
        <v>0</v>
      </c>
      <c r="AB9">
        <v>0</v>
      </c>
      <c r="AC9" s="3">
        <f>AVERAGE(W9:W13)</f>
        <v>2.4613199999999997</v>
      </c>
      <c r="AD9" s="3"/>
    </row>
    <row r="10" spans="1:30" x14ac:dyDescent="0.25">
      <c r="A10">
        <v>1</v>
      </c>
      <c r="B10" t="s">
        <v>1</v>
      </c>
      <c r="C10">
        <v>13824</v>
      </c>
      <c r="D10">
        <v>32</v>
      </c>
      <c r="E10">
        <v>1</v>
      </c>
      <c r="F10">
        <v>4</v>
      </c>
      <c r="G10">
        <v>806.66</v>
      </c>
      <c r="H10" s="26">
        <v>2.1837</v>
      </c>
      <c r="I10" s="1">
        <v>45477</v>
      </c>
      <c r="J10" s="2">
        <v>0.50100694444444449</v>
      </c>
      <c r="K10">
        <v>0</v>
      </c>
      <c r="L10">
        <v>0</v>
      </c>
      <c r="M10">
        <v>0</v>
      </c>
      <c r="N10" s="27">
        <f>N9</f>
        <v>2.1856800000000001</v>
      </c>
      <c r="P10">
        <v>1</v>
      </c>
      <c r="Q10" t="s">
        <v>1</v>
      </c>
      <c r="R10">
        <v>13824</v>
      </c>
      <c r="S10">
        <v>32</v>
      </c>
      <c r="T10">
        <v>1</v>
      </c>
      <c r="U10">
        <v>4</v>
      </c>
      <c r="V10">
        <v>715.42</v>
      </c>
      <c r="W10" s="38">
        <v>2.4622000000000002</v>
      </c>
      <c r="X10" s="1">
        <v>45477</v>
      </c>
      <c r="Y10" s="2">
        <v>0.50211805555555555</v>
      </c>
      <c r="Z10">
        <v>0</v>
      </c>
      <c r="AA10">
        <v>0</v>
      </c>
      <c r="AB10">
        <v>0</v>
      </c>
      <c r="AC10" s="3">
        <f>AC9</f>
        <v>2.4613199999999997</v>
      </c>
      <c r="AD10" s="3"/>
    </row>
    <row r="11" spans="1:30" x14ac:dyDescent="0.25">
      <c r="A11">
        <v>2</v>
      </c>
      <c r="B11" t="s">
        <v>1</v>
      </c>
      <c r="C11">
        <v>13824</v>
      </c>
      <c r="D11">
        <v>32</v>
      </c>
      <c r="E11">
        <v>1</v>
      </c>
      <c r="F11">
        <v>4</v>
      </c>
      <c r="G11">
        <v>806.79</v>
      </c>
      <c r="H11" s="26">
        <v>2.1833</v>
      </c>
      <c r="I11" s="1">
        <v>45477</v>
      </c>
      <c r="J11" s="2">
        <v>0.55391203703703706</v>
      </c>
      <c r="K11">
        <v>0</v>
      </c>
      <c r="L11">
        <v>0</v>
      </c>
      <c r="M11">
        <v>0</v>
      </c>
      <c r="N11" s="27">
        <f t="shared" ref="N11:N13" si="2">N10</f>
        <v>2.1856800000000001</v>
      </c>
      <c r="P11">
        <v>2</v>
      </c>
      <c r="Q11" t="s">
        <v>1</v>
      </c>
      <c r="R11">
        <v>13824</v>
      </c>
      <c r="S11">
        <v>32</v>
      </c>
      <c r="T11">
        <v>1</v>
      </c>
      <c r="U11">
        <v>4</v>
      </c>
      <c r="V11">
        <v>715.93</v>
      </c>
      <c r="W11" s="38">
        <v>2.4603999999999999</v>
      </c>
      <c r="X11" s="1">
        <v>45477</v>
      </c>
      <c r="Y11" s="2">
        <v>0.5609143518518519</v>
      </c>
      <c r="Z11">
        <v>0</v>
      </c>
      <c r="AA11">
        <v>0</v>
      </c>
      <c r="AB11">
        <v>0</v>
      </c>
      <c r="AC11" s="3">
        <f t="shared" ref="AC11:AC13" si="3">AC10</f>
        <v>2.4613199999999997</v>
      </c>
      <c r="AD11" s="3"/>
    </row>
    <row r="12" spans="1:30" x14ac:dyDescent="0.25">
      <c r="A12">
        <v>3</v>
      </c>
      <c r="B12" t="s">
        <v>1</v>
      </c>
      <c r="C12">
        <v>13824</v>
      </c>
      <c r="D12">
        <v>32</v>
      </c>
      <c r="E12">
        <v>1</v>
      </c>
      <c r="F12">
        <v>4</v>
      </c>
      <c r="G12">
        <v>805.19</v>
      </c>
      <c r="H12" s="26">
        <v>2.1877</v>
      </c>
      <c r="I12" s="1">
        <v>45477</v>
      </c>
      <c r="J12" s="2">
        <v>0.61116898148148147</v>
      </c>
      <c r="K12">
        <v>0</v>
      </c>
      <c r="L12">
        <v>0</v>
      </c>
      <c r="M12">
        <v>0</v>
      </c>
      <c r="N12" s="27">
        <f t="shared" si="2"/>
        <v>2.1856800000000001</v>
      </c>
      <c r="P12">
        <v>3</v>
      </c>
      <c r="Q12" t="s">
        <v>1</v>
      </c>
      <c r="R12">
        <v>13824</v>
      </c>
      <c r="S12">
        <v>32</v>
      </c>
      <c r="T12">
        <v>1</v>
      </c>
      <c r="U12">
        <v>4</v>
      </c>
      <c r="V12">
        <v>715.77</v>
      </c>
      <c r="W12" s="38">
        <v>2.4609999999999999</v>
      </c>
      <c r="X12" s="1">
        <v>45477</v>
      </c>
      <c r="Y12" s="2">
        <v>0.61968749999999995</v>
      </c>
      <c r="Z12">
        <v>0</v>
      </c>
      <c r="AA12">
        <v>0</v>
      </c>
      <c r="AB12">
        <v>0</v>
      </c>
      <c r="AC12" s="3">
        <f t="shared" si="3"/>
        <v>2.4613199999999997</v>
      </c>
      <c r="AD12" s="3"/>
    </row>
    <row r="13" spans="1:30" x14ac:dyDescent="0.25">
      <c r="A13">
        <v>4</v>
      </c>
      <c r="B13" t="s">
        <v>1</v>
      </c>
      <c r="C13">
        <v>13824</v>
      </c>
      <c r="D13">
        <v>32</v>
      </c>
      <c r="E13">
        <v>1</v>
      </c>
      <c r="F13">
        <v>4</v>
      </c>
      <c r="G13">
        <v>804.98</v>
      </c>
      <c r="H13" s="26">
        <v>2.1882000000000001</v>
      </c>
      <c r="I13" s="1">
        <v>45477</v>
      </c>
      <c r="J13" s="2">
        <v>0.66841435185185183</v>
      </c>
      <c r="K13">
        <v>0</v>
      </c>
      <c r="L13">
        <v>0</v>
      </c>
      <c r="M13">
        <v>0</v>
      </c>
      <c r="N13" s="27">
        <f t="shared" si="2"/>
        <v>2.1856800000000001</v>
      </c>
      <c r="P13">
        <v>4</v>
      </c>
      <c r="Q13" t="s">
        <v>1</v>
      </c>
      <c r="R13">
        <v>13824</v>
      </c>
      <c r="S13">
        <v>32</v>
      </c>
      <c r="T13">
        <v>1</v>
      </c>
      <c r="U13">
        <v>4</v>
      </c>
      <c r="V13">
        <v>715.83</v>
      </c>
      <c r="W13" s="38">
        <v>2.4607999999999999</v>
      </c>
      <c r="X13" s="1">
        <v>45477</v>
      </c>
      <c r="Y13" s="2">
        <v>0.67847222222222225</v>
      </c>
      <c r="Z13">
        <v>0</v>
      </c>
      <c r="AA13">
        <v>0</v>
      </c>
      <c r="AB13">
        <v>0</v>
      </c>
      <c r="AC13" s="3">
        <f t="shared" si="3"/>
        <v>2.4613199999999997</v>
      </c>
      <c r="AD13" s="3"/>
    </row>
    <row r="14" spans="1:30" x14ac:dyDescent="0.25">
      <c r="A14">
        <v>0</v>
      </c>
      <c r="B14" t="s">
        <v>1</v>
      </c>
      <c r="C14">
        <v>14592</v>
      </c>
      <c r="D14">
        <v>32</v>
      </c>
      <c r="E14">
        <v>1</v>
      </c>
      <c r="F14">
        <v>4</v>
      </c>
      <c r="G14">
        <v>928.7</v>
      </c>
      <c r="H14" s="26">
        <v>2.2307000000000001</v>
      </c>
      <c r="I14" s="1">
        <v>45477</v>
      </c>
      <c r="J14" s="2">
        <v>0.46424768518518517</v>
      </c>
      <c r="K14">
        <v>0</v>
      </c>
      <c r="L14">
        <v>0</v>
      </c>
      <c r="M14">
        <v>0</v>
      </c>
      <c r="N14" s="27">
        <f t="shared" ref="N14" si="4">AVERAGE(H14:H18)</f>
        <v>2.23156</v>
      </c>
      <c r="P14">
        <v>0</v>
      </c>
      <c r="Q14" t="s">
        <v>1</v>
      </c>
      <c r="R14">
        <v>14592</v>
      </c>
      <c r="S14">
        <v>32</v>
      </c>
      <c r="T14">
        <v>1</v>
      </c>
      <c r="U14">
        <v>4</v>
      </c>
      <c r="V14">
        <v>833.74</v>
      </c>
      <c r="W14" s="38">
        <v>2.4847999999999999</v>
      </c>
      <c r="X14" s="1">
        <v>45477</v>
      </c>
      <c r="Y14" s="2">
        <v>0.46439814814814817</v>
      </c>
      <c r="Z14">
        <v>0</v>
      </c>
      <c r="AA14">
        <v>0</v>
      </c>
      <c r="AB14">
        <v>0</v>
      </c>
      <c r="AC14" s="3">
        <f t="shared" ref="AC14" si="5">AVERAGE(W14:W18)</f>
        <v>2.4844599999999999</v>
      </c>
      <c r="AD14" s="3"/>
    </row>
    <row r="15" spans="1:30" x14ac:dyDescent="0.25">
      <c r="A15">
        <v>1</v>
      </c>
      <c r="B15" t="s">
        <v>1</v>
      </c>
      <c r="C15">
        <v>14592</v>
      </c>
      <c r="D15">
        <v>32</v>
      </c>
      <c r="E15">
        <v>1</v>
      </c>
      <c r="F15">
        <v>4</v>
      </c>
      <c r="G15">
        <v>929.39</v>
      </c>
      <c r="H15" s="26">
        <v>2.2290999999999999</v>
      </c>
      <c r="I15" s="1">
        <v>45477</v>
      </c>
      <c r="J15" s="2">
        <v>0.52167824074074076</v>
      </c>
      <c r="K15">
        <v>0</v>
      </c>
      <c r="L15">
        <v>0</v>
      </c>
      <c r="M15">
        <v>0</v>
      </c>
      <c r="N15" s="27">
        <f t="shared" ref="N15:N78" si="6">N14</f>
        <v>2.23156</v>
      </c>
      <c r="P15">
        <v>1</v>
      </c>
      <c r="Q15" t="s">
        <v>1</v>
      </c>
      <c r="R15">
        <v>14592</v>
      </c>
      <c r="S15">
        <v>32</v>
      </c>
      <c r="T15">
        <v>1</v>
      </c>
      <c r="U15">
        <v>4</v>
      </c>
      <c r="V15">
        <v>834.05</v>
      </c>
      <c r="W15" s="38">
        <v>2.4839000000000002</v>
      </c>
      <c r="X15" s="1">
        <v>45477</v>
      </c>
      <c r="Y15" s="2">
        <v>0.52319444444444441</v>
      </c>
      <c r="Z15">
        <v>0</v>
      </c>
      <c r="AA15">
        <v>0</v>
      </c>
      <c r="AB15">
        <v>0</v>
      </c>
      <c r="AC15" s="3">
        <f t="shared" ref="AC15:AC78" si="7">AC14</f>
        <v>2.4844599999999999</v>
      </c>
      <c r="AD15" s="3"/>
    </row>
    <row r="16" spans="1:30" x14ac:dyDescent="0.25">
      <c r="A16">
        <v>2</v>
      </c>
      <c r="B16" t="s">
        <v>1</v>
      </c>
      <c r="C16">
        <v>14592</v>
      </c>
      <c r="D16">
        <v>32</v>
      </c>
      <c r="E16">
        <v>1</v>
      </c>
      <c r="F16">
        <v>4</v>
      </c>
      <c r="G16">
        <v>927.7</v>
      </c>
      <c r="H16" s="26">
        <v>2.2330999999999999</v>
      </c>
      <c r="I16" s="1">
        <v>45477</v>
      </c>
      <c r="J16" s="2">
        <v>0.57453703703703707</v>
      </c>
      <c r="K16">
        <v>0</v>
      </c>
      <c r="L16">
        <v>0</v>
      </c>
      <c r="M16">
        <v>0</v>
      </c>
      <c r="N16" s="27">
        <f t="shared" si="6"/>
        <v>2.23156</v>
      </c>
      <c r="P16">
        <v>2</v>
      </c>
      <c r="Q16" t="s">
        <v>1</v>
      </c>
      <c r="R16">
        <v>14592</v>
      </c>
      <c r="S16">
        <v>32</v>
      </c>
      <c r="T16">
        <v>1</v>
      </c>
      <c r="U16">
        <v>4</v>
      </c>
      <c r="V16">
        <v>833.68</v>
      </c>
      <c r="W16" s="38">
        <v>2.4849999999999999</v>
      </c>
      <c r="X16" s="1">
        <v>45477</v>
      </c>
      <c r="Y16" s="2">
        <v>0.58197916666666671</v>
      </c>
      <c r="Z16">
        <v>0</v>
      </c>
      <c r="AA16">
        <v>0</v>
      </c>
      <c r="AB16">
        <v>0</v>
      </c>
      <c r="AC16" s="3">
        <f t="shared" si="7"/>
        <v>2.4844599999999999</v>
      </c>
      <c r="AD16" s="3"/>
    </row>
    <row r="17" spans="1:30" x14ac:dyDescent="0.25">
      <c r="A17">
        <v>3</v>
      </c>
      <c r="B17" t="s">
        <v>1</v>
      </c>
      <c r="C17">
        <v>14592</v>
      </c>
      <c r="D17">
        <v>32</v>
      </c>
      <c r="E17">
        <v>1</v>
      </c>
      <c r="F17">
        <v>4</v>
      </c>
      <c r="G17">
        <v>927.96</v>
      </c>
      <c r="H17" s="26">
        <v>2.2324999999999999</v>
      </c>
      <c r="I17" s="1">
        <v>45477</v>
      </c>
      <c r="J17" s="2">
        <v>0.63178240740740743</v>
      </c>
      <c r="K17">
        <v>0</v>
      </c>
      <c r="L17">
        <v>0</v>
      </c>
      <c r="M17">
        <v>0</v>
      </c>
      <c r="N17" s="27">
        <f t="shared" si="6"/>
        <v>2.23156</v>
      </c>
      <c r="P17">
        <v>3</v>
      </c>
      <c r="Q17" t="s">
        <v>1</v>
      </c>
      <c r="R17">
        <v>14592</v>
      </c>
      <c r="S17">
        <v>32</v>
      </c>
      <c r="T17">
        <v>1</v>
      </c>
      <c r="U17">
        <v>4</v>
      </c>
      <c r="V17">
        <v>833.75</v>
      </c>
      <c r="W17" s="38">
        <v>2.4847999999999999</v>
      </c>
      <c r="X17" s="1">
        <v>45477</v>
      </c>
      <c r="Y17" s="2">
        <v>0.64075231481481476</v>
      </c>
      <c r="Z17">
        <v>0</v>
      </c>
      <c r="AA17">
        <v>0</v>
      </c>
      <c r="AB17">
        <v>0</v>
      </c>
      <c r="AC17" s="3">
        <f t="shared" si="7"/>
        <v>2.4844599999999999</v>
      </c>
      <c r="AD17" s="3"/>
    </row>
    <row r="18" spans="1:30" x14ac:dyDescent="0.25">
      <c r="A18">
        <v>4</v>
      </c>
      <c r="B18" t="s">
        <v>1</v>
      </c>
      <c r="C18">
        <v>14592</v>
      </c>
      <c r="D18">
        <v>32</v>
      </c>
      <c r="E18">
        <v>1</v>
      </c>
      <c r="F18">
        <v>4</v>
      </c>
      <c r="G18">
        <v>928</v>
      </c>
      <c r="H18" s="26">
        <v>2.2324000000000002</v>
      </c>
      <c r="I18" s="1">
        <v>45477</v>
      </c>
      <c r="J18" s="2">
        <v>0.68903935185185183</v>
      </c>
      <c r="K18">
        <v>0</v>
      </c>
      <c r="L18">
        <v>0</v>
      </c>
      <c r="M18">
        <v>0</v>
      </c>
      <c r="N18" s="27">
        <f t="shared" si="6"/>
        <v>2.23156</v>
      </c>
      <c r="P18">
        <v>4</v>
      </c>
      <c r="Q18" t="s">
        <v>1</v>
      </c>
      <c r="R18">
        <v>14592</v>
      </c>
      <c r="S18">
        <v>32</v>
      </c>
      <c r="T18">
        <v>1</v>
      </c>
      <c r="U18">
        <v>4</v>
      </c>
      <c r="V18">
        <v>834.06</v>
      </c>
      <c r="W18" s="38">
        <v>2.4838</v>
      </c>
      <c r="X18" s="1">
        <v>45477</v>
      </c>
      <c r="Y18" s="2">
        <v>0.69953703703703707</v>
      </c>
      <c r="Z18">
        <v>0</v>
      </c>
      <c r="AA18">
        <v>0</v>
      </c>
      <c r="AB18">
        <v>0</v>
      </c>
      <c r="AC18" s="3">
        <f t="shared" si="7"/>
        <v>2.4844599999999999</v>
      </c>
      <c r="AD18" s="3"/>
    </row>
    <row r="19" spans="1:30" x14ac:dyDescent="0.25">
      <c r="A19">
        <v>0</v>
      </c>
      <c r="B19" t="s">
        <v>1</v>
      </c>
      <c r="C19">
        <v>13056</v>
      </c>
      <c r="D19">
        <v>32</v>
      </c>
      <c r="E19">
        <v>2</v>
      </c>
      <c r="F19">
        <v>2</v>
      </c>
      <c r="G19">
        <v>665.71</v>
      </c>
      <c r="H19" s="26">
        <v>2.2290999999999999</v>
      </c>
      <c r="I19" s="1">
        <v>45477</v>
      </c>
      <c r="J19" s="2">
        <v>0.43395833333333333</v>
      </c>
      <c r="K19">
        <v>0</v>
      </c>
      <c r="L19">
        <v>0</v>
      </c>
      <c r="M19">
        <v>0</v>
      </c>
      <c r="N19" s="27">
        <f t="shared" ref="N19" si="8">AVERAGE(H19:H23)</f>
        <v>2.2278500000000001</v>
      </c>
      <c r="P19">
        <v>0</v>
      </c>
      <c r="Q19" t="s">
        <v>1</v>
      </c>
      <c r="R19">
        <v>13056</v>
      </c>
      <c r="S19">
        <v>32</v>
      </c>
      <c r="T19">
        <v>2</v>
      </c>
      <c r="U19">
        <v>2</v>
      </c>
      <c r="V19">
        <v>603.76</v>
      </c>
      <c r="W19" s="38">
        <v>2.4578000000000002</v>
      </c>
      <c r="X19" s="1">
        <v>45477</v>
      </c>
      <c r="Y19" s="2">
        <v>0.43356481481481479</v>
      </c>
      <c r="Z19">
        <v>0</v>
      </c>
      <c r="AA19">
        <v>0</v>
      </c>
      <c r="AB19">
        <v>0</v>
      </c>
      <c r="AC19" s="3">
        <f t="shared" ref="AC19" si="9">AVERAGE(W19:W23)</f>
        <v>2.4567200000000002</v>
      </c>
      <c r="AD19" s="3"/>
    </row>
    <row r="20" spans="1:30" x14ac:dyDescent="0.25">
      <c r="A20">
        <v>1</v>
      </c>
      <c r="B20" t="s">
        <v>1</v>
      </c>
      <c r="C20">
        <v>13056</v>
      </c>
      <c r="D20">
        <v>32</v>
      </c>
      <c r="E20">
        <v>2</v>
      </c>
      <c r="F20">
        <v>2</v>
      </c>
      <c r="G20">
        <v>668.93</v>
      </c>
      <c r="H20" s="26">
        <v>2.2183999999999999</v>
      </c>
      <c r="I20" s="1">
        <v>45477</v>
      </c>
      <c r="J20" s="2">
        <v>0.49136574074074074</v>
      </c>
      <c r="K20">
        <v>0</v>
      </c>
      <c r="L20">
        <v>0</v>
      </c>
      <c r="M20">
        <v>0</v>
      </c>
      <c r="N20" s="27">
        <f t="shared" ref="N20:N83" si="10">N19</f>
        <v>2.2278500000000001</v>
      </c>
      <c r="P20">
        <v>1</v>
      </c>
      <c r="Q20" t="s">
        <v>1</v>
      </c>
      <c r="R20">
        <v>13056</v>
      </c>
      <c r="S20">
        <v>32</v>
      </c>
      <c r="T20">
        <v>2</v>
      </c>
      <c r="U20">
        <v>2</v>
      </c>
      <c r="V20">
        <v>604.44000000000005</v>
      </c>
      <c r="W20" s="38">
        <v>2.4550999999999998</v>
      </c>
      <c r="X20" s="1">
        <v>45477</v>
      </c>
      <c r="Y20" s="2">
        <v>0.49236111111111114</v>
      </c>
      <c r="Z20">
        <v>0</v>
      </c>
      <c r="AA20">
        <v>0</v>
      </c>
      <c r="AB20">
        <v>0</v>
      </c>
      <c r="AC20" s="3">
        <f t="shared" ref="AC20:AC83" si="11">AC19</f>
        <v>2.4567200000000002</v>
      </c>
      <c r="AD20" s="3"/>
    </row>
    <row r="21" spans="1:30" x14ac:dyDescent="0.25">
      <c r="A21">
        <v>2</v>
      </c>
      <c r="B21" t="s">
        <v>53</v>
      </c>
      <c r="C21">
        <v>13056</v>
      </c>
      <c r="D21">
        <v>32</v>
      </c>
      <c r="E21">
        <v>2</v>
      </c>
      <c r="F21">
        <v>2</v>
      </c>
      <c r="H21" s="26"/>
      <c r="I21" s="1">
        <v>45477</v>
      </c>
      <c r="J21" s="2">
        <v>0.54427083333333337</v>
      </c>
      <c r="K21">
        <v>0</v>
      </c>
      <c r="L21">
        <v>0</v>
      </c>
      <c r="M21">
        <v>0</v>
      </c>
      <c r="N21" s="27">
        <f t="shared" si="10"/>
        <v>2.2278500000000001</v>
      </c>
      <c r="P21">
        <v>2</v>
      </c>
      <c r="Q21" t="s">
        <v>1</v>
      </c>
      <c r="R21">
        <v>13056</v>
      </c>
      <c r="S21">
        <v>32</v>
      </c>
      <c r="T21">
        <v>2</v>
      </c>
      <c r="U21">
        <v>2</v>
      </c>
      <c r="V21">
        <v>604.08000000000004</v>
      </c>
      <c r="W21" s="38">
        <v>2.4565000000000001</v>
      </c>
      <c r="X21" s="1">
        <v>45477</v>
      </c>
      <c r="Y21" s="2">
        <v>0.55114583333333333</v>
      </c>
      <c r="Z21">
        <v>0</v>
      </c>
      <c r="AA21">
        <v>0</v>
      </c>
      <c r="AB21">
        <v>0</v>
      </c>
      <c r="AC21" s="3">
        <f t="shared" si="11"/>
        <v>2.4567200000000002</v>
      </c>
      <c r="AD21" s="3"/>
    </row>
    <row r="22" spans="1:30" x14ac:dyDescent="0.25">
      <c r="A22">
        <v>3</v>
      </c>
      <c r="B22" t="s">
        <v>1</v>
      </c>
      <c r="C22">
        <v>13056</v>
      </c>
      <c r="D22">
        <v>32</v>
      </c>
      <c r="E22">
        <v>2</v>
      </c>
      <c r="F22">
        <v>2</v>
      </c>
      <c r="G22">
        <v>664.93</v>
      </c>
      <c r="H22" s="26">
        <v>2.2317</v>
      </c>
      <c r="I22" s="1">
        <v>45477</v>
      </c>
      <c r="J22" s="2">
        <v>0.60153935185185181</v>
      </c>
      <c r="K22">
        <v>0</v>
      </c>
      <c r="L22">
        <v>0</v>
      </c>
      <c r="M22">
        <v>0</v>
      </c>
      <c r="N22" s="27">
        <f t="shared" si="10"/>
        <v>2.2278500000000001</v>
      </c>
      <c r="P22">
        <v>3</v>
      </c>
      <c r="Q22" t="s">
        <v>1</v>
      </c>
      <c r="R22">
        <v>13056</v>
      </c>
      <c r="S22">
        <v>32</v>
      </c>
      <c r="T22">
        <v>2</v>
      </c>
      <c r="U22">
        <v>2</v>
      </c>
      <c r="V22">
        <v>603.76</v>
      </c>
      <c r="W22" s="38">
        <v>2.4578000000000002</v>
      </c>
      <c r="X22" s="1">
        <v>45477</v>
      </c>
      <c r="Y22" s="2">
        <v>0.60991898148148149</v>
      </c>
      <c r="Z22">
        <v>0</v>
      </c>
      <c r="AA22">
        <v>0</v>
      </c>
      <c r="AB22">
        <v>0</v>
      </c>
      <c r="AC22" s="3">
        <f t="shared" si="11"/>
        <v>2.4567200000000002</v>
      </c>
      <c r="AD22" s="3"/>
    </row>
    <row r="23" spans="1:30" x14ac:dyDescent="0.25">
      <c r="A23">
        <v>4</v>
      </c>
      <c r="B23" t="s">
        <v>1</v>
      </c>
      <c r="C23">
        <v>13056</v>
      </c>
      <c r="D23">
        <v>32</v>
      </c>
      <c r="E23">
        <v>2</v>
      </c>
      <c r="F23">
        <v>2</v>
      </c>
      <c r="G23">
        <v>664.8</v>
      </c>
      <c r="H23" s="26">
        <v>2.2322000000000002</v>
      </c>
      <c r="I23" s="1">
        <v>45477</v>
      </c>
      <c r="J23" s="2">
        <v>0.65879629629629632</v>
      </c>
      <c r="K23">
        <v>0</v>
      </c>
      <c r="L23">
        <v>0</v>
      </c>
      <c r="M23">
        <v>0</v>
      </c>
      <c r="N23" s="27">
        <f t="shared" si="10"/>
        <v>2.2278500000000001</v>
      </c>
      <c r="P23">
        <v>4</v>
      </c>
      <c r="Q23" t="s">
        <v>1</v>
      </c>
      <c r="R23">
        <v>13056</v>
      </c>
      <c r="S23">
        <v>32</v>
      </c>
      <c r="T23">
        <v>2</v>
      </c>
      <c r="U23">
        <v>2</v>
      </c>
      <c r="V23">
        <v>604.12</v>
      </c>
      <c r="W23" s="38">
        <v>2.4563999999999999</v>
      </c>
      <c r="X23" s="1">
        <v>45477</v>
      </c>
      <c r="Y23" s="2">
        <v>0.66870370370370369</v>
      </c>
      <c r="Z23">
        <v>0</v>
      </c>
      <c r="AA23">
        <v>0</v>
      </c>
      <c r="AB23">
        <v>0</v>
      </c>
      <c r="AC23" s="3">
        <f t="shared" si="11"/>
        <v>2.4567200000000002</v>
      </c>
      <c r="AD23" s="3"/>
    </row>
    <row r="24" spans="1:30" x14ac:dyDescent="0.25">
      <c r="A24">
        <v>0</v>
      </c>
      <c r="B24" t="s">
        <v>1</v>
      </c>
      <c r="C24">
        <v>13824</v>
      </c>
      <c r="D24">
        <v>32</v>
      </c>
      <c r="E24">
        <v>2</v>
      </c>
      <c r="F24">
        <v>2</v>
      </c>
      <c r="G24">
        <v>798.55</v>
      </c>
      <c r="H24" s="26">
        <v>2.2059000000000002</v>
      </c>
      <c r="I24" s="1">
        <v>45477</v>
      </c>
      <c r="J24" s="2">
        <v>0.45314814814814813</v>
      </c>
      <c r="K24">
        <v>0</v>
      </c>
      <c r="L24">
        <v>0</v>
      </c>
      <c r="M24">
        <v>0</v>
      </c>
      <c r="N24" s="27">
        <f t="shared" ref="N24" si="12">AVERAGE(H24:H28)</f>
        <v>2.2071000000000001</v>
      </c>
      <c r="P24">
        <v>0</v>
      </c>
      <c r="Q24" t="s">
        <v>1</v>
      </c>
      <c r="R24">
        <v>13824</v>
      </c>
      <c r="S24">
        <v>32</v>
      </c>
      <c r="T24">
        <v>2</v>
      </c>
      <c r="U24">
        <v>2</v>
      </c>
      <c r="V24">
        <v>715.4</v>
      </c>
      <c r="W24" s="38">
        <v>2.4622999999999999</v>
      </c>
      <c r="X24" s="1">
        <v>45477</v>
      </c>
      <c r="Y24" s="2">
        <v>0.45309027777777777</v>
      </c>
      <c r="Z24">
        <v>0</v>
      </c>
      <c r="AA24">
        <v>0</v>
      </c>
      <c r="AB24">
        <v>0</v>
      </c>
      <c r="AC24" s="3">
        <f t="shared" ref="AC24" si="13">AVERAGE(W24:W28)</f>
        <v>2.4626600000000001</v>
      </c>
      <c r="AD24" s="3"/>
    </row>
    <row r="25" spans="1:30" x14ac:dyDescent="0.25">
      <c r="A25">
        <v>1</v>
      </c>
      <c r="B25" t="s">
        <v>1</v>
      </c>
      <c r="C25">
        <v>13824</v>
      </c>
      <c r="D25">
        <v>32</v>
      </c>
      <c r="E25">
        <v>2</v>
      </c>
      <c r="F25">
        <v>2</v>
      </c>
      <c r="G25">
        <v>800.31</v>
      </c>
      <c r="H25" s="26">
        <v>2.2010000000000001</v>
      </c>
      <c r="I25" s="1">
        <v>45477</v>
      </c>
      <c r="J25" s="2">
        <v>0.51057870370370373</v>
      </c>
      <c r="K25">
        <v>0</v>
      </c>
      <c r="L25">
        <v>0</v>
      </c>
      <c r="M25">
        <v>0</v>
      </c>
      <c r="N25" s="27">
        <f t="shared" ref="N25" si="14">N24</f>
        <v>2.2071000000000001</v>
      </c>
      <c r="P25">
        <v>1</v>
      </c>
      <c r="Q25" t="s">
        <v>1</v>
      </c>
      <c r="R25">
        <v>13824</v>
      </c>
      <c r="S25">
        <v>32</v>
      </c>
      <c r="T25">
        <v>2</v>
      </c>
      <c r="U25">
        <v>2</v>
      </c>
      <c r="V25">
        <v>715.29</v>
      </c>
      <c r="W25" s="38">
        <v>2.4626000000000001</v>
      </c>
      <c r="X25" s="1">
        <v>45477</v>
      </c>
      <c r="Y25" s="2">
        <v>0.51188657407407412</v>
      </c>
      <c r="Z25">
        <v>0</v>
      </c>
      <c r="AA25">
        <v>0</v>
      </c>
      <c r="AB25">
        <v>0</v>
      </c>
      <c r="AC25" s="3">
        <f t="shared" ref="AC25" si="15">AC24</f>
        <v>2.4626600000000001</v>
      </c>
      <c r="AD25" s="3"/>
    </row>
    <row r="26" spans="1:30" x14ac:dyDescent="0.25">
      <c r="A26">
        <v>2</v>
      </c>
      <c r="B26" t="s">
        <v>1</v>
      </c>
      <c r="C26">
        <v>13824</v>
      </c>
      <c r="D26">
        <v>32</v>
      </c>
      <c r="E26">
        <v>2</v>
      </c>
      <c r="F26">
        <v>2</v>
      </c>
      <c r="G26">
        <v>797.42</v>
      </c>
      <c r="H26" s="26">
        <v>2.2090000000000001</v>
      </c>
      <c r="I26" s="1">
        <v>45477</v>
      </c>
      <c r="J26" s="2">
        <v>0.56344907407407407</v>
      </c>
      <c r="K26">
        <v>0</v>
      </c>
      <c r="L26">
        <v>0</v>
      </c>
      <c r="M26">
        <v>0</v>
      </c>
      <c r="N26" s="27">
        <f t="shared" si="6"/>
        <v>2.2071000000000001</v>
      </c>
      <c r="P26">
        <v>2</v>
      </c>
      <c r="Q26" t="s">
        <v>1</v>
      </c>
      <c r="R26">
        <v>13824</v>
      </c>
      <c r="S26">
        <v>32</v>
      </c>
      <c r="T26">
        <v>2</v>
      </c>
      <c r="U26">
        <v>2</v>
      </c>
      <c r="V26">
        <v>715.31</v>
      </c>
      <c r="W26" s="38">
        <v>2.4626000000000001</v>
      </c>
      <c r="X26" s="1">
        <v>45477</v>
      </c>
      <c r="Y26" s="2">
        <v>0.57067129629629632</v>
      </c>
      <c r="Z26">
        <v>0</v>
      </c>
      <c r="AA26">
        <v>0</v>
      </c>
      <c r="AB26">
        <v>0</v>
      </c>
      <c r="AC26" s="3">
        <f t="shared" si="7"/>
        <v>2.4626600000000001</v>
      </c>
      <c r="AD26" s="3"/>
    </row>
    <row r="27" spans="1:30" x14ac:dyDescent="0.25">
      <c r="A27">
        <v>3</v>
      </c>
      <c r="B27" t="s">
        <v>1</v>
      </c>
      <c r="C27">
        <v>13824</v>
      </c>
      <c r="D27">
        <v>32</v>
      </c>
      <c r="E27">
        <v>2</v>
      </c>
      <c r="F27">
        <v>2</v>
      </c>
      <c r="G27">
        <v>797.28</v>
      </c>
      <c r="H27" s="26">
        <v>2.2094</v>
      </c>
      <c r="I27" s="1">
        <v>45477</v>
      </c>
      <c r="J27" s="2">
        <v>0.62070601851851848</v>
      </c>
      <c r="K27">
        <v>0</v>
      </c>
      <c r="L27">
        <v>0</v>
      </c>
      <c r="M27">
        <v>0</v>
      </c>
      <c r="N27" s="27">
        <f t="shared" si="6"/>
        <v>2.2071000000000001</v>
      </c>
      <c r="P27">
        <v>3</v>
      </c>
      <c r="Q27" t="s">
        <v>1</v>
      </c>
      <c r="R27">
        <v>13824</v>
      </c>
      <c r="S27">
        <v>32</v>
      </c>
      <c r="T27">
        <v>2</v>
      </c>
      <c r="U27">
        <v>2</v>
      </c>
      <c r="V27">
        <v>714.96</v>
      </c>
      <c r="W27" s="38">
        <v>2.4638</v>
      </c>
      <c r="X27" s="1">
        <v>45477</v>
      </c>
      <c r="Y27" s="2">
        <v>0.62944444444444447</v>
      </c>
      <c r="Z27">
        <v>0</v>
      </c>
      <c r="AA27">
        <v>0</v>
      </c>
      <c r="AB27">
        <v>0</v>
      </c>
      <c r="AC27" s="3">
        <f t="shared" si="7"/>
        <v>2.4626600000000001</v>
      </c>
      <c r="AD27" s="3"/>
    </row>
    <row r="28" spans="1:30" x14ac:dyDescent="0.25">
      <c r="A28">
        <v>4</v>
      </c>
      <c r="B28" t="s">
        <v>1</v>
      </c>
      <c r="C28">
        <v>13824</v>
      </c>
      <c r="D28">
        <v>32</v>
      </c>
      <c r="E28">
        <v>2</v>
      </c>
      <c r="F28">
        <v>2</v>
      </c>
      <c r="G28">
        <v>796.99</v>
      </c>
      <c r="H28" s="26">
        <v>2.2101999999999999</v>
      </c>
      <c r="I28" s="1">
        <v>45477</v>
      </c>
      <c r="J28" s="2">
        <v>0.67795138888888884</v>
      </c>
      <c r="K28">
        <v>0</v>
      </c>
      <c r="L28">
        <v>0</v>
      </c>
      <c r="M28">
        <v>0</v>
      </c>
      <c r="N28" s="27">
        <f t="shared" si="6"/>
        <v>2.2071000000000001</v>
      </c>
      <c r="P28">
        <v>4</v>
      </c>
      <c r="Q28" t="s">
        <v>1</v>
      </c>
      <c r="R28">
        <v>13824</v>
      </c>
      <c r="S28">
        <v>32</v>
      </c>
      <c r="T28">
        <v>2</v>
      </c>
      <c r="U28">
        <v>2</v>
      </c>
      <c r="V28">
        <v>715.47</v>
      </c>
      <c r="W28" s="38">
        <v>2.4620000000000002</v>
      </c>
      <c r="X28" s="1">
        <v>45477</v>
      </c>
      <c r="Y28" s="2">
        <v>0.68822916666666667</v>
      </c>
      <c r="Z28">
        <v>0</v>
      </c>
      <c r="AA28">
        <v>0</v>
      </c>
      <c r="AB28">
        <v>0</v>
      </c>
      <c r="AC28" s="3">
        <f t="shared" si="7"/>
        <v>2.4626600000000001</v>
      </c>
      <c r="AD28" s="3"/>
    </row>
    <row r="29" spans="1:30" x14ac:dyDescent="0.25">
      <c r="A29">
        <v>0</v>
      </c>
      <c r="B29" t="s">
        <v>1</v>
      </c>
      <c r="C29">
        <v>14592</v>
      </c>
      <c r="D29">
        <v>32</v>
      </c>
      <c r="E29">
        <v>2</v>
      </c>
      <c r="F29">
        <v>2</v>
      </c>
      <c r="G29">
        <v>927.31</v>
      </c>
      <c r="H29" s="26">
        <v>2.2341000000000002</v>
      </c>
      <c r="I29" s="1">
        <v>45477</v>
      </c>
      <c r="J29" s="2">
        <v>0.47531250000000003</v>
      </c>
      <c r="K29">
        <v>0</v>
      </c>
      <c r="L29">
        <v>0</v>
      </c>
      <c r="M29">
        <v>0</v>
      </c>
      <c r="N29" s="27">
        <f t="shared" ref="N29" si="16">AVERAGE(H29:H33)</f>
        <v>2.2431399999999995</v>
      </c>
      <c r="P29">
        <v>0</v>
      </c>
      <c r="Q29" t="s">
        <v>1</v>
      </c>
      <c r="R29">
        <v>14592</v>
      </c>
      <c r="S29">
        <v>32</v>
      </c>
      <c r="T29">
        <v>2</v>
      </c>
      <c r="U29">
        <v>2</v>
      </c>
      <c r="V29">
        <v>840.27</v>
      </c>
      <c r="W29" s="38">
        <v>2.4655</v>
      </c>
      <c r="X29" s="1">
        <v>45477</v>
      </c>
      <c r="Y29" s="2">
        <v>0.47577546296296297</v>
      </c>
      <c r="Z29">
        <v>0</v>
      </c>
      <c r="AA29">
        <v>0</v>
      </c>
      <c r="AB29">
        <v>0</v>
      </c>
      <c r="AC29" s="3">
        <f t="shared" ref="AC29" si="17">AVERAGE(W29:W33)</f>
        <v>2.4679799999999998</v>
      </c>
      <c r="AD29" s="3"/>
    </row>
    <row r="30" spans="1:30" x14ac:dyDescent="0.25">
      <c r="A30">
        <v>1</v>
      </c>
      <c r="B30" t="s">
        <v>1</v>
      </c>
      <c r="C30">
        <v>14592</v>
      </c>
      <c r="D30">
        <v>32</v>
      </c>
      <c r="E30">
        <v>2</v>
      </c>
      <c r="F30">
        <v>2</v>
      </c>
      <c r="G30">
        <v>922.67</v>
      </c>
      <c r="H30" s="26">
        <v>2.2452999999999999</v>
      </c>
      <c r="I30" s="1">
        <v>45477</v>
      </c>
      <c r="J30" s="2">
        <v>0.5326967592592593</v>
      </c>
      <c r="K30">
        <v>0</v>
      </c>
      <c r="L30">
        <v>0</v>
      </c>
      <c r="M30">
        <v>0</v>
      </c>
      <c r="N30" s="27">
        <f t="shared" ref="N30" si="18">N29</f>
        <v>2.2431399999999995</v>
      </c>
      <c r="P30">
        <v>1</v>
      </c>
      <c r="Q30" t="s">
        <v>1</v>
      </c>
      <c r="R30">
        <v>14592</v>
      </c>
      <c r="S30">
        <v>32</v>
      </c>
      <c r="T30">
        <v>2</v>
      </c>
      <c r="U30">
        <v>2</v>
      </c>
      <c r="V30">
        <v>839.89</v>
      </c>
      <c r="W30" s="38">
        <v>2.4666000000000001</v>
      </c>
      <c r="X30" s="1">
        <v>45477</v>
      </c>
      <c r="Y30" s="2">
        <v>0.53456018518518522</v>
      </c>
      <c r="Z30">
        <v>0</v>
      </c>
      <c r="AA30">
        <v>0</v>
      </c>
      <c r="AB30">
        <v>0</v>
      </c>
      <c r="AC30" s="3">
        <f t="shared" ref="AC30" si="19">AC29</f>
        <v>2.4679799999999998</v>
      </c>
      <c r="AD30" s="3"/>
    </row>
    <row r="31" spans="1:30" x14ac:dyDescent="0.25">
      <c r="A31">
        <v>2</v>
      </c>
      <c r="B31" t="s">
        <v>1</v>
      </c>
      <c r="C31">
        <v>14592</v>
      </c>
      <c r="D31">
        <v>32</v>
      </c>
      <c r="E31">
        <v>2</v>
      </c>
      <c r="F31">
        <v>2</v>
      </c>
      <c r="G31">
        <v>922.66</v>
      </c>
      <c r="H31" s="26">
        <v>2.2452999999999999</v>
      </c>
      <c r="I31" s="1">
        <v>45477</v>
      </c>
      <c r="J31" s="2">
        <v>0.58555555555555561</v>
      </c>
      <c r="K31">
        <v>0</v>
      </c>
      <c r="L31">
        <v>0</v>
      </c>
      <c r="M31">
        <v>0</v>
      </c>
      <c r="N31" s="27">
        <f t="shared" si="10"/>
        <v>2.2431399999999995</v>
      </c>
      <c r="P31">
        <v>2</v>
      </c>
      <c r="Q31" t="s">
        <v>1</v>
      </c>
      <c r="R31">
        <v>14592</v>
      </c>
      <c r="S31">
        <v>32</v>
      </c>
      <c r="T31">
        <v>2</v>
      </c>
      <c r="U31">
        <v>2</v>
      </c>
      <c r="V31">
        <v>839.13</v>
      </c>
      <c r="W31" s="38">
        <v>2.4687999999999999</v>
      </c>
      <c r="X31" s="1">
        <v>45477</v>
      </c>
      <c r="Y31" s="2">
        <v>0.59333333333333338</v>
      </c>
      <c r="Z31">
        <v>0</v>
      </c>
      <c r="AA31">
        <v>0</v>
      </c>
      <c r="AB31">
        <v>0</v>
      </c>
      <c r="AC31" s="3">
        <f t="shared" si="11"/>
        <v>2.4679799999999998</v>
      </c>
      <c r="AD31" s="3"/>
    </row>
    <row r="32" spans="1:30" x14ac:dyDescent="0.25">
      <c r="A32">
        <v>3</v>
      </c>
      <c r="B32" t="s">
        <v>1</v>
      </c>
      <c r="C32">
        <v>14592</v>
      </c>
      <c r="D32">
        <v>32</v>
      </c>
      <c r="E32">
        <v>2</v>
      </c>
      <c r="F32">
        <v>2</v>
      </c>
      <c r="G32">
        <v>922.77</v>
      </c>
      <c r="H32" s="26">
        <v>2.2450999999999999</v>
      </c>
      <c r="I32" s="1">
        <v>45477</v>
      </c>
      <c r="J32" s="2">
        <v>0.64280092592592597</v>
      </c>
      <c r="K32">
        <v>0</v>
      </c>
      <c r="L32">
        <v>0</v>
      </c>
      <c r="M32">
        <v>0</v>
      </c>
      <c r="N32" s="27">
        <f t="shared" si="10"/>
        <v>2.2431399999999995</v>
      </c>
      <c r="P32">
        <v>3</v>
      </c>
      <c r="Q32" t="s">
        <v>1</v>
      </c>
      <c r="R32">
        <v>14592</v>
      </c>
      <c r="S32">
        <v>32</v>
      </c>
      <c r="T32">
        <v>2</v>
      </c>
      <c r="U32">
        <v>2</v>
      </c>
      <c r="V32">
        <v>838.88</v>
      </c>
      <c r="W32" s="38">
        <v>2.4695999999999998</v>
      </c>
      <c r="X32" s="1">
        <v>45477</v>
      </c>
      <c r="Y32" s="2">
        <v>0.65210648148148154</v>
      </c>
      <c r="Z32">
        <v>0</v>
      </c>
      <c r="AA32">
        <v>0</v>
      </c>
      <c r="AB32">
        <v>0</v>
      </c>
      <c r="AC32" s="3">
        <f t="shared" si="11"/>
        <v>2.4679799999999998</v>
      </c>
      <c r="AD32" s="3"/>
    </row>
    <row r="33" spans="1:30" x14ac:dyDescent="0.25">
      <c r="A33">
        <v>4</v>
      </c>
      <c r="B33" t="s">
        <v>1</v>
      </c>
      <c r="C33">
        <v>14592</v>
      </c>
      <c r="D33">
        <v>32</v>
      </c>
      <c r="E33">
        <v>2</v>
      </c>
      <c r="F33">
        <v>2</v>
      </c>
      <c r="G33">
        <v>922.43</v>
      </c>
      <c r="H33" s="26">
        <v>2.2458999999999998</v>
      </c>
      <c r="I33" s="1">
        <v>45477</v>
      </c>
      <c r="J33" s="2">
        <v>0.70004629629629633</v>
      </c>
      <c r="K33">
        <v>0</v>
      </c>
      <c r="L33">
        <v>0</v>
      </c>
      <c r="M33">
        <v>0</v>
      </c>
      <c r="N33" s="27">
        <f t="shared" si="10"/>
        <v>2.2431399999999995</v>
      </c>
      <c r="P33">
        <v>4</v>
      </c>
      <c r="Q33" t="s">
        <v>1</v>
      </c>
      <c r="R33">
        <v>14592</v>
      </c>
      <c r="S33">
        <v>32</v>
      </c>
      <c r="T33">
        <v>2</v>
      </c>
      <c r="U33">
        <v>2</v>
      </c>
      <c r="V33">
        <v>838.93</v>
      </c>
      <c r="W33" s="38">
        <v>2.4693999999999998</v>
      </c>
      <c r="X33" s="1">
        <v>45477</v>
      </c>
      <c r="Y33" s="2">
        <v>0.71090277777777777</v>
      </c>
      <c r="Z33">
        <v>0</v>
      </c>
      <c r="AA33">
        <v>0</v>
      </c>
      <c r="AB33">
        <v>0</v>
      </c>
      <c r="AC33" s="3">
        <f t="shared" si="11"/>
        <v>2.4679799999999998</v>
      </c>
      <c r="AD33" s="3"/>
    </row>
    <row r="34" spans="1:30" x14ac:dyDescent="0.25">
      <c r="A34">
        <v>0</v>
      </c>
      <c r="B34" t="s">
        <v>1</v>
      </c>
      <c r="C34">
        <v>13056</v>
      </c>
      <c r="D34">
        <v>64</v>
      </c>
      <c r="E34">
        <v>1</v>
      </c>
      <c r="F34">
        <v>4</v>
      </c>
      <c r="G34">
        <v>673.06</v>
      </c>
      <c r="H34" s="26">
        <v>2.2046999999999999</v>
      </c>
      <c r="I34" s="1">
        <v>45425</v>
      </c>
      <c r="J34" s="2">
        <v>0.40620370370370368</v>
      </c>
      <c r="K34">
        <v>0</v>
      </c>
      <c r="L34">
        <v>0</v>
      </c>
      <c r="M34">
        <v>0</v>
      </c>
      <c r="N34" s="27">
        <f t="shared" ref="N34" si="20">AVERAGE(H34:H38)</f>
        <v>2.2046999999999999</v>
      </c>
      <c r="P34">
        <v>0</v>
      </c>
      <c r="Q34" t="s">
        <v>1</v>
      </c>
      <c r="R34">
        <v>13056</v>
      </c>
      <c r="S34">
        <v>64</v>
      </c>
      <c r="T34">
        <v>1</v>
      </c>
      <c r="U34">
        <v>4</v>
      </c>
      <c r="V34">
        <v>577.17999999999995</v>
      </c>
      <c r="W34" s="38">
        <v>2.5710000000000002</v>
      </c>
      <c r="X34" s="1">
        <v>45435</v>
      </c>
      <c r="Y34" s="2">
        <v>0.94498842592592591</v>
      </c>
      <c r="Z34">
        <v>0</v>
      </c>
      <c r="AA34">
        <v>0</v>
      </c>
      <c r="AB34">
        <v>0</v>
      </c>
      <c r="AC34" s="3">
        <f t="shared" ref="AC34" si="21">AVERAGE(W34:W38)</f>
        <v>2.5720599999999996</v>
      </c>
      <c r="AD34" s="3"/>
    </row>
    <row r="35" spans="1:30" x14ac:dyDescent="0.25">
      <c r="A35">
        <v>1</v>
      </c>
      <c r="B35" t="s">
        <v>1</v>
      </c>
      <c r="C35">
        <v>13056</v>
      </c>
      <c r="D35">
        <v>64</v>
      </c>
      <c r="E35">
        <v>1</v>
      </c>
      <c r="F35">
        <v>4</v>
      </c>
      <c r="G35">
        <v>673.04</v>
      </c>
      <c r="H35" s="26">
        <v>2.2048000000000001</v>
      </c>
      <c r="I35" s="1">
        <v>45425</v>
      </c>
      <c r="J35" s="2">
        <v>0.91153935185185186</v>
      </c>
      <c r="K35">
        <v>0</v>
      </c>
      <c r="L35">
        <v>0</v>
      </c>
      <c r="M35">
        <v>0</v>
      </c>
      <c r="N35" s="27">
        <f t="shared" ref="N35" si="22">N34</f>
        <v>2.2046999999999999</v>
      </c>
      <c r="P35">
        <v>1</v>
      </c>
      <c r="Q35" t="s">
        <v>1</v>
      </c>
      <c r="R35">
        <v>13056</v>
      </c>
      <c r="S35">
        <v>64</v>
      </c>
      <c r="T35">
        <v>1</v>
      </c>
      <c r="U35">
        <v>4</v>
      </c>
      <c r="V35">
        <v>576.66999999999996</v>
      </c>
      <c r="W35" s="38">
        <v>2.5733000000000001</v>
      </c>
      <c r="X35" s="1">
        <v>45436</v>
      </c>
      <c r="Y35" s="2">
        <v>0.46124999999999999</v>
      </c>
      <c r="Z35">
        <v>0</v>
      </c>
      <c r="AA35">
        <v>0</v>
      </c>
      <c r="AB35">
        <v>0</v>
      </c>
      <c r="AC35" s="3">
        <f t="shared" ref="AC35" si="23">AC34</f>
        <v>2.5720599999999996</v>
      </c>
      <c r="AD35" s="3"/>
    </row>
    <row r="36" spans="1:30" x14ac:dyDescent="0.25">
      <c r="A36">
        <v>2</v>
      </c>
      <c r="B36" t="s">
        <v>1</v>
      </c>
      <c r="C36">
        <v>13056</v>
      </c>
      <c r="D36">
        <v>64</v>
      </c>
      <c r="E36">
        <v>1</v>
      </c>
      <c r="F36">
        <v>4</v>
      </c>
      <c r="G36">
        <v>673.12</v>
      </c>
      <c r="H36" s="26">
        <v>2.2046000000000001</v>
      </c>
      <c r="I36" s="1">
        <v>45426</v>
      </c>
      <c r="J36" s="2">
        <v>0.41688657407407409</v>
      </c>
      <c r="K36">
        <v>0</v>
      </c>
      <c r="L36">
        <v>0</v>
      </c>
      <c r="M36">
        <v>0</v>
      </c>
      <c r="N36" s="27">
        <f t="shared" si="6"/>
        <v>2.2046999999999999</v>
      </c>
      <c r="P36">
        <v>2</v>
      </c>
      <c r="Q36" t="s">
        <v>1</v>
      </c>
      <c r="R36">
        <v>13056</v>
      </c>
      <c r="S36">
        <v>64</v>
      </c>
      <c r="T36">
        <v>1</v>
      </c>
      <c r="U36">
        <v>4</v>
      </c>
      <c r="V36">
        <v>577.35</v>
      </c>
      <c r="W36" s="38">
        <v>2.5701999999999998</v>
      </c>
      <c r="X36" s="1">
        <v>45436</v>
      </c>
      <c r="Y36" s="2">
        <v>0.97833333333333339</v>
      </c>
      <c r="Z36">
        <v>0</v>
      </c>
      <c r="AA36">
        <v>0</v>
      </c>
      <c r="AB36">
        <v>0</v>
      </c>
      <c r="AC36" s="3">
        <f t="shared" si="7"/>
        <v>2.5720599999999996</v>
      </c>
      <c r="AD36" s="3"/>
    </row>
    <row r="37" spans="1:30" x14ac:dyDescent="0.25">
      <c r="A37">
        <v>3</v>
      </c>
      <c r="B37" t="s">
        <v>1</v>
      </c>
      <c r="C37">
        <v>13056</v>
      </c>
      <c r="D37">
        <v>64</v>
      </c>
      <c r="E37">
        <v>1</v>
      </c>
      <c r="F37">
        <v>4</v>
      </c>
      <c r="G37">
        <v>673.08</v>
      </c>
      <c r="H37" s="26">
        <v>2.2046999999999999</v>
      </c>
      <c r="I37" s="1">
        <v>45426</v>
      </c>
      <c r="J37" s="2">
        <v>0.92246527777777776</v>
      </c>
      <c r="K37">
        <v>0</v>
      </c>
      <c r="L37">
        <v>0</v>
      </c>
      <c r="M37">
        <v>0</v>
      </c>
      <c r="N37" s="27">
        <f t="shared" si="6"/>
        <v>2.2046999999999999</v>
      </c>
      <c r="P37">
        <v>3</v>
      </c>
      <c r="Q37" t="s">
        <v>1</v>
      </c>
      <c r="R37">
        <v>13056</v>
      </c>
      <c r="S37">
        <v>64</v>
      </c>
      <c r="T37">
        <v>1</v>
      </c>
      <c r="U37">
        <v>4</v>
      </c>
      <c r="V37">
        <v>576.86</v>
      </c>
      <c r="W37" s="38">
        <v>2.5724</v>
      </c>
      <c r="X37" s="1">
        <v>45437</v>
      </c>
      <c r="Y37" s="2">
        <v>0.49512731481481481</v>
      </c>
      <c r="Z37">
        <v>0</v>
      </c>
      <c r="AA37">
        <v>0</v>
      </c>
      <c r="AB37">
        <v>0</v>
      </c>
      <c r="AC37" s="3">
        <f t="shared" si="7"/>
        <v>2.5720599999999996</v>
      </c>
      <c r="AD37" s="3"/>
    </row>
    <row r="38" spans="1:30" x14ac:dyDescent="0.25">
      <c r="A38">
        <v>4</v>
      </c>
      <c r="B38" t="s">
        <v>1</v>
      </c>
      <c r="C38">
        <v>13056</v>
      </c>
      <c r="D38">
        <v>64</v>
      </c>
      <c r="E38">
        <v>1</v>
      </c>
      <c r="F38">
        <v>4</v>
      </c>
      <c r="G38" s="16">
        <v>673.07</v>
      </c>
      <c r="H38" s="26">
        <v>2.2046999999999999</v>
      </c>
      <c r="I38" s="1">
        <v>45427</v>
      </c>
      <c r="J38" s="2">
        <v>0.42777777777777776</v>
      </c>
      <c r="K38">
        <v>0</v>
      </c>
      <c r="L38">
        <v>0</v>
      </c>
      <c r="M38">
        <v>0</v>
      </c>
      <c r="N38" s="27">
        <f t="shared" si="6"/>
        <v>2.2046999999999999</v>
      </c>
      <c r="P38">
        <v>4</v>
      </c>
      <c r="Q38" t="s">
        <v>1</v>
      </c>
      <c r="R38">
        <v>13056</v>
      </c>
      <c r="S38">
        <v>64</v>
      </c>
      <c r="T38">
        <v>1</v>
      </c>
      <c r="U38">
        <v>4</v>
      </c>
      <c r="V38" s="16">
        <v>576.64</v>
      </c>
      <c r="W38" s="26">
        <v>2.5733999999999999</v>
      </c>
      <c r="X38" s="1">
        <v>45438</v>
      </c>
      <c r="Y38" s="2">
        <v>1.2164351851851852E-2</v>
      </c>
      <c r="Z38">
        <v>0</v>
      </c>
      <c r="AA38">
        <v>0</v>
      </c>
      <c r="AB38">
        <v>0</v>
      </c>
      <c r="AC38" s="3">
        <f t="shared" si="7"/>
        <v>2.5720599999999996</v>
      </c>
      <c r="AD38" s="3"/>
    </row>
    <row r="39" spans="1:30" x14ac:dyDescent="0.25">
      <c r="A39">
        <v>0</v>
      </c>
      <c r="B39" t="s">
        <v>1</v>
      </c>
      <c r="C39">
        <v>13824</v>
      </c>
      <c r="D39">
        <v>64</v>
      </c>
      <c r="E39">
        <v>1</v>
      </c>
      <c r="F39">
        <v>4</v>
      </c>
      <c r="G39">
        <v>806.67</v>
      </c>
      <c r="H39" s="26">
        <v>2.1837</v>
      </c>
      <c r="I39" s="1">
        <v>45425</v>
      </c>
      <c r="J39" s="2">
        <v>0.15802083333333333</v>
      </c>
      <c r="K39">
        <v>0</v>
      </c>
      <c r="L39">
        <v>0</v>
      </c>
      <c r="M39">
        <v>0</v>
      </c>
      <c r="N39" s="27">
        <f t="shared" ref="N39" si="24">AVERAGE(H39:H43)</f>
        <v>2.1837399999999998</v>
      </c>
      <c r="P39">
        <v>0</v>
      </c>
      <c r="Q39" t="s">
        <v>1</v>
      </c>
      <c r="R39">
        <v>13824</v>
      </c>
      <c r="S39">
        <v>64</v>
      </c>
      <c r="T39">
        <v>1</v>
      </c>
      <c r="U39">
        <v>4</v>
      </c>
      <c r="V39">
        <v>686.94</v>
      </c>
      <c r="W39" s="38">
        <v>2.5642</v>
      </c>
      <c r="X39" s="1">
        <v>45435</v>
      </c>
      <c r="Y39" s="2">
        <v>0.66916666666666669</v>
      </c>
      <c r="Z39">
        <v>0</v>
      </c>
      <c r="AA39">
        <v>0</v>
      </c>
      <c r="AB39">
        <v>0</v>
      </c>
      <c r="AC39" s="3">
        <f t="shared" ref="AC39" si="25">AVERAGE(W39:W43)</f>
        <v>2.5643000000000002</v>
      </c>
      <c r="AD39" s="3"/>
    </row>
    <row r="40" spans="1:30" x14ac:dyDescent="0.25">
      <c r="A40">
        <v>1</v>
      </c>
      <c r="B40" t="s">
        <v>1</v>
      </c>
      <c r="C40">
        <v>13824</v>
      </c>
      <c r="D40">
        <v>64</v>
      </c>
      <c r="E40">
        <v>1</v>
      </c>
      <c r="F40">
        <v>4</v>
      </c>
      <c r="G40">
        <v>806.52</v>
      </c>
      <c r="H40" s="26">
        <v>2.1840999999999999</v>
      </c>
      <c r="I40" s="1">
        <v>45425</v>
      </c>
      <c r="J40" s="2">
        <v>0.74562499999999998</v>
      </c>
      <c r="K40">
        <v>0</v>
      </c>
      <c r="L40">
        <v>0</v>
      </c>
      <c r="M40">
        <v>0</v>
      </c>
      <c r="N40" s="27">
        <f t="shared" ref="N40" si="26">N39</f>
        <v>2.1837399999999998</v>
      </c>
      <c r="P40">
        <v>1</v>
      </c>
      <c r="Q40" t="s">
        <v>1</v>
      </c>
      <c r="R40">
        <v>13824</v>
      </c>
      <c r="S40">
        <v>64</v>
      </c>
      <c r="T40">
        <v>1</v>
      </c>
      <c r="U40">
        <v>4</v>
      </c>
      <c r="V40">
        <v>687.01</v>
      </c>
      <c r="W40" s="38">
        <v>2.5640000000000001</v>
      </c>
      <c r="X40" s="1">
        <v>45436</v>
      </c>
      <c r="Y40" s="2">
        <v>0.29199074074074072</v>
      </c>
      <c r="Z40">
        <v>0</v>
      </c>
      <c r="AA40">
        <v>0</v>
      </c>
      <c r="AB40">
        <v>0</v>
      </c>
      <c r="AC40" s="3">
        <f t="shared" ref="AC40" si="27">AC39</f>
        <v>2.5643000000000002</v>
      </c>
      <c r="AD40" s="3"/>
    </row>
    <row r="41" spans="1:30" x14ac:dyDescent="0.25">
      <c r="A41">
        <v>2</v>
      </c>
      <c r="B41" t="s">
        <v>1</v>
      </c>
      <c r="C41">
        <v>13824</v>
      </c>
      <c r="D41">
        <v>64</v>
      </c>
      <c r="E41">
        <v>1</v>
      </c>
      <c r="F41">
        <v>4</v>
      </c>
      <c r="G41">
        <v>806.86</v>
      </c>
      <c r="H41" s="26">
        <v>2.1831999999999998</v>
      </c>
      <c r="I41" s="1">
        <v>45426</v>
      </c>
      <c r="J41" s="2">
        <v>0.25094907407407407</v>
      </c>
      <c r="K41">
        <v>0</v>
      </c>
      <c r="L41">
        <v>0</v>
      </c>
      <c r="M41">
        <v>0</v>
      </c>
      <c r="N41" s="27">
        <f t="shared" si="10"/>
        <v>2.1837399999999998</v>
      </c>
      <c r="P41">
        <v>2</v>
      </c>
      <c r="Q41" t="s">
        <v>1</v>
      </c>
      <c r="R41">
        <v>13824</v>
      </c>
      <c r="S41">
        <v>64</v>
      </c>
      <c r="T41">
        <v>1</v>
      </c>
      <c r="U41">
        <v>4</v>
      </c>
      <c r="V41">
        <v>687.08</v>
      </c>
      <c r="W41" s="38">
        <v>2.5636999999999999</v>
      </c>
      <c r="X41" s="1">
        <v>45436</v>
      </c>
      <c r="Y41" s="2">
        <v>0.80899305555555556</v>
      </c>
      <c r="Z41">
        <v>0</v>
      </c>
      <c r="AA41">
        <v>0</v>
      </c>
      <c r="AB41">
        <v>0</v>
      </c>
      <c r="AC41" s="3">
        <f t="shared" si="11"/>
        <v>2.5643000000000002</v>
      </c>
      <c r="AD41" s="3"/>
    </row>
    <row r="42" spans="1:30" x14ac:dyDescent="0.25">
      <c r="A42">
        <v>3</v>
      </c>
      <c r="B42" t="s">
        <v>1</v>
      </c>
      <c r="C42">
        <v>13824</v>
      </c>
      <c r="D42">
        <v>64</v>
      </c>
      <c r="E42">
        <v>1</v>
      </c>
      <c r="F42">
        <v>4</v>
      </c>
      <c r="G42">
        <v>806.59</v>
      </c>
      <c r="H42" s="26">
        <v>2.1839</v>
      </c>
      <c r="I42" s="1">
        <v>45426</v>
      </c>
      <c r="J42" s="2">
        <v>0.75645833333333334</v>
      </c>
      <c r="K42">
        <v>0</v>
      </c>
      <c r="L42">
        <v>0</v>
      </c>
      <c r="M42">
        <v>0</v>
      </c>
      <c r="N42" s="27">
        <f t="shared" si="10"/>
        <v>2.1837399999999998</v>
      </c>
      <c r="P42">
        <v>3</v>
      </c>
      <c r="Q42" t="s">
        <v>1</v>
      </c>
      <c r="R42">
        <v>13824</v>
      </c>
      <c r="S42">
        <v>64</v>
      </c>
      <c r="T42">
        <v>1</v>
      </c>
      <c r="U42">
        <v>4</v>
      </c>
      <c r="V42">
        <v>687.41</v>
      </c>
      <c r="W42" s="38">
        <v>2.5625</v>
      </c>
      <c r="X42" s="1">
        <v>45437</v>
      </c>
      <c r="Y42" s="2">
        <v>0.32565972222222223</v>
      </c>
      <c r="Z42">
        <v>0</v>
      </c>
      <c r="AA42">
        <v>0</v>
      </c>
      <c r="AB42">
        <v>0</v>
      </c>
      <c r="AC42" s="3">
        <f t="shared" si="11"/>
        <v>2.5643000000000002</v>
      </c>
      <c r="AD42" s="3"/>
    </row>
    <row r="43" spans="1:30" x14ac:dyDescent="0.25">
      <c r="A43">
        <v>4</v>
      </c>
      <c r="B43" t="s">
        <v>1</v>
      </c>
      <c r="C43">
        <v>13824</v>
      </c>
      <c r="D43">
        <v>64</v>
      </c>
      <c r="E43">
        <v>1</v>
      </c>
      <c r="F43">
        <v>4</v>
      </c>
      <c r="G43">
        <v>806.6</v>
      </c>
      <c r="H43" s="26">
        <v>2.1838000000000002</v>
      </c>
      <c r="I43" s="1">
        <v>45427</v>
      </c>
      <c r="J43" s="2">
        <v>0.26189814814814816</v>
      </c>
      <c r="K43">
        <v>0</v>
      </c>
      <c r="L43">
        <v>0</v>
      </c>
      <c r="M43">
        <v>0</v>
      </c>
      <c r="N43" s="27">
        <f t="shared" si="10"/>
        <v>2.1837399999999998</v>
      </c>
      <c r="P43">
        <v>4</v>
      </c>
      <c r="Q43" t="s">
        <v>1</v>
      </c>
      <c r="R43">
        <v>13824</v>
      </c>
      <c r="S43">
        <v>64</v>
      </c>
      <c r="T43">
        <v>1</v>
      </c>
      <c r="U43">
        <v>4</v>
      </c>
      <c r="V43">
        <v>686.18</v>
      </c>
      <c r="W43" s="38">
        <v>2.5670999999999999</v>
      </c>
      <c r="X43" s="1">
        <v>45437</v>
      </c>
      <c r="Y43" s="2">
        <v>0.84270833333333328</v>
      </c>
      <c r="Z43">
        <v>0</v>
      </c>
      <c r="AA43">
        <v>0</v>
      </c>
      <c r="AB43">
        <v>0</v>
      </c>
      <c r="AC43" s="3">
        <f t="shared" si="11"/>
        <v>2.5643000000000002</v>
      </c>
      <c r="AD43" s="3"/>
    </row>
    <row r="44" spans="1:30" x14ac:dyDescent="0.25">
      <c r="A44">
        <v>0</v>
      </c>
      <c r="B44" t="s">
        <v>1</v>
      </c>
      <c r="C44">
        <v>14592</v>
      </c>
      <c r="D44">
        <v>64</v>
      </c>
      <c r="E44">
        <v>1</v>
      </c>
      <c r="F44">
        <v>4</v>
      </c>
      <c r="G44">
        <v>932.34</v>
      </c>
      <c r="H44" s="26">
        <v>2.222</v>
      </c>
      <c r="I44" s="1">
        <v>45424</v>
      </c>
      <c r="J44" s="2">
        <v>0.96324074074074073</v>
      </c>
      <c r="K44">
        <v>0</v>
      </c>
      <c r="L44">
        <v>0</v>
      </c>
      <c r="M44">
        <v>0</v>
      </c>
      <c r="N44" s="27">
        <f t="shared" ref="N44" si="28">AVERAGE(H44:H48)</f>
        <v>2.2198600000000002</v>
      </c>
      <c r="P44">
        <v>0</v>
      </c>
      <c r="Q44" t="s">
        <v>1</v>
      </c>
      <c r="R44">
        <v>14592</v>
      </c>
      <c r="S44">
        <v>64</v>
      </c>
      <c r="T44">
        <v>1</v>
      </c>
      <c r="U44">
        <v>4</v>
      </c>
      <c r="V44">
        <v>804.98</v>
      </c>
      <c r="W44" s="38">
        <v>2.5735999999999999</v>
      </c>
      <c r="X44" s="1">
        <v>45436</v>
      </c>
      <c r="Y44" s="2">
        <v>9.3796296296296294E-2</v>
      </c>
      <c r="Z44">
        <v>0</v>
      </c>
      <c r="AA44">
        <v>0</v>
      </c>
      <c r="AB44">
        <v>0</v>
      </c>
      <c r="AC44" s="3">
        <f t="shared" ref="AC44" si="29">AVERAGE(W44:W48)</f>
        <v>2.5794399999999995</v>
      </c>
      <c r="AD44" s="3"/>
    </row>
    <row r="45" spans="1:30" x14ac:dyDescent="0.25">
      <c r="A45">
        <v>1</v>
      </c>
      <c r="B45" t="s">
        <v>1</v>
      </c>
      <c r="C45">
        <v>14592</v>
      </c>
      <c r="D45">
        <v>64</v>
      </c>
      <c r="E45">
        <v>1</v>
      </c>
      <c r="F45">
        <v>4</v>
      </c>
      <c r="G45">
        <v>932.94</v>
      </c>
      <c r="H45" s="26">
        <v>2.2206000000000001</v>
      </c>
      <c r="I45" s="1">
        <v>45425</v>
      </c>
      <c r="J45" s="2">
        <v>0.55083333333333329</v>
      </c>
      <c r="K45">
        <v>0</v>
      </c>
      <c r="L45">
        <v>0</v>
      </c>
      <c r="M45">
        <v>0</v>
      </c>
      <c r="N45" s="27">
        <f t="shared" ref="N45" si="30">N44</f>
        <v>2.2198600000000002</v>
      </c>
      <c r="P45">
        <v>1</v>
      </c>
      <c r="Q45" t="s">
        <v>1</v>
      </c>
      <c r="R45">
        <v>14592</v>
      </c>
      <c r="S45">
        <v>64</v>
      </c>
      <c r="T45">
        <v>1</v>
      </c>
      <c r="U45">
        <v>4</v>
      </c>
      <c r="V45" s="16">
        <v>802.8</v>
      </c>
      <c r="W45" s="26">
        <v>2.5804999999999998</v>
      </c>
      <c r="X45" s="1">
        <v>45478</v>
      </c>
      <c r="Y45" s="2">
        <v>9.6296296296296297E-2</v>
      </c>
      <c r="Z45">
        <v>0</v>
      </c>
      <c r="AA45">
        <v>0</v>
      </c>
      <c r="AB45">
        <v>0</v>
      </c>
      <c r="AC45" s="3">
        <f t="shared" ref="AC45" si="31">AC44</f>
        <v>2.5794399999999995</v>
      </c>
      <c r="AD45" s="3"/>
    </row>
    <row r="46" spans="1:30" x14ac:dyDescent="0.25">
      <c r="A46">
        <v>2</v>
      </c>
      <c r="B46" t="s">
        <v>1</v>
      </c>
      <c r="C46">
        <v>14592</v>
      </c>
      <c r="D46">
        <v>64</v>
      </c>
      <c r="E46">
        <v>1</v>
      </c>
      <c r="F46">
        <v>4</v>
      </c>
      <c r="G46">
        <v>932.82</v>
      </c>
      <c r="H46" s="26">
        <v>2.2208999999999999</v>
      </c>
      <c r="I46" s="1">
        <v>45426</v>
      </c>
      <c r="J46" s="2">
        <v>5.6157407407407406E-2</v>
      </c>
      <c r="K46">
        <v>0</v>
      </c>
      <c r="L46">
        <v>0</v>
      </c>
      <c r="M46">
        <v>0</v>
      </c>
      <c r="N46" s="27">
        <f t="shared" si="6"/>
        <v>2.2198600000000002</v>
      </c>
      <c r="P46">
        <v>2</v>
      </c>
      <c r="Q46" t="s">
        <v>1</v>
      </c>
      <c r="R46">
        <v>14592</v>
      </c>
      <c r="S46">
        <v>64</v>
      </c>
      <c r="T46">
        <v>1</v>
      </c>
      <c r="U46">
        <v>4</v>
      </c>
      <c r="V46">
        <v>802.42</v>
      </c>
      <c r="W46" s="38">
        <v>2.5817999999999999</v>
      </c>
      <c r="X46" s="1">
        <v>45436</v>
      </c>
      <c r="Y46" s="2">
        <v>0.61081018518518515</v>
      </c>
      <c r="Z46">
        <v>0</v>
      </c>
      <c r="AA46">
        <v>0</v>
      </c>
      <c r="AB46">
        <v>0</v>
      </c>
      <c r="AC46" s="3">
        <f t="shared" si="7"/>
        <v>2.5794399999999995</v>
      </c>
      <c r="AD46" s="3"/>
    </row>
    <row r="47" spans="1:30" x14ac:dyDescent="0.25">
      <c r="A47">
        <v>3</v>
      </c>
      <c r="B47" t="s">
        <v>1</v>
      </c>
      <c r="C47">
        <v>14592</v>
      </c>
      <c r="D47">
        <v>64</v>
      </c>
      <c r="E47">
        <v>1</v>
      </c>
      <c r="F47">
        <v>4</v>
      </c>
      <c r="G47">
        <v>935.12</v>
      </c>
      <c r="H47" s="26">
        <v>2.2153999999999998</v>
      </c>
      <c r="I47" s="1">
        <v>45426</v>
      </c>
      <c r="J47" s="2">
        <v>0.56157407407407411</v>
      </c>
      <c r="K47">
        <v>0</v>
      </c>
      <c r="L47">
        <v>0</v>
      </c>
      <c r="M47">
        <v>0</v>
      </c>
      <c r="N47" s="27">
        <f t="shared" si="6"/>
        <v>2.2198600000000002</v>
      </c>
      <c r="P47">
        <v>3</v>
      </c>
      <c r="Q47" t="s">
        <v>1</v>
      </c>
      <c r="R47">
        <v>14592</v>
      </c>
      <c r="S47">
        <v>64</v>
      </c>
      <c r="T47">
        <v>1</v>
      </c>
      <c r="U47">
        <v>4</v>
      </c>
      <c r="V47">
        <v>800.35</v>
      </c>
      <c r="W47" s="38">
        <v>2.5884999999999998</v>
      </c>
      <c r="X47" s="1">
        <v>45437</v>
      </c>
      <c r="Y47" s="2">
        <v>0.12737268518518519</v>
      </c>
      <c r="Z47">
        <v>0</v>
      </c>
      <c r="AA47">
        <v>0</v>
      </c>
      <c r="AB47">
        <v>0</v>
      </c>
      <c r="AC47" s="3">
        <f t="shared" si="7"/>
        <v>2.5794399999999995</v>
      </c>
      <c r="AD47" s="3"/>
    </row>
    <row r="48" spans="1:30" x14ac:dyDescent="0.25">
      <c r="A48">
        <v>4</v>
      </c>
      <c r="B48" t="s">
        <v>1</v>
      </c>
      <c r="C48">
        <v>14592</v>
      </c>
      <c r="D48">
        <v>64</v>
      </c>
      <c r="E48">
        <v>1</v>
      </c>
      <c r="F48">
        <v>4</v>
      </c>
      <c r="G48">
        <v>933.03</v>
      </c>
      <c r="H48" s="26">
        <v>2.2204000000000002</v>
      </c>
      <c r="I48" s="1">
        <v>45427</v>
      </c>
      <c r="J48" s="2">
        <v>6.7094907407407409E-2</v>
      </c>
      <c r="K48">
        <v>0</v>
      </c>
      <c r="L48">
        <v>0</v>
      </c>
      <c r="M48">
        <v>0</v>
      </c>
      <c r="N48" s="27">
        <f t="shared" si="6"/>
        <v>2.2198600000000002</v>
      </c>
      <c r="P48">
        <v>4</v>
      </c>
      <c r="Q48" t="s">
        <v>1</v>
      </c>
      <c r="R48">
        <v>14592</v>
      </c>
      <c r="S48">
        <v>64</v>
      </c>
      <c r="T48">
        <v>1</v>
      </c>
      <c r="U48">
        <v>4</v>
      </c>
      <c r="V48">
        <v>805.21</v>
      </c>
      <c r="W48" s="38">
        <v>2.5728</v>
      </c>
      <c r="X48" s="1">
        <v>45437</v>
      </c>
      <c r="Y48" s="2">
        <v>0.64461805555555551</v>
      </c>
      <c r="Z48">
        <v>0</v>
      </c>
      <c r="AA48">
        <v>0</v>
      </c>
      <c r="AB48">
        <v>0</v>
      </c>
      <c r="AC48" s="3">
        <f t="shared" si="7"/>
        <v>2.5794399999999995</v>
      </c>
      <c r="AD48" s="3"/>
    </row>
    <row r="49" spans="1:30" x14ac:dyDescent="0.25">
      <c r="A49">
        <v>0</v>
      </c>
      <c r="B49" t="s">
        <v>1</v>
      </c>
      <c r="C49">
        <v>13056</v>
      </c>
      <c r="D49">
        <v>64</v>
      </c>
      <c r="E49">
        <v>2</v>
      </c>
      <c r="F49">
        <v>2</v>
      </c>
      <c r="G49">
        <v>645.62</v>
      </c>
      <c r="H49" s="26">
        <v>2.2985000000000002</v>
      </c>
      <c r="I49" s="1">
        <v>45425</v>
      </c>
      <c r="J49" s="2">
        <v>0.41394675925925928</v>
      </c>
      <c r="K49">
        <v>0</v>
      </c>
      <c r="L49">
        <v>0</v>
      </c>
      <c r="M49">
        <v>0</v>
      </c>
      <c r="N49" s="27">
        <f t="shared" ref="N49" si="32">AVERAGE(H49:H53)</f>
        <v>2.2986599999999999</v>
      </c>
      <c r="P49">
        <v>0</v>
      </c>
      <c r="Q49" t="s">
        <v>1</v>
      </c>
      <c r="R49">
        <v>13056</v>
      </c>
      <c r="S49">
        <v>64</v>
      </c>
      <c r="T49">
        <v>2</v>
      </c>
      <c r="U49">
        <v>2</v>
      </c>
      <c r="V49">
        <v>579.95000000000005</v>
      </c>
      <c r="W49" s="38">
        <v>2.5587</v>
      </c>
      <c r="X49" s="1">
        <v>45435</v>
      </c>
      <c r="Y49" s="2">
        <v>0.95300925925925928</v>
      </c>
      <c r="Z49">
        <v>0</v>
      </c>
      <c r="AA49">
        <v>0</v>
      </c>
      <c r="AB49">
        <v>0</v>
      </c>
      <c r="AC49" s="3">
        <f t="shared" ref="AC49" si="33">AVERAGE(W49:W53)</f>
        <v>2.54908</v>
      </c>
      <c r="AD49" s="3"/>
    </row>
    <row r="50" spans="1:30" x14ac:dyDescent="0.25">
      <c r="A50">
        <v>1</v>
      </c>
      <c r="B50" t="s">
        <v>1</v>
      </c>
      <c r="C50">
        <v>13056</v>
      </c>
      <c r="D50">
        <v>64</v>
      </c>
      <c r="E50">
        <v>2</v>
      </c>
      <c r="F50">
        <v>2</v>
      </c>
      <c r="G50">
        <v>645.38</v>
      </c>
      <c r="H50" s="26">
        <v>2.2993000000000001</v>
      </c>
      <c r="I50" s="1">
        <v>45425</v>
      </c>
      <c r="J50" s="2">
        <v>0.91927083333333337</v>
      </c>
      <c r="K50">
        <v>0</v>
      </c>
      <c r="L50">
        <v>0</v>
      </c>
      <c r="M50">
        <v>0</v>
      </c>
      <c r="N50" s="27">
        <f t="shared" ref="N50" si="34">N49</f>
        <v>2.2986599999999999</v>
      </c>
      <c r="P50">
        <v>1</v>
      </c>
      <c r="Q50" t="s">
        <v>1</v>
      </c>
      <c r="R50">
        <v>13056</v>
      </c>
      <c r="S50">
        <v>64</v>
      </c>
      <c r="T50">
        <v>2</v>
      </c>
      <c r="U50">
        <v>2</v>
      </c>
      <c r="V50">
        <v>579.55999999999995</v>
      </c>
      <c r="W50" s="38">
        <v>2.5605000000000002</v>
      </c>
      <c r="X50" s="1">
        <v>45436</v>
      </c>
      <c r="Y50" s="2">
        <v>0.46925925925925926</v>
      </c>
      <c r="Z50">
        <v>0</v>
      </c>
      <c r="AA50">
        <v>0</v>
      </c>
      <c r="AB50">
        <v>0</v>
      </c>
      <c r="AC50" s="3">
        <f t="shared" ref="AC50" si="35">AC49</f>
        <v>2.54908</v>
      </c>
      <c r="AD50" s="3"/>
    </row>
    <row r="51" spans="1:30" x14ac:dyDescent="0.25">
      <c r="A51">
        <v>2</v>
      </c>
      <c r="B51" t="s">
        <v>1</v>
      </c>
      <c r="C51">
        <v>13056</v>
      </c>
      <c r="D51">
        <v>64</v>
      </c>
      <c r="E51">
        <v>2</v>
      </c>
      <c r="F51">
        <v>2</v>
      </c>
      <c r="G51">
        <v>645.65</v>
      </c>
      <c r="H51" s="26">
        <v>2.2984</v>
      </c>
      <c r="I51" s="1">
        <v>45426</v>
      </c>
      <c r="J51" s="2">
        <v>0.42462962962962963</v>
      </c>
      <c r="K51">
        <v>0</v>
      </c>
      <c r="L51">
        <v>0</v>
      </c>
      <c r="M51">
        <v>0</v>
      </c>
      <c r="N51" s="27">
        <f t="shared" si="10"/>
        <v>2.2986599999999999</v>
      </c>
      <c r="P51">
        <v>2</v>
      </c>
      <c r="Q51" t="s">
        <v>1</v>
      </c>
      <c r="R51">
        <v>13056</v>
      </c>
      <c r="S51">
        <v>64</v>
      </c>
      <c r="T51">
        <v>2</v>
      </c>
      <c r="U51">
        <v>2</v>
      </c>
      <c r="V51">
        <v>581.54999999999995</v>
      </c>
      <c r="W51" s="38">
        <v>2.5516999999999999</v>
      </c>
      <c r="X51" s="1">
        <v>45436</v>
      </c>
      <c r="Y51" s="2">
        <v>0.98636574074074079</v>
      </c>
      <c r="Z51">
        <v>0</v>
      </c>
      <c r="AA51">
        <v>0</v>
      </c>
      <c r="AB51">
        <v>0</v>
      </c>
      <c r="AC51" s="3">
        <f t="shared" si="11"/>
        <v>2.54908</v>
      </c>
      <c r="AD51" s="3"/>
    </row>
    <row r="52" spans="1:30" x14ac:dyDescent="0.25">
      <c r="A52">
        <v>3</v>
      </c>
      <c r="B52" t="s">
        <v>1</v>
      </c>
      <c r="C52">
        <v>13056</v>
      </c>
      <c r="D52">
        <v>64</v>
      </c>
      <c r="E52">
        <v>2</v>
      </c>
      <c r="F52">
        <v>2</v>
      </c>
      <c r="G52">
        <v>645.66999999999996</v>
      </c>
      <c r="H52" s="26">
        <v>2.2982999999999998</v>
      </c>
      <c r="I52" s="1">
        <v>45426</v>
      </c>
      <c r="J52" s="2">
        <v>0.9302083333333333</v>
      </c>
      <c r="K52">
        <v>0</v>
      </c>
      <c r="L52">
        <v>0</v>
      </c>
      <c r="M52">
        <v>0</v>
      </c>
      <c r="N52" s="27">
        <f t="shared" si="10"/>
        <v>2.2986599999999999</v>
      </c>
      <c r="P52">
        <v>3</v>
      </c>
      <c r="Q52" t="s">
        <v>1</v>
      </c>
      <c r="R52">
        <v>13056</v>
      </c>
      <c r="S52">
        <v>64</v>
      </c>
      <c r="T52">
        <v>2</v>
      </c>
      <c r="U52">
        <v>2</v>
      </c>
      <c r="V52">
        <v>586.76</v>
      </c>
      <c r="W52" s="38">
        <v>2.5289999999999999</v>
      </c>
      <c r="X52" s="1">
        <v>45437</v>
      </c>
      <c r="Y52" s="2">
        <v>0.50321759259259258</v>
      </c>
      <c r="Z52">
        <v>0</v>
      </c>
      <c r="AA52">
        <v>0</v>
      </c>
      <c r="AB52">
        <v>0</v>
      </c>
      <c r="AC52" s="3">
        <f t="shared" si="11"/>
        <v>2.54908</v>
      </c>
      <c r="AD52" s="3"/>
    </row>
    <row r="53" spans="1:30" x14ac:dyDescent="0.25">
      <c r="A53">
        <v>4</v>
      </c>
      <c r="B53" t="s">
        <v>1</v>
      </c>
      <c r="C53">
        <v>13056</v>
      </c>
      <c r="D53">
        <v>64</v>
      </c>
      <c r="E53">
        <v>2</v>
      </c>
      <c r="F53">
        <v>2</v>
      </c>
      <c r="G53" s="16">
        <v>645.52</v>
      </c>
      <c r="H53" s="27">
        <v>2.2988</v>
      </c>
      <c r="I53" s="1">
        <v>45427</v>
      </c>
      <c r="J53" s="2">
        <v>0.43552083333333336</v>
      </c>
      <c r="K53">
        <v>0</v>
      </c>
      <c r="L53">
        <v>0</v>
      </c>
      <c r="M53">
        <v>0</v>
      </c>
      <c r="N53" s="27">
        <f t="shared" si="10"/>
        <v>2.2986599999999999</v>
      </c>
      <c r="P53">
        <v>4</v>
      </c>
      <c r="Q53" t="s">
        <v>1</v>
      </c>
      <c r="R53">
        <v>13056</v>
      </c>
      <c r="S53">
        <v>64</v>
      </c>
      <c r="T53">
        <v>2</v>
      </c>
      <c r="U53">
        <v>2</v>
      </c>
      <c r="V53" s="16">
        <v>582.95000000000005</v>
      </c>
      <c r="W53" s="26">
        <v>2.5455000000000001</v>
      </c>
      <c r="X53" s="1">
        <v>45438</v>
      </c>
      <c r="Y53" s="2">
        <v>2.0208333333333332E-2</v>
      </c>
      <c r="Z53">
        <v>0</v>
      </c>
      <c r="AA53">
        <v>0</v>
      </c>
      <c r="AB53">
        <v>0</v>
      </c>
      <c r="AC53" s="3">
        <f t="shared" si="11"/>
        <v>2.54908</v>
      </c>
      <c r="AD53" s="3"/>
    </row>
    <row r="54" spans="1:30" x14ac:dyDescent="0.25">
      <c r="A54">
        <v>0</v>
      </c>
      <c r="B54" t="s">
        <v>1</v>
      </c>
      <c r="C54">
        <v>13824</v>
      </c>
      <c r="D54">
        <v>64</v>
      </c>
      <c r="E54">
        <v>2</v>
      </c>
      <c r="F54">
        <v>2</v>
      </c>
      <c r="G54">
        <v>772.12</v>
      </c>
      <c r="H54" s="26">
        <v>2.2814000000000001</v>
      </c>
      <c r="I54" s="1">
        <v>45425</v>
      </c>
      <c r="J54" s="2">
        <v>0.16725694444444444</v>
      </c>
      <c r="K54">
        <v>0</v>
      </c>
      <c r="L54">
        <v>0</v>
      </c>
      <c r="M54">
        <v>0</v>
      </c>
      <c r="N54" s="27">
        <f t="shared" ref="N54" si="36">AVERAGE(H54:H58)</f>
        <v>2.2812199999999998</v>
      </c>
      <c r="P54">
        <v>0</v>
      </c>
      <c r="Q54" t="s">
        <v>1</v>
      </c>
      <c r="R54">
        <v>13824</v>
      </c>
      <c r="S54">
        <v>64</v>
      </c>
      <c r="T54">
        <v>2</v>
      </c>
      <c r="U54">
        <v>2</v>
      </c>
      <c r="V54">
        <v>686.09</v>
      </c>
      <c r="W54" s="38">
        <v>2.5674000000000001</v>
      </c>
      <c r="X54" s="1">
        <v>45435</v>
      </c>
      <c r="Y54" s="2">
        <v>0.67856481481481479</v>
      </c>
      <c r="Z54">
        <v>0</v>
      </c>
      <c r="AA54">
        <v>0</v>
      </c>
      <c r="AB54">
        <v>0</v>
      </c>
      <c r="AC54" s="3">
        <f t="shared" ref="AC54" si="37">AVERAGE(W54:W58)</f>
        <v>2.5678199999999998</v>
      </c>
      <c r="AD54" s="3"/>
    </row>
    <row r="55" spans="1:30" x14ac:dyDescent="0.25">
      <c r="A55">
        <v>1</v>
      </c>
      <c r="B55" t="s">
        <v>1</v>
      </c>
      <c r="C55">
        <v>13824</v>
      </c>
      <c r="D55">
        <v>64</v>
      </c>
      <c r="E55">
        <v>2</v>
      </c>
      <c r="F55">
        <v>2</v>
      </c>
      <c r="G55">
        <v>772.13</v>
      </c>
      <c r="H55" s="26">
        <v>2.2812999999999999</v>
      </c>
      <c r="I55" s="1">
        <v>45425</v>
      </c>
      <c r="J55" s="2">
        <v>0.75486111111111109</v>
      </c>
      <c r="K55">
        <v>0</v>
      </c>
      <c r="L55">
        <v>0</v>
      </c>
      <c r="M55">
        <v>0</v>
      </c>
      <c r="N55" s="27">
        <f t="shared" ref="N55" si="38">N54</f>
        <v>2.2812199999999998</v>
      </c>
      <c r="P55">
        <v>1</v>
      </c>
      <c r="Q55" t="s">
        <v>1</v>
      </c>
      <c r="R55">
        <v>13824</v>
      </c>
      <c r="S55">
        <v>64</v>
      </c>
      <c r="T55">
        <v>2</v>
      </c>
      <c r="U55">
        <v>2</v>
      </c>
      <c r="V55">
        <v>685.65</v>
      </c>
      <c r="W55" s="38">
        <v>2.5691000000000002</v>
      </c>
      <c r="X55" s="1">
        <v>45436</v>
      </c>
      <c r="Y55" s="2">
        <v>0.30137731481481483</v>
      </c>
      <c r="Z55">
        <v>0</v>
      </c>
      <c r="AA55">
        <v>0</v>
      </c>
      <c r="AB55">
        <v>0</v>
      </c>
      <c r="AC55" s="3">
        <f t="shared" ref="AC55" si="39">AC54</f>
        <v>2.5678199999999998</v>
      </c>
      <c r="AD55" s="3"/>
    </row>
    <row r="56" spans="1:30" x14ac:dyDescent="0.25">
      <c r="A56">
        <v>2</v>
      </c>
      <c r="B56" t="s">
        <v>1</v>
      </c>
      <c r="C56">
        <v>13824</v>
      </c>
      <c r="D56">
        <v>64</v>
      </c>
      <c r="E56">
        <v>2</v>
      </c>
      <c r="F56">
        <v>2</v>
      </c>
      <c r="G56">
        <v>771.99</v>
      </c>
      <c r="H56" s="26">
        <v>2.2816999999999998</v>
      </c>
      <c r="I56" s="1">
        <v>45426</v>
      </c>
      <c r="J56" s="2">
        <v>0.26018518518518519</v>
      </c>
      <c r="K56">
        <v>0</v>
      </c>
      <c r="L56">
        <v>0</v>
      </c>
      <c r="M56">
        <v>0</v>
      </c>
      <c r="N56" s="27">
        <f t="shared" si="6"/>
        <v>2.2812199999999998</v>
      </c>
      <c r="P56">
        <v>2</v>
      </c>
      <c r="Q56" t="s">
        <v>1</v>
      </c>
      <c r="R56">
        <v>13824</v>
      </c>
      <c r="S56">
        <v>64</v>
      </c>
      <c r="T56">
        <v>2</v>
      </c>
      <c r="U56">
        <v>2</v>
      </c>
      <c r="V56">
        <v>686.46</v>
      </c>
      <c r="W56" s="38">
        <v>2.5661</v>
      </c>
      <c r="X56" s="1">
        <v>45436</v>
      </c>
      <c r="Y56" s="2">
        <v>0.81840277777777781</v>
      </c>
      <c r="Z56">
        <v>0</v>
      </c>
      <c r="AA56">
        <v>0</v>
      </c>
      <c r="AB56">
        <v>0</v>
      </c>
      <c r="AC56" s="3">
        <f t="shared" si="7"/>
        <v>2.5678199999999998</v>
      </c>
      <c r="AD56" s="3"/>
    </row>
    <row r="57" spans="1:30" x14ac:dyDescent="0.25">
      <c r="A57">
        <v>3</v>
      </c>
      <c r="B57" t="s">
        <v>1</v>
      </c>
      <c r="C57">
        <v>13824</v>
      </c>
      <c r="D57">
        <v>64</v>
      </c>
      <c r="E57">
        <v>2</v>
      </c>
      <c r="F57">
        <v>2</v>
      </c>
      <c r="G57">
        <v>772.69</v>
      </c>
      <c r="H57" s="26">
        <v>2.2797000000000001</v>
      </c>
      <c r="I57" s="1">
        <v>45426</v>
      </c>
      <c r="J57" s="2">
        <v>0.76570601851851849</v>
      </c>
      <c r="K57">
        <v>0</v>
      </c>
      <c r="L57">
        <v>0</v>
      </c>
      <c r="M57">
        <v>0</v>
      </c>
      <c r="N57" s="27">
        <f t="shared" si="6"/>
        <v>2.2812199999999998</v>
      </c>
      <c r="P57">
        <v>3</v>
      </c>
      <c r="Q57" t="s">
        <v>1</v>
      </c>
      <c r="R57">
        <v>13824</v>
      </c>
      <c r="S57">
        <v>64</v>
      </c>
      <c r="T57">
        <v>2</v>
      </c>
      <c r="U57">
        <v>2</v>
      </c>
      <c r="V57">
        <v>685.67</v>
      </c>
      <c r="W57" s="38">
        <v>2.569</v>
      </c>
      <c r="X57" s="1">
        <v>45437</v>
      </c>
      <c r="Y57" s="2">
        <v>0.33505787037037038</v>
      </c>
      <c r="Z57">
        <v>0</v>
      </c>
      <c r="AA57">
        <v>0</v>
      </c>
      <c r="AB57">
        <v>0</v>
      </c>
      <c r="AC57" s="3">
        <f t="shared" si="7"/>
        <v>2.5678199999999998</v>
      </c>
      <c r="AD57" s="3"/>
    </row>
    <row r="58" spans="1:30" x14ac:dyDescent="0.25">
      <c r="A58">
        <v>4</v>
      </c>
      <c r="B58" t="s">
        <v>1</v>
      </c>
      <c r="C58">
        <v>13824</v>
      </c>
      <c r="D58">
        <v>64</v>
      </c>
      <c r="E58">
        <v>2</v>
      </c>
      <c r="F58">
        <v>2</v>
      </c>
      <c r="G58">
        <v>771.92</v>
      </c>
      <c r="H58" s="26">
        <v>2.282</v>
      </c>
      <c r="I58" s="1">
        <v>45427</v>
      </c>
      <c r="J58" s="2">
        <v>0.27113425925925927</v>
      </c>
      <c r="K58">
        <v>0</v>
      </c>
      <c r="L58">
        <v>0</v>
      </c>
      <c r="M58">
        <v>0</v>
      </c>
      <c r="N58" s="27">
        <f t="shared" si="6"/>
        <v>2.2812199999999998</v>
      </c>
      <c r="P58">
        <v>4</v>
      </c>
      <c r="Q58" t="s">
        <v>1</v>
      </c>
      <c r="R58">
        <v>13824</v>
      </c>
      <c r="S58">
        <v>64</v>
      </c>
      <c r="T58">
        <v>2</v>
      </c>
      <c r="U58">
        <v>2</v>
      </c>
      <c r="V58">
        <v>686.08</v>
      </c>
      <c r="W58" s="38">
        <v>2.5674999999999999</v>
      </c>
      <c r="X58" s="1">
        <v>45437</v>
      </c>
      <c r="Y58" s="2">
        <v>0.85210648148148149</v>
      </c>
      <c r="Z58">
        <v>0</v>
      </c>
      <c r="AA58">
        <v>0</v>
      </c>
      <c r="AB58">
        <v>0</v>
      </c>
      <c r="AC58" s="3">
        <f t="shared" si="7"/>
        <v>2.5678199999999998</v>
      </c>
      <c r="AD58" s="3"/>
    </row>
    <row r="59" spans="1:30" x14ac:dyDescent="0.25">
      <c r="A59">
        <v>0</v>
      </c>
      <c r="B59" t="s">
        <v>1</v>
      </c>
      <c r="C59">
        <v>14592</v>
      </c>
      <c r="D59">
        <v>64</v>
      </c>
      <c r="E59">
        <v>2</v>
      </c>
      <c r="F59">
        <v>2</v>
      </c>
      <c r="G59">
        <v>896.45</v>
      </c>
      <c r="H59" s="26">
        <v>2.3109999999999999</v>
      </c>
      <c r="I59" s="1">
        <v>45424</v>
      </c>
      <c r="J59" s="2">
        <v>0.97395833333333337</v>
      </c>
      <c r="K59">
        <v>0</v>
      </c>
      <c r="L59">
        <v>0</v>
      </c>
      <c r="M59">
        <v>0</v>
      </c>
      <c r="N59" s="27">
        <f t="shared" ref="N59" si="40">AVERAGE(H59:H63)</f>
        <v>2.3093400000000002</v>
      </c>
      <c r="P59">
        <v>0</v>
      </c>
      <c r="Q59" t="s">
        <v>1</v>
      </c>
      <c r="R59">
        <v>14592</v>
      </c>
      <c r="S59">
        <v>64</v>
      </c>
      <c r="T59">
        <v>2</v>
      </c>
      <c r="U59">
        <v>2</v>
      </c>
      <c r="V59">
        <v>807.4</v>
      </c>
      <c r="W59" s="38">
        <v>2.5657999999999999</v>
      </c>
      <c r="X59" s="1">
        <v>45435</v>
      </c>
      <c r="Y59" s="2">
        <v>0.4818634259259259</v>
      </c>
      <c r="Z59">
        <v>0</v>
      </c>
      <c r="AA59">
        <v>0</v>
      </c>
      <c r="AB59">
        <v>0</v>
      </c>
      <c r="AC59" s="3">
        <f t="shared" ref="AC59" si="41">AVERAGE(W59:W63)</f>
        <v>2.5743800000000001</v>
      </c>
      <c r="AD59" s="3"/>
    </row>
    <row r="60" spans="1:30" x14ac:dyDescent="0.25">
      <c r="A60">
        <v>1</v>
      </c>
      <c r="B60" t="s">
        <v>1</v>
      </c>
      <c r="C60">
        <v>14592</v>
      </c>
      <c r="D60">
        <v>64</v>
      </c>
      <c r="E60">
        <v>2</v>
      </c>
      <c r="F60">
        <v>2</v>
      </c>
      <c r="G60">
        <v>896.46</v>
      </c>
      <c r="H60" s="26">
        <v>2.3109999999999999</v>
      </c>
      <c r="I60" s="1">
        <v>45425</v>
      </c>
      <c r="J60" s="2">
        <v>0.56153935185185189</v>
      </c>
      <c r="K60">
        <v>0</v>
      </c>
      <c r="L60">
        <v>0</v>
      </c>
      <c r="M60">
        <v>0</v>
      </c>
      <c r="N60" s="27">
        <f t="shared" ref="N60" si="42">N59</f>
        <v>2.3093400000000002</v>
      </c>
      <c r="P60">
        <v>1</v>
      </c>
      <c r="Q60" t="s">
        <v>1</v>
      </c>
      <c r="R60">
        <v>14592</v>
      </c>
      <c r="S60">
        <v>64</v>
      </c>
      <c r="T60">
        <v>2</v>
      </c>
      <c r="U60">
        <v>2</v>
      </c>
      <c r="V60">
        <v>805.3</v>
      </c>
      <c r="W60" s="38">
        <v>2.5724999999999998</v>
      </c>
      <c r="X60" s="1">
        <v>45436</v>
      </c>
      <c r="Y60" s="2">
        <v>0.10474537037037036</v>
      </c>
      <c r="Z60">
        <v>0</v>
      </c>
      <c r="AA60">
        <v>0</v>
      </c>
      <c r="AB60">
        <v>0</v>
      </c>
      <c r="AC60" s="3">
        <f t="shared" ref="AC60" si="43">AC59</f>
        <v>2.5743800000000001</v>
      </c>
      <c r="AD60" s="3"/>
    </row>
    <row r="61" spans="1:30" x14ac:dyDescent="0.25">
      <c r="A61">
        <v>2</v>
      </c>
      <c r="B61" t="s">
        <v>1</v>
      </c>
      <c r="C61">
        <v>14592</v>
      </c>
      <c r="D61">
        <v>64</v>
      </c>
      <c r="E61">
        <v>2</v>
      </c>
      <c r="F61">
        <v>2</v>
      </c>
      <c r="G61">
        <v>896.92</v>
      </c>
      <c r="H61" s="26">
        <v>2.3098000000000001</v>
      </c>
      <c r="I61" s="1">
        <v>45426</v>
      </c>
      <c r="J61" s="2">
        <v>6.6875000000000004E-2</v>
      </c>
      <c r="K61">
        <v>0</v>
      </c>
      <c r="L61">
        <v>0</v>
      </c>
      <c r="M61">
        <v>0</v>
      </c>
      <c r="N61" s="27">
        <f t="shared" si="10"/>
        <v>2.3093400000000002</v>
      </c>
      <c r="P61">
        <v>2</v>
      </c>
      <c r="Q61" t="s">
        <v>1</v>
      </c>
      <c r="R61">
        <v>14592</v>
      </c>
      <c r="S61">
        <v>64</v>
      </c>
      <c r="T61">
        <v>2</v>
      </c>
      <c r="U61">
        <v>2</v>
      </c>
      <c r="V61">
        <v>803.79</v>
      </c>
      <c r="W61" s="38">
        <v>2.5773999999999999</v>
      </c>
      <c r="X61" s="1">
        <v>45436</v>
      </c>
      <c r="Y61" s="2">
        <v>0.62174768518518519</v>
      </c>
      <c r="Z61">
        <v>0</v>
      </c>
      <c r="AA61">
        <v>0</v>
      </c>
      <c r="AB61">
        <v>0</v>
      </c>
      <c r="AC61" s="3">
        <f t="shared" si="11"/>
        <v>2.5743800000000001</v>
      </c>
      <c r="AD61" s="3"/>
    </row>
    <row r="62" spans="1:30" x14ac:dyDescent="0.25">
      <c r="A62">
        <v>3</v>
      </c>
      <c r="B62" t="s">
        <v>1</v>
      </c>
      <c r="C62">
        <v>14592</v>
      </c>
      <c r="D62">
        <v>64</v>
      </c>
      <c r="E62">
        <v>2</v>
      </c>
      <c r="F62">
        <v>2</v>
      </c>
      <c r="G62">
        <v>898.53</v>
      </c>
      <c r="H62" s="26">
        <v>2.3056000000000001</v>
      </c>
      <c r="I62" s="1">
        <v>45426</v>
      </c>
      <c r="J62" s="2">
        <v>0.57231481481481483</v>
      </c>
      <c r="K62">
        <v>0</v>
      </c>
      <c r="L62">
        <v>0</v>
      </c>
      <c r="M62">
        <v>0</v>
      </c>
      <c r="N62" s="27">
        <f t="shared" si="10"/>
        <v>2.3093400000000002</v>
      </c>
      <c r="P62">
        <v>3</v>
      </c>
      <c r="Q62" t="s">
        <v>1</v>
      </c>
      <c r="R62">
        <v>14592</v>
      </c>
      <c r="S62">
        <v>64</v>
      </c>
      <c r="T62">
        <v>2</v>
      </c>
      <c r="U62">
        <v>2</v>
      </c>
      <c r="V62">
        <v>803.88</v>
      </c>
      <c r="W62" s="38">
        <v>2.5771000000000002</v>
      </c>
      <c r="X62" s="1">
        <v>45437</v>
      </c>
      <c r="Y62" s="2">
        <v>0.13829861111111111</v>
      </c>
      <c r="Z62">
        <v>0</v>
      </c>
      <c r="AA62">
        <v>0</v>
      </c>
      <c r="AB62">
        <v>0</v>
      </c>
      <c r="AC62" s="3">
        <f t="shared" si="11"/>
        <v>2.5743800000000001</v>
      </c>
      <c r="AD62" s="3"/>
    </row>
    <row r="63" spans="1:30" x14ac:dyDescent="0.25">
      <c r="A63">
        <v>4</v>
      </c>
      <c r="B63" t="s">
        <v>1</v>
      </c>
      <c r="C63">
        <v>14592</v>
      </c>
      <c r="D63">
        <v>64</v>
      </c>
      <c r="E63">
        <v>2</v>
      </c>
      <c r="F63">
        <v>2</v>
      </c>
      <c r="G63">
        <v>897.11</v>
      </c>
      <c r="H63" s="26">
        <v>2.3092999999999999</v>
      </c>
      <c r="I63" s="1">
        <v>45427</v>
      </c>
      <c r="J63" s="2">
        <v>7.7812500000000007E-2</v>
      </c>
      <c r="K63">
        <v>0</v>
      </c>
      <c r="L63">
        <v>0</v>
      </c>
      <c r="M63">
        <v>0</v>
      </c>
      <c r="N63" s="27">
        <f t="shared" si="10"/>
        <v>2.3093400000000002</v>
      </c>
      <c r="P63">
        <v>4</v>
      </c>
      <c r="Q63" t="s">
        <v>1</v>
      </c>
      <c r="R63">
        <v>14592</v>
      </c>
      <c r="S63">
        <v>64</v>
      </c>
      <c r="T63">
        <v>2</v>
      </c>
      <c r="U63">
        <v>2</v>
      </c>
      <c r="V63">
        <v>803.26</v>
      </c>
      <c r="W63" s="38">
        <v>2.5790999999999999</v>
      </c>
      <c r="X63" s="1">
        <v>45437</v>
      </c>
      <c r="Y63" s="2">
        <v>0.65554398148148152</v>
      </c>
      <c r="Z63">
        <v>0</v>
      </c>
      <c r="AA63">
        <v>0</v>
      </c>
      <c r="AB63">
        <v>0</v>
      </c>
      <c r="AC63" s="3">
        <f t="shared" si="11"/>
        <v>2.5743800000000001</v>
      </c>
      <c r="AD63" s="3"/>
    </row>
    <row r="64" spans="1:30" x14ac:dyDescent="0.25">
      <c r="A64">
        <v>0</v>
      </c>
      <c r="B64" t="s">
        <v>1</v>
      </c>
      <c r="C64">
        <v>13056</v>
      </c>
      <c r="D64">
        <v>96</v>
      </c>
      <c r="E64">
        <v>1</v>
      </c>
      <c r="F64">
        <v>4</v>
      </c>
      <c r="G64">
        <v>656.69</v>
      </c>
      <c r="H64" s="26">
        <v>2.2597</v>
      </c>
      <c r="I64" s="1">
        <v>45425</v>
      </c>
      <c r="J64" s="2">
        <v>0.42181712962962964</v>
      </c>
      <c r="K64">
        <v>0</v>
      </c>
      <c r="L64">
        <v>0</v>
      </c>
      <c r="M64">
        <v>0</v>
      </c>
      <c r="N64" s="27">
        <f t="shared" ref="N64" si="44">AVERAGE(H64:H68)</f>
        <v>2.2598200000000004</v>
      </c>
      <c r="P64">
        <v>0</v>
      </c>
      <c r="Q64" t="s">
        <v>1</v>
      </c>
      <c r="R64">
        <v>13056</v>
      </c>
      <c r="S64">
        <v>96</v>
      </c>
      <c r="T64">
        <v>1</v>
      </c>
      <c r="U64">
        <v>4</v>
      </c>
      <c r="V64">
        <v>579.53</v>
      </c>
      <c r="W64" s="38">
        <v>2.5606</v>
      </c>
      <c r="X64" s="1">
        <v>45435</v>
      </c>
      <c r="Y64" s="2">
        <v>0.96101851851851849</v>
      </c>
      <c r="Z64">
        <v>0</v>
      </c>
      <c r="AA64">
        <v>0</v>
      </c>
      <c r="AB64">
        <v>0</v>
      </c>
      <c r="AC64" s="3">
        <f t="shared" ref="AC64" si="45">AVERAGE(W64:W68)</f>
        <v>2.5431400000000002</v>
      </c>
      <c r="AD64" s="3"/>
    </row>
    <row r="65" spans="1:30" x14ac:dyDescent="0.25">
      <c r="A65">
        <v>1</v>
      </c>
      <c r="B65" t="s">
        <v>1</v>
      </c>
      <c r="C65">
        <v>13056</v>
      </c>
      <c r="D65">
        <v>96</v>
      </c>
      <c r="E65">
        <v>1</v>
      </c>
      <c r="F65">
        <v>4</v>
      </c>
      <c r="G65">
        <v>656.88</v>
      </c>
      <c r="H65" s="26">
        <v>2.2591000000000001</v>
      </c>
      <c r="I65" s="1">
        <v>45425</v>
      </c>
      <c r="J65" s="2">
        <v>0.92714120370370368</v>
      </c>
      <c r="K65">
        <v>0</v>
      </c>
      <c r="L65">
        <v>0</v>
      </c>
      <c r="M65">
        <v>0</v>
      </c>
      <c r="N65" s="27">
        <f t="shared" ref="N65" si="46">N64</f>
        <v>2.2598200000000004</v>
      </c>
      <c r="P65">
        <v>1</v>
      </c>
      <c r="Q65" t="s">
        <v>1</v>
      </c>
      <c r="R65">
        <v>13056</v>
      </c>
      <c r="S65">
        <v>96</v>
      </c>
      <c r="T65">
        <v>1</v>
      </c>
      <c r="U65">
        <v>4</v>
      </c>
      <c r="V65">
        <v>581.55999999999995</v>
      </c>
      <c r="W65" s="38">
        <v>2.5516000000000001</v>
      </c>
      <c r="X65" s="1">
        <v>45436</v>
      </c>
      <c r="Y65" s="2">
        <v>0.47729166666666667</v>
      </c>
      <c r="Z65">
        <v>0</v>
      </c>
      <c r="AA65">
        <v>0</v>
      </c>
      <c r="AB65">
        <v>0</v>
      </c>
      <c r="AC65" s="3">
        <f t="shared" ref="AC65" si="47">AC64</f>
        <v>2.5431400000000002</v>
      </c>
      <c r="AD65" s="3"/>
    </row>
    <row r="66" spans="1:30" x14ac:dyDescent="0.25">
      <c r="A66">
        <v>2</v>
      </c>
      <c r="B66" t="s">
        <v>1</v>
      </c>
      <c r="C66">
        <v>13056</v>
      </c>
      <c r="D66">
        <v>96</v>
      </c>
      <c r="E66">
        <v>1</v>
      </c>
      <c r="F66">
        <v>4</v>
      </c>
      <c r="G66">
        <v>656.49</v>
      </c>
      <c r="H66" s="26">
        <v>2.2604000000000002</v>
      </c>
      <c r="I66" s="1">
        <v>45426</v>
      </c>
      <c r="J66" s="2">
        <v>0.4325</v>
      </c>
      <c r="K66">
        <v>0</v>
      </c>
      <c r="L66">
        <v>0</v>
      </c>
      <c r="M66">
        <v>0</v>
      </c>
      <c r="N66" s="27">
        <f t="shared" si="6"/>
        <v>2.2598200000000004</v>
      </c>
      <c r="P66">
        <v>2</v>
      </c>
      <c r="Q66" t="s">
        <v>1</v>
      </c>
      <c r="R66">
        <v>13056</v>
      </c>
      <c r="S66">
        <v>96</v>
      </c>
      <c r="T66">
        <v>1</v>
      </c>
      <c r="U66">
        <v>4</v>
      </c>
      <c r="V66">
        <v>578.85</v>
      </c>
      <c r="W66" s="38">
        <v>2.5636000000000001</v>
      </c>
      <c r="X66" s="1">
        <v>45436</v>
      </c>
      <c r="Y66" s="2">
        <v>0.99436342592592597</v>
      </c>
      <c r="Z66">
        <v>0</v>
      </c>
      <c r="AA66">
        <v>0</v>
      </c>
      <c r="AB66">
        <v>0</v>
      </c>
      <c r="AC66" s="3">
        <f t="shared" si="7"/>
        <v>2.5431400000000002</v>
      </c>
      <c r="AD66" s="3"/>
    </row>
    <row r="67" spans="1:30" x14ac:dyDescent="0.25">
      <c r="A67">
        <v>3</v>
      </c>
      <c r="B67" t="s">
        <v>1</v>
      </c>
      <c r="C67">
        <v>13056</v>
      </c>
      <c r="D67">
        <v>96</v>
      </c>
      <c r="E67">
        <v>1</v>
      </c>
      <c r="F67">
        <v>4</v>
      </c>
      <c r="G67">
        <v>656.76</v>
      </c>
      <c r="H67" s="26">
        <v>2.2595000000000001</v>
      </c>
      <c r="I67" s="1">
        <v>45426</v>
      </c>
      <c r="J67" s="2">
        <v>0.93807870370370372</v>
      </c>
      <c r="K67">
        <v>0</v>
      </c>
      <c r="L67">
        <v>0</v>
      </c>
      <c r="M67">
        <v>0</v>
      </c>
      <c r="N67" s="27">
        <f t="shared" si="6"/>
        <v>2.2598200000000004</v>
      </c>
      <c r="P67">
        <v>3</v>
      </c>
      <c r="Q67" t="s">
        <v>1</v>
      </c>
      <c r="R67">
        <v>13056</v>
      </c>
      <c r="S67">
        <v>96</v>
      </c>
      <c r="T67">
        <v>1</v>
      </c>
      <c r="U67">
        <v>4</v>
      </c>
      <c r="V67">
        <v>583.05999999999995</v>
      </c>
      <c r="W67" s="38">
        <v>2.5451000000000001</v>
      </c>
      <c r="X67" s="1">
        <v>45437</v>
      </c>
      <c r="Y67" s="2">
        <v>0.51127314814814817</v>
      </c>
      <c r="Z67">
        <v>0</v>
      </c>
      <c r="AA67">
        <v>0</v>
      </c>
      <c r="AB67">
        <v>0</v>
      </c>
      <c r="AC67" s="3">
        <f t="shared" si="7"/>
        <v>2.5431400000000002</v>
      </c>
      <c r="AD67" s="3"/>
    </row>
    <row r="68" spans="1:30" x14ac:dyDescent="0.25">
      <c r="A68">
        <v>4</v>
      </c>
      <c r="B68" t="s">
        <v>1</v>
      </c>
      <c r="C68">
        <v>13056</v>
      </c>
      <c r="D68">
        <v>96</v>
      </c>
      <c r="E68">
        <v>1</v>
      </c>
      <c r="F68">
        <v>4</v>
      </c>
      <c r="G68" s="16">
        <v>656.5</v>
      </c>
      <c r="H68" s="26">
        <v>2.2604000000000002</v>
      </c>
      <c r="I68" s="1">
        <v>45427</v>
      </c>
      <c r="J68" s="2">
        <v>0.44339120370370372</v>
      </c>
      <c r="K68">
        <v>0</v>
      </c>
      <c r="L68">
        <v>0</v>
      </c>
      <c r="M68">
        <v>0</v>
      </c>
      <c r="N68" s="27">
        <f t="shared" si="6"/>
        <v>2.2598200000000004</v>
      </c>
      <c r="P68">
        <v>4</v>
      </c>
      <c r="Q68" t="s">
        <v>1</v>
      </c>
      <c r="R68">
        <v>13056</v>
      </c>
      <c r="S68">
        <v>96</v>
      </c>
      <c r="T68">
        <v>1</v>
      </c>
      <c r="U68">
        <v>4</v>
      </c>
      <c r="V68" s="16">
        <v>594.82000000000005</v>
      </c>
      <c r="W68" s="26">
        <v>2.4948000000000001</v>
      </c>
      <c r="X68" s="1">
        <v>45438</v>
      </c>
      <c r="Y68" s="2">
        <v>2.8402777777777777E-2</v>
      </c>
      <c r="Z68">
        <v>0</v>
      </c>
      <c r="AA68">
        <v>0</v>
      </c>
      <c r="AB68">
        <v>0</v>
      </c>
      <c r="AC68" s="3">
        <f t="shared" si="7"/>
        <v>2.5431400000000002</v>
      </c>
      <c r="AD68" s="3"/>
    </row>
    <row r="69" spans="1:30" x14ac:dyDescent="0.25">
      <c r="A69">
        <v>0</v>
      </c>
      <c r="B69" t="s">
        <v>1</v>
      </c>
      <c r="C69">
        <v>13824</v>
      </c>
      <c r="D69">
        <v>96</v>
      </c>
      <c r="E69">
        <v>1</v>
      </c>
      <c r="F69">
        <v>4</v>
      </c>
      <c r="G69">
        <v>785.98</v>
      </c>
      <c r="H69" s="26">
        <v>2.2410999999999999</v>
      </c>
      <c r="I69" s="1">
        <v>45425</v>
      </c>
      <c r="J69" s="2">
        <v>0.1766550925925926</v>
      </c>
      <c r="K69">
        <v>0</v>
      </c>
      <c r="L69">
        <v>0</v>
      </c>
      <c r="M69">
        <v>0</v>
      </c>
      <c r="N69" s="27">
        <f t="shared" ref="N69" si="48">AVERAGE(H69:H73)</f>
        <v>2.2400399999999996</v>
      </c>
      <c r="P69">
        <v>0</v>
      </c>
      <c r="Q69" t="s">
        <v>1</v>
      </c>
      <c r="R69">
        <v>13824</v>
      </c>
      <c r="S69">
        <v>96</v>
      </c>
      <c r="T69">
        <v>1</v>
      </c>
      <c r="U69">
        <v>4</v>
      </c>
      <c r="V69">
        <v>686.72</v>
      </c>
      <c r="W69" s="38">
        <v>2.5651000000000002</v>
      </c>
      <c r="X69" s="1">
        <v>45435</v>
      </c>
      <c r="Y69" s="2">
        <v>0.68797453703703704</v>
      </c>
      <c r="Z69">
        <v>0</v>
      </c>
      <c r="AA69">
        <v>0</v>
      </c>
      <c r="AB69">
        <v>0</v>
      </c>
      <c r="AC69" s="3">
        <f t="shared" ref="AC69" si="49">AVERAGE(W69:W73)</f>
        <v>2.5580600000000002</v>
      </c>
      <c r="AD69" s="3"/>
    </row>
    <row r="70" spans="1:30" x14ac:dyDescent="0.25">
      <c r="A70">
        <v>1</v>
      </c>
      <c r="B70" t="s">
        <v>1</v>
      </c>
      <c r="C70">
        <v>13824</v>
      </c>
      <c r="D70">
        <v>96</v>
      </c>
      <c r="E70">
        <v>1</v>
      </c>
      <c r="F70">
        <v>4</v>
      </c>
      <c r="G70">
        <v>786.18</v>
      </c>
      <c r="H70" s="26">
        <v>2.2406000000000001</v>
      </c>
      <c r="I70" s="1">
        <v>45425</v>
      </c>
      <c r="J70" s="2">
        <v>0.7642592592592593</v>
      </c>
      <c r="K70">
        <v>0</v>
      </c>
      <c r="L70">
        <v>0</v>
      </c>
      <c r="M70">
        <v>0</v>
      </c>
      <c r="N70" s="27">
        <f t="shared" ref="N70" si="50">N69</f>
        <v>2.2400399999999996</v>
      </c>
      <c r="P70">
        <v>1</v>
      </c>
      <c r="Q70" t="s">
        <v>1</v>
      </c>
      <c r="R70">
        <v>13824</v>
      </c>
      <c r="S70">
        <v>96</v>
      </c>
      <c r="T70">
        <v>1</v>
      </c>
      <c r="U70">
        <v>4</v>
      </c>
      <c r="V70">
        <v>689.23</v>
      </c>
      <c r="W70" s="38">
        <v>2.5556999999999999</v>
      </c>
      <c r="X70" s="1">
        <v>45436</v>
      </c>
      <c r="Y70" s="2">
        <v>0.31082175925925926</v>
      </c>
      <c r="Z70">
        <v>0</v>
      </c>
      <c r="AA70">
        <v>0</v>
      </c>
      <c r="AB70">
        <v>0</v>
      </c>
      <c r="AC70" s="3">
        <f t="shared" ref="AC70" si="51">AC69</f>
        <v>2.5580600000000002</v>
      </c>
      <c r="AD70" s="3"/>
    </row>
    <row r="71" spans="1:30" x14ac:dyDescent="0.25">
      <c r="A71">
        <v>2</v>
      </c>
      <c r="B71" t="s">
        <v>1</v>
      </c>
      <c r="C71">
        <v>13824</v>
      </c>
      <c r="D71">
        <v>96</v>
      </c>
      <c r="E71">
        <v>1</v>
      </c>
      <c r="F71">
        <v>4</v>
      </c>
      <c r="G71">
        <v>786.21</v>
      </c>
      <c r="H71" s="26">
        <v>2.2404999999999999</v>
      </c>
      <c r="I71" s="1">
        <v>45426</v>
      </c>
      <c r="J71" s="2">
        <v>0.26959490740740738</v>
      </c>
      <c r="K71">
        <v>0</v>
      </c>
      <c r="L71">
        <v>0</v>
      </c>
      <c r="M71">
        <v>0</v>
      </c>
      <c r="N71" s="27">
        <f t="shared" si="10"/>
        <v>2.2400399999999996</v>
      </c>
      <c r="P71">
        <v>2</v>
      </c>
      <c r="Q71" t="s">
        <v>1</v>
      </c>
      <c r="R71">
        <v>13824</v>
      </c>
      <c r="S71">
        <v>96</v>
      </c>
      <c r="T71">
        <v>1</v>
      </c>
      <c r="U71">
        <v>4</v>
      </c>
      <c r="V71">
        <v>687.24</v>
      </c>
      <c r="W71" s="38">
        <v>2.5630999999999999</v>
      </c>
      <c r="X71" s="1">
        <v>45436</v>
      </c>
      <c r="Y71" s="2">
        <v>0.82781249999999995</v>
      </c>
      <c r="Z71">
        <v>0</v>
      </c>
      <c r="AA71">
        <v>0</v>
      </c>
      <c r="AB71">
        <v>0</v>
      </c>
      <c r="AC71" s="3">
        <f t="shared" si="11"/>
        <v>2.5580600000000002</v>
      </c>
      <c r="AD71" s="3"/>
    </row>
    <row r="72" spans="1:30" x14ac:dyDescent="0.25">
      <c r="A72">
        <v>3</v>
      </c>
      <c r="B72" t="s">
        <v>1</v>
      </c>
      <c r="C72">
        <v>13824</v>
      </c>
      <c r="D72">
        <v>96</v>
      </c>
      <c r="E72">
        <v>1</v>
      </c>
      <c r="F72">
        <v>4</v>
      </c>
      <c r="G72">
        <v>787.5</v>
      </c>
      <c r="H72" s="26">
        <v>2.2368000000000001</v>
      </c>
      <c r="I72" s="1">
        <v>45426</v>
      </c>
      <c r="J72" s="2">
        <v>0.77512731481481478</v>
      </c>
      <c r="K72">
        <v>0</v>
      </c>
      <c r="L72">
        <v>0</v>
      </c>
      <c r="M72">
        <v>0</v>
      </c>
      <c r="N72" s="27">
        <f t="shared" si="10"/>
        <v>2.2400399999999996</v>
      </c>
      <c r="P72">
        <v>3</v>
      </c>
      <c r="Q72" t="s">
        <v>1</v>
      </c>
      <c r="R72">
        <v>13824</v>
      </c>
      <c r="S72">
        <v>96</v>
      </c>
      <c r="T72">
        <v>1</v>
      </c>
      <c r="U72">
        <v>4</v>
      </c>
      <c r="V72">
        <v>690.56</v>
      </c>
      <c r="W72" s="38">
        <v>2.5508000000000002</v>
      </c>
      <c r="X72" s="1">
        <v>45437</v>
      </c>
      <c r="Y72" s="2">
        <v>0.3445138888888889</v>
      </c>
      <c r="Z72">
        <v>0</v>
      </c>
      <c r="AA72">
        <v>0</v>
      </c>
      <c r="AB72">
        <v>0</v>
      </c>
      <c r="AC72" s="3">
        <f t="shared" si="11"/>
        <v>2.5580600000000002</v>
      </c>
      <c r="AD72" s="3"/>
    </row>
    <row r="73" spans="1:30" x14ac:dyDescent="0.25">
      <c r="A73">
        <v>4</v>
      </c>
      <c r="B73" t="s">
        <v>1</v>
      </c>
      <c r="C73">
        <v>13824</v>
      </c>
      <c r="D73">
        <v>96</v>
      </c>
      <c r="E73">
        <v>1</v>
      </c>
      <c r="F73">
        <v>4</v>
      </c>
      <c r="G73">
        <v>785.95</v>
      </c>
      <c r="H73" s="26">
        <v>2.2412000000000001</v>
      </c>
      <c r="I73" s="1">
        <v>45427</v>
      </c>
      <c r="J73" s="2">
        <v>0.28053240740740742</v>
      </c>
      <c r="K73">
        <v>0</v>
      </c>
      <c r="L73">
        <v>0</v>
      </c>
      <c r="M73">
        <v>0</v>
      </c>
      <c r="N73" s="27">
        <f t="shared" si="10"/>
        <v>2.2400399999999996</v>
      </c>
      <c r="P73">
        <v>4</v>
      </c>
      <c r="Q73" t="s">
        <v>1</v>
      </c>
      <c r="R73">
        <v>13824</v>
      </c>
      <c r="S73">
        <v>96</v>
      </c>
      <c r="T73">
        <v>1</v>
      </c>
      <c r="U73">
        <v>4</v>
      </c>
      <c r="V73">
        <v>689.27</v>
      </c>
      <c r="W73" s="38">
        <v>2.5556000000000001</v>
      </c>
      <c r="X73" s="1">
        <v>45437</v>
      </c>
      <c r="Y73" s="2">
        <v>0.86155092592592597</v>
      </c>
      <c r="Z73">
        <v>0</v>
      </c>
      <c r="AA73">
        <v>0</v>
      </c>
      <c r="AB73">
        <v>0</v>
      </c>
      <c r="AC73" s="3">
        <f t="shared" si="11"/>
        <v>2.5580600000000002</v>
      </c>
      <c r="AD73" s="3"/>
    </row>
    <row r="74" spans="1:30" x14ac:dyDescent="0.25">
      <c r="A74">
        <v>0</v>
      </c>
      <c r="B74" t="s">
        <v>1</v>
      </c>
      <c r="C74">
        <v>14592</v>
      </c>
      <c r="D74">
        <v>96</v>
      </c>
      <c r="E74">
        <v>1</v>
      </c>
      <c r="F74">
        <v>4</v>
      </c>
      <c r="G74">
        <v>908.62</v>
      </c>
      <c r="H74" s="26">
        <v>2.2799999999999998</v>
      </c>
      <c r="I74" s="1">
        <v>45424</v>
      </c>
      <c r="J74" s="2">
        <v>0.98480324074074077</v>
      </c>
      <c r="K74">
        <v>0</v>
      </c>
      <c r="L74">
        <v>0</v>
      </c>
      <c r="M74">
        <v>0</v>
      </c>
      <c r="N74" s="27">
        <f t="shared" ref="N74" si="52">AVERAGE(H74:H78)</f>
        <v>2.2791799999999998</v>
      </c>
      <c r="P74">
        <v>0</v>
      </c>
      <c r="Q74" t="s">
        <v>1</v>
      </c>
      <c r="R74">
        <v>14592</v>
      </c>
      <c r="S74">
        <v>96</v>
      </c>
      <c r="T74">
        <v>1</v>
      </c>
      <c r="U74">
        <v>4</v>
      </c>
      <c r="V74">
        <v>803.55</v>
      </c>
      <c r="W74" s="38">
        <v>2.5781000000000001</v>
      </c>
      <c r="X74" s="1">
        <v>45435</v>
      </c>
      <c r="Y74" s="2">
        <v>0.49278935185185185</v>
      </c>
      <c r="Z74">
        <v>0</v>
      </c>
      <c r="AA74">
        <v>0</v>
      </c>
      <c r="AB74">
        <v>0</v>
      </c>
      <c r="AC74" s="3">
        <f t="shared" ref="AC74" si="53">AVERAGE(W74:W78)</f>
        <v>2.5705199999999997</v>
      </c>
      <c r="AD74" s="3"/>
    </row>
    <row r="75" spans="1:30" x14ac:dyDescent="0.25">
      <c r="A75">
        <v>1</v>
      </c>
      <c r="B75" t="s">
        <v>1</v>
      </c>
      <c r="C75">
        <v>14592</v>
      </c>
      <c r="D75">
        <v>96</v>
      </c>
      <c r="E75">
        <v>1</v>
      </c>
      <c r="F75">
        <v>4</v>
      </c>
      <c r="G75">
        <v>908.71</v>
      </c>
      <c r="H75" s="26">
        <v>2.2797999999999998</v>
      </c>
      <c r="I75" s="1">
        <v>45425</v>
      </c>
      <c r="J75" s="2">
        <v>0.57239583333333333</v>
      </c>
      <c r="K75">
        <v>0</v>
      </c>
      <c r="L75">
        <v>0</v>
      </c>
      <c r="M75">
        <v>0</v>
      </c>
      <c r="N75" s="27">
        <f t="shared" ref="N75" si="54">N74</f>
        <v>2.2791799999999998</v>
      </c>
      <c r="P75">
        <v>1</v>
      </c>
      <c r="Q75" t="s">
        <v>1</v>
      </c>
      <c r="R75">
        <v>14592</v>
      </c>
      <c r="S75">
        <v>96</v>
      </c>
      <c r="T75">
        <v>1</v>
      </c>
      <c r="U75">
        <v>4</v>
      </c>
      <c r="V75">
        <v>805.74</v>
      </c>
      <c r="W75" s="38">
        <v>2.5710999999999999</v>
      </c>
      <c r="X75" s="1">
        <v>45436</v>
      </c>
      <c r="Y75" s="2">
        <v>0.11569444444444445</v>
      </c>
      <c r="Z75">
        <v>0</v>
      </c>
      <c r="AA75">
        <v>0</v>
      </c>
      <c r="AB75">
        <v>0</v>
      </c>
      <c r="AC75" s="3">
        <f t="shared" ref="AC75" si="55">AC74</f>
        <v>2.5705199999999997</v>
      </c>
      <c r="AD75" s="3"/>
    </row>
    <row r="76" spans="1:30" x14ac:dyDescent="0.25">
      <c r="A76">
        <v>2</v>
      </c>
      <c r="B76" t="s">
        <v>1</v>
      </c>
      <c r="C76">
        <v>14592</v>
      </c>
      <c r="D76">
        <v>96</v>
      </c>
      <c r="E76">
        <v>1</v>
      </c>
      <c r="F76">
        <v>4</v>
      </c>
      <c r="G76">
        <v>909.06</v>
      </c>
      <c r="H76" s="26">
        <v>2.2789000000000001</v>
      </c>
      <c r="I76" s="1">
        <v>45426</v>
      </c>
      <c r="J76" s="2">
        <v>7.7731481481481485E-2</v>
      </c>
      <c r="K76">
        <v>0</v>
      </c>
      <c r="L76">
        <v>0</v>
      </c>
      <c r="M76">
        <v>0</v>
      </c>
      <c r="N76" s="27">
        <f t="shared" si="6"/>
        <v>2.2791799999999998</v>
      </c>
      <c r="P76">
        <v>2</v>
      </c>
      <c r="Q76" t="s">
        <v>1</v>
      </c>
      <c r="R76">
        <v>14592</v>
      </c>
      <c r="S76">
        <v>96</v>
      </c>
      <c r="T76">
        <v>1</v>
      </c>
      <c r="U76">
        <v>4</v>
      </c>
      <c r="V76">
        <v>808.2</v>
      </c>
      <c r="W76" s="38">
        <v>2.5632999999999999</v>
      </c>
      <c r="X76" s="1">
        <v>45436</v>
      </c>
      <c r="Y76" s="2">
        <v>0.63271990740740736</v>
      </c>
      <c r="Z76">
        <v>0</v>
      </c>
      <c r="AA76">
        <v>0</v>
      </c>
      <c r="AB76">
        <v>0</v>
      </c>
      <c r="AC76" s="3">
        <f t="shared" si="7"/>
        <v>2.5705199999999997</v>
      </c>
      <c r="AD76" s="3"/>
    </row>
    <row r="77" spans="1:30" x14ac:dyDescent="0.25">
      <c r="A77">
        <v>3</v>
      </c>
      <c r="B77" t="s">
        <v>1</v>
      </c>
      <c r="C77">
        <v>14592</v>
      </c>
      <c r="D77">
        <v>96</v>
      </c>
      <c r="E77">
        <v>1</v>
      </c>
      <c r="F77">
        <v>4</v>
      </c>
      <c r="G77">
        <v>909.3</v>
      </c>
      <c r="H77" s="26">
        <v>2.2783000000000002</v>
      </c>
      <c r="I77" s="1">
        <v>45426</v>
      </c>
      <c r="J77" s="2">
        <v>0.58318287037037042</v>
      </c>
      <c r="K77">
        <v>0</v>
      </c>
      <c r="L77">
        <v>0</v>
      </c>
      <c r="M77">
        <v>0</v>
      </c>
      <c r="N77" s="27">
        <f t="shared" si="6"/>
        <v>2.2791799999999998</v>
      </c>
      <c r="P77">
        <v>3</v>
      </c>
      <c r="Q77" t="s">
        <v>1</v>
      </c>
      <c r="R77">
        <v>14592</v>
      </c>
      <c r="S77">
        <v>96</v>
      </c>
      <c r="T77">
        <v>1</v>
      </c>
      <c r="U77">
        <v>4</v>
      </c>
      <c r="V77">
        <v>808.6</v>
      </c>
      <c r="W77" s="38">
        <v>2.5621</v>
      </c>
      <c r="X77" s="1">
        <v>45437</v>
      </c>
      <c r="Y77" s="2">
        <v>0.14928240740740742</v>
      </c>
      <c r="Z77">
        <v>0</v>
      </c>
      <c r="AA77">
        <v>0</v>
      </c>
      <c r="AB77">
        <v>0</v>
      </c>
      <c r="AC77" s="3">
        <f t="shared" si="7"/>
        <v>2.5705199999999997</v>
      </c>
      <c r="AD77" s="3"/>
    </row>
    <row r="78" spans="1:30" x14ac:dyDescent="0.25">
      <c r="A78">
        <v>4</v>
      </c>
      <c r="B78" t="s">
        <v>1</v>
      </c>
      <c r="C78">
        <v>14592</v>
      </c>
      <c r="D78">
        <v>96</v>
      </c>
      <c r="E78">
        <v>1</v>
      </c>
      <c r="F78">
        <v>4</v>
      </c>
      <c r="G78">
        <v>909.05</v>
      </c>
      <c r="H78" s="26">
        <v>2.2789000000000001</v>
      </c>
      <c r="I78" s="1">
        <v>45427</v>
      </c>
      <c r="J78" s="2">
        <v>8.8668981481481488E-2</v>
      </c>
      <c r="K78">
        <v>0</v>
      </c>
      <c r="L78">
        <v>0</v>
      </c>
      <c r="M78">
        <v>0</v>
      </c>
      <c r="N78" s="27">
        <f t="shared" si="6"/>
        <v>2.2791799999999998</v>
      </c>
      <c r="P78">
        <v>4</v>
      </c>
      <c r="Q78" t="s">
        <v>1</v>
      </c>
      <c r="R78">
        <v>14592</v>
      </c>
      <c r="S78">
        <v>96</v>
      </c>
      <c r="T78">
        <v>1</v>
      </c>
      <c r="U78">
        <v>4</v>
      </c>
      <c r="V78">
        <v>803.59</v>
      </c>
      <c r="W78" s="38">
        <v>2.5779999999999998</v>
      </c>
      <c r="X78" s="1">
        <v>45437</v>
      </c>
      <c r="Y78" s="2">
        <v>0.66646990740740741</v>
      </c>
      <c r="Z78">
        <v>0</v>
      </c>
      <c r="AA78">
        <v>0</v>
      </c>
      <c r="AB78">
        <v>0</v>
      </c>
      <c r="AC78" s="3">
        <f t="shared" si="7"/>
        <v>2.5705199999999997</v>
      </c>
      <c r="AD78" s="3"/>
    </row>
    <row r="79" spans="1:30" x14ac:dyDescent="0.25">
      <c r="A79">
        <v>0</v>
      </c>
      <c r="B79" t="s">
        <v>1</v>
      </c>
      <c r="C79">
        <v>13056</v>
      </c>
      <c r="D79">
        <v>96</v>
      </c>
      <c r="E79">
        <v>2</v>
      </c>
      <c r="F79">
        <v>2</v>
      </c>
      <c r="G79">
        <v>643.59</v>
      </c>
      <c r="H79" s="26">
        <v>2.3056999999999999</v>
      </c>
      <c r="I79" s="1">
        <v>45425</v>
      </c>
      <c r="J79" s="2">
        <v>0.42952546296296296</v>
      </c>
      <c r="K79">
        <v>0</v>
      </c>
      <c r="L79">
        <v>0</v>
      </c>
      <c r="M79">
        <v>0</v>
      </c>
      <c r="N79" s="27">
        <f t="shared" ref="N79" si="56">AVERAGE(H79:H83)</f>
        <v>2.3056000000000001</v>
      </c>
      <c r="P79">
        <v>0</v>
      </c>
      <c r="Q79" t="s">
        <v>1</v>
      </c>
      <c r="R79">
        <v>13056</v>
      </c>
      <c r="S79">
        <v>96</v>
      </c>
      <c r="T79">
        <v>2</v>
      </c>
      <c r="U79">
        <v>2</v>
      </c>
      <c r="V79">
        <v>579.04999999999995</v>
      </c>
      <c r="W79" s="38">
        <v>2.5627</v>
      </c>
      <c r="X79" s="1">
        <v>45435</v>
      </c>
      <c r="Y79" s="2">
        <v>0.96901620370370367</v>
      </c>
      <c r="Z79">
        <v>0</v>
      </c>
      <c r="AA79">
        <v>0</v>
      </c>
      <c r="AB79">
        <v>0</v>
      </c>
      <c r="AC79" s="3">
        <f t="shared" ref="AC79" si="57">AVERAGE(W79:W83)</f>
        <v>2.5334400000000001</v>
      </c>
      <c r="AD79" s="3"/>
    </row>
    <row r="80" spans="1:30" x14ac:dyDescent="0.25">
      <c r="A80">
        <v>1</v>
      </c>
      <c r="B80" t="s">
        <v>1</v>
      </c>
      <c r="C80">
        <v>13056</v>
      </c>
      <c r="D80">
        <v>96</v>
      </c>
      <c r="E80">
        <v>2</v>
      </c>
      <c r="F80">
        <v>2</v>
      </c>
      <c r="G80">
        <v>643.71</v>
      </c>
      <c r="H80" s="26">
        <v>2.3052999999999999</v>
      </c>
      <c r="I80" s="1">
        <v>45425</v>
      </c>
      <c r="J80" s="2">
        <v>0.93486111111111114</v>
      </c>
      <c r="K80">
        <v>0</v>
      </c>
      <c r="L80">
        <v>0</v>
      </c>
      <c r="M80">
        <v>0</v>
      </c>
      <c r="N80" s="27">
        <f t="shared" ref="N80" si="58">N79</f>
        <v>2.3056000000000001</v>
      </c>
      <c r="P80">
        <v>1</v>
      </c>
      <c r="Q80" t="s">
        <v>1</v>
      </c>
      <c r="R80">
        <v>13056</v>
      </c>
      <c r="S80">
        <v>96</v>
      </c>
      <c r="T80">
        <v>2</v>
      </c>
      <c r="U80">
        <v>2</v>
      </c>
      <c r="V80">
        <v>598.24</v>
      </c>
      <c r="W80" s="38">
        <v>2.4805000000000001</v>
      </c>
      <c r="X80" s="1">
        <v>45436</v>
      </c>
      <c r="Y80" s="2">
        <v>0.48550925925925925</v>
      </c>
      <c r="Z80">
        <v>0</v>
      </c>
      <c r="AA80">
        <v>0</v>
      </c>
      <c r="AB80">
        <v>0</v>
      </c>
      <c r="AC80" s="3">
        <f t="shared" ref="AC80" si="59">AC79</f>
        <v>2.5334400000000001</v>
      </c>
      <c r="AD80" s="3"/>
    </row>
    <row r="81" spans="1:30" x14ac:dyDescent="0.25">
      <c r="A81">
        <v>2</v>
      </c>
      <c r="B81" t="s">
        <v>1</v>
      </c>
      <c r="C81">
        <v>13056</v>
      </c>
      <c r="D81">
        <v>96</v>
      </c>
      <c r="E81">
        <v>2</v>
      </c>
      <c r="F81">
        <v>2</v>
      </c>
      <c r="G81">
        <v>643.57000000000005</v>
      </c>
      <c r="H81" s="26">
        <v>2.3058000000000001</v>
      </c>
      <c r="I81" s="1">
        <v>45426</v>
      </c>
      <c r="J81" s="2">
        <v>0.44020833333333331</v>
      </c>
      <c r="K81">
        <v>0</v>
      </c>
      <c r="L81">
        <v>0</v>
      </c>
      <c r="M81">
        <v>0</v>
      </c>
      <c r="N81" s="27">
        <f t="shared" si="10"/>
        <v>2.3056000000000001</v>
      </c>
      <c r="P81">
        <v>2</v>
      </c>
      <c r="Q81" t="s">
        <v>1</v>
      </c>
      <c r="R81">
        <v>13056</v>
      </c>
      <c r="S81">
        <v>96</v>
      </c>
      <c r="T81">
        <v>2</v>
      </c>
      <c r="U81">
        <v>2</v>
      </c>
      <c r="V81">
        <v>580.41999999999996</v>
      </c>
      <c r="W81" s="38">
        <v>2.5566</v>
      </c>
      <c r="X81" s="1">
        <v>45437</v>
      </c>
      <c r="Y81" s="2">
        <v>2.3842592592592591E-3</v>
      </c>
      <c r="Z81">
        <v>0</v>
      </c>
      <c r="AA81">
        <v>0</v>
      </c>
      <c r="AB81">
        <v>0</v>
      </c>
      <c r="AC81" s="3">
        <f t="shared" si="11"/>
        <v>2.5334400000000001</v>
      </c>
      <c r="AD81" s="3"/>
    </row>
    <row r="82" spans="1:30" x14ac:dyDescent="0.25">
      <c r="A82">
        <v>3</v>
      </c>
      <c r="B82" t="s">
        <v>1</v>
      </c>
      <c r="C82">
        <v>13056</v>
      </c>
      <c r="D82">
        <v>96</v>
      </c>
      <c r="E82">
        <v>2</v>
      </c>
      <c r="F82">
        <v>2</v>
      </c>
      <c r="G82">
        <v>643.61</v>
      </c>
      <c r="H82" s="26">
        <v>2.3056000000000001</v>
      </c>
      <c r="I82" s="1">
        <v>45426</v>
      </c>
      <c r="J82" s="2">
        <v>0.94579861111111108</v>
      </c>
      <c r="K82">
        <v>0</v>
      </c>
      <c r="L82">
        <v>0</v>
      </c>
      <c r="M82">
        <v>0</v>
      </c>
      <c r="N82" s="27">
        <f t="shared" si="10"/>
        <v>2.3056000000000001</v>
      </c>
      <c r="P82">
        <v>3</v>
      </c>
      <c r="Q82" t="s">
        <v>1</v>
      </c>
      <c r="R82">
        <v>13056</v>
      </c>
      <c r="S82">
        <v>96</v>
      </c>
      <c r="T82">
        <v>2</v>
      </c>
      <c r="U82">
        <v>2</v>
      </c>
      <c r="V82">
        <v>589.19000000000005</v>
      </c>
      <c r="W82" s="38">
        <v>2.5186000000000002</v>
      </c>
      <c r="X82" s="1">
        <v>45437</v>
      </c>
      <c r="Y82" s="2">
        <v>0.51938657407407407</v>
      </c>
      <c r="Z82">
        <v>0</v>
      </c>
      <c r="AA82">
        <v>0</v>
      </c>
      <c r="AB82">
        <v>0</v>
      </c>
      <c r="AC82" s="3">
        <f t="shared" si="11"/>
        <v>2.5334400000000001</v>
      </c>
      <c r="AD82" s="3"/>
    </row>
    <row r="83" spans="1:30" x14ac:dyDescent="0.25">
      <c r="A83">
        <v>4</v>
      </c>
      <c r="B83" t="s">
        <v>1</v>
      </c>
      <c r="C83">
        <v>13056</v>
      </c>
      <c r="D83">
        <v>96</v>
      </c>
      <c r="E83">
        <v>2</v>
      </c>
      <c r="F83">
        <v>2</v>
      </c>
      <c r="G83" s="16">
        <v>643.61</v>
      </c>
      <c r="H83" s="26">
        <v>2.3056000000000001</v>
      </c>
      <c r="I83" s="1">
        <v>45427</v>
      </c>
      <c r="J83" s="2">
        <v>0.45109953703703703</v>
      </c>
      <c r="K83">
        <v>0</v>
      </c>
      <c r="L83">
        <v>0</v>
      </c>
      <c r="M83">
        <v>0</v>
      </c>
      <c r="N83" s="27">
        <f t="shared" si="10"/>
        <v>2.3056000000000001</v>
      </c>
      <c r="P83">
        <v>4</v>
      </c>
      <c r="Q83" t="s">
        <v>1</v>
      </c>
      <c r="R83">
        <v>13056</v>
      </c>
      <c r="S83">
        <v>96</v>
      </c>
      <c r="T83">
        <v>2</v>
      </c>
      <c r="U83">
        <v>2</v>
      </c>
      <c r="V83" s="16">
        <v>582.20000000000005</v>
      </c>
      <c r="W83" s="26">
        <v>2.5488</v>
      </c>
      <c r="X83" s="1">
        <v>45438</v>
      </c>
      <c r="Y83" s="2">
        <v>3.6435185185185189E-2</v>
      </c>
      <c r="Z83">
        <v>0</v>
      </c>
      <c r="AA83">
        <v>0</v>
      </c>
      <c r="AB83">
        <v>0</v>
      </c>
      <c r="AC83" s="3">
        <f t="shared" si="11"/>
        <v>2.5334400000000001</v>
      </c>
      <c r="AD83" s="3"/>
    </row>
    <row r="84" spans="1:30" x14ac:dyDescent="0.25">
      <c r="A84">
        <v>0</v>
      </c>
      <c r="B84" t="s">
        <v>1</v>
      </c>
      <c r="C84">
        <v>13824</v>
      </c>
      <c r="D84">
        <v>96</v>
      </c>
      <c r="E84">
        <v>2</v>
      </c>
      <c r="F84">
        <v>2</v>
      </c>
      <c r="G84">
        <v>768.11</v>
      </c>
      <c r="H84" s="26">
        <v>2.2932999999999999</v>
      </c>
      <c r="I84" s="1">
        <v>45425</v>
      </c>
      <c r="J84" s="2">
        <v>0.18584490740740742</v>
      </c>
      <c r="K84">
        <v>0</v>
      </c>
      <c r="L84">
        <v>0</v>
      </c>
      <c r="M84">
        <v>0</v>
      </c>
      <c r="N84" s="27">
        <f t="shared" ref="N84" si="60">AVERAGE(H84:H88)</f>
        <v>2.2928799999999998</v>
      </c>
      <c r="P84">
        <v>0</v>
      </c>
      <c r="Q84" t="s">
        <v>1</v>
      </c>
      <c r="R84">
        <v>13824</v>
      </c>
      <c r="S84">
        <v>96</v>
      </c>
      <c r="T84">
        <v>2</v>
      </c>
      <c r="U84">
        <v>2</v>
      </c>
      <c r="V84">
        <v>687.01</v>
      </c>
      <c r="W84" s="38">
        <v>2.5640000000000001</v>
      </c>
      <c r="X84" s="1">
        <v>45435</v>
      </c>
      <c r="Y84" s="2">
        <v>0.69738425925925929</v>
      </c>
      <c r="Z84">
        <v>0</v>
      </c>
      <c r="AA84">
        <v>0</v>
      </c>
      <c r="AB84">
        <v>0</v>
      </c>
      <c r="AC84" s="3">
        <f t="shared" ref="AC84" si="61">AVERAGE(W84:W88)</f>
        <v>2.5667200000000001</v>
      </c>
      <c r="AD84" s="3"/>
    </row>
    <row r="85" spans="1:30" x14ac:dyDescent="0.25">
      <c r="A85">
        <v>1</v>
      </c>
      <c r="B85" t="s">
        <v>1</v>
      </c>
      <c r="C85">
        <v>13824</v>
      </c>
      <c r="D85">
        <v>96</v>
      </c>
      <c r="E85">
        <v>2</v>
      </c>
      <c r="F85">
        <v>2</v>
      </c>
      <c r="G85">
        <v>768.21</v>
      </c>
      <c r="H85" s="26">
        <v>2.2930000000000001</v>
      </c>
      <c r="I85" s="1">
        <v>45425</v>
      </c>
      <c r="J85" s="2">
        <v>0.77344907407407404</v>
      </c>
      <c r="K85">
        <v>0</v>
      </c>
      <c r="L85">
        <v>0</v>
      </c>
      <c r="M85">
        <v>0</v>
      </c>
      <c r="N85" s="27">
        <f t="shared" ref="N85:N148" si="62">N84</f>
        <v>2.2928799999999998</v>
      </c>
      <c r="P85">
        <v>1</v>
      </c>
      <c r="Q85" t="s">
        <v>1</v>
      </c>
      <c r="R85">
        <v>13824</v>
      </c>
      <c r="S85">
        <v>96</v>
      </c>
      <c r="T85">
        <v>2</v>
      </c>
      <c r="U85">
        <v>2</v>
      </c>
      <c r="V85">
        <v>686.11</v>
      </c>
      <c r="W85" s="38">
        <v>2.5674000000000001</v>
      </c>
      <c r="X85" s="1">
        <v>45436</v>
      </c>
      <c r="Y85" s="2">
        <v>0.32020833333333332</v>
      </c>
      <c r="Z85">
        <v>0</v>
      </c>
      <c r="AA85">
        <v>0</v>
      </c>
      <c r="AB85">
        <v>0</v>
      </c>
      <c r="AC85" s="3">
        <f t="shared" ref="AC85:AC148" si="63">AC84</f>
        <v>2.5667200000000001</v>
      </c>
      <c r="AD85" s="3"/>
    </row>
    <row r="86" spans="1:30" x14ac:dyDescent="0.25">
      <c r="A86">
        <v>2</v>
      </c>
      <c r="B86" t="s">
        <v>1</v>
      </c>
      <c r="C86">
        <v>13824</v>
      </c>
      <c r="D86">
        <v>96</v>
      </c>
      <c r="E86">
        <v>2</v>
      </c>
      <c r="F86">
        <v>2</v>
      </c>
      <c r="G86">
        <v>767.84</v>
      </c>
      <c r="H86" s="26">
        <v>2.2940999999999998</v>
      </c>
      <c r="I86" s="1">
        <v>45426</v>
      </c>
      <c r="J86" s="2">
        <v>0.27877314814814813</v>
      </c>
      <c r="K86">
        <v>0</v>
      </c>
      <c r="L86">
        <v>0</v>
      </c>
      <c r="M86">
        <v>0</v>
      </c>
      <c r="N86" s="27">
        <f t="shared" si="62"/>
        <v>2.2928799999999998</v>
      </c>
      <c r="P86">
        <v>2</v>
      </c>
      <c r="Q86" t="s">
        <v>1</v>
      </c>
      <c r="R86">
        <v>13824</v>
      </c>
      <c r="S86">
        <v>96</v>
      </c>
      <c r="T86">
        <v>2</v>
      </c>
      <c r="U86">
        <v>2</v>
      </c>
      <c r="V86">
        <v>685.39</v>
      </c>
      <c r="W86" s="38">
        <v>2.5701000000000001</v>
      </c>
      <c r="X86" s="1">
        <v>45436</v>
      </c>
      <c r="Y86" s="2">
        <v>0.83719907407407412</v>
      </c>
      <c r="Z86">
        <v>0</v>
      </c>
      <c r="AA86">
        <v>0</v>
      </c>
      <c r="AB86">
        <v>0</v>
      </c>
      <c r="AC86" s="3">
        <f t="shared" si="63"/>
        <v>2.5667200000000001</v>
      </c>
      <c r="AD86" s="3"/>
    </row>
    <row r="87" spans="1:30" x14ac:dyDescent="0.25">
      <c r="A87">
        <v>3</v>
      </c>
      <c r="B87" t="s">
        <v>1</v>
      </c>
      <c r="C87">
        <v>13824</v>
      </c>
      <c r="D87">
        <v>96</v>
      </c>
      <c r="E87">
        <v>2</v>
      </c>
      <c r="F87">
        <v>2</v>
      </c>
      <c r="G87">
        <v>769.09</v>
      </c>
      <c r="H87" s="26">
        <v>2.2904</v>
      </c>
      <c r="I87" s="1">
        <v>45426</v>
      </c>
      <c r="J87" s="2">
        <v>0.78432870370370367</v>
      </c>
      <c r="K87">
        <v>0</v>
      </c>
      <c r="L87">
        <v>0</v>
      </c>
      <c r="M87">
        <v>0</v>
      </c>
      <c r="N87" s="27">
        <f t="shared" si="62"/>
        <v>2.2928799999999998</v>
      </c>
      <c r="P87">
        <v>3</v>
      </c>
      <c r="Q87" t="s">
        <v>1</v>
      </c>
      <c r="R87">
        <v>13824</v>
      </c>
      <c r="S87">
        <v>96</v>
      </c>
      <c r="T87">
        <v>2</v>
      </c>
      <c r="U87">
        <v>2</v>
      </c>
      <c r="V87">
        <v>686.25</v>
      </c>
      <c r="W87" s="38">
        <v>2.5668000000000002</v>
      </c>
      <c r="X87" s="1">
        <v>45437</v>
      </c>
      <c r="Y87" s="2">
        <v>0.35391203703703705</v>
      </c>
      <c r="Z87">
        <v>0</v>
      </c>
      <c r="AA87">
        <v>0</v>
      </c>
      <c r="AB87">
        <v>0</v>
      </c>
      <c r="AC87" s="3">
        <f t="shared" si="63"/>
        <v>2.5667200000000001</v>
      </c>
      <c r="AD87" s="3"/>
    </row>
    <row r="88" spans="1:30" x14ac:dyDescent="0.25">
      <c r="A88">
        <v>4</v>
      </c>
      <c r="B88" t="s">
        <v>1</v>
      </c>
      <c r="C88">
        <v>13824</v>
      </c>
      <c r="D88">
        <v>96</v>
      </c>
      <c r="E88">
        <v>2</v>
      </c>
      <c r="F88">
        <v>2</v>
      </c>
      <c r="G88">
        <v>768</v>
      </c>
      <c r="H88" s="26">
        <v>2.2936000000000001</v>
      </c>
      <c r="I88" s="1">
        <v>45427</v>
      </c>
      <c r="J88" s="2">
        <v>0.28972222222222221</v>
      </c>
      <c r="K88">
        <v>0</v>
      </c>
      <c r="L88">
        <v>0</v>
      </c>
      <c r="M88">
        <v>0</v>
      </c>
      <c r="N88" s="27">
        <f t="shared" si="62"/>
        <v>2.2928799999999998</v>
      </c>
      <c r="P88">
        <v>4</v>
      </c>
      <c r="Q88" t="s">
        <v>1</v>
      </c>
      <c r="R88">
        <v>13824</v>
      </c>
      <c r="S88">
        <v>96</v>
      </c>
      <c r="T88">
        <v>2</v>
      </c>
      <c r="U88">
        <v>2</v>
      </c>
      <c r="V88">
        <v>686.67</v>
      </c>
      <c r="W88" s="38">
        <v>2.5653000000000001</v>
      </c>
      <c r="X88" s="1">
        <v>45437</v>
      </c>
      <c r="Y88" s="2">
        <v>0.87094907407407407</v>
      </c>
      <c r="Z88">
        <v>0</v>
      </c>
      <c r="AA88">
        <v>0</v>
      </c>
      <c r="AB88">
        <v>0</v>
      </c>
      <c r="AC88" s="3">
        <f t="shared" si="63"/>
        <v>2.5667200000000001</v>
      </c>
      <c r="AD88" s="3"/>
    </row>
    <row r="89" spans="1:30" x14ac:dyDescent="0.25">
      <c r="A89">
        <v>0</v>
      </c>
      <c r="B89" t="s">
        <v>1</v>
      </c>
      <c r="C89">
        <v>14592</v>
      </c>
      <c r="D89">
        <v>96</v>
      </c>
      <c r="E89">
        <v>2</v>
      </c>
      <c r="F89">
        <v>2</v>
      </c>
      <c r="G89">
        <v>891.73</v>
      </c>
      <c r="H89" s="26">
        <v>2.3231999999999999</v>
      </c>
      <c r="I89" s="1">
        <v>45424</v>
      </c>
      <c r="J89" s="2">
        <v>0.99546296296296299</v>
      </c>
      <c r="K89">
        <v>0</v>
      </c>
      <c r="L89">
        <v>0</v>
      </c>
      <c r="M89">
        <v>0</v>
      </c>
      <c r="N89" s="27">
        <f t="shared" ref="N89" si="64">AVERAGE(H89:H93)</f>
        <v>2.3224999999999998</v>
      </c>
      <c r="P89">
        <v>0</v>
      </c>
      <c r="Q89" t="s">
        <v>1</v>
      </c>
      <c r="R89">
        <v>14592</v>
      </c>
      <c r="S89">
        <v>96</v>
      </c>
      <c r="T89">
        <v>2</v>
      </c>
      <c r="U89">
        <v>2</v>
      </c>
      <c r="V89">
        <v>807.66</v>
      </c>
      <c r="W89" s="38">
        <v>2.5649999999999999</v>
      </c>
      <c r="X89" s="1">
        <v>45435</v>
      </c>
      <c r="Y89" s="2">
        <v>0.50375000000000003</v>
      </c>
      <c r="Z89">
        <v>0</v>
      </c>
      <c r="AA89">
        <v>0</v>
      </c>
      <c r="AB89">
        <v>0</v>
      </c>
      <c r="AC89" s="3">
        <f t="shared" ref="AC89" si="65">AVERAGE(W89:W93)</f>
        <v>2.5716200000000002</v>
      </c>
      <c r="AD89" s="3"/>
    </row>
    <row r="90" spans="1:30" x14ac:dyDescent="0.25">
      <c r="A90">
        <v>1</v>
      </c>
      <c r="B90" t="s">
        <v>1</v>
      </c>
      <c r="C90">
        <v>14592</v>
      </c>
      <c r="D90">
        <v>96</v>
      </c>
      <c r="E90">
        <v>2</v>
      </c>
      <c r="F90">
        <v>2</v>
      </c>
      <c r="G90">
        <v>892.16</v>
      </c>
      <c r="H90" s="26">
        <v>2.3220999999999998</v>
      </c>
      <c r="I90" s="1">
        <v>45425</v>
      </c>
      <c r="J90" s="2">
        <v>0.58304398148148151</v>
      </c>
      <c r="K90">
        <v>0</v>
      </c>
      <c r="L90">
        <v>0</v>
      </c>
      <c r="M90">
        <v>0</v>
      </c>
      <c r="N90" s="27">
        <f t="shared" ref="N90:N153" si="66">N89</f>
        <v>2.3224999999999998</v>
      </c>
      <c r="P90">
        <v>1</v>
      </c>
      <c r="Q90" t="s">
        <v>1</v>
      </c>
      <c r="R90">
        <v>14592</v>
      </c>
      <c r="S90">
        <v>96</v>
      </c>
      <c r="T90">
        <v>2</v>
      </c>
      <c r="U90">
        <v>2</v>
      </c>
      <c r="V90">
        <v>803.97</v>
      </c>
      <c r="W90" s="38">
        <v>2.5768</v>
      </c>
      <c r="X90" s="1">
        <v>45436</v>
      </c>
      <c r="Y90" s="2">
        <v>0.12660879629629629</v>
      </c>
      <c r="Z90">
        <v>0</v>
      </c>
      <c r="AA90">
        <v>0</v>
      </c>
      <c r="AB90">
        <v>0</v>
      </c>
      <c r="AC90" s="3">
        <f t="shared" ref="AC90:AC153" si="67">AC89</f>
        <v>2.5716200000000002</v>
      </c>
      <c r="AD90" s="3"/>
    </row>
    <row r="91" spans="1:30" x14ac:dyDescent="0.25">
      <c r="A91">
        <v>2</v>
      </c>
      <c r="B91" t="s">
        <v>1</v>
      </c>
      <c r="C91">
        <v>14592</v>
      </c>
      <c r="D91">
        <v>96</v>
      </c>
      <c r="E91">
        <v>2</v>
      </c>
      <c r="F91">
        <v>2</v>
      </c>
      <c r="G91">
        <v>892.26</v>
      </c>
      <c r="H91" s="26">
        <v>2.3218000000000001</v>
      </c>
      <c r="I91" s="1">
        <v>45426</v>
      </c>
      <c r="J91" s="2">
        <v>8.8391203703703708E-2</v>
      </c>
      <c r="K91">
        <v>0</v>
      </c>
      <c r="L91">
        <v>0</v>
      </c>
      <c r="M91">
        <v>0</v>
      </c>
      <c r="N91" s="27">
        <f t="shared" si="66"/>
        <v>2.3224999999999998</v>
      </c>
      <c r="P91">
        <v>2</v>
      </c>
      <c r="Q91" t="s">
        <v>1</v>
      </c>
      <c r="R91">
        <v>14592</v>
      </c>
      <c r="S91">
        <v>96</v>
      </c>
      <c r="T91">
        <v>2</v>
      </c>
      <c r="U91">
        <v>2</v>
      </c>
      <c r="V91">
        <v>802.75</v>
      </c>
      <c r="W91" s="38">
        <v>2.5807000000000002</v>
      </c>
      <c r="X91" s="1">
        <v>45436</v>
      </c>
      <c r="Y91" s="2">
        <v>0.64363425925925921</v>
      </c>
      <c r="Z91">
        <v>0</v>
      </c>
      <c r="AA91">
        <v>0</v>
      </c>
      <c r="AB91">
        <v>0</v>
      </c>
      <c r="AC91" s="3">
        <f t="shared" si="67"/>
        <v>2.5716200000000002</v>
      </c>
      <c r="AD91" s="3"/>
    </row>
    <row r="92" spans="1:30" x14ac:dyDescent="0.25">
      <c r="A92">
        <v>3</v>
      </c>
      <c r="B92" t="s">
        <v>1</v>
      </c>
      <c r="C92">
        <v>14592</v>
      </c>
      <c r="D92">
        <v>96</v>
      </c>
      <c r="E92">
        <v>2</v>
      </c>
      <c r="F92">
        <v>2</v>
      </c>
      <c r="G92">
        <v>891.89</v>
      </c>
      <c r="H92" s="26">
        <v>2.3228</v>
      </c>
      <c r="I92" s="1">
        <v>45426</v>
      </c>
      <c r="J92" s="2">
        <v>0.59383101851851849</v>
      </c>
      <c r="K92">
        <v>0</v>
      </c>
      <c r="L92">
        <v>0</v>
      </c>
      <c r="M92">
        <v>0</v>
      </c>
      <c r="N92" s="27">
        <f t="shared" si="66"/>
        <v>2.3224999999999998</v>
      </c>
      <c r="P92">
        <v>3</v>
      </c>
      <c r="Q92" t="s">
        <v>1</v>
      </c>
      <c r="R92">
        <v>14592</v>
      </c>
      <c r="S92">
        <v>96</v>
      </c>
      <c r="T92">
        <v>2</v>
      </c>
      <c r="U92">
        <v>2</v>
      </c>
      <c r="V92">
        <v>810.93</v>
      </c>
      <c r="W92" s="38">
        <v>2.5547</v>
      </c>
      <c r="X92" s="1">
        <v>45437</v>
      </c>
      <c r="Y92" s="2">
        <v>0.16028935185185186</v>
      </c>
      <c r="Z92">
        <v>0</v>
      </c>
      <c r="AA92">
        <v>0</v>
      </c>
      <c r="AB92">
        <v>0</v>
      </c>
      <c r="AC92" s="3">
        <f t="shared" si="67"/>
        <v>2.5716200000000002</v>
      </c>
      <c r="AD92" s="3"/>
    </row>
    <row r="93" spans="1:30" x14ac:dyDescent="0.25">
      <c r="A93">
        <v>4</v>
      </c>
      <c r="B93" t="s">
        <v>1</v>
      </c>
      <c r="C93">
        <v>14592</v>
      </c>
      <c r="D93">
        <v>96</v>
      </c>
      <c r="E93">
        <v>2</v>
      </c>
      <c r="F93">
        <v>2</v>
      </c>
      <c r="G93">
        <v>891.97</v>
      </c>
      <c r="H93" s="26">
        <v>2.3226</v>
      </c>
      <c r="I93" s="1">
        <v>45427</v>
      </c>
      <c r="J93" s="2">
        <v>9.931712962962963E-2</v>
      </c>
      <c r="K93">
        <v>0</v>
      </c>
      <c r="L93">
        <v>0</v>
      </c>
      <c r="M93">
        <v>0</v>
      </c>
      <c r="N93" s="27">
        <f t="shared" si="66"/>
        <v>2.3224999999999998</v>
      </c>
      <c r="P93">
        <v>4</v>
      </c>
      <c r="Q93" t="s">
        <v>1</v>
      </c>
      <c r="R93">
        <v>14592</v>
      </c>
      <c r="S93">
        <v>96</v>
      </c>
      <c r="T93">
        <v>2</v>
      </c>
      <c r="U93">
        <v>2</v>
      </c>
      <c r="V93">
        <v>802.69</v>
      </c>
      <c r="W93" s="38">
        <v>2.5809000000000002</v>
      </c>
      <c r="X93" s="1">
        <v>45437</v>
      </c>
      <c r="Y93" s="2">
        <v>0.67737268518518523</v>
      </c>
      <c r="Z93">
        <v>0</v>
      </c>
      <c r="AA93">
        <v>0</v>
      </c>
      <c r="AB93">
        <v>0</v>
      </c>
      <c r="AC93" s="3">
        <f t="shared" si="67"/>
        <v>2.5716200000000002</v>
      </c>
      <c r="AD93" s="3"/>
    </row>
    <row r="94" spans="1:30" x14ac:dyDescent="0.25">
      <c r="A94">
        <v>0</v>
      </c>
      <c r="B94" t="s">
        <v>1</v>
      </c>
      <c r="C94">
        <v>13056</v>
      </c>
      <c r="D94">
        <v>128</v>
      </c>
      <c r="E94">
        <v>1</v>
      </c>
      <c r="F94">
        <v>4</v>
      </c>
      <c r="G94">
        <v>670.09</v>
      </c>
      <c r="H94" s="26">
        <v>2.2145000000000001</v>
      </c>
      <c r="I94" s="1">
        <v>45425</v>
      </c>
      <c r="J94" s="2">
        <v>0.43755787037037036</v>
      </c>
      <c r="K94">
        <v>0</v>
      </c>
      <c r="L94">
        <v>0</v>
      </c>
      <c r="M94">
        <v>0</v>
      </c>
      <c r="N94" s="27">
        <f t="shared" ref="N94" si="68">AVERAGE(H94:H98)</f>
        <v>2.21468</v>
      </c>
      <c r="P94">
        <v>0</v>
      </c>
      <c r="Q94" t="s">
        <v>1</v>
      </c>
      <c r="R94">
        <v>13056</v>
      </c>
      <c r="S94">
        <v>128</v>
      </c>
      <c r="T94">
        <v>1</v>
      </c>
      <c r="U94">
        <v>4</v>
      </c>
      <c r="V94">
        <v>590.94000000000005</v>
      </c>
      <c r="W94" s="38">
        <v>2.5110999999999999</v>
      </c>
      <c r="X94" s="1">
        <v>45435</v>
      </c>
      <c r="Y94" s="2">
        <v>0.97717592592592595</v>
      </c>
      <c r="Z94">
        <v>0</v>
      </c>
      <c r="AA94">
        <v>0</v>
      </c>
      <c r="AB94">
        <v>0</v>
      </c>
      <c r="AC94" s="3">
        <f t="shared" ref="AC94" si="69">AVERAGE(W94:W98)</f>
        <v>2.50936</v>
      </c>
      <c r="AD94" s="3"/>
    </row>
    <row r="95" spans="1:30" x14ac:dyDescent="0.25">
      <c r="A95">
        <v>1</v>
      </c>
      <c r="B95" t="s">
        <v>1</v>
      </c>
      <c r="C95">
        <v>13056</v>
      </c>
      <c r="D95">
        <v>128</v>
      </c>
      <c r="E95">
        <v>1</v>
      </c>
      <c r="F95">
        <v>4</v>
      </c>
      <c r="G95">
        <v>669.95</v>
      </c>
      <c r="H95" s="26">
        <v>2.2149999999999999</v>
      </c>
      <c r="I95" s="1">
        <v>45425</v>
      </c>
      <c r="J95" s="2">
        <v>0.94289351851851855</v>
      </c>
      <c r="K95">
        <v>0</v>
      </c>
      <c r="L95">
        <v>0</v>
      </c>
      <c r="M95">
        <v>0</v>
      </c>
      <c r="N95" s="27">
        <f t="shared" ref="N95" si="70">N94</f>
        <v>2.21468</v>
      </c>
      <c r="P95">
        <v>1</v>
      </c>
      <c r="Q95" t="s">
        <v>1</v>
      </c>
      <c r="R95">
        <v>13056</v>
      </c>
      <c r="S95">
        <v>128</v>
      </c>
      <c r="T95">
        <v>1</v>
      </c>
      <c r="U95">
        <v>4</v>
      </c>
      <c r="V95">
        <v>589.46</v>
      </c>
      <c r="W95" s="38">
        <v>2.5173999999999999</v>
      </c>
      <c r="X95" s="1">
        <v>45436</v>
      </c>
      <c r="Y95" s="2">
        <v>0.49365740740740743</v>
      </c>
      <c r="Z95">
        <v>0</v>
      </c>
      <c r="AA95">
        <v>0</v>
      </c>
      <c r="AB95">
        <v>0</v>
      </c>
      <c r="AC95" s="3">
        <f t="shared" ref="AC95" si="71">AC94</f>
        <v>2.50936</v>
      </c>
      <c r="AD95" s="3"/>
    </row>
    <row r="96" spans="1:30" x14ac:dyDescent="0.25">
      <c r="A96">
        <v>2</v>
      </c>
      <c r="B96" t="s">
        <v>1</v>
      </c>
      <c r="C96">
        <v>13056</v>
      </c>
      <c r="D96">
        <v>128</v>
      </c>
      <c r="E96">
        <v>1</v>
      </c>
      <c r="F96">
        <v>4</v>
      </c>
      <c r="G96">
        <v>670.02</v>
      </c>
      <c r="H96" s="26">
        <v>2.2147999999999999</v>
      </c>
      <c r="I96" s="1">
        <v>45426</v>
      </c>
      <c r="J96" s="2">
        <v>0.44824074074074072</v>
      </c>
      <c r="K96">
        <v>0</v>
      </c>
      <c r="L96">
        <v>0</v>
      </c>
      <c r="M96">
        <v>0</v>
      </c>
      <c r="N96" s="27">
        <f t="shared" si="62"/>
        <v>2.21468</v>
      </c>
      <c r="P96">
        <v>2</v>
      </c>
      <c r="Q96" t="s">
        <v>1</v>
      </c>
      <c r="R96">
        <v>13056</v>
      </c>
      <c r="S96">
        <v>128</v>
      </c>
      <c r="T96">
        <v>1</v>
      </c>
      <c r="U96">
        <v>4</v>
      </c>
      <c r="V96">
        <v>591.19000000000005</v>
      </c>
      <c r="W96" s="38">
        <v>2.5101</v>
      </c>
      <c r="X96" s="1">
        <v>45437</v>
      </c>
      <c r="Y96" s="2">
        <v>1.0543981481481482E-2</v>
      </c>
      <c r="Z96">
        <v>0</v>
      </c>
      <c r="AA96">
        <v>0</v>
      </c>
      <c r="AB96">
        <v>0</v>
      </c>
      <c r="AC96" s="3">
        <f t="shared" si="63"/>
        <v>2.50936</v>
      </c>
      <c r="AD96" s="3"/>
    </row>
    <row r="97" spans="1:30" x14ac:dyDescent="0.25">
      <c r="A97">
        <v>3</v>
      </c>
      <c r="B97" t="s">
        <v>1</v>
      </c>
      <c r="C97">
        <v>13056</v>
      </c>
      <c r="D97">
        <v>128</v>
      </c>
      <c r="E97">
        <v>1</v>
      </c>
      <c r="F97">
        <v>4</v>
      </c>
      <c r="G97">
        <v>670.07</v>
      </c>
      <c r="H97" s="26">
        <v>2.2145999999999999</v>
      </c>
      <c r="I97" s="1">
        <v>45426</v>
      </c>
      <c r="J97" s="2">
        <v>0.95383101851851848</v>
      </c>
      <c r="K97">
        <v>0</v>
      </c>
      <c r="L97">
        <v>0</v>
      </c>
      <c r="M97">
        <v>0</v>
      </c>
      <c r="N97" s="27">
        <f t="shared" si="62"/>
        <v>2.21468</v>
      </c>
      <c r="P97">
        <v>3</v>
      </c>
      <c r="Q97" t="s">
        <v>1</v>
      </c>
      <c r="R97">
        <v>13056</v>
      </c>
      <c r="S97">
        <v>128</v>
      </c>
      <c r="T97">
        <v>1</v>
      </c>
      <c r="U97">
        <v>4</v>
      </c>
      <c r="V97">
        <v>589.96</v>
      </c>
      <c r="W97" s="38">
        <v>2.5152999999999999</v>
      </c>
      <c r="X97" s="1">
        <v>45437</v>
      </c>
      <c r="Y97" s="2">
        <v>0.5275347222222222</v>
      </c>
      <c r="Z97">
        <v>0</v>
      </c>
      <c r="AA97">
        <v>0</v>
      </c>
      <c r="AB97">
        <v>0</v>
      </c>
      <c r="AC97" s="3">
        <f t="shared" si="63"/>
        <v>2.50936</v>
      </c>
      <c r="AD97" s="3"/>
    </row>
    <row r="98" spans="1:30" x14ac:dyDescent="0.25">
      <c r="A98">
        <v>4</v>
      </c>
      <c r="B98" t="s">
        <v>1</v>
      </c>
      <c r="C98">
        <v>13056</v>
      </c>
      <c r="D98">
        <v>128</v>
      </c>
      <c r="E98">
        <v>1</v>
      </c>
      <c r="F98">
        <v>4</v>
      </c>
      <c r="G98" s="16">
        <v>670.09</v>
      </c>
      <c r="H98" s="26">
        <v>2.2145000000000001</v>
      </c>
      <c r="I98" s="1">
        <v>45427</v>
      </c>
      <c r="J98" s="2">
        <v>0.45913194444444444</v>
      </c>
      <c r="K98">
        <v>0</v>
      </c>
      <c r="L98">
        <v>0</v>
      </c>
      <c r="M98">
        <v>0</v>
      </c>
      <c r="N98" s="27">
        <f t="shared" si="62"/>
        <v>2.21468</v>
      </c>
      <c r="P98">
        <v>4</v>
      </c>
      <c r="Q98" t="s">
        <v>1</v>
      </c>
      <c r="R98">
        <v>13056</v>
      </c>
      <c r="S98">
        <v>128</v>
      </c>
      <c r="T98">
        <v>1</v>
      </c>
      <c r="U98">
        <v>4</v>
      </c>
      <c r="V98" s="16">
        <v>595.26</v>
      </c>
      <c r="W98" s="26">
        <v>2.4929000000000001</v>
      </c>
      <c r="X98" s="1">
        <v>45438</v>
      </c>
      <c r="Y98" s="2">
        <v>4.4641203703703704E-2</v>
      </c>
      <c r="Z98">
        <v>0</v>
      </c>
      <c r="AA98">
        <v>0</v>
      </c>
      <c r="AB98">
        <v>0</v>
      </c>
      <c r="AC98" s="3">
        <f t="shared" si="63"/>
        <v>2.50936</v>
      </c>
      <c r="AD98" s="3"/>
    </row>
    <row r="99" spans="1:30" x14ac:dyDescent="0.25">
      <c r="A99">
        <v>0</v>
      </c>
      <c r="B99" t="s">
        <v>1</v>
      </c>
      <c r="C99">
        <v>13824</v>
      </c>
      <c r="D99">
        <v>128</v>
      </c>
      <c r="E99">
        <v>1</v>
      </c>
      <c r="F99">
        <v>4</v>
      </c>
      <c r="G99">
        <v>801.6</v>
      </c>
      <c r="H99" s="26">
        <v>2.1974999999999998</v>
      </c>
      <c r="I99" s="1">
        <v>45425</v>
      </c>
      <c r="J99" s="2">
        <v>0.19542824074074075</v>
      </c>
      <c r="K99">
        <v>0</v>
      </c>
      <c r="L99">
        <v>0</v>
      </c>
      <c r="M99">
        <v>0</v>
      </c>
      <c r="N99" s="27">
        <f t="shared" ref="N99" si="72">AVERAGE(H99:H103)</f>
        <v>2.1963599999999999</v>
      </c>
      <c r="P99">
        <v>0</v>
      </c>
      <c r="Q99" t="s">
        <v>1</v>
      </c>
      <c r="R99">
        <v>13824</v>
      </c>
      <c r="S99">
        <v>128</v>
      </c>
      <c r="T99">
        <v>1</v>
      </c>
      <c r="U99">
        <v>4</v>
      </c>
      <c r="V99">
        <v>9910.6200000000008</v>
      </c>
      <c r="W99" s="79"/>
      <c r="X99" s="1">
        <v>45435</v>
      </c>
      <c r="Y99" s="2">
        <v>0.81354166666666672</v>
      </c>
      <c r="Z99">
        <v>0</v>
      </c>
      <c r="AA99">
        <v>0</v>
      </c>
      <c r="AB99">
        <v>0</v>
      </c>
      <c r="AC99" s="3">
        <f t="shared" ref="AC99" si="73">AVERAGE(W99:W103)</f>
        <v>2.5113750000000001</v>
      </c>
      <c r="AD99" s="3"/>
    </row>
    <row r="100" spans="1:30" x14ac:dyDescent="0.25">
      <c r="A100">
        <v>1</v>
      </c>
      <c r="B100" t="s">
        <v>1</v>
      </c>
      <c r="C100">
        <v>13824</v>
      </c>
      <c r="D100">
        <v>128</v>
      </c>
      <c r="E100">
        <v>1</v>
      </c>
      <c r="F100">
        <v>4</v>
      </c>
      <c r="G100">
        <v>802.07</v>
      </c>
      <c r="H100" s="26">
        <v>2.1962000000000002</v>
      </c>
      <c r="I100" s="1">
        <v>45425</v>
      </c>
      <c r="J100" s="2">
        <v>0.78304398148148147</v>
      </c>
      <c r="K100">
        <v>0</v>
      </c>
      <c r="L100">
        <v>0</v>
      </c>
      <c r="M100">
        <v>0</v>
      </c>
      <c r="N100" s="27">
        <f t="shared" ref="N100" si="74">N99</f>
        <v>2.1963599999999999</v>
      </c>
      <c r="P100">
        <v>1</v>
      </c>
      <c r="Q100" t="s">
        <v>1</v>
      </c>
      <c r="R100">
        <v>13824</v>
      </c>
      <c r="S100">
        <v>128</v>
      </c>
      <c r="T100">
        <v>1</v>
      </c>
      <c r="U100">
        <v>4</v>
      </c>
      <c r="V100">
        <v>701.11</v>
      </c>
      <c r="W100" s="38">
        <v>2.5124</v>
      </c>
      <c r="X100" s="1">
        <v>45436</v>
      </c>
      <c r="Y100" s="2">
        <v>0.32978009259259261</v>
      </c>
      <c r="Z100">
        <v>0</v>
      </c>
      <c r="AA100">
        <v>0</v>
      </c>
      <c r="AB100">
        <v>0</v>
      </c>
      <c r="AC100" s="3">
        <f t="shared" ref="AC100" si="75">AC99</f>
        <v>2.5113750000000001</v>
      </c>
      <c r="AD100" s="3"/>
    </row>
    <row r="101" spans="1:30" x14ac:dyDescent="0.25">
      <c r="A101">
        <v>2</v>
      </c>
      <c r="B101" t="s">
        <v>1</v>
      </c>
      <c r="C101">
        <v>13824</v>
      </c>
      <c r="D101">
        <v>128</v>
      </c>
      <c r="E101">
        <v>1</v>
      </c>
      <c r="F101">
        <v>4</v>
      </c>
      <c r="G101">
        <v>802.21</v>
      </c>
      <c r="H101" s="26">
        <v>2.1958000000000002</v>
      </c>
      <c r="I101" s="1">
        <v>45426</v>
      </c>
      <c r="J101" s="2">
        <v>0.28836805555555556</v>
      </c>
      <c r="K101">
        <v>0</v>
      </c>
      <c r="L101">
        <v>0</v>
      </c>
      <c r="M101">
        <v>0</v>
      </c>
      <c r="N101" s="27">
        <f t="shared" si="66"/>
        <v>2.1963599999999999</v>
      </c>
      <c r="P101">
        <v>2</v>
      </c>
      <c r="Q101" t="s">
        <v>1</v>
      </c>
      <c r="R101">
        <v>13824</v>
      </c>
      <c r="S101">
        <v>128</v>
      </c>
      <c r="T101">
        <v>1</v>
      </c>
      <c r="U101">
        <v>4</v>
      </c>
      <c r="V101">
        <v>701.64</v>
      </c>
      <c r="W101" s="38">
        <v>2.5105</v>
      </c>
      <c r="X101" s="1">
        <v>45436</v>
      </c>
      <c r="Y101" s="2">
        <v>0.8467824074074074</v>
      </c>
      <c r="Z101">
        <v>0</v>
      </c>
      <c r="AA101">
        <v>0</v>
      </c>
      <c r="AB101">
        <v>0</v>
      </c>
      <c r="AC101" s="3">
        <f t="shared" si="67"/>
        <v>2.5113750000000001</v>
      </c>
      <c r="AD101" s="3"/>
    </row>
    <row r="102" spans="1:30" x14ac:dyDescent="0.25">
      <c r="A102">
        <v>3</v>
      </c>
      <c r="B102" t="s">
        <v>1</v>
      </c>
      <c r="C102">
        <v>13824</v>
      </c>
      <c r="D102">
        <v>128</v>
      </c>
      <c r="E102">
        <v>1</v>
      </c>
      <c r="F102">
        <v>4</v>
      </c>
      <c r="G102">
        <v>802.55</v>
      </c>
      <c r="H102" s="26">
        <v>2.1949000000000001</v>
      </c>
      <c r="I102" s="1">
        <v>45426</v>
      </c>
      <c r="J102" s="2">
        <v>0.79391203703703705</v>
      </c>
      <c r="K102">
        <v>0</v>
      </c>
      <c r="L102">
        <v>0</v>
      </c>
      <c r="M102">
        <v>0</v>
      </c>
      <c r="N102" s="27">
        <f t="shared" si="66"/>
        <v>2.1963599999999999</v>
      </c>
      <c r="P102">
        <v>3</v>
      </c>
      <c r="Q102" t="s">
        <v>1</v>
      </c>
      <c r="R102">
        <v>13824</v>
      </c>
      <c r="S102">
        <v>128</v>
      </c>
      <c r="T102">
        <v>1</v>
      </c>
      <c r="U102">
        <v>4</v>
      </c>
      <c r="V102">
        <v>701.06</v>
      </c>
      <c r="W102" s="38">
        <v>2.5125999999999999</v>
      </c>
      <c r="X102" s="1">
        <v>45437</v>
      </c>
      <c r="Y102" s="2">
        <v>0.3634722222222222</v>
      </c>
      <c r="Z102">
        <v>0</v>
      </c>
      <c r="AA102">
        <v>0</v>
      </c>
      <c r="AB102">
        <v>0</v>
      </c>
      <c r="AC102" s="3">
        <f t="shared" si="67"/>
        <v>2.5113750000000001</v>
      </c>
      <c r="AD102" s="3"/>
    </row>
    <row r="103" spans="1:30" x14ac:dyDescent="0.25">
      <c r="A103">
        <v>4</v>
      </c>
      <c r="B103" t="s">
        <v>1</v>
      </c>
      <c r="C103">
        <v>13824</v>
      </c>
      <c r="D103">
        <v>128</v>
      </c>
      <c r="E103">
        <v>1</v>
      </c>
      <c r="F103">
        <v>4</v>
      </c>
      <c r="G103">
        <v>801.61</v>
      </c>
      <c r="H103" s="26">
        <v>2.1974</v>
      </c>
      <c r="I103" s="1">
        <v>45427</v>
      </c>
      <c r="J103" s="2">
        <v>0.29930555555555555</v>
      </c>
      <c r="K103">
        <v>0</v>
      </c>
      <c r="L103">
        <v>0</v>
      </c>
      <c r="M103">
        <v>0</v>
      </c>
      <c r="N103" s="27">
        <f t="shared" si="66"/>
        <v>2.1963599999999999</v>
      </c>
      <c r="P103">
        <v>4</v>
      </c>
      <c r="Q103" t="s">
        <v>1</v>
      </c>
      <c r="R103">
        <v>13824</v>
      </c>
      <c r="S103">
        <v>128</v>
      </c>
      <c r="T103">
        <v>1</v>
      </c>
      <c r="U103">
        <v>4</v>
      </c>
      <c r="V103">
        <v>701.79</v>
      </c>
      <c r="W103" s="38">
        <v>2.5099999999999998</v>
      </c>
      <c r="X103" s="1">
        <v>45437</v>
      </c>
      <c r="Y103" s="2">
        <v>0.88052083333333331</v>
      </c>
      <c r="Z103">
        <v>0</v>
      </c>
      <c r="AA103">
        <v>0</v>
      </c>
      <c r="AB103">
        <v>0</v>
      </c>
      <c r="AC103" s="3">
        <f t="shared" si="67"/>
        <v>2.5113750000000001</v>
      </c>
      <c r="AD103" s="3"/>
    </row>
    <row r="104" spans="1:30" x14ac:dyDescent="0.25">
      <c r="A104">
        <v>0</v>
      </c>
      <c r="B104" t="s">
        <v>1</v>
      </c>
      <c r="C104">
        <v>14592</v>
      </c>
      <c r="D104">
        <v>128</v>
      </c>
      <c r="E104">
        <v>1</v>
      </c>
      <c r="F104">
        <v>4</v>
      </c>
      <c r="G104">
        <v>926.3</v>
      </c>
      <c r="H104" s="26">
        <v>2.2364999999999999</v>
      </c>
      <c r="I104" s="1">
        <v>45425</v>
      </c>
      <c r="J104" s="2">
        <v>6.5277777777777782E-3</v>
      </c>
      <c r="K104">
        <v>0</v>
      </c>
      <c r="L104">
        <v>0</v>
      </c>
      <c r="M104">
        <v>0</v>
      </c>
      <c r="N104" s="27">
        <f t="shared" ref="N104" si="76">AVERAGE(H104:H108)</f>
        <v>2.2364600000000001</v>
      </c>
      <c r="P104">
        <v>0</v>
      </c>
      <c r="Q104" t="s">
        <v>1</v>
      </c>
      <c r="R104">
        <v>14592</v>
      </c>
      <c r="S104">
        <v>128</v>
      </c>
      <c r="T104">
        <v>1</v>
      </c>
      <c r="U104">
        <v>4</v>
      </c>
      <c r="V104">
        <v>817.27</v>
      </c>
      <c r="W104" s="38">
        <v>2.5348999999999999</v>
      </c>
      <c r="X104" s="1">
        <v>45435</v>
      </c>
      <c r="Y104" s="2">
        <v>0.5148611111111111</v>
      </c>
      <c r="Z104">
        <v>0</v>
      </c>
      <c r="AA104">
        <v>0</v>
      </c>
      <c r="AB104">
        <v>0</v>
      </c>
      <c r="AC104" s="3">
        <f t="shared" ref="AC104" si="77">AVERAGE(W104:W108)</f>
        <v>2.5363799999999999</v>
      </c>
      <c r="AD104" s="3"/>
    </row>
    <row r="105" spans="1:30" x14ac:dyDescent="0.25">
      <c r="A105">
        <v>1</v>
      </c>
      <c r="B105" t="s">
        <v>1</v>
      </c>
      <c r="C105">
        <v>14592</v>
      </c>
      <c r="D105">
        <v>128</v>
      </c>
      <c r="E105">
        <v>1</v>
      </c>
      <c r="F105">
        <v>4</v>
      </c>
      <c r="G105">
        <v>926.32</v>
      </c>
      <c r="H105" s="26">
        <v>2.2364999999999999</v>
      </c>
      <c r="I105" s="1">
        <v>45425</v>
      </c>
      <c r="J105" s="2">
        <v>0.59410879629629632</v>
      </c>
      <c r="K105">
        <v>0</v>
      </c>
      <c r="L105">
        <v>0</v>
      </c>
      <c r="M105">
        <v>0</v>
      </c>
      <c r="N105" s="27">
        <f t="shared" ref="N105" si="78">N104</f>
        <v>2.2364600000000001</v>
      </c>
      <c r="P105">
        <v>1</v>
      </c>
      <c r="Q105" t="s">
        <v>1</v>
      </c>
      <c r="R105">
        <v>14592</v>
      </c>
      <c r="S105">
        <v>128</v>
      </c>
      <c r="T105">
        <v>1</v>
      </c>
      <c r="U105">
        <v>4</v>
      </c>
      <c r="V105">
        <v>816.38</v>
      </c>
      <c r="W105" s="38">
        <v>2.5375999999999999</v>
      </c>
      <c r="X105" s="1">
        <v>45436</v>
      </c>
      <c r="Y105" s="2">
        <v>0.13770833333333332</v>
      </c>
      <c r="Z105">
        <v>0</v>
      </c>
      <c r="AA105">
        <v>0</v>
      </c>
      <c r="AB105">
        <v>0</v>
      </c>
      <c r="AC105" s="3">
        <f t="shared" ref="AC105" si="79">AC104</f>
        <v>2.5363799999999999</v>
      </c>
      <c r="AD105" s="3"/>
    </row>
    <row r="106" spans="1:30" x14ac:dyDescent="0.25">
      <c r="A106">
        <v>2</v>
      </c>
      <c r="B106" t="s">
        <v>1</v>
      </c>
      <c r="C106">
        <v>14592</v>
      </c>
      <c r="D106">
        <v>128</v>
      </c>
      <c r="E106">
        <v>1</v>
      </c>
      <c r="F106">
        <v>4</v>
      </c>
      <c r="G106">
        <v>926.16</v>
      </c>
      <c r="H106" s="26">
        <v>2.2368000000000001</v>
      </c>
      <c r="I106" s="1">
        <v>45426</v>
      </c>
      <c r="J106" s="2">
        <v>9.9456018518518513E-2</v>
      </c>
      <c r="K106">
        <v>0</v>
      </c>
      <c r="L106">
        <v>0</v>
      </c>
      <c r="M106">
        <v>0</v>
      </c>
      <c r="N106" s="27">
        <f t="shared" si="62"/>
        <v>2.2364600000000001</v>
      </c>
      <c r="P106">
        <v>2</v>
      </c>
      <c r="Q106" t="s">
        <v>1</v>
      </c>
      <c r="R106">
        <v>14592</v>
      </c>
      <c r="S106">
        <v>128</v>
      </c>
      <c r="T106">
        <v>1</v>
      </c>
      <c r="U106">
        <v>4</v>
      </c>
      <c r="V106">
        <v>816.38</v>
      </c>
      <c r="W106" s="38">
        <v>2.5375999999999999</v>
      </c>
      <c r="X106" s="1">
        <v>45436</v>
      </c>
      <c r="Y106" s="2">
        <v>0.65472222222222221</v>
      </c>
      <c r="Z106">
        <v>0</v>
      </c>
      <c r="AA106">
        <v>0</v>
      </c>
      <c r="AB106">
        <v>0</v>
      </c>
      <c r="AC106" s="3">
        <f t="shared" si="63"/>
        <v>2.5363799999999999</v>
      </c>
      <c r="AD106" s="3"/>
    </row>
    <row r="107" spans="1:30" x14ac:dyDescent="0.25">
      <c r="A107">
        <v>3</v>
      </c>
      <c r="B107" t="s">
        <v>1</v>
      </c>
      <c r="C107">
        <v>14592</v>
      </c>
      <c r="D107">
        <v>128</v>
      </c>
      <c r="E107">
        <v>1</v>
      </c>
      <c r="F107">
        <v>4</v>
      </c>
      <c r="G107">
        <v>926.42</v>
      </c>
      <c r="H107" s="26">
        <v>2.2362000000000002</v>
      </c>
      <c r="I107" s="1">
        <v>45426</v>
      </c>
      <c r="J107" s="2">
        <v>0.6048958333333333</v>
      </c>
      <c r="K107">
        <v>0</v>
      </c>
      <c r="L107">
        <v>0</v>
      </c>
      <c r="M107">
        <v>0</v>
      </c>
      <c r="N107" s="27">
        <f t="shared" si="62"/>
        <v>2.2364600000000001</v>
      </c>
      <c r="P107">
        <v>3</v>
      </c>
      <c r="Q107" t="s">
        <v>1</v>
      </c>
      <c r="R107">
        <v>14592</v>
      </c>
      <c r="S107">
        <v>128</v>
      </c>
      <c r="T107">
        <v>1</v>
      </c>
      <c r="U107">
        <v>4</v>
      </c>
      <c r="V107">
        <v>816.72</v>
      </c>
      <c r="W107" s="38">
        <v>2.5366</v>
      </c>
      <c r="X107" s="1">
        <v>45437</v>
      </c>
      <c r="Y107" s="2">
        <v>0.1713888888888889</v>
      </c>
      <c r="Z107">
        <v>0</v>
      </c>
      <c r="AA107">
        <v>0</v>
      </c>
      <c r="AB107">
        <v>0</v>
      </c>
      <c r="AC107" s="3">
        <f t="shared" si="63"/>
        <v>2.5363799999999999</v>
      </c>
      <c r="AD107" s="3"/>
    </row>
    <row r="108" spans="1:30" x14ac:dyDescent="0.25">
      <c r="A108">
        <v>4</v>
      </c>
      <c r="B108" t="s">
        <v>1</v>
      </c>
      <c r="C108">
        <v>14592</v>
      </c>
      <c r="D108">
        <v>128</v>
      </c>
      <c r="E108">
        <v>1</v>
      </c>
      <c r="F108">
        <v>4</v>
      </c>
      <c r="G108">
        <v>926.39</v>
      </c>
      <c r="H108" s="26">
        <v>2.2363</v>
      </c>
      <c r="I108" s="1">
        <v>45427</v>
      </c>
      <c r="J108" s="2">
        <v>0.11038194444444445</v>
      </c>
      <c r="K108">
        <v>0</v>
      </c>
      <c r="L108">
        <v>0</v>
      </c>
      <c r="M108">
        <v>0</v>
      </c>
      <c r="N108" s="27">
        <f t="shared" si="62"/>
        <v>2.2364600000000001</v>
      </c>
      <c r="P108">
        <v>4</v>
      </c>
      <c r="Q108" t="s">
        <v>1</v>
      </c>
      <c r="R108">
        <v>14592</v>
      </c>
      <c r="S108">
        <v>128</v>
      </c>
      <c r="T108">
        <v>1</v>
      </c>
      <c r="U108">
        <v>4</v>
      </c>
      <c r="V108">
        <v>817.15</v>
      </c>
      <c r="W108" s="38">
        <v>2.5352000000000001</v>
      </c>
      <c r="X108" s="1">
        <v>45437</v>
      </c>
      <c r="Y108" s="2">
        <v>0.6884837962962963</v>
      </c>
      <c r="Z108">
        <v>0</v>
      </c>
      <c r="AA108">
        <v>0</v>
      </c>
      <c r="AB108">
        <v>0</v>
      </c>
      <c r="AC108" s="3">
        <f t="shared" si="63"/>
        <v>2.5363799999999999</v>
      </c>
      <c r="AD108" s="3"/>
    </row>
    <row r="109" spans="1:30" x14ac:dyDescent="0.25">
      <c r="A109">
        <v>0</v>
      </c>
      <c r="B109" t="s">
        <v>1</v>
      </c>
      <c r="C109">
        <v>13056</v>
      </c>
      <c r="D109">
        <v>128</v>
      </c>
      <c r="E109">
        <v>2</v>
      </c>
      <c r="F109">
        <v>2</v>
      </c>
      <c r="G109">
        <v>645.61</v>
      </c>
      <c r="H109" s="26">
        <v>2.2985000000000002</v>
      </c>
      <c r="I109" s="1">
        <v>45425</v>
      </c>
      <c r="J109" s="2">
        <v>0.44530092592592591</v>
      </c>
      <c r="K109">
        <v>0</v>
      </c>
      <c r="L109">
        <v>0</v>
      </c>
      <c r="M109">
        <v>0</v>
      </c>
      <c r="N109" s="27">
        <f t="shared" ref="N109" si="80">AVERAGE(H109:H113)</f>
        <v>2.2989400000000004</v>
      </c>
      <c r="P109">
        <v>0</v>
      </c>
      <c r="Q109" t="s">
        <v>1</v>
      </c>
      <c r="R109">
        <v>13056</v>
      </c>
      <c r="S109">
        <v>128</v>
      </c>
      <c r="T109">
        <v>2</v>
      </c>
      <c r="U109">
        <v>2</v>
      </c>
      <c r="V109">
        <v>589.38</v>
      </c>
      <c r="W109" s="38">
        <v>2.5177999999999998</v>
      </c>
      <c r="X109" s="1">
        <v>45435</v>
      </c>
      <c r="Y109" s="2">
        <v>0.98528935185185185</v>
      </c>
      <c r="Z109">
        <v>0</v>
      </c>
      <c r="AA109">
        <v>0</v>
      </c>
      <c r="AB109">
        <v>0</v>
      </c>
      <c r="AC109" s="3">
        <f t="shared" ref="AC109" si="81">AVERAGE(W109:W113)</f>
        <v>2.52014</v>
      </c>
      <c r="AD109" s="3"/>
    </row>
    <row r="110" spans="1:30" x14ac:dyDescent="0.25">
      <c r="A110">
        <v>1</v>
      </c>
      <c r="B110" t="s">
        <v>1</v>
      </c>
      <c r="C110">
        <v>13056</v>
      </c>
      <c r="D110">
        <v>128</v>
      </c>
      <c r="E110">
        <v>2</v>
      </c>
      <c r="F110">
        <v>2</v>
      </c>
      <c r="G110">
        <v>645.58000000000004</v>
      </c>
      <c r="H110" s="26">
        <v>2.2986</v>
      </c>
      <c r="I110" s="1">
        <v>45425</v>
      </c>
      <c r="J110" s="2">
        <v>0.95063657407407409</v>
      </c>
      <c r="K110">
        <v>0</v>
      </c>
      <c r="L110">
        <v>0</v>
      </c>
      <c r="M110">
        <v>0</v>
      </c>
      <c r="N110" s="27">
        <f t="shared" ref="N110" si="82">N109</f>
        <v>2.2989400000000004</v>
      </c>
      <c r="P110">
        <v>1</v>
      </c>
      <c r="Q110" t="s">
        <v>1</v>
      </c>
      <c r="R110">
        <v>13056</v>
      </c>
      <c r="S110">
        <v>128</v>
      </c>
      <c r="T110">
        <v>2</v>
      </c>
      <c r="U110">
        <v>2</v>
      </c>
      <c r="V110">
        <v>589.12</v>
      </c>
      <c r="W110" s="38">
        <v>2.5188999999999999</v>
      </c>
      <c r="X110" s="1">
        <v>45436</v>
      </c>
      <c r="Y110" s="2">
        <v>0.50177083333333339</v>
      </c>
      <c r="Z110">
        <v>0</v>
      </c>
      <c r="AA110">
        <v>0</v>
      </c>
      <c r="AB110">
        <v>0</v>
      </c>
      <c r="AC110" s="3">
        <f t="shared" ref="AC110" si="83">AC109</f>
        <v>2.52014</v>
      </c>
      <c r="AD110" s="3"/>
    </row>
    <row r="111" spans="1:30" x14ac:dyDescent="0.25">
      <c r="A111">
        <v>2</v>
      </c>
      <c r="B111" t="s">
        <v>1</v>
      </c>
      <c r="C111">
        <v>13056</v>
      </c>
      <c r="D111">
        <v>128</v>
      </c>
      <c r="E111">
        <v>2</v>
      </c>
      <c r="F111">
        <v>2</v>
      </c>
      <c r="G111">
        <v>645.32000000000005</v>
      </c>
      <c r="H111" s="26">
        <v>2.2995000000000001</v>
      </c>
      <c r="I111" s="1">
        <v>45426</v>
      </c>
      <c r="J111" s="2">
        <v>0.45598379629629632</v>
      </c>
      <c r="K111">
        <v>0</v>
      </c>
      <c r="L111">
        <v>0</v>
      </c>
      <c r="M111">
        <v>0</v>
      </c>
      <c r="N111" s="27">
        <f t="shared" si="66"/>
        <v>2.2989400000000004</v>
      </c>
      <c r="P111">
        <v>2</v>
      </c>
      <c r="Q111" t="s">
        <v>1</v>
      </c>
      <c r="R111">
        <v>13056</v>
      </c>
      <c r="S111">
        <v>128</v>
      </c>
      <c r="T111">
        <v>2</v>
      </c>
      <c r="U111">
        <v>2</v>
      </c>
      <c r="V111">
        <v>588.9</v>
      </c>
      <c r="W111" s="38">
        <v>2.5198</v>
      </c>
      <c r="X111" s="1">
        <v>45437</v>
      </c>
      <c r="Y111" s="2">
        <v>1.8657407407407407E-2</v>
      </c>
      <c r="Z111">
        <v>0</v>
      </c>
      <c r="AA111">
        <v>0</v>
      </c>
      <c r="AB111">
        <v>0</v>
      </c>
      <c r="AC111" s="3">
        <f t="shared" si="67"/>
        <v>2.52014</v>
      </c>
      <c r="AD111" s="3"/>
    </row>
    <row r="112" spans="1:30" x14ac:dyDescent="0.25">
      <c r="A112">
        <v>3</v>
      </c>
      <c r="B112" t="s">
        <v>1</v>
      </c>
      <c r="C112">
        <v>13056</v>
      </c>
      <c r="D112">
        <v>128</v>
      </c>
      <c r="E112">
        <v>2</v>
      </c>
      <c r="F112">
        <v>2</v>
      </c>
      <c r="G112">
        <v>645.32000000000005</v>
      </c>
      <c r="H112" s="26">
        <v>2.2995000000000001</v>
      </c>
      <c r="I112" s="1">
        <v>45426</v>
      </c>
      <c r="J112" s="2">
        <v>0.96156249999999999</v>
      </c>
      <c r="K112">
        <v>0</v>
      </c>
      <c r="L112">
        <v>0</v>
      </c>
      <c r="M112">
        <v>0</v>
      </c>
      <c r="N112" s="27">
        <f t="shared" si="66"/>
        <v>2.2989400000000004</v>
      </c>
      <c r="P112">
        <v>3</v>
      </c>
      <c r="Q112" t="s">
        <v>1</v>
      </c>
      <c r="R112">
        <v>13056</v>
      </c>
      <c r="S112">
        <v>128</v>
      </c>
      <c r="T112">
        <v>2</v>
      </c>
      <c r="U112">
        <v>2</v>
      </c>
      <c r="V112">
        <v>588.05999999999995</v>
      </c>
      <c r="W112" s="38">
        <v>2.5234000000000001</v>
      </c>
      <c r="X112" s="1">
        <v>45437</v>
      </c>
      <c r="Y112" s="2">
        <v>0.53563657407407406</v>
      </c>
      <c r="Z112">
        <v>0</v>
      </c>
      <c r="AA112">
        <v>0</v>
      </c>
      <c r="AB112">
        <v>0</v>
      </c>
      <c r="AC112" s="3">
        <f t="shared" si="67"/>
        <v>2.52014</v>
      </c>
      <c r="AD112" s="3"/>
    </row>
    <row r="113" spans="1:30" x14ac:dyDescent="0.25">
      <c r="A113">
        <v>4</v>
      </c>
      <c r="B113" t="s">
        <v>1</v>
      </c>
      <c r="C113">
        <v>13056</v>
      </c>
      <c r="D113">
        <v>128</v>
      </c>
      <c r="E113">
        <v>2</v>
      </c>
      <c r="F113">
        <v>2</v>
      </c>
      <c r="G113" s="16">
        <v>645.59</v>
      </c>
      <c r="H113" s="26">
        <v>2.2986</v>
      </c>
      <c r="I113" s="1">
        <v>45427</v>
      </c>
      <c r="J113" s="2">
        <v>0.46687499999999998</v>
      </c>
      <c r="K113">
        <v>0</v>
      </c>
      <c r="L113">
        <v>0</v>
      </c>
      <c r="M113">
        <v>0</v>
      </c>
      <c r="N113" s="27">
        <f t="shared" si="66"/>
        <v>2.2989400000000004</v>
      </c>
      <c r="P113">
        <v>4</v>
      </c>
      <c r="Q113" t="s">
        <v>1</v>
      </c>
      <c r="R113">
        <v>13056</v>
      </c>
      <c r="S113">
        <v>128</v>
      </c>
      <c r="T113">
        <v>2</v>
      </c>
      <c r="U113">
        <v>2</v>
      </c>
      <c r="V113" s="16">
        <v>588.67999999999995</v>
      </c>
      <c r="W113" s="26">
        <v>2.5207999999999999</v>
      </c>
      <c r="X113" s="1">
        <v>45438</v>
      </c>
      <c r="Y113" s="2">
        <v>5.275462962962963E-2</v>
      </c>
      <c r="Z113">
        <v>0</v>
      </c>
      <c r="AA113">
        <v>0</v>
      </c>
      <c r="AB113">
        <v>0</v>
      </c>
      <c r="AC113" s="3">
        <f t="shared" si="67"/>
        <v>2.52014</v>
      </c>
      <c r="AD113" s="3"/>
    </row>
    <row r="114" spans="1:30" x14ac:dyDescent="0.25">
      <c r="A114">
        <v>0</v>
      </c>
      <c r="B114" t="s">
        <v>1</v>
      </c>
      <c r="C114">
        <v>13824</v>
      </c>
      <c r="D114">
        <v>128</v>
      </c>
      <c r="E114">
        <v>2</v>
      </c>
      <c r="F114">
        <v>2</v>
      </c>
      <c r="G114">
        <v>770.61</v>
      </c>
      <c r="H114" s="26">
        <v>2.2858000000000001</v>
      </c>
      <c r="I114" s="1">
        <v>45425</v>
      </c>
      <c r="J114" s="2">
        <v>0.2046412037037037</v>
      </c>
      <c r="K114">
        <v>0</v>
      </c>
      <c r="L114">
        <v>0</v>
      </c>
      <c r="M114">
        <v>0</v>
      </c>
      <c r="N114" s="27">
        <f t="shared" ref="N114" si="84">AVERAGE(H114:H118)</f>
        <v>2.2845800000000001</v>
      </c>
      <c r="P114">
        <v>0</v>
      </c>
      <c r="Q114" t="s">
        <v>1</v>
      </c>
      <c r="R114">
        <v>13824</v>
      </c>
      <c r="S114">
        <v>128</v>
      </c>
      <c r="T114">
        <v>2</v>
      </c>
      <c r="U114">
        <v>2</v>
      </c>
      <c r="V114">
        <v>696.07</v>
      </c>
      <c r="W114" s="38">
        <v>2.5306000000000002</v>
      </c>
      <c r="X114" s="1">
        <v>45435</v>
      </c>
      <c r="Y114" s="2">
        <v>0.8230439814814815</v>
      </c>
      <c r="Z114">
        <v>0</v>
      </c>
      <c r="AA114">
        <v>0</v>
      </c>
      <c r="AB114">
        <v>0</v>
      </c>
      <c r="AC114" s="3">
        <f t="shared" ref="AC114" si="85">AVERAGE(W114:W118)</f>
        <v>2.5300199999999999</v>
      </c>
      <c r="AD114" s="3"/>
    </row>
    <row r="115" spans="1:30" x14ac:dyDescent="0.25">
      <c r="A115">
        <v>1</v>
      </c>
      <c r="B115" t="s">
        <v>1</v>
      </c>
      <c r="C115">
        <v>13824</v>
      </c>
      <c r="D115">
        <v>128</v>
      </c>
      <c r="E115">
        <v>2</v>
      </c>
      <c r="F115">
        <v>2</v>
      </c>
      <c r="G115">
        <v>770.78</v>
      </c>
      <c r="H115" s="26">
        <v>2.2852999999999999</v>
      </c>
      <c r="I115" s="1">
        <v>45425</v>
      </c>
      <c r="J115" s="2">
        <v>0.7922569444444445</v>
      </c>
      <c r="K115">
        <v>0</v>
      </c>
      <c r="L115">
        <v>0</v>
      </c>
      <c r="M115">
        <v>0</v>
      </c>
      <c r="N115" s="27">
        <f t="shared" ref="N115" si="86">N114</f>
        <v>2.2845800000000001</v>
      </c>
      <c r="P115">
        <v>1</v>
      </c>
      <c r="Q115" t="s">
        <v>1</v>
      </c>
      <c r="R115">
        <v>13824</v>
      </c>
      <c r="S115">
        <v>128</v>
      </c>
      <c r="T115">
        <v>2</v>
      </c>
      <c r="U115">
        <v>2</v>
      </c>
      <c r="V115">
        <v>697.22</v>
      </c>
      <c r="W115" s="38">
        <v>2.5264000000000002</v>
      </c>
      <c r="X115" s="1">
        <v>45436</v>
      </c>
      <c r="Y115" s="2">
        <v>0.33930555555555558</v>
      </c>
      <c r="Z115">
        <v>0</v>
      </c>
      <c r="AA115">
        <v>0</v>
      </c>
      <c r="AB115">
        <v>0</v>
      </c>
      <c r="AC115" s="3">
        <f t="shared" ref="AC115" si="87">AC114</f>
        <v>2.5300199999999999</v>
      </c>
      <c r="AD115" s="3"/>
    </row>
    <row r="116" spans="1:30" x14ac:dyDescent="0.25">
      <c r="A116">
        <v>2</v>
      </c>
      <c r="B116" t="s">
        <v>1</v>
      </c>
      <c r="C116">
        <v>13824</v>
      </c>
      <c r="D116">
        <v>128</v>
      </c>
      <c r="E116">
        <v>2</v>
      </c>
      <c r="F116">
        <v>2</v>
      </c>
      <c r="G116">
        <v>770.94</v>
      </c>
      <c r="H116" s="26">
        <v>2.2848999999999999</v>
      </c>
      <c r="I116" s="1">
        <v>45426</v>
      </c>
      <c r="J116" s="2">
        <v>0.29758101851851854</v>
      </c>
      <c r="K116">
        <v>0</v>
      </c>
      <c r="L116">
        <v>0</v>
      </c>
      <c r="M116">
        <v>0</v>
      </c>
      <c r="N116" s="27">
        <f t="shared" si="62"/>
        <v>2.2845800000000001</v>
      </c>
      <c r="P116">
        <v>2</v>
      </c>
      <c r="Q116" t="s">
        <v>1</v>
      </c>
      <c r="R116">
        <v>13824</v>
      </c>
      <c r="S116">
        <v>128</v>
      </c>
      <c r="T116">
        <v>2</v>
      </c>
      <c r="U116">
        <v>2</v>
      </c>
      <c r="V116">
        <v>695.71</v>
      </c>
      <c r="W116" s="38">
        <v>2.5318999999999998</v>
      </c>
      <c r="X116" s="1">
        <v>45436</v>
      </c>
      <c r="Y116" s="2">
        <v>0.85628472222222218</v>
      </c>
      <c r="Z116">
        <v>0</v>
      </c>
      <c r="AA116">
        <v>0</v>
      </c>
      <c r="AB116">
        <v>0</v>
      </c>
      <c r="AC116" s="3">
        <f t="shared" si="63"/>
        <v>2.5300199999999999</v>
      </c>
      <c r="AD116" s="3"/>
    </row>
    <row r="117" spans="1:30" x14ac:dyDescent="0.25">
      <c r="A117">
        <v>3</v>
      </c>
      <c r="B117" t="s">
        <v>1</v>
      </c>
      <c r="C117">
        <v>13824</v>
      </c>
      <c r="D117">
        <v>128</v>
      </c>
      <c r="E117">
        <v>2</v>
      </c>
      <c r="F117">
        <v>2</v>
      </c>
      <c r="G117">
        <v>772.29</v>
      </c>
      <c r="H117" s="26">
        <v>2.2808999999999999</v>
      </c>
      <c r="I117" s="1">
        <v>45426</v>
      </c>
      <c r="J117" s="2">
        <v>0.80314814814814817</v>
      </c>
      <c r="K117">
        <v>0</v>
      </c>
      <c r="L117">
        <v>0</v>
      </c>
      <c r="M117">
        <v>0</v>
      </c>
      <c r="N117" s="27">
        <f t="shared" si="62"/>
        <v>2.2845800000000001</v>
      </c>
      <c r="P117">
        <v>3</v>
      </c>
      <c r="Q117" t="s">
        <v>1</v>
      </c>
      <c r="R117">
        <v>13824</v>
      </c>
      <c r="S117">
        <v>128</v>
      </c>
      <c r="T117">
        <v>2</v>
      </c>
      <c r="U117">
        <v>2</v>
      </c>
      <c r="V117">
        <v>695.67</v>
      </c>
      <c r="W117" s="38">
        <v>2.5320999999999998</v>
      </c>
      <c r="X117" s="1">
        <v>45437</v>
      </c>
      <c r="Y117" s="2">
        <v>0.37297453703703703</v>
      </c>
      <c r="Z117">
        <v>0</v>
      </c>
      <c r="AA117">
        <v>0</v>
      </c>
      <c r="AB117">
        <v>0</v>
      </c>
      <c r="AC117" s="3">
        <f t="shared" si="63"/>
        <v>2.5300199999999999</v>
      </c>
      <c r="AD117" s="3"/>
    </row>
    <row r="118" spans="1:30" x14ac:dyDescent="0.25">
      <c r="A118">
        <v>4</v>
      </c>
      <c r="B118" t="s">
        <v>1</v>
      </c>
      <c r="C118">
        <v>13824</v>
      </c>
      <c r="D118">
        <v>128</v>
      </c>
      <c r="E118">
        <v>2</v>
      </c>
      <c r="F118">
        <v>2</v>
      </c>
      <c r="G118">
        <v>770.54</v>
      </c>
      <c r="H118" s="26">
        <v>2.286</v>
      </c>
      <c r="I118" s="1">
        <v>45427</v>
      </c>
      <c r="J118" s="2">
        <v>0.30851851851851853</v>
      </c>
      <c r="K118">
        <v>0</v>
      </c>
      <c r="L118">
        <v>0</v>
      </c>
      <c r="M118">
        <v>0</v>
      </c>
      <c r="N118" s="27">
        <f t="shared" si="62"/>
        <v>2.2845800000000001</v>
      </c>
      <c r="P118">
        <v>4</v>
      </c>
      <c r="Q118" t="s">
        <v>1</v>
      </c>
      <c r="R118">
        <v>13824</v>
      </c>
      <c r="S118">
        <v>128</v>
      </c>
      <c r="T118">
        <v>2</v>
      </c>
      <c r="U118">
        <v>2</v>
      </c>
      <c r="V118">
        <v>696.49</v>
      </c>
      <c r="W118" s="38">
        <v>2.5291000000000001</v>
      </c>
      <c r="X118" s="1">
        <v>45437</v>
      </c>
      <c r="Y118" s="2">
        <v>0.89003472222222224</v>
      </c>
      <c r="Z118">
        <v>0</v>
      </c>
      <c r="AA118">
        <v>0</v>
      </c>
      <c r="AB118">
        <v>0</v>
      </c>
      <c r="AC118" s="3">
        <f t="shared" si="63"/>
        <v>2.5300199999999999</v>
      </c>
      <c r="AD118" s="3"/>
    </row>
    <row r="119" spans="1:30" x14ac:dyDescent="0.25">
      <c r="A119">
        <v>0</v>
      </c>
      <c r="B119" t="s">
        <v>1</v>
      </c>
      <c r="C119">
        <v>14592</v>
      </c>
      <c r="D119">
        <v>128</v>
      </c>
      <c r="E119">
        <v>2</v>
      </c>
      <c r="F119">
        <v>2</v>
      </c>
      <c r="G119">
        <v>895.21</v>
      </c>
      <c r="H119" s="26">
        <v>2.3142</v>
      </c>
      <c r="I119" s="1">
        <v>45425</v>
      </c>
      <c r="J119" s="2">
        <v>1.7222222222222222E-2</v>
      </c>
      <c r="K119">
        <v>0</v>
      </c>
      <c r="L119">
        <v>0</v>
      </c>
      <c r="M119">
        <v>0</v>
      </c>
      <c r="N119" s="27">
        <f t="shared" ref="N119" si="88">AVERAGE(H119:H123)</f>
        <v>2.3155399999999999</v>
      </c>
      <c r="P119">
        <v>0</v>
      </c>
      <c r="Q119" t="s">
        <v>1</v>
      </c>
      <c r="R119">
        <v>14592</v>
      </c>
      <c r="S119">
        <v>128</v>
      </c>
      <c r="T119">
        <v>2</v>
      </c>
      <c r="U119">
        <v>2</v>
      </c>
      <c r="V119">
        <v>817.05</v>
      </c>
      <c r="W119" s="38">
        <v>2.5356000000000001</v>
      </c>
      <c r="X119" s="1">
        <v>45435</v>
      </c>
      <c r="Y119" s="2">
        <v>0.52592592592592591</v>
      </c>
      <c r="Z119">
        <v>0</v>
      </c>
      <c r="AA119">
        <v>0</v>
      </c>
      <c r="AB119">
        <v>0</v>
      </c>
      <c r="AC119" s="3">
        <f t="shared" ref="AC119" si="89">AVERAGE(W119:W123)</f>
        <v>2.5379399999999999</v>
      </c>
      <c r="AD119" s="3"/>
    </row>
    <row r="120" spans="1:30" x14ac:dyDescent="0.25">
      <c r="A120">
        <v>1</v>
      </c>
      <c r="B120" t="s">
        <v>1</v>
      </c>
      <c r="C120">
        <v>14592</v>
      </c>
      <c r="D120">
        <v>128</v>
      </c>
      <c r="E120">
        <v>2</v>
      </c>
      <c r="F120">
        <v>2</v>
      </c>
      <c r="G120">
        <v>894.31</v>
      </c>
      <c r="H120" s="26">
        <v>2.3165</v>
      </c>
      <c r="I120" s="1">
        <v>45425</v>
      </c>
      <c r="J120" s="2">
        <v>0.60480324074074077</v>
      </c>
      <c r="K120">
        <v>0</v>
      </c>
      <c r="L120">
        <v>0</v>
      </c>
      <c r="M120">
        <v>0</v>
      </c>
      <c r="N120" s="27">
        <f t="shared" ref="N120" si="90">N119</f>
        <v>2.3155399999999999</v>
      </c>
      <c r="P120">
        <v>1</v>
      </c>
      <c r="Q120" t="s">
        <v>1</v>
      </c>
      <c r="R120">
        <v>14592</v>
      </c>
      <c r="S120">
        <v>128</v>
      </c>
      <c r="T120">
        <v>2</v>
      </c>
      <c r="U120">
        <v>2</v>
      </c>
      <c r="V120">
        <v>814.81</v>
      </c>
      <c r="W120" s="38">
        <v>2.5425</v>
      </c>
      <c r="X120" s="1">
        <v>45436</v>
      </c>
      <c r="Y120" s="2">
        <v>0.14874999999999999</v>
      </c>
      <c r="Z120">
        <v>0</v>
      </c>
      <c r="AA120">
        <v>0</v>
      </c>
      <c r="AB120">
        <v>0</v>
      </c>
      <c r="AC120" s="3">
        <f t="shared" ref="AC120" si="91">AC119</f>
        <v>2.5379399999999999</v>
      </c>
      <c r="AD120" s="3"/>
    </row>
    <row r="121" spans="1:30" x14ac:dyDescent="0.25">
      <c r="A121">
        <v>2</v>
      </c>
      <c r="B121" t="s">
        <v>1</v>
      </c>
      <c r="C121">
        <v>14592</v>
      </c>
      <c r="D121">
        <v>128</v>
      </c>
      <c r="E121">
        <v>2</v>
      </c>
      <c r="F121">
        <v>2</v>
      </c>
      <c r="G121">
        <v>894.49</v>
      </c>
      <c r="H121" s="26">
        <v>2.3159999999999998</v>
      </c>
      <c r="I121" s="1">
        <v>45426</v>
      </c>
      <c r="J121" s="2">
        <v>0.11013888888888888</v>
      </c>
      <c r="K121">
        <v>0</v>
      </c>
      <c r="L121">
        <v>0</v>
      </c>
      <c r="M121">
        <v>0</v>
      </c>
      <c r="N121" s="27">
        <f t="shared" si="66"/>
        <v>2.3155399999999999</v>
      </c>
      <c r="P121">
        <v>2</v>
      </c>
      <c r="Q121" t="s">
        <v>1</v>
      </c>
      <c r="R121">
        <v>14592</v>
      </c>
      <c r="S121">
        <v>128</v>
      </c>
      <c r="T121">
        <v>2</v>
      </c>
      <c r="U121">
        <v>2</v>
      </c>
      <c r="V121">
        <v>818.86</v>
      </c>
      <c r="W121" s="38">
        <v>2.5299</v>
      </c>
      <c r="X121" s="1">
        <v>45436</v>
      </c>
      <c r="Y121" s="2">
        <v>0.66582175925925924</v>
      </c>
      <c r="Z121">
        <v>0</v>
      </c>
      <c r="AA121">
        <v>0</v>
      </c>
      <c r="AB121">
        <v>0</v>
      </c>
      <c r="AC121" s="3">
        <f t="shared" si="67"/>
        <v>2.5379399999999999</v>
      </c>
      <c r="AD121" s="3"/>
    </row>
    <row r="122" spans="1:30" x14ac:dyDescent="0.25">
      <c r="A122">
        <v>3</v>
      </c>
      <c r="B122" t="s">
        <v>1</v>
      </c>
      <c r="C122">
        <v>14592</v>
      </c>
      <c r="D122">
        <v>128</v>
      </c>
      <c r="E122">
        <v>2</v>
      </c>
      <c r="F122">
        <v>2</v>
      </c>
      <c r="G122">
        <v>894.78</v>
      </c>
      <c r="H122" s="26">
        <v>2.3153000000000001</v>
      </c>
      <c r="I122" s="1">
        <v>45426</v>
      </c>
      <c r="J122" s="2">
        <v>0.61559027777777775</v>
      </c>
      <c r="K122">
        <v>0</v>
      </c>
      <c r="L122">
        <v>0</v>
      </c>
      <c r="M122">
        <v>0</v>
      </c>
      <c r="N122" s="27">
        <f t="shared" si="66"/>
        <v>2.3155399999999999</v>
      </c>
      <c r="P122">
        <v>3</v>
      </c>
      <c r="Q122" t="s">
        <v>1</v>
      </c>
      <c r="R122">
        <v>14592</v>
      </c>
      <c r="S122">
        <v>128</v>
      </c>
      <c r="T122">
        <v>2</v>
      </c>
      <c r="U122">
        <v>2</v>
      </c>
      <c r="V122">
        <v>815.71</v>
      </c>
      <c r="W122" s="38">
        <v>2.5396999999999998</v>
      </c>
      <c r="X122" s="1">
        <v>45437</v>
      </c>
      <c r="Y122" s="2">
        <v>0.18244212962962963</v>
      </c>
      <c r="Z122">
        <v>0</v>
      </c>
      <c r="AA122">
        <v>0</v>
      </c>
      <c r="AB122">
        <v>0</v>
      </c>
      <c r="AC122" s="3">
        <f t="shared" si="67"/>
        <v>2.5379399999999999</v>
      </c>
      <c r="AD122" s="3"/>
    </row>
    <row r="123" spans="1:30" x14ac:dyDescent="0.25">
      <c r="A123">
        <v>4</v>
      </c>
      <c r="B123" t="s">
        <v>1</v>
      </c>
      <c r="C123">
        <v>14592</v>
      </c>
      <c r="D123">
        <v>128</v>
      </c>
      <c r="E123">
        <v>2</v>
      </c>
      <c r="F123">
        <v>2</v>
      </c>
      <c r="G123">
        <v>894.63</v>
      </c>
      <c r="H123" s="26">
        <v>2.3157000000000001</v>
      </c>
      <c r="I123" s="1">
        <v>45427</v>
      </c>
      <c r="J123" s="2">
        <v>0.12106481481481482</v>
      </c>
      <c r="K123">
        <v>0</v>
      </c>
      <c r="L123">
        <v>0</v>
      </c>
      <c r="M123">
        <v>0</v>
      </c>
      <c r="N123" s="27">
        <f t="shared" si="66"/>
        <v>2.3155399999999999</v>
      </c>
      <c r="P123">
        <v>4</v>
      </c>
      <c r="Q123" t="s">
        <v>1</v>
      </c>
      <c r="R123">
        <v>14592</v>
      </c>
      <c r="S123">
        <v>128</v>
      </c>
      <c r="T123">
        <v>2</v>
      </c>
      <c r="U123">
        <v>2</v>
      </c>
      <c r="V123">
        <v>814.98</v>
      </c>
      <c r="W123" s="38">
        <v>2.5419999999999998</v>
      </c>
      <c r="X123" s="1">
        <v>45437</v>
      </c>
      <c r="Y123" s="2">
        <v>0.69952546296296292</v>
      </c>
      <c r="Z123">
        <v>0</v>
      </c>
      <c r="AA123">
        <v>0</v>
      </c>
      <c r="AB123">
        <v>0</v>
      </c>
      <c r="AC123" s="3">
        <f t="shared" si="67"/>
        <v>2.5379399999999999</v>
      </c>
      <c r="AD123" s="3"/>
    </row>
    <row r="124" spans="1:30" x14ac:dyDescent="0.25">
      <c r="A124">
        <v>0</v>
      </c>
      <c r="B124" t="s">
        <v>1</v>
      </c>
      <c r="C124">
        <v>12960</v>
      </c>
      <c r="D124">
        <v>160</v>
      </c>
      <c r="E124">
        <v>1</v>
      </c>
      <c r="F124">
        <v>4</v>
      </c>
      <c r="G124">
        <v>649.41</v>
      </c>
      <c r="H124" s="26">
        <v>2.2349999999999999</v>
      </c>
      <c r="I124" s="1">
        <v>45425</v>
      </c>
      <c r="J124" s="2">
        <v>0.45309027777777777</v>
      </c>
      <c r="K124">
        <v>0</v>
      </c>
      <c r="L124">
        <v>0</v>
      </c>
      <c r="M124">
        <v>0</v>
      </c>
      <c r="N124" s="27">
        <f t="shared" ref="N124" si="92">AVERAGE(H124:H128)</f>
        <v>2.2352400000000001</v>
      </c>
      <c r="P124">
        <v>0</v>
      </c>
      <c r="Q124" t="s">
        <v>1</v>
      </c>
      <c r="R124">
        <v>12960</v>
      </c>
      <c r="S124">
        <v>160</v>
      </c>
      <c r="T124">
        <v>1</v>
      </c>
      <c r="U124">
        <v>4</v>
      </c>
      <c r="V124">
        <v>580.74</v>
      </c>
      <c r="W124" s="38">
        <v>2.4992999999999999</v>
      </c>
      <c r="X124" s="1">
        <v>45435</v>
      </c>
      <c r="Y124" s="2">
        <v>0.99333333333333329</v>
      </c>
      <c r="Z124">
        <v>0</v>
      </c>
      <c r="AA124">
        <v>0</v>
      </c>
      <c r="AB124">
        <v>0</v>
      </c>
      <c r="AC124" s="3">
        <f t="shared" ref="AC124" si="93">AVERAGE(W124:W128)</f>
        <v>2.4786200000000003</v>
      </c>
      <c r="AD124" s="3"/>
    </row>
    <row r="125" spans="1:30" x14ac:dyDescent="0.25">
      <c r="A125">
        <v>1</v>
      </c>
      <c r="B125" t="s">
        <v>1</v>
      </c>
      <c r="C125">
        <v>12960</v>
      </c>
      <c r="D125">
        <v>160</v>
      </c>
      <c r="E125">
        <v>1</v>
      </c>
      <c r="F125">
        <v>4</v>
      </c>
      <c r="G125">
        <v>649.34</v>
      </c>
      <c r="H125" s="26">
        <v>2.2353000000000001</v>
      </c>
      <c r="I125" s="1">
        <v>45425</v>
      </c>
      <c r="J125" s="2">
        <v>0.9584259259259259</v>
      </c>
      <c r="K125">
        <v>0</v>
      </c>
      <c r="L125">
        <v>0</v>
      </c>
      <c r="M125">
        <v>0</v>
      </c>
      <c r="N125" s="27">
        <f t="shared" ref="N125" si="94">N124</f>
        <v>2.2352400000000001</v>
      </c>
      <c r="P125">
        <v>1</v>
      </c>
      <c r="Q125" t="s">
        <v>1</v>
      </c>
      <c r="R125">
        <v>12960</v>
      </c>
      <c r="S125">
        <v>160</v>
      </c>
      <c r="T125">
        <v>1</v>
      </c>
      <c r="U125">
        <v>4</v>
      </c>
      <c r="V125">
        <v>595.49</v>
      </c>
      <c r="W125" s="38">
        <v>2.4373999999999998</v>
      </c>
      <c r="X125" s="1">
        <v>45436</v>
      </c>
      <c r="Y125" s="2">
        <v>0.50998842592592597</v>
      </c>
      <c r="Z125">
        <v>0</v>
      </c>
      <c r="AA125">
        <v>0</v>
      </c>
      <c r="AB125">
        <v>0</v>
      </c>
      <c r="AC125" s="3">
        <f t="shared" ref="AC125" si="95">AC124</f>
        <v>2.4786200000000003</v>
      </c>
      <c r="AD125" s="3"/>
    </row>
    <row r="126" spans="1:30" x14ac:dyDescent="0.25">
      <c r="A126">
        <v>2</v>
      </c>
      <c r="B126" t="s">
        <v>1</v>
      </c>
      <c r="C126">
        <v>12960</v>
      </c>
      <c r="D126">
        <v>160</v>
      </c>
      <c r="E126">
        <v>1</v>
      </c>
      <c r="F126">
        <v>4</v>
      </c>
      <c r="G126">
        <v>649.28</v>
      </c>
      <c r="H126" s="26">
        <v>2.2355</v>
      </c>
      <c r="I126" s="1">
        <v>45426</v>
      </c>
      <c r="J126" s="2">
        <v>0.46377314814814813</v>
      </c>
      <c r="K126">
        <v>0</v>
      </c>
      <c r="L126">
        <v>0</v>
      </c>
      <c r="M126">
        <v>0</v>
      </c>
      <c r="N126" s="27">
        <f t="shared" si="62"/>
        <v>2.2352400000000001</v>
      </c>
      <c r="P126">
        <v>2</v>
      </c>
      <c r="Q126" t="s">
        <v>1</v>
      </c>
      <c r="R126">
        <v>12960</v>
      </c>
      <c r="S126">
        <v>160</v>
      </c>
      <c r="T126">
        <v>1</v>
      </c>
      <c r="U126">
        <v>4</v>
      </c>
      <c r="V126">
        <v>580.79</v>
      </c>
      <c r="W126" s="38">
        <v>2.4990999999999999</v>
      </c>
      <c r="X126" s="1">
        <v>45437</v>
      </c>
      <c r="Y126" s="2">
        <v>2.6701388888888889E-2</v>
      </c>
      <c r="Z126">
        <v>0</v>
      </c>
      <c r="AA126">
        <v>0</v>
      </c>
      <c r="AB126">
        <v>0</v>
      </c>
      <c r="AC126" s="3">
        <f t="shared" si="63"/>
        <v>2.4786200000000003</v>
      </c>
      <c r="AD126" s="3"/>
    </row>
    <row r="127" spans="1:30" x14ac:dyDescent="0.25">
      <c r="A127">
        <v>3</v>
      </c>
      <c r="B127" t="s">
        <v>1</v>
      </c>
      <c r="C127">
        <v>12960</v>
      </c>
      <c r="D127">
        <v>160</v>
      </c>
      <c r="E127">
        <v>1</v>
      </c>
      <c r="F127">
        <v>4</v>
      </c>
      <c r="G127">
        <v>649.38</v>
      </c>
      <c r="H127" s="26">
        <v>2.2351000000000001</v>
      </c>
      <c r="I127" s="1">
        <v>45426</v>
      </c>
      <c r="J127" s="2">
        <v>0.9693518518518518</v>
      </c>
      <c r="K127">
        <v>0</v>
      </c>
      <c r="L127">
        <v>0</v>
      </c>
      <c r="M127">
        <v>0</v>
      </c>
      <c r="N127" s="27">
        <f t="shared" si="62"/>
        <v>2.2352400000000001</v>
      </c>
      <c r="P127">
        <v>3</v>
      </c>
      <c r="Q127" t="s">
        <v>1</v>
      </c>
      <c r="R127">
        <v>12960</v>
      </c>
      <c r="S127">
        <v>160</v>
      </c>
      <c r="T127">
        <v>1</v>
      </c>
      <c r="U127">
        <v>4</v>
      </c>
      <c r="V127">
        <v>580.07000000000005</v>
      </c>
      <c r="W127" s="38">
        <v>2.5022000000000002</v>
      </c>
      <c r="X127" s="1">
        <v>45437</v>
      </c>
      <c r="Y127" s="2">
        <v>0.5436805555555555</v>
      </c>
      <c r="Z127">
        <v>0</v>
      </c>
      <c r="AA127">
        <v>0</v>
      </c>
      <c r="AB127">
        <v>0</v>
      </c>
      <c r="AC127" s="3">
        <f t="shared" si="63"/>
        <v>2.4786200000000003</v>
      </c>
      <c r="AD127" s="3"/>
    </row>
    <row r="128" spans="1:30" x14ac:dyDescent="0.25">
      <c r="A128">
        <v>4</v>
      </c>
      <c r="B128" t="s">
        <v>1</v>
      </c>
      <c r="C128">
        <v>12960</v>
      </c>
      <c r="D128">
        <v>160</v>
      </c>
      <c r="E128">
        <v>1</v>
      </c>
      <c r="F128">
        <v>4</v>
      </c>
      <c r="G128" s="16">
        <v>649.32000000000005</v>
      </c>
      <c r="H128" s="26">
        <v>2.2353000000000001</v>
      </c>
      <c r="I128" s="1">
        <v>45427</v>
      </c>
      <c r="J128" s="2">
        <v>0.47466435185185185</v>
      </c>
      <c r="K128">
        <v>0</v>
      </c>
      <c r="L128">
        <v>0</v>
      </c>
      <c r="M128">
        <v>0</v>
      </c>
      <c r="N128" s="27">
        <f t="shared" si="62"/>
        <v>2.2352400000000001</v>
      </c>
      <c r="P128">
        <v>4</v>
      </c>
      <c r="Q128" t="s">
        <v>1</v>
      </c>
      <c r="R128">
        <v>12960</v>
      </c>
      <c r="S128">
        <v>160</v>
      </c>
      <c r="T128">
        <v>1</v>
      </c>
      <c r="U128">
        <v>4</v>
      </c>
      <c r="V128" s="16">
        <v>591.20000000000005</v>
      </c>
      <c r="W128" s="26">
        <v>2.4550999999999998</v>
      </c>
      <c r="X128" s="1">
        <v>45438</v>
      </c>
      <c r="Y128" s="2">
        <v>6.0914351851851851E-2</v>
      </c>
      <c r="Z128">
        <v>0</v>
      </c>
      <c r="AA128">
        <v>0</v>
      </c>
      <c r="AB128">
        <v>0</v>
      </c>
      <c r="AC128" s="3">
        <f t="shared" si="63"/>
        <v>2.4786200000000003</v>
      </c>
      <c r="AD128" s="3"/>
    </row>
    <row r="129" spans="1:30" x14ac:dyDescent="0.25">
      <c r="A129">
        <v>0</v>
      </c>
      <c r="B129" t="s">
        <v>1</v>
      </c>
      <c r="C129">
        <v>13760</v>
      </c>
      <c r="D129">
        <v>160</v>
      </c>
      <c r="E129">
        <v>1</v>
      </c>
      <c r="F129">
        <v>4</v>
      </c>
      <c r="G129">
        <v>775.72</v>
      </c>
      <c r="H129" s="26">
        <v>2.2393999999999998</v>
      </c>
      <c r="I129" s="1">
        <v>45425</v>
      </c>
      <c r="J129" s="2">
        <v>0.21392361111111111</v>
      </c>
      <c r="K129">
        <v>0</v>
      </c>
      <c r="L129">
        <v>0</v>
      </c>
      <c r="M129">
        <v>0</v>
      </c>
      <c r="N129" s="27">
        <f t="shared" ref="N129" si="96">AVERAGE(H129:H133)</f>
        <v>2.2392199999999995</v>
      </c>
      <c r="P129">
        <v>0</v>
      </c>
      <c r="Q129" t="s">
        <v>1</v>
      </c>
      <c r="R129">
        <v>13760</v>
      </c>
      <c r="S129">
        <v>160</v>
      </c>
      <c r="T129">
        <v>1</v>
      </c>
      <c r="U129">
        <v>4</v>
      </c>
      <c r="V129">
        <v>691.16</v>
      </c>
      <c r="W129" s="38">
        <v>2.5133999999999999</v>
      </c>
      <c r="X129" s="1">
        <v>45435</v>
      </c>
      <c r="Y129" s="2">
        <v>0.8325231481481481</v>
      </c>
      <c r="Z129">
        <v>0</v>
      </c>
      <c r="AA129">
        <v>0</v>
      </c>
      <c r="AB129">
        <v>0</v>
      </c>
      <c r="AC129" s="3">
        <f t="shared" ref="AC129" si="97">AVERAGE(W129:W133)</f>
        <v>2.5112200000000002</v>
      </c>
      <c r="AD129" s="3"/>
    </row>
    <row r="130" spans="1:30" x14ac:dyDescent="0.25">
      <c r="A130">
        <v>1</v>
      </c>
      <c r="B130" t="s">
        <v>1</v>
      </c>
      <c r="C130">
        <v>13760</v>
      </c>
      <c r="D130">
        <v>160</v>
      </c>
      <c r="E130">
        <v>1</v>
      </c>
      <c r="F130">
        <v>4</v>
      </c>
      <c r="G130">
        <v>775.28</v>
      </c>
      <c r="H130" s="26">
        <v>2.2406999999999999</v>
      </c>
      <c r="I130" s="1">
        <v>45425</v>
      </c>
      <c r="J130" s="2">
        <v>0.80153935185185188</v>
      </c>
      <c r="K130">
        <v>0</v>
      </c>
      <c r="L130">
        <v>0</v>
      </c>
      <c r="M130">
        <v>0</v>
      </c>
      <c r="N130" s="27">
        <f t="shared" ref="N130" si="98">N129</f>
        <v>2.2392199999999995</v>
      </c>
      <c r="P130">
        <v>1</v>
      </c>
      <c r="Q130" t="s">
        <v>1</v>
      </c>
      <c r="R130">
        <v>13760</v>
      </c>
      <c r="S130">
        <v>160</v>
      </c>
      <c r="T130">
        <v>1</v>
      </c>
      <c r="U130">
        <v>4</v>
      </c>
      <c r="V130">
        <v>693.47</v>
      </c>
      <c r="W130" s="38">
        <v>2.5049999999999999</v>
      </c>
      <c r="X130" s="1">
        <v>45436</v>
      </c>
      <c r="Y130" s="2">
        <v>0.34879629629629627</v>
      </c>
      <c r="Z130">
        <v>0</v>
      </c>
      <c r="AA130">
        <v>0</v>
      </c>
      <c r="AB130">
        <v>0</v>
      </c>
      <c r="AC130" s="3">
        <f t="shared" ref="AC130" si="99">AC129</f>
        <v>2.5112200000000002</v>
      </c>
      <c r="AD130" s="3"/>
    </row>
    <row r="131" spans="1:30" x14ac:dyDescent="0.25">
      <c r="A131">
        <v>2</v>
      </c>
      <c r="B131" t="s">
        <v>1</v>
      </c>
      <c r="C131">
        <v>13760</v>
      </c>
      <c r="D131">
        <v>160</v>
      </c>
      <c r="E131">
        <v>1</v>
      </c>
      <c r="F131">
        <v>4</v>
      </c>
      <c r="G131">
        <v>775.41</v>
      </c>
      <c r="H131" s="26">
        <v>2.2403</v>
      </c>
      <c r="I131" s="1">
        <v>45426</v>
      </c>
      <c r="J131" s="2">
        <v>0.30686342592592591</v>
      </c>
      <c r="K131">
        <v>0</v>
      </c>
      <c r="L131">
        <v>0</v>
      </c>
      <c r="M131">
        <v>0</v>
      </c>
      <c r="N131" s="27">
        <f t="shared" si="66"/>
        <v>2.2392199999999995</v>
      </c>
      <c r="P131">
        <v>2</v>
      </c>
      <c r="Q131" t="s">
        <v>1</v>
      </c>
      <c r="R131">
        <v>13760</v>
      </c>
      <c r="S131">
        <v>160</v>
      </c>
      <c r="T131">
        <v>1</v>
      </c>
      <c r="U131">
        <v>4</v>
      </c>
      <c r="V131">
        <v>690.31</v>
      </c>
      <c r="W131" s="38">
        <v>2.5165000000000002</v>
      </c>
      <c r="X131" s="1">
        <v>45436</v>
      </c>
      <c r="Y131" s="2">
        <v>0.8657407407407407</v>
      </c>
      <c r="Z131">
        <v>0</v>
      </c>
      <c r="AA131">
        <v>0</v>
      </c>
      <c r="AB131">
        <v>0</v>
      </c>
      <c r="AC131" s="3">
        <f t="shared" si="67"/>
        <v>2.5112200000000002</v>
      </c>
      <c r="AD131" s="3"/>
    </row>
    <row r="132" spans="1:30" x14ac:dyDescent="0.25">
      <c r="A132">
        <v>3</v>
      </c>
      <c r="B132" t="s">
        <v>1</v>
      </c>
      <c r="C132">
        <v>13760</v>
      </c>
      <c r="D132">
        <v>160</v>
      </c>
      <c r="E132">
        <v>1</v>
      </c>
      <c r="F132">
        <v>4</v>
      </c>
      <c r="G132">
        <v>776.92</v>
      </c>
      <c r="H132" s="26">
        <v>2.2359</v>
      </c>
      <c r="I132" s="1">
        <v>45426</v>
      </c>
      <c r="J132" s="2">
        <v>0.81245370370370373</v>
      </c>
      <c r="K132">
        <v>0</v>
      </c>
      <c r="L132">
        <v>0</v>
      </c>
      <c r="M132">
        <v>0</v>
      </c>
      <c r="N132" s="27">
        <f t="shared" si="66"/>
        <v>2.2392199999999995</v>
      </c>
      <c r="P132">
        <v>3</v>
      </c>
      <c r="Q132" t="s">
        <v>1</v>
      </c>
      <c r="R132">
        <v>13760</v>
      </c>
      <c r="S132">
        <v>160</v>
      </c>
      <c r="T132">
        <v>1</v>
      </c>
      <c r="U132">
        <v>4</v>
      </c>
      <c r="V132">
        <v>693.87</v>
      </c>
      <c r="W132" s="38">
        <v>2.5036</v>
      </c>
      <c r="X132" s="1">
        <v>45437</v>
      </c>
      <c r="Y132" s="2">
        <v>0.38247685185185187</v>
      </c>
      <c r="Z132">
        <v>0</v>
      </c>
      <c r="AA132">
        <v>0</v>
      </c>
      <c r="AB132">
        <v>0</v>
      </c>
      <c r="AC132" s="3">
        <f t="shared" si="67"/>
        <v>2.5112200000000002</v>
      </c>
      <c r="AD132" s="3"/>
    </row>
    <row r="133" spans="1:30" x14ac:dyDescent="0.25">
      <c r="A133">
        <v>4</v>
      </c>
      <c r="B133" t="s">
        <v>1</v>
      </c>
      <c r="C133">
        <v>13760</v>
      </c>
      <c r="D133">
        <v>160</v>
      </c>
      <c r="E133">
        <v>1</v>
      </c>
      <c r="F133">
        <v>4</v>
      </c>
      <c r="G133" s="16">
        <v>775.57</v>
      </c>
      <c r="H133" s="26">
        <v>2.2397999999999998</v>
      </c>
      <c r="I133" s="1">
        <v>45427</v>
      </c>
      <c r="J133" s="2">
        <v>0.3178009259259259</v>
      </c>
      <c r="K133">
        <v>0</v>
      </c>
      <c r="L133">
        <v>0</v>
      </c>
      <c r="M133">
        <v>0</v>
      </c>
      <c r="N133" s="27">
        <f t="shared" si="66"/>
        <v>2.2392199999999995</v>
      </c>
      <c r="P133">
        <v>4</v>
      </c>
      <c r="Q133" t="s">
        <v>1</v>
      </c>
      <c r="R133">
        <v>13760</v>
      </c>
      <c r="S133">
        <v>160</v>
      </c>
      <c r="T133">
        <v>1</v>
      </c>
      <c r="U133">
        <v>4</v>
      </c>
      <c r="V133" s="16">
        <v>689.99</v>
      </c>
      <c r="W133" s="38">
        <v>2.5175999999999998</v>
      </c>
      <c r="X133" s="1">
        <v>45437</v>
      </c>
      <c r="Y133" s="2">
        <v>0.89949074074074076</v>
      </c>
      <c r="Z133">
        <v>0</v>
      </c>
      <c r="AA133">
        <v>0</v>
      </c>
      <c r="AB133">
        <v>0</v>
      </c>
      <c r="AC133" s="3">
        <f t="shared" si="67"/>
        <v>2.5112200000000002</v>
      </c>
      <c r="AD133" s="3"/>
    </row>
    <row r="134" spans="1:30" x14ac:dyDescent="0.25">
      <c r="A134">
        <v>0</v>
      </c>
      <c r="B134" t="s">
        <v>1</v>
      </c>
      <c r="C134">
        <v>14560</v>
      </c>
      <c r="D134">
        <v>160</v>
      </c>
      <c r="E134">
        <v>1</v>
      </c>
      <c r="F134">
        <v>4</v>
      </c>
      <c r="G134">
        <v>915</v>
      </c>
      <c r="H134" s="26">
        <v>2.2492999999999999</v>
      </c>
      <c r="I134" s="1">
        <v>45425</v>
      </c>
      <c r="J134" s="2">
        <v>2.8148148148148148E-2</v>
      </c>
      <c r="K134">
        <v>0</v>
      </c>
      <c r="L134">
        <v>0</v>
      </c>
      <c r="M134">
        <v>0</v>
      </c>
      <c r="N134" s="27">
        <f t="shared" ref="N134" si="100">AVERAGE(H134:H138)</f>
        <v>2.2487200000000001</v>
      </c>
      <c r="P134">
        <v>0</v>
      </c>
      <c r="Q134" t="s">
        <v>1</v>
      </c>
      <c r="R134">
        <v>14560</v>
      </c>
      <c r="S134">
        <v>160</v>
      </c>
      <c r="T134">
        <v>1</v>
      </c>
      <c r="U134">
        <v>4</v>
      </c>
      <c r="V134">
        <v>814.96</v>
      </c>
      <c r="W134" s="38">
        <v>2.5253999999999999</v>
      </c>
      <c r="X134" s="1">
        <v>45435</v>
      </c>
      <c r="Y134" s="2">
        <v>0.53699074074074071</v>
      </c>
      <c r="Z134">
        <v>0</v>
      </c>
      <c r="AA134">
        <v>0</v>
      </c>
      <c r="AB134">
        <v>0</v>
      </c>
      <c r="AC134" s="3">
        <f t="shared" ref="AC134" si="101">AVERAGE(W134:W138)</f>
        <v>2.5259799999999997</v>
      </c>
      <c r="AD134" s="3"/>
    </row>
    <row r="135" spans="1:30" x14ac:dyDescent="0.25">
      <c r="A135">
        <v>1</v>
      </c>
      <c r="B135" t="s">
        <v>1</v>
      </c>
      <c r="C135">
        <v>14560</v>
      </c>
      <c r="D135">
        <v>160</v>
      </c>
      <c r="E135">
        <v>1</v>
      </c>
      <c r="F135">
        <v>4</v>
      </c>
      <c r="G135">
        <v>915.17</v>
      </c>
      <c r="H135" s="26">
        <v>2.2488000000000001</v>
      </c>
      <c r="I135" s="1">
        <v>45425</v>
      </c>
      <c r="J135" s="2">
        <v>0.61572916666666666</v>
      </c>
      <c r="K135">
        <v>0</v>
      </c>
      <c r="L135">
        <v>0</v>
      </c>
      <c r="M135">
        <v>0</v>
      </c>
      <c r="N135" s="27">
        <f t="shared" ref="N135" si="102">N134</f>
        <v>2.2487200000000001</v>
      </c>
      <c r="P135">
        <v>1</v>
      </c>
      <c r="Q135" t="s">
        <v>1</v>
      </c>
      <c r="R135">
        <v>14560</v>
      </c>
      <c r="S135">
        <v>160</v>
      </c>
      <c r="T135">
        <v>1</v>
      </c>
      <c r="U135">
        <v>4</v>
      </c>
      <c r="V135">
        <v>815.54</v>
      </c>
      <c r="W135" s="38">
        <v>2.5236000000000001</v>
      </c>
      <c r="X135" s="1">
        <v>45436</v>
      </c>
      <c r="Y135" s="2">
        <v>0.15982638888888889</v>
      </c>
      <c r="Z135">
        <v>0</v>
      </c>
      <c r="AA135">
        <v>0</v>
      </c>
      <c r="AB135">
        <v>0</v>
      </c>
      <c r="AC135" s="3">
        <f t="shared" ref="AC135" si="103">AC134</f>
        <v>2.5259799999999997</v>
      </c>
      <c r="AD135" s="3"/>
    </row>
    <row r="136" spans="1:30" x14ac:dyDescent="0.25">
      <c r="A136">
        <v>2</v>
      </c>
      <c r="B136" t="s">
        <v>1</v>
      </c>
      <c r="C136">
        <v>14560</v>
      </c>
      <c r="D136">
        <v>160</v>
      </c>
      <c r="E136">
        <v>1</v>
      </c>
      <c r="F136">
        <v>4</v>
      </c>
      <c r="G136">
        <v>915.2</v>
      </c>
      <c r="H136" s="26">
        <v>2.2488000000000001</v>
      </c>
      <c r="I136" s="1">
        <v>45426</v>
      </c>
      <c r="J136" s="2">
        <v>0.12106481481481482</v>
      </c>
      <c r="K136">
        <v>0</v>
      </c>
      <c r="L136">
        <v>0</v>
      </c>
      <c r="M136">
        <v>0</v>
      </c>
      <c r="N136" s="27">
        <f t="shared" si="62"/>
        <v>2.2487200000000001</v>
      </c>
      <c r="P136">
        <v>2</v>
      </c>
      <c r="Q136" t="s">
        <v>1</v>
      </c>
      <c r="R136">
        <v>14560</v>
      </c>
      <c r="S136">
        <v>160</v>
      </c>
      <c r="T136">
        <v>1</v>
      </c>
      <c r="U136">
        <v>4</v>
      </c>
      <c r="V136">
        <v>814.94</v>
      </c>
      <c r="W136" s="38">
        <v>2.5253999999999999</v>
      </c>
      <c r="X136" s="1">
        <v>45436</v>
      </c>
      <c r="Y136" s="2">
        <v>0.676875</v>
      </c>
      <c r="Z136">
        <v>0</v>
      </c>
      <c r="AA136">
        <v>0</v>
      </c>
      <c r="AB136">
        <v>0</v>
      </c>
      <c r="AC136" s="3">
        <f t="shared" si="63"/>
        <v>2.5259799999999997</v>
      </c>
      <c r="AD136" s="3"/>
    </row>
    <row r="137" spans="1:30" x14ac:dyDescent="0.25">
      <c r="A137">
        <v>3</v>
      </c>
      <c r="B137" t="s">
        <v>1</v>
      </c>
      <c r="C137">
        <v>14560</v>
      </c>
      <c r="D137">
        <v>160</v>
      </c>
      <c r="E137">
        <v>1</v>
      </c>
      <c r="F137">
        <v>4</v>
      </c>
      <c r="G137">
        <v>915.51</v>
      </c>
      <c r="H137" s="26">
        <v>2.2480000000000002</v>
      </c>
      <c r="I137" s="1">
        <v>45426</v>
      </c>
      <c r="J137" s="2">
        <v>0.62651620370370376</v>
      </c>
      <c r="K137">
        <v>0</v>
      </c>
      <c r="L137">
        <v>0</v>
      </c>
      <c r="M137">
        <v>0</v>
      </c>
      <c r="N137" s="27">
        <f t="shared" si="62"/>
        <v>2.2487200000000001</v>
      </c>
      <c r="P137">
        <v>3</v>
      </c>
      <c r="Q137" t="s">
        <v>1</v>
      </c>
      <c r="R137">
        <v>14560</v>
      </c>
      <c r="S137">
        <v>160</v>
      </c>
      <c r="T137">
        <v>1</v>
      </c>
      <c r="U137">
        <v>4</v>
      </c>
      <c r="V137">
        <v>815.01</v>
      </c>
      <c r="W137" s="38">
        <v>2.5251999999999999</v>
      </c>
      <c r="X137" s="1">
        <v>45437</v>
      </c>
      <c r="Y137" s="2">
        <v>0.19350694444444444</v>
      </c>
      <c r="Z137">
        <v>0</v>
      </c>
      <c r="AA137">
        <v>0</v>
      </c>
      <c r="AB137">
        <v>0</v>
      </c>
      <c r="AC137" s="3">
        <f t="shared" si="63"/>
        <v>2.5259799999999997</v>
      </c>
      <c r="AD137" s="3"/>
    </row>
    <row r="138" spans="1:30" x14ac:dyDescent="0.25">
      <c r="A138">
        <v>4</v>
      </c>
      <c r="B138" t="s">
        <v>1</v>
      </c>
      <c r="C138">
        <v>14560</v>
      </c>
      <c r="D138">
        <v>160</v>
      </c>
      <c r="E138">
        <v>1</v>
      </c>
      <c r="F138">
        <v>4</v>
      </c>
      <c r="G138">
        <v>915.23</v>
      </c>
      <c r="H138" s="26">
        <v>2.2486999999999999</v>
      </c>
      <c r="I138" s="1">
        <v>45427</v>
      </c>
      <c r="J138" s="2">
        <v>0.13200231481481481</v>
      </c>
      <c r="K138">
        <v>0</v>
      </c>
      <c r="L138">
        <v>0</v>
      </c>
      <c r="M138">
        <v>0</v>
      </c>
      <c r="N138" s="27">
        <f t="shared" si="62"/>
        <v>2.2487200000000001</v>
      </c>
      <c r="P138">
        <v>4</v>
      </c>
      <c r="Q138" t="s">
        <v>1</v>
      </c>
      <c r="R138">
        <v>14560</v>
      </c>
      <c r="S138">
        <v>160</v>
      </c>
      <c r="T138">
        <v>1</v>
      </c>
      <c r="U138">
        <v>4</v>
      </c>
      <c r="V138">
        <v>813.37</v>
      </c>
      <c r="W138" s="38">
        <v>2.5303</v>
      </c>
      <c r="X138" s="1">
        <v>45437</v>
      </c>
      <c r="Y138" s="2">
        <v>0.71056712962962965</v>
      </c>
      <c r="Z138">
        <v>0</v>
      </c>
      <c r="AA138">
        <v>0</v>
      </c>
      <c r="AB138">
        <v>0</v>
      </c>
      <c r="AC138" s="3">
        <f t="shared" si="63"/>
        <v>2.5259799999999997</v>
      </c>
      <c r="AD138" s="3"/>
    </row>
    <row r="139" spans="1:30" x14ac:dyDescent="0.25">
      <c r="A139">
        <v>0</v>
      </c>
      <c r="B139" t="s">
        <v>1</v>
      </c>
      <c r="C139">
        <v>12960</v>
      </c>
      <c r="D139">
        <v>160</v>
      </c>
      <c r="E139">
        <v>2</v>
      </c>
      <c r="F139">
        <v>2</v>
      </c>
      <c r="G139">
        <v>634.77</v>
      </c>
      <c r="H139" s="26">
        <v>2.2866</v>
      </c>
      <c r="I139" s="1">
        <v>45425</v>
      </c>
      <c r="J139" s="2">
        <v>0.4607060185185185</v>
      </c>
      <c r="K139">
        <v>0</v>
      </c>
      <c r="L139">
        <v>0</v>
      </c>
      <c r="M139">
        <v>0</v>
      </c>
      <c r="N139" s="27">
        <f t="shared" ref="N139" si="104">AVERAGE(H139:H143)</f>
        <v>2.2864800000000001</v>
      </c>
      <c r="P139">
        <v>0</v>
      </c>
      <c r="Q139" t="s">
        <v>1</v>
      </c>
      <c r="R139">
        <v>12960</v>
      </c>
      <c r="S139">
        <v>160</v>
      </c>
      <c r="T139">
        <v>2</v>
      </c>
      <c r="U139">
        <v>2</v>
      </c>
      <c r="V139">
        <v>576.62</v>
      </c>
      <c r="W139" s="38">
        <v>2.5171999999999999</v>
      </c>
      <c r="X139" s="1">
        <v>45436</v>
      </c>
      <c r="Y139" s="2">
        <v>1.3194444444444445E-3</v>
      </c>
      <c r="Z139">
        <v>0</v>
      </c>
      <c r="AA139">
        <v>0</v>
      </c>
      <c r="AB139">
        <v>0</v>
      </c>
      <c r="AC139" s="3">
        <f t="shared" ref="AC139" si="105">AVERAGE(W139:W143)</f>
        <v>2.5103</v>
      </c>
      <c r="AD139" s="3"/>
    </row>
    <row r="140" spans="1:30" x14ac:dyDescent="0.25">
      <c r="A140">
        <v>1</v>
      </c>
      <c r="B140" t="s">
        <v>1</v>
      </c>
      <c r="C140">
        <v>12960</v>
      </c>
      <c r="D140">
        <v>160</v>
      </c>
      <c r="E140">
        <v>2</v>
      </c>
      <c r="F140">
        <v>2</v>
      </c>
      <c r="G140">
        <v>634.78</v>
      </c>
      <c r="H140" s="26">
        <v>2.2865000000000002</v>
      </c>
      <c r="I140" s="1">
        <v>45425</v>
      </c>
      <c r="J140" s="2">
        <v>0.96604166666666669</v>
      </c>
      <c r="K140">
        <v>0</v>
      </c>
      <c r="L140">
        <v>0</v>
      </c>
      <c r="M140">
        <v>0</v>
      </c>
      <c r="N140" s="27">
        <f t="shared" ref="N140" si="106">N139</f>
        <v>2.2864800000000001</v>
      </c>
      <c r="P140">
        <v>1</v>
      </c>
      <c r="Q140" t="s">
        <v>1</v>
      </c>
      <c r="R140">
        <v>12960</v>
      </c>
      <c r="S140">
        <v>160</v>
      </c>
      <c r="T140">
        <v>2</v>
      </c>
      <c r="U140">
        <v>2</v>
      </c>
      <c r="V140">
        <v>579.47</v>
      </c>
      <c r="W140" s="38">
        <v>2.5047999999999999</v>
      </c>
      <c r="X140" s="1">
        <v>45436</v>
      </c>
      <c r="Y140" s="2">
        <v>0.51799768518518519</v>
      </c>
      <c r="Z140">
        <v>0</v>
      </c>
      <c r="AA140">
        <v>0</v>
      </c>
      <c r="AB140">
        <v>0</v>
      </c>
      <c r="AC140" s="3">
        <f t="shared" ref="AC140" si="107">AC139</f>
        <v>2.5103</v>
      </c>
      <c r="AD140" s="3"/>
    </row>
    <row r="141" spans="1:30" x14ac:dyDescent="0.25">
      <c r="A141">
        <v>2</v>
      </c>
      <c r="B141" t="s">
        <v>1</v>
      </c>
      <c r="C141">
        <v>12960</v>
      </c>
      <c r="D141">
        <v>160</v>
      </c>
      <c r="E141">
        <v>2</v>
      </c>
      <c r="F141">
        <v>2</v>
      </c>
      <c r="G141">
        <v>634.91</v>
      </c>
      <c r="H141" s="26">
        <v>2.2860999999999998</v>
      </c>
      <c r="I141" s="1">
        <v>45426</v>
      </c>
      <c r="J141" s="2">
        <v>0.47138888888888891</v>
      </c>
      <c r="K141">
        <v>0</v>
      </c>
      <c r="L141">
        <v>0</v>
      </c>
      <c r="M141">
        <v>0</v>
      </c>
      <c r="N141" s="27">
        <f t="shared" si="66"/>
        <v>2.2864800000000001</v>
      </c>
      <c r="P141">
        <v>2</v>
      </c>
      <c r="Q141" t="s">
        <v>1</v>
      </c>
      <c r="R141">
        <v>12960</v>
      </c>
      <c r="S141">
        <v>160</v>
      </c>
      <c r="T141">
        <v>2</v>
      </c>
      <c r="U141">
        <v>2</v>
      </c>
      <c r="V141">
        <v>576.82000000000005</v>
      </c>
      <c r="W141" s="38">
        <v>2.5163000000000002</v>
      </c>
      <c r="X141" s="1">
        <v>45437</v>
      </c>
      <c r="Y141" s="2">
        <v>3.4675925925925923E-2</v>
      </c>
      <c r="Z141">
        <v>0</v>
      </c>
      <c r="AA141">
        <v>0</v>
      </c>
      <c r="AB141">
        <v>0</v>
      </c>
      <c r="AC141" s="3">
        <f t="shared" si="67"/>
        <v>2.5103</v>
      </c>
      <c r="AD141" s="3"/>
    </row>
    <row r="142" spans="1:30" x14ac:dyDescent="0.25">
      <c r="A142">
        <v>3</v>
      </c>
      <c r="B142" t="s">
        <v>1</v>
      </c>
      <c r="C142">
        <v>12960</v>
      </c>
      <c r="D142">
        <v>160</v>
      </c>
      <c r="E142">
        <v>2</v>
      </c>
      <c r="F142">
        <v>2</v>
      </c>
      <c r="G142">
        <v>634.74</v>
      </c>
      <c r="H142" s="26">
        <v>2.2867000000000002</v>
      </c>
      <c r="I142" s="1">
        <v>45426</v>
      </c>
      <c r="J142" s="2">
        <v>0.97696759259259258</v>
      </c>
      <c r="K142">
        <v>0</v>
      </c>
      <c r="L142">
        <v>0</v>
      </c>
      <c r="M142">
        <v>0</v>
      </c>
      <c r="N142" s="27">
        <f t="shared" si="66"/>
        <v>2.2864800000000001</v>
      </c>
      <c r="P142">
        <v>3</v>
      </c>
      <c r="Q142" t="s">
        <v>1</v>
      </c>
      <c r="R142">
        <v>12960</v>
      </c>
      <c r="S142">
        <v>160</v>
      </c>
      <c r="T142">
        <v>2</v>
      </c>
      <c r="U142">
        <v>2</v>
      </c>
      <c r="V142">
        <v>576.27</v>
      </c>
      <c r="W142" s="38">
        <v>2.5186999999999999</v>
      </c>
      <c r="X142" s="1">
        <v>45437</v>
      </c>
      <c r="Y142" s="2">
        <v>0.5516550925925926</v>
      </c>
      <c r="Z142">
        <v>0</v>
      </c>
      <c r="AA142">
        <v>0</v>
      </c>
      <c r="AB142">
        <v>0</v>
      </c>
      <c r="AC142" s="3">
        <f t="shared" si="67"/>
        <v>2.5103</v>
      </c>
      <c r="AD142" s="3"/>
    </row>
    <row r="143" spans="1:30" x14ac:dyDescent="0.25">
      <c r="A143">
        <v>4</v>
      </c>
      <c r="B143" t="s">
        <v>1</v>
      </c>
      <c r="C143">
        <v>12960</v>
      </c>
      <c r="D143">
        <v>160</v>
      </c>
      <c r="E143">
        <v>2</v>
      </c>
      <c r="F143">
        <v>2</v>
      </c>
      <c r="G143" s="16">
        <v>634.78</v>
      </c>
      <c r="H143" s="26">
        <v>2.2865000000000002</v>
      </c>
      <c r="I143" s="1">
        <v>45427</v>
      </c>
      <c r="J143" s="2">
        <v>0.48228009259259258</v>
      </c>
      <c r="K143">
        <v>0</v>
      </c>
      <c r="L143">
        <v>0</v>
      </c>
      <c r="M143">
        <v>0</v>
      </c>
      <c r="N143" s="27">
        <f t="shared" si="66"/>
        <v>2.2864800000000001</v>
      </c>
      <c r="P143">
        <v>4</v>
      </c>
      <c r="Q143" t="s">
        <v>1</v>
      </c>
      <c r="R143">
        <v>12960</v>
      </c>
      <c r="S143">
        <v>160</v>
      </c>
      <c r="T143">
        <v>2</v>
      </c>
      <c r="U143">
        <v>2</v>
      </c>
      <c r="V143" s="16">
        <v>581.86</v>
      </c>
      <c r="W143" s="26">
        <v>2.4944999999999999</v>
      </c>
      <c r="X143" s="1">
        <v>45438</v>
      </c>
      <c r="Y143" s="2">
        <v>6.895833333333333E-2</v>
      </c>
      <c r="Z143">
        <v>0</v>
      </c>
      <c r="AA143">
        <v>0</v>
      </c>
      <c r="AB143">
        <v>0</v>
      </c>
      <c r="AC143" s="3">
        <f t="shared" si="67"/>
        <v>2.5103</v>
      </c>
      <c r="AD143" s="3"/>
    </row>
    <row r="144" spans="1:30" x14ac:dyDescent="0.25">
      <c r="A144">
        <v>0</v>
      </c>
      <c r="B144" t="s">
        <v>1</v>
      </c>
      <c r="C144">
        <v>13760</v>
      </c>
      <c r="D144">
        <v>160</v>
      </c>
      <c r="E144">
        <v>2</v>
      </c>
      <c r="F144">
        <v>2</v>
      </c>
      <c r="G144">
        <v>751.78</v>
      </c>
      <c r="H144" s="26">
        <v>2.3107000000000002</v>
      </c>
      <c r="I144" s="1">
        <v>45425</v>
      </c>
      <c r="J144" s="2">
        <v>0.22292824074074075</v>
      </c>
      <c r="K144">
        <v>0</v>
      </c>
      <c r="L144">
        <v>0</v>
      </c>
      <c r="M144">
        <v>0</v>
      </c>
      <c r="N144" s="27">
        <f t="shared" ref="N144" si="108">AVERAGE(H144:H148)</f>
        <v>2.3097400000000001</v>
      </c>
      <c r="P144">
        <v>0</v>
      </c>
      <c r="Q144" t="s">
        <v>1</v>
      </c>
      <c r="R144">
        <v>13760</v>
      </c>
      <c r="S144">
        <v>160</v>
      </c>
      <c r="T144">
        <v>2</v>
      </c>
      <c r="U144">
        <v>2</v>
      </c>
      <c r="V144">
        <v>687.82</v>
      </c>
      <c r="W144" s="38">
        <v>2.5255999999999998</v>
      </c>
      <c r="X144" s="1">
        <v>45435</v>
      </c>
      <c r="Y144" s="2">
        <v>0.84190972222222227</v>
      </c>
      <c r="Z144">
        <v>0</v>
      </c>
      <c r="AA144">
        <v>0</v>
      </c>
      <c r="AB144">
        <v>0</v>
      </c>
      <c r="AC144" s="3">
        <f t="shared" ref="AC144" si="109">AVERAGE(W144:W148)</f>
        <v>2.5215800000000002</v>
      </c>
      <c r="AD144" s="3"/>
    </row>
    <row r="145" spans="1:30" x14ac:dyDescent="0.25">
      <c r="A145">
        <v>1</v>
      </c>
      <c r="B145" t="s">
        <v>1</v>
      </c>
      <c r="C145">
        <v>13760</v>
      </c>
      <c r="D145">
        <v>160</v>
      </c>
      <c r="E145">
        <v>2</v>
      </c>
      <c r="F145">
        <v>2</v>
      </c>
      <c r="G145">
        <v>752.13</v>
      </c>
      <c r="H145" s="26">
        <v>2.3096000000000001</v>
      </c>
      <c r="I145" s="1">
        <v>45425</v>
      </c>
      <c r="J145" s="2">
        <v>0.81054398148148143</v>
      </c>
      <c r="K145">
        <v>0</v>
      </c>
      <c r="L145">
        <v>0</v>
      </c>
      <c r="M145">
        <v>0</v>
      </c>
      <c r="N145" s="27">
        <f t="shared" ref="N145" si="110">N144</f>
        <v>2.3097400000000001</v>
      </c>
      <c r="P145">
        <v>1</v>
      </c>
      <c r="Q145" t="s">
        <v>1</v>
      </c>
      <c r="R145">
        <v>13760</v>
      </c>
      <c r="S145">
        <v>160</v>
      </c>
      <c r="T145">
        <v>2</v>
      </c>
      <c r="U145">
        <v>2</v>
      </c>
      <c r="V145">
        <v>686.46</v>
      </c>
      <c r="W145" s="38">
        <v>2.5306000000000002</v>
      </c>
      <c r="X145" s="1">
        <v>45436</v>
      </c>
      <c r="Y145" s="2">
        <v>0.35817129629629629</v>
      </c>
      <c r="Z145">
        <v>0</v>
      </c>
      <c r="AA145">
        <v>0</v>
      </c>
      <c r="AB145">
        <v>0</v>
      </c>
      <c r="AC145" s="3">
        <f t="shared" ref="AC145" si="111">AC144</f>
        <v>2.5215800000000002</v>
      </c>
      <c r="AD145" s="3"/>
    </row>
    <row r="146" spans="1:30" x14ac:dyDescent="0.25">
      <c r="A146">
        <v>2</v>
      </c>
      <c r="B146" t="s">
        <v>1</v>
      </c>
      <c r="C146">
        <v>13760</v>
      </c>
      <c r="D146">
        <v>160</v>
      </c>
      <c r="E146">
        <v>2</v>
      </c>
      <c r="F146">
        <v>2</v>
      </c>
      <c r="G146">
        <v>751.73</v>
      </c>
      <c r="H146" s="26">
        <v>2.3109000000000002</v>
      </c>
      <c r="I146" s="1">
        <v>45426</v>
      </c>
      <c r="J146" s="2">
        <v>0.31585648148148149</v>
      </c>
      <c r="K146">
        <v>0</v>
      </c>
      <c r="L146">
        <v>0</v>
      </c>
      <c r="M146">
        <v>0</v>
      </c>
      <c r="N146" s="27">
        <f t="shared" si="62"/>
        <v>2.3097400000000001</v>
      </c>
      <c r="P146">
        <v>2</v>
      </c>
      <c r="Q146" t="s">
        <v>1</v>
      </c>
      <c r="R146">
        <v>13760</v>
      </c>
      <c r="S146">
        <v>160</v>
      </c>
      <c r="T146">
        <v>2</v>
      </c>
      <c r="U146">
        <v>2</v>
      </c>
      <c r="V146">
        <v>691.31</v>
      </c>
      <c r="W146" s="38">
        <v>2.5127999999999999</v>
      </c>
      <c r="X146" s="1">
        <v>45436</v>
      </c>
      <c r="Y146" s="2">
        <v>0.87517361111111114</v>
      </c>
      <c r="Z146">
        <v>0</v>
      </c>
      <c r="AA146">
        <v>0</v>
      </c>
      <c r="AB146">
        <v>0</v>
      </c>
      <c r="AC146" s="3">
        <f t="shared" si="63"/>
        <v>2.5215800000000002</v>
      </c>
      <c r="AD146" s="3"/>
    </row>
    <row r="147" spans="1:30" x14ac:dyDescent="0.25">
      <c r="A147">
        <v>3</v>
      </c>
      <c r="B147" t="s">
        <v>1</v>
      </c>
      <c r="C147">
        <v>13760</v>
      </c>
      <c r="D147">
        <v>160</v>
      </c>
      <c r="E147">
        <v>2</v>
      </c>
      <c r="F147">
        <v>2</v>
      </c>
      <c r="G147">
        <v>752.99</v>
      </c>
      <c r="H147" s="26">
        <v>2.3069999999999999</v>
      </c>
      <c r="I147" s="1">
        <v>45426</v>
      </c>
      <c r="J147" s="2">
        <v>0.82145833333333329</v>
      </c>
      <c r="K147">
        <v>0</v>
      </c>
      <c r="L147">
        <v>0</v>
      </c>
      <c r="M147">
        <v>0</v>
      </c>
      <c r="N147" s="27">
        <f t="shared" si="62"/>
        <v>2.3097400000000001</v>
      </c>
      <c r="P147">
        <v>3</v>
      </c>
      <c r="Q147" t="s">
        <v>1</v>
      </c>
      <c r="R147">
        <v>13760</v>
      </c>
      <c r="S147">
        <v>160</v>
      </c>
      <c r="T147">
        <v>2</v>
      </c>
      <c r="U147">
        <v>2</v>
      </c>
      <c r="V147">
        <v>689.57</v>
      </c>
      <c r="W147" s="38">
        <v>2.5192000000000001</v>
      </c>
      <c r="X147" s="1">
        <v>45437</v>
      </c>
      <c r="Y147" s="2">
        <v>0.39189814814814816</v>
      </c>
      <c r="Z147">
        <v>0</v>
      </c>
      <c r="AA147">
        <v>0</v>
      </c>
      <c r="AB147">
        <v>0</v>
      </c>
      <c r="AC147" s="3">
        <f t="shared" si="63"/>
        <v>2.5215800000000002</v>
      </c>
      <c r="AD147" s="3"/>
    </row>
    <row r="148" spans="1:30" x14ac:dyDescent="0.25">
      <c r="A148">
        <v>4</v>
      </c>
      <c r="B148" t="s">
        <v>1</v>
      </c>
      <c r="C148">
        <v>13760</v>
      </c>
      <c r="D148">
        <v>160</v>
      </c>
      <c r="E148">
        <v>2</v>
      </c>
      <c r="F148">
        <v>2</v>
      </c>
      <c r="G148" s="16">
        <v>751.86</v>
      </c>
      <c r="H148" s="26">
        <v>2.3105000000000002</v>
      </c>
      <c r="I148" s="1">
        <v>45427</v>
      </c>
      <c r="J148" s="2">
        <v>0.32679398148148148</v>
      </c>
      <c r="K148">
        <v>0</v>
      </c>
      <c r="L148">
        <v>0</v>
      </c>
      <c r="M148">
        <v>0</v>
      </c>
      <c r="N148" s="27">
        <f t="shared" si="62"/>
        <v>2.3097400000000001</v>
      </c>
      <c r="P148">
        <v>4</v>
      </c>
      <c r="Q148" t="s">
        <v>1</v>
      </c>
      <c r="R148">
        <v>13760</v>
      </c>
      <c r="S148">
        <v>160</v>
      </c>
      <c r="T148">
        <v>2</v>
      </c>
      <c r="U148">
        <v>2</v>
      </c>
      <c r="V148" s="16">
        <v>689.41</v>
      </c>
      <c r="W148" s="26">
        <v>2.5196999999999998</v>
      </c>
      <c r="X148" s="1">
        <v>45437</v>
      </c>
      <c r="Y148" s="2">
        <v>0.90891203703703705</v>
      </c>
      <c r="Z148">
        <v>0</v>
      </c>
      <c r="AA148">
        <v>0</v>
      </c>
      <c r="AB148">
        <v>0</v>
      </c>
      <c r="AC148" s="3">
        <f t="shared" si="63"/>
        <v>2.5215800000000002</v>
      </c>
      <c r="AD148" s="3"/>
    </row>
    <row r="149" spans="1:30" x14ac:dyDescent="0.25">
      <c r="A149">
        <v>0</v>
      </c>
      <c r="B149" t="s">
        <v>1</v>
      </c>
      <c r="C149">
        <v>14560</v>
      </c>
      <c r="D149">
        <v>160</v>
      </c>
      <c r="E149">
        <v>2</v>
      </c>
      <c r="F149">
        <v>2</v>
      </c>
      <c r="G149">
        <v>887.13</v>
      </c>
      <c r="H149" s="26">
        <v>2.3199000000000001</v>
      </c>
      <c r="I149" s="1">
        <v>45425</v>
      </c>
      <c r="J149" s="2">
        <v>3.8761574074074073E-2</v>
      </c>
      <c r="K149">
        <v>0</v>
      </c>
      <c r="L149">
        <v>0</v>
      </c>
      <c r="M149">
        <v>0</v>
      </c>
      <c r="N149" s="27">
        <f t="shared" ref="N149" si="112">AVERAGE(H149:H153)</f>
        <v>2.31968</v>
      </c>
      <c r="P149">
        <v>0</v>
      </c>
      <c r="Q149" t="s">
        <v>1</v>
      </c>
      <c r="R149">
        <v>14560</v>
      </c>
      <c r="S149">
        <v>160</v>
      </c>
      <c r="T149">
        <v>2</v>
      </c>
      <c r="U149">
        <v>2</v>
      </c>
      <c r="V149">
        <v>812.48</v>
      </c>
      <c r="W149" s="38">
        <v>2.5331000000000001</v>
      </c>
      <c r="X149" s="1">
        <v>45435</v>
      </c>
      <c r="Y149" s="2">
        <v>0.54803240740740744</v>
      </c>
      <c r="Z149">
        <v>0</v>
      </c>
      <c r="AA149">
        <v>0</v>
      </c>
      <c r="AB149">
        <v>0</v>
      </c>
      <c r="AC149" s="3">
        <f t="shared" ref="AC149" si="113">AVERAGE(W149:W153)</f>
        <v>2.5352199999999998</v>
      </c>
      <c r="AD149" s="3"/>
    </row>
    <row r="150" spans="1:30" x14ac:dyDescent="0.25">
      <c r="A150">
        <v>1</v>
      </c>
      <c r="B150" t="s">
        <v>1</v>
      </c>
      <c r="C150">
        <v>14560</v>
      </c>
      <c r="D150">
        <v>160</v>
      </c>
      <c r="E150">
        <v>2</v>
      </c>
      <c r="F150">
        <v>2</v>
      </c>
      <c r="G150">
        <v>886.99</v>
      </c>
      <c r="H150" s="26">
        <v>2.3203</v>
      </c>
      <c r="I150" s="1">
        <v>45425</v>
      </c>
      <c r="J150" s="2">
        <v>0.62633101851851847</v>
      </c>
      <c r="K150">
        <v>0</v>
      </c>
      <c r="L150">
        <v>0</v>
      </c>
      <c r="M150">
        <v>0</v>
      </c>
      <c r="N150" s="27">
        <f t="shared" ref="N150" si="114">N149</f>
        <v>2.31968</v>
      </c>
      <c r="P150">
        <v>1</v>
      </c>
      <c r="Q150" t="s">
        <v>1</v>
      </c>
      <c r="R150">
        <v>14560</v>
      </c>
      <c r="S150">
        <v>160</v>
      </c>
      <c r="T150">
        <v>2</v>
      </c>
      <c r="U150">
        <v>2</v>
      </c>
      <c r="V150">
        <v>811.23</v>
      </c>
      <c r="W150" s="38">
        <v>2.5369999999999999</v>
      </c>
      <c r="X150" s="1">
        <v>45436</v>
      </c>
      <c r="Y150" s="2">
        <v>0.1708449074074074</v>
      </c>
      <c r="Z150">
        <v>0</v>
      </c>
      <c r="AA150">
        <v>0</v>
      </c>
      <c r="AB150">
        <v>0</v>
      </c>
      <c r="AC150" s="3">
        <f t="shared" ref="AC150" si="115">AC149</f>
        <v>2.5352199999999998</v>
      </c>
      <c r="AD150" s="3"/>
    </row>
    <row r="151" spans="1:30" x14ac:dyDescent="0.25">
      <c r="A151">
        <v>2</v>
      </c>
      <c r="B151" t="s">
        <v>1</v>
      </c>
      <c r="C151">
        <v>14560</v>
      </c>
      <c r="D151">
        <v>160</v>
      </c>
      <c r="E151">
        <v>2</v>
      </c>
      <c r="F151">
        <v>2</v>
      </c>
      <c r="G151">
        <v>887.21</v>
      </c>
      <c r="H151" s="26">
        <v>2.3197000000000001</v>
      </c>
      <c r="I151" s="1">
        <v>45426</v>
      </c>
      <c r="J151" s="2">
        <v>0.13167824074074075</v>
      </c>
      <c r="K151">
        <v>0</v>
      </c>
      <c r="L151">
        <v>0</v>
      </c>
      <c r="M151">
        <v>0</v>
      </c>
      <c r="N151" s="27">
        <f t="shared" si="66"/>
        <v>2.31968</v>
      </c>
      <c r="P151">
        <v>2</v>
      </c>
      <c r="Q151" t="s">
        <v>1</v>
      </c>
      <c r="R151">
        <v>14560</v>
      </c>
      <c r="S151">
        <v>160</v>
      </c>
      <c r="T151">
        <v>2</v>
      </c>
      <c r="U151">
        <v>2</v>
      </c>
      <c r="V151">
        <v>814.28</v>
      </c>
      <c r="W151" s="38">
        <v>2.5274999999999999</v>
      </c>
      <c r="X151" s="1">
        <v>45436</v>
      </c>
      <c r="Y151" s="2">
        <v>0.68793981481481481</v>
      </c>
      <c r="Z151">
        <v>0</v>
      </c>
      <c r="AA151">
        <v>0</v>
      </c>
      <c r="AB151">
        <v>0</v>
      </c>
      <c r="AC151" s="3">
        <f t="shared" si="67"/>
        <v>2.5352199999999998</v>
      </c>
      <c r="AD151" s="3"/>
    </row>
    <row r="152" spans="1:30" x14ac:dyDescent="0.25">
      <c r="A152">
        <v>3</v>
      </c>
      <c r="B152" t="s">
        <v>1</v>
      </c>
      <c r="C152">
        <v>14560</v>
      </c>
      <c r="D152">
        <v>160</v>
      </c>
      <c r="E152">
        <v>2</v>
      </c>
      <c r="F152">
        <v>2</v>
      </c>
      <c r="G152">
        <v>887.52</v>
      </c>
      <c r="H152" s="26">
        <v>2.3189000000000002</v>
      </c>
      <c r="I152" s="1">
        <v>45426</v>
      </c>
      <c r="J152" s="2">
        <v>0.6371296296296296</v>
      </c>
      <c r="K152">
        <v>0</v>
      </c>
      <c r="L152">
        <v>0</v>
      </c>
      <c r="M152">
        <v>0</v>
      </c>
      <c r="N152" s="27">
        <f t="shared" si="66"/>
        <v>2.31968</v>
      </c>
      <c r="P152">
        <v>3</v>
      </c>
      <c r="Q152" t="s">
        <v>1</v>
      </c>
      <c r="R152">
        <v>14560</v>
      </c>
      <c r="S152">
        <v>160</v>
      </c>
      <c r="T152">
        <v>2</v>
      </c>
      <c r="U152">
        <v>2</v>
      </c>
      <c r="V152">
        <v>810.94</v>
      </c>
      <c r="W152" s="38">
        <v>2.5379</v>
      </c>
      <c r="X152" s="1">
        <v>45437</v>
      </c>
      <c r="Y152" s="2">
        <v>0.20452546296296295</v>
      </c>
      <c r="Z152">
        <v>0</v>
      </c>
      <c r="AA152">
        <v>0</v>
      </c>
      <c r="AB152">
        <v>0</v>
      </c>
      <c r="AC152" s="3">
        <f t="shared" si="67"/>
        <v>2.5352199999999998</v>
      </c>
      <c r="AD152" s="3"/>
    </row>
    <row r="153" spans="1:30" x14ac:dyDescent="0.25">
      <c r="A153">
        <v>4</v>
      </c>
      <c r="B153" t="s">
        <v>1</v>
      </c>
      <c r="C153">
        <v>14560</v>
      </c>
      <c r="D153">
        <v>160</v>
      </c>
      <c r="E153">
        <v>2</v>
      </c>
      <c r="F153">
        <v>2</v>
      </c>
      <c r="G153">
        <v>887.25</v>
      </c>
      <c r="H153" s="26">
        <v>2.3195999999999999</v>
      </c>
      <c r="I153" s="1">
        <v>45427</v>
      </c>
      <c r="J153" s="2">
        <v>0.14260416666666667</v>
      </c>
      <c r="K153">
        <v>0</v>
      </c>
      <c r="L153">
        <v>0</v>
      </c>
      <c r="M153">
        <v>0</v>
      </c>
      <c r="N153" s="27">
        <f t="shared" si="66"/>
        <v>2.31968</v>
      </c>
      <c r="P153">
        <v>4</v>
      </c>
      <c r="Q153" t="s">
        <v>1</v>
      </c>
      <c r="R153">
        <v>14560</v>
      </c>
      <c r="S153">
        <v>160</v>
      </c>
      <c r="T153">
        <v>2</v>
      </c>
      <c r="U153">
        <v>2</v>
      </c>
      <c r="V153">
        <v>810.08</v>
      </c>
      <c r="W153" s="38">
        <v>2.5406</v>
      </c>
      <c r="X153" s="1">
        <v>45437</v>
      </c>
      <c r="Y153" s="2">
        <v>0.72158564814814818</v>
      </c>
      <c r="Z153">
        <v>0</v>
      </c>
      <c r="AA153">
        <v>0</v>
      </c>
      <c r="AB153">
        <v>0</v>
      </c>
      <c r="AC153" s="3">
        <f t="shared" si="67"/>
        <v>2.5352199999999998</v>
      </c>
      <c r="AD153" s="3"/>
    </row>
    <row r="154" spans="1:30" x14ac:dyDescent="0.25">
      <c r="A154">
        <v>0</v>
      </c>
      <c r="B154" t="s">
        <v>1</v>
      </c>
      <c r="C154">
        <v>13056</v>
      </c>
      <c r="D154">
        <v>192</v>
      </c>
      <c r="E154">
        <v>1</v>
      </c>
      <c r="F154">
        <v>4</v>
      </c>
      <c r="G154">
        <v>671.93</v>
      </c>
      <c r="H154" s="26">
        <v>2.2084999999999999</v>
      </c>
      <c r="I154" s="1">
        <v>45425</v>
      </c>
      <c r="J154" s="2">
        <v>0.46875</v>
      </c>
      <c r="K154">
        <v>0</v>
      </c>
      <c r="L154">
        <v>0</v>
      </c>
      <c r="M154">
        <v>0</v>
      </c>
      <c r="N154" s="27">
        <f t="shared" ref="N154" si="116">AVERAGE(H154:H158)</f>
        <v>2.2077999999999998</v>
      </c>
      <c r="P154">
        <v>0</v>
      </c>
      <c r="Q154" t="s">
        <v>1</v>
      </c>
      <c r="R154">
        <v>13056</v>
      </c>
      <c r="S154">
        <v>192</v>
      </c>
      <c r="T154">
        <v>1</v>
      </c>
      <c r="U154">
        <v>4</v>
      </c>
      <c r="V154">
        <v>599.29</v>
      </c>
      <c r="W154" s="38">
        <v>2.4762</v>
      </c>
      <c r="X154" s="1">
        <v>45436</v>
      </c>
      <c r="Y154" s="2">
        <v>9.5486111111111119E-3</v>
      </c>
      <c r="Z154">
        <v>0</v>
      </c>
      <c r="AA154">
        <v>0</v>
      </c>
      <c r="AB154">
        <v>0</v>
      </c>
      <c r="AC154" s="3">
        <f t="shared" ref="AC154" si="117">AVERAGE(W154:W158)</f>
        <v>2.46062</v>
      </c>
      <c r="AD154" s="3"/>
    </row>
    <row r="155" spans="1:30" x14ac:dyDescent="0.25">
      <c r="A155">
        <v>1</v>
      </c>
      <c r="B155" t="s">
        <v>1</v>
      </c>
      <c r="C155">
        <v>13056</v>
      </c>
      <c r="D155">
        <v>192</v>
      </c>
      <c r="E155">
        <v>1</v>
      </c>
      <c r="F155">
        <v>4</v>
      </c>
      <c r="G155">
        <v>672.16</v>
      </c>
      <c r="H155" s="26">
        <v>2.2077</v>
      </c>
      <c r="I155" s="1">
        <v>45425</v>
      </c>
      <c r="J155" s="2">
        <v>0.97408564814814813</v>
      </c>
      <c r="K155">
        <v>0</v>
      </c>
      <c r="L155">
        <v>0</v>
      </c>
      <c r="M155">
        <v>0</v>
      </c>
      <c r="N155" s="27">
        <f t="shared" ref="N155:N218" si="118">N154</f>
        <v>2.2077999999999998</v>
      </c>
      <c r="P155">
        <v>1</v>
      </c>
      <c r="Q155" t="s">
        <v>1</v>
      </c>
      <c r="R155">
        <v>13056</v>
      </c>
      <c r="S155">
        <v>192</v>
      </c>
      <c r="T155">
        <v>1</v>
      </c>
      <c r="U155">
        <v>4</v>
      </c>
      <c r="V155">
        <v>600.84</v>
      </c>
      <c r="W155" s="38">
        <v>2.4698000000000002</v>
      </c>
      <c r="X155" s="1">
        <v>45436</v>
      </c>
      <c r="Y155" s="2">
        <v>0.52625</v>
      </c>
      <c r="Z155">
        <v>0</v>
      </c>
      <c r="AA155">
        <v>0</v>
      </c>
      <c r="AB155">
        <v>0</v>
      </c>
      <c r="AC155" s="3">
        <f t="shared" ref="AC155:AC218" si="119">AC154</f>
        <v>2.46062</v>
      </c>
      <c r="AD155" s="3"/>
    </row>
    <row r="156" spans="1:30" x14ac:dyDescent="0.25">
      <c r="A156">
        <v>2</v>
      </c>
      <c r="B156" t="s">
        <v>1</v>
      </c>
      <c r="C156">
        <v>13056</v>
      </c>
      <c r="D156">
        <v>192</v>
      </c>
      <c r="E156">
        <v>1</v>
      </c>
      <c r="F156">
        <v>4</v>
      </c>
      <c r="G156">
        <v>672.6</v>
      </c>
      <c r="H156" s="26">
        <v>2.2063000000000001</v>
      </c>
      <c r="I156" s="1">
        <v>45426</v>
      </c>
      <c r="J156" s="2">
        <v>0.47944444444444445</v>
      </c>
      <c r="K156">
        <v>0</v>
      </c>
      <c r="L156">
        <v>0</v>
      </c>
      <c r="M156">
        <v>0</v>
      </c>
      <c r="N156" s="27">
        <f t="shared" si="118"/>
        <v>2.2077999999999998</v>
      </c>
      <c r="P156">
        <v>2</v>
      </c>
      <c r="Q156" t="s">
        <v>1</v>
      </c>
      <c r="R156">
        <v>13056</v>
      </c>
      <c r="S156">
        <v>192</v>
      </c>
      <c r="T156">
        <v>1</v>
      </c>
      <c r="U156">
        <v>4</v>
      </c>
      <c r="V156">
        <v>612.41999999999996</v>
      </c>
      <c r="W156" s="38">
        <v>2.423</v>
      </c>
      <c r="X156" s="1">
        <v>45437</v>
      </c>
      <c r="Y156" s="2">
        <v>4.3067129629629629E-2</v>
      </c>
      <c r="Z156">
        <v>0</v>
      </c>
      <c r="AA156">
        <v>0</v>
      </c>
      <c r="AB156">
        <v>0</v>
      </c>
      <c r="AC156" s="3">
        <f t="shared" si="119"/>
        <v>2.46062</v>
      </c>
      <c r="AD156" s="3"/>
    </row>
    <row r="157" spans="1:30" x14ac:dyDescent="0.25">
      <c r="A157">
        <v>3</v>
      </c>
      <c r="B157" t="s">
        <v>1</v>
      </c>
      <c r="C157">
        <v>13056</v>
      </c>
      <c r="D157">
        <v>192</v>
      </c>
      <c r="E157">
        <v>1</v>
      </c>
      <c r="F157">
        <v>4</v>
      </c>
      <c r="G157">
        <v>671.77</v>
      </c>
      <c r="H157" s="26">
        <v>2.2090000000000001</v>
      </c>
      <c r="I157" s="1">
        <v>45426</v>
      </c>
      <c r="J157" s="2">
        <v>0.98501157407407403</v>
      </c>
      <c r="K157">
        <v>0</v>
      </c>
      <c r="L157">
        <v>0</v>
      </c>
      <c r="M157">
        <v>0</v>
      </c>
      <c r="N157" s="27">
        <f t="shared" si="118"/>
        <v>2.2077999999999998</v>
      </c>
      <c r="P157">
        <v>3</v>
      </c>
      <c r="Q157" t="s">
        <v>1</v>
      </c>
      <c r="R157">
        <v>13056</v>
      </c>
      <c r="S157">
        <v>192</v>
      </c>
      <c r="T157">
        <v>1</v>
      </c>
      <c r="U157">
        <v>4</v>
      </c>
      <c r="V157">
        <v>598.13</v>
      </c>
      <c r="W157" s="38">
        <v>2.4809999999999999</v>
      </c>
      <c r="X157" s="1">
        <v>45437</v>
      </c>
      <c r="Y157" s="2">
        <v>0.55987268518518518</v>
      </c>
      <c r="Z157">
        <v>0</v>
      </c>
      <c r="AA157">
        <v>0</v>
      </c>
      <c r="AB157">
        <v>0</v>
      </c>
      <c r="AC157" s="3">
        <f t="shared" si="119"/>
        <v>2.46062</v>
      </c>
      <c r="AD157" s="3"/>
    </row>
    <row r="158" spans="1:30" x14ac:dyDescent="0.25">
      <c r="A158">
        <v>4</v>
      </c>
      <c r="B158" t="s">
        <v>1</v>
      </c>
      <c r="C158">
        <v>13056</v>
      </c>
      <c r="D158">
        <v>192</v>
      </c>
      <c r="E158">
        <v>1</v>
      </c>
      <c r="F158">
        <v>4</v>
      </c>
      <c r="G158" s="16">
        <v>672.22</v>
      </c>
      <c r="H158" s="26">
        <v>2.2075</v>
      </c>
      <c r="I158" s="1">
        <v>45427</v>
      </c>
      <c r="J158" s="2">
        <v>0.49032407407407408</v>
      </c>
      <c r="K158">
        <v>0</v>
      </c>
      <c r="L158">
        <v>0</v>
      </c>
      <c r="M158">
        <v>0</v>
      </c>
      <c r="N158" s="27">
        <f t="shared" si="118"/>
        <v>2.2077999999999998</v>
      </c>
      <c r="P158">
        <v>4</v>
      </c>
      <c r="Q158" t="s">
        <v>1</v>
      </c>
      <c r="R158">
        <v>13056</v>
      </c>
      <c r="S158">
        <v>192</v>
      </c>
      <c r="T158">
        <v>1</v>
      </c>
      <c r="U158">
        <v>4</v>
      </c>
      <c r="V158" s="16">
        <v>604.91999999999996</v>
      </c>
      <c r="W158" s="26">
        <v>2.4531000000000001</v>
      </c>
      <c r="X158" s="1">
        <v>45438</v>
      </c>
      <c r="Y158" s="2">
        <v>7.7256944444444448E-2</v>
      </c>
      <c r="Z158">
        <v>0</v>
      </c>
      <c r="AA158">
        <v>0</v>
      </c>
      <c r="AB158">
        <v>0</v>
      </c>
      <c r="AC158" s="3">
        <f t="shared" si="119"/>
        <v>2.46062</v>
      </c>
      <c r="AD158" s="3"/>
    </row>
    <row r="159" spans="1:30" x14ac:dyDescent="0.25">
      <c r="A159">
        <v>0</v>
      </c>
      <c r="B159" t="s">
        <v>1</v>
      </c>
      <c r="C159">
        <v>13824</v>
      </c>
      <c r="D159">
        <v>192</v>
      </c>
      <c r="E159">
        <v>1</v>
      </c>
      <c r="F159">
        <v>4</v>
      </c>
      <c r="G159">
        <v>801.93</v>
      </c>
      <c r="H159" s="26">
        <v>2.1966000000000001</v>
      </c>
      <c r="I159" s="1">
        <v>45425</v>
      </c>
      <c r="J159" s="2">
        <v>0.23251157407407408</v>
      </c>
      <c r="K159">
        <v>0</v>
      </c>
      <c r="L159">
        <v>0</v>
      </c>
      <c r="M159">
        <v>0</v>
      </c>
      <c r="N159" s="27">
        <f t="shared" ref="N159" si="120">AVERAGE(H159:H163)</f>
        <v>2.1958199999999999</v>
      </c>
      <c r="P159">
        <v>0</v>
      </c>
      <c r="Q159" t="s">
        <v>1</v>
      </c>
      <c r="R159">
        <v>13824</v>
      </c>
      <c r="S159">
        <v>192</v>
      </c>
      <c r="T159">
        <v>1</v>
      </c>
      <c r="U159">
        <v>4</v>
      </c>
      <c r="V159">
        <v>708.81</v>
      </c>
      <c r="W159" s="38">
        <v>2.4851000000000001</v>
      </c>
      <c r="X159" s="1">
        <v>45435</v>
      </c>
      <c r="Y159" s="2">
        <v>0.8515625</v>
      </c>
      <c r="Z159">
        <v>0</v>
      </c>
      <c r="AA159">
        <v>0</v>
      </c>
      <c r="AB159">
        <v>0</v>
      </c>
      <c r="AC159" s="3">
        <f t="shared" ref="AC159" si="121">AVERAGE(W159:W163)</f>
        <v>2.4815400000000003</v>
      </c>
      <c r="AD159" s="3"/>
    </row>
    <row r="160" spans="1:30" x14ac:dyDescent="0.25">
      <c r="A160">
        <v>1</v>
      </c>
      <c r="B160" t="s">
        <v>1</v>
      </c>
      <c r="C160">
        <v>13824</v>
      </c>
      <c r="D160">
        <v>192</v>
      </c>
      <c r="E160">
        <v>1</v>
      </c>
      <c r="F160">
        <v>4</v>
      </c>
      <c r="G160">
        <v>802.2</v>
      </c>
      <c r="H160" s="26">
        <v>2.1958000000000002</v>
      </c>
      <c r="I160" s="1">
        <v>45425</v>
      </c>
      <c r="J160" s="2">
        <v>0.82012731481481482</v>
      </c>
      <c r="K160">
        <v>0</v>
      </c>
      <c r="L160">
        <v>0</v>
      </c>
      <c r="M160">
        <v>0</v>
      </c>
      <c r="N160" s="27">
        <f t="shared" ref="N160:N223" si="122">N159</f>
        <v>2.1958199999999999</v>
      </c>
      <c r="P160">
        <v>1</v>
      </c>
      <c r="Q160" t="s">
        <v>1</v>
      </c>
      <c r="R160">
        <v>13824</v>
      </c>
      <c r="S160">
        <v>192</v>
      </c>
      <c r="T160">
        <v>1</v>
      </c>
      <c r="U160">
        <v>4</v>
      </c>
      <c r="V160">
        <v>709.1</v>
      </c>
      <c r="W160" s="38">
        <v>2.4841000000000002</v>
      </c>
      <c r="X160" s="1">
        <v>45436</v>
      </c>
      <c r="Y160" s="2">
        <v>0.36783564814814818</v>
      </c>
      <c r="Z160">
        <v>0</v>
      </c>
      <c r="AA160">
        <v>0</v>
      </c>
      <c r="AB160">
        <v>0</v>
      </c>
      <c r="AC160" s="3">
        <f t="shared" ref="AC160:AC223" si="123">AC159</f>
        <v>2.4815400000000003</v>
      </c>
      <c r="AD160" s="3"/>
    </row>
    <row r="161" spans="1:30" x14ac:dyDescent="0.25">
      <c r="A161">
        <v>2</v>
      </c>
      <c r="B161" t="s">
        <v>1</v>
      </c>
      <c r="C161">
        <v>13824</v>
      </c>
      <c r="D161">
        <v>192</v>
      </c>
      <c r="E161">
        <v>1</v>
      </c>
      <c r="F161">
        <v>4</v>
      </c>
      <c r="G161">
        <v>802.16</v>
      </c>
      <c r="H161" s="26">
        <v>2.1959</v>
      </c>
      <c r="I161" s="1">
        <v>45426</v>
      </c>
      <c r="J161" s="2">
        <v>0.32545138888888892</v>
      </c>
      <c r="K161">
        <v>0</v>
      </c>
      <c r="L161">
        <v>0</v>
      </c>
      <c r="M161">
        <v>0</v>
      </c>
      <c r="N161" s="27">
        <f t="shared" si="122"/>
        <v>2.1958199999999999</v>
      </c>
      <c r="P161">
        <v>2</v>
      </c>
      <c r="Q161" t="s">
        <v>1</v>
      </c>
      <c r="R161">
        <v>13824</v>
      </c>
      <c r="S161">
        <v>192</v>
      </c>
      <c r="T161">
        <v>1</v>
      </c>
      <c r="U161">
        <v>4</v>
      </c>
      <c r="V161">
        <v>709.18</v>
      </c>
      <c r="W161" s="38">
        <v>2.4838</v>
      </c>
      <c r="X161" s="1">
        <v>45436</v>
      </c>
      <c r="Y161" s="2">
        <v>0.88483796296296291</v>
      </c>
      <c r="Z161">
        <v>0</v>
      </c>
      <c r="AA161">
        <v>0</v>
      </c>
      <c r="AB161">
        <v>0</v>
      </c>
      <c r="AC161" s="3">
        <f t="shared" si="123"/>
        <v>2.4815400000000003</v>
      </c>
      <c r="AD161" s="3"/>
    </row>
    <row r="162" spans="1:30" x14ac:dyDescent="0.25">
      <c r="A162">
        <v>3</v>
      </c>
      <c r="B162" t="s">
        <v>1</v>
      </c>
      <c r="C162">
        <v>13824</v>
      </c>
      <c r="D162">
        <v>192</v>
      </c>
      <c r="E162">
        <v>1</v>
      </c>
      <c r="F162">
        <v>4</v>
      </c>
      <c r="G162">
        <v>802.87</v>
      </c>
      <c r="H162" s="26">
        <v>2.194</v>
      </c>
      <c r="I162" s="1">
        <v>45426</v>
      </c>
      <c r="J162" s="2">
        <v>0.83105324074074072</v>
      </c>
      <c r="K162">
        <v>0</v>
      </c>
      <c r="L162">
        <v>0</v>
      </c>
      <c r="M162">
        <v>0</v>
      </c>
      <c r="N162" s="27">
        <f t="shared" si="122"/>
        <v>2.1958199999999999</v>
      </c>
      <c r="P162">
        <v>3</v>
      </c>
      <c r="Q162" t="s">
        <v>1</v>
      </c>
      <c r="R162">
        <v>13824</v>
      </c>
      <c r="S162">
        <v>192</v>
      </c>
      <c r="T162">
        <v>1</v>
      </c>
      <c r="U162">
        <v>4</v>
      </c>
      <c r="V162">
        <v>713.56</v>
      </c>
      <c r="W162" s="38">
        <v>2.4685999999999999</v>
      </c>
      <c r="X162" s="1">
        <v>45437</v>
      </c>
      <c r="Y162" s="2">
        <v>0.40160879629629631</v>
      </c>
      <c r="Z162">
        <v>0</v>
      </c>
      <c r="AA162">
        <v>0</v>
      </c>
      <c r="AB162">
        <v>0</v>
      </c>
      <c r="AC162" s="3">
        <f t="shared" si="123"/>
        <v>2.4815400000000003</v>
      </c>
      <c r="AD162" s="3"/>
    </row>
    <row r="163" spans="1:30" x14ac:dyDescent="0.25">
      <c r="A163">
        <v>4</v>
      </c>
      <c r="B163" t="s">
        <v>1</v>
      </c>
      <c r="C163">
        <v>13824</v>
      </c>
      <c r="D163">
        <v>192</v>
      </c>
      <c r="E163">
        <v>1</v>
      </c>
      <c r="F163">
        <v>4</v>
      </c>
      <c r="G163" s="16">
        <v>801.86</v>
      </c>
      <c r="H163" s="26">
        <v>2.1968000000000001</v>
      </c>
      <c r="I163" s="1">
        <v>45427</v>
      </c>
      <c r="J163" s="2">
        <v>0.33637731481481481</v>
      </c>
      <c r="K163">
        <v>0</v>
      </c>
      <c r="L163">
        <v>0</v>
      </c>
      <c r="M163">
        <v>0</v>
      </c>
      <c r="N163" s="27">
        <f t="shared" si="122"/>
        <v>2.1958199999999999</v>
      </c>
      <c r="P163">
        <v>4</v>
      </c>
      <c r="Q163" t="s">
        <v>1</v>
      </c>
      <c r="R163">
        <v>13824</v>
      </c>
      <c r="S163">
        <v>192</v>
      </c>
      <c r="T163">
        <v>1</v>
      </c>
      <c r="U163">
        <v>4</v>
      </c>
      <c r="V163" s="16">
        <v>708.54</v>
      </c>
      <c r="W163" s="26">
        <v>2.4861</v>
      </c>
      <c r="X163" s="1">
        <v>45437</v>
      </c>
      <c r="Y163" s="2">
        <v>0.91856481481481478</v>
      </c>
      <c r="Z163">
        <v>0</v>
      </c>
      <c r="AA163">
        <v>0</v>
      </c>
      <c r="AB163">
        <v>0</v>
      </c>
      <c r="AC163" s="3">
        <f t="shared" si="123"/>
        <v>2.4815400000000003</v>
      </c>
      <c r="AD163" s="3"/>
    </row>
    <row r="164" spans="1:30" x14ac:dyDescent="0.25">
      <c r="A164">
        <v>0</v>
      </c>
      <c r="B164" t="s">
        <v>1</v>
      </c>
      <c r="C164">
        <v>14592</v>
      </c>
      <c r="D164">
        <v>192</v>
      </c>
      <c r="E164">
        <v>1</v>
      </c>
      <c r="F164">
        <v>4</v>
      </c>
      <c r="G164">
        <v>926.87</v>
      </c>
      <c r="H164" s="26">
        <v>2.2351000000000001</v>
      </c>
      <c r="I164" s="1">
        <v>45425</v>
      </c>
      <c r="J164" s="2">
        <v>4.9814814814814812E-2</v>
      </c>
      <c r="K164">
        <v>0</v>
      </c>
      <c r="L164">
        <v>0</v>
      </c>
      <c r="M164">
        <v>0</v>
      </c>
      <c r="N164" s="27">
        <f t="shared" ref="N164" si="124">AVERAGE(H164:H168)</f>
        <v>2.2344599999999999</v>
      </c>
      <c r="P164">
        <v>0</v>
      </c>
      <c r="Q164" t="s">
        <v>1</v>
      </c>
      <c r="R164">
        <v>14592</v>
      </c>
      <c r="S164">
        <v>192</v>
      </c>
      <c r="T164">
        <v>1</v>
      </c>
      <c r="U164">
        <v>4</v>
      </c>
      <c r="V164">
        <v>825.87</v>
      </c>
      <c r="W164" s="38">
        <v>2.5085000000000002</v>
      </c>
      <c r="X164" s="1">
        <v>45435</v>
      </c>
      <c r="Y164" s="2">
        <v>0.55920138888888893</v>
      </c>
      <c r="Z164">
        <v>0</v>
      </c>
      <c r="AA164">
        <v>0</v>
      </c>
      <c r="AB164">
        <v>0</v>
      </c>
      <c r="AC164" s="3">
        <f t="shared" ref="AC164" si="125">AVERAGE(W164:W168)</f>
        <v>2.5027400000000002</v>
      </c>
      <c r="AD164" s="3"/>
    </row>
    <row r="165" spans="1:30" x14ac:dyDescent="0.25">
      <c r="A165">
        <v>1</v>
      </c>
      <c r="B165" t="s">
        <v>1</v>
      </c>
      <c r="C165">
        <v>14592</v>
      </c>
      <c r="D165">
        <v>192</v>
      </c>
      <c r="E165">
        <v>1</v>
      </c>
      <c r="F165">
        <v>4</v>
      </c>
      <c r="G165">
        <v>927.29</v>
      </c>
      <c r="H165" s="26">
        <v>2.2341000000000002</v>
      </c>
      <c r="I165" s="1">
        <v>45425</v>
      </c>
      <c r="J165" s="2">
        <v>0.63739583333333338</v>
      </c>
      <c r="K165">
        <v>0</v>
      </c>
      <c r="L165">
        <v>0</v>
      </c>
      <c r="M165">
        <v>0</v>
      </c>
      <c r="N165" s="27">
        <f t="shared" ref="N165" si="126">N164</f>
        <v>2.2344599999999999</v>
      </c>
      <c r="P165">
        <v>1</v>
      </c>
      <c r="Q165" t="s">
        <v>1</v>
      </c>
      <c r="R165">
        <v>14592</v>
      </c>
      <c r="S165">
        <v>192</v>
      </c>
      <c r="T165">
        <v>1</v>
      </c>
      <c r="U165">
        <v>4</v>
      </c>
      <c r="V165">
        <v>826.7</v>
      </c>
      <c r="W165" s="38">
        <v>2.5059</v>
      </c>
      <c r="X165" s="1">
        <v>45436</v>
      </c>
      <c r="Y165" s="2">
        <v>0.18203703703703702</v>
      </c>
      <c r="Z165">
        <v>0</v>
      </c>
      <c r="AA165">
        <v>0</v>
      </c>
      <c r="AB165">
        <v>0</v>
      </c>
      <c r="AC165" s="3">
        <f t="shared" ref="AC165" si="127">AC164</f>
        <v>2.5027400000000002</v>
      </c>
      <c r="AD165" s="3"/>
    </row>
    <row r="166" spans="1:30" x14ac:dyDescent="0.25">
      <c r="A166">
        <v>2</v>
      </c>
      <c r="B166" t="s">
        <v>1</v>
      </c>
      <c r="C166">
        <v>14592</v>
      </c>
      <c r="D166">
        <v>192</v>
      </c>
      <c r="E166">
        <v>1</v>
      </c>
      <c r="F166">
        <v>4</v>
      </c>
      <c r="G166">
        <v>927.36</v>
      </c>
      <c r="H166" s="26">
        <v>2.2339000000000002</v>
      </c>
      <c r="I166" s="1">
        <v>45426</v>
      </c>
      <c r="J166" s="2">
        <v>0.14274305555555555</v>
      </c>
      <c r="K166">
        <v>0</v>
      </c>
      <c r="L166">
        <v>0</v>
      </c>
      <c r="M166">
        <v>0</v>
      </c>
      <c r="N166" s="27">
        <f t="shared" si="118"/>
        <v>2.2344599999999999</v>
      </c>
      <c r="P166">
        <v>2</v>
      </c>
      <c r="Q166" t="s">
        <v>1</v>
      </c>
      <c r="R166">
        <v>14592</v>
      </c>
      <c r="S166">
        <v>192</v>
      </c>
      <c r="T166">
        <v>1</v>
      </c>
      <c r="U166">
        <v>4</v>
      </c>
      <c r="V166">
        <v>829.99</v>
      </c>
      <c r="W166" s="38">
        <v>2.496</v>
      </c>
      <c r="X166" s="1">
        <v>45436</v>
      </c>
      <c r="Y166" s="2">
        <v>0.69916666666666671</v>
      </c>
      <c r="Z166">
        <v>0</v>
      </c>
      <c r="AA166">
        <v>0</v>
      </c>
      <c r="AB166">
        <v>0</v>
      </c>
      <c r="AC166" s="3">
        <f t="shared" si="119"/>
        <v>2.5027400000000002</v>
      </c>
      <c r="AD166" s="3"/>
    </row>
    <row r="167" spans="1:30" x14ac:dyDescent="0.25">
      <c r="A167">
        <v>3</v>
      </c>
      <c r="B167" t="s">
        <v>1</v>
      </c>
      <c r="C167">
        <v>14592</v>
      </c>
      <c r="D167">
        <v>192</v>
      </c>
      <c r="E167">
        <v>1</v>
      </c>
      <c r="F167">
        <v>4</v>
      </c>
      <c r="G167">
        <v>926.99</v>
      </c>
      <c r="H167" s="26">
        <v>2.2347999999999999</v>
      </c>
      <c r="I167" s="1">
        <v>45426</v>
      </c>
      <c r="J167" s="2">
        <v>0.64819444444444441</v>
      </c>
      <c r="K167">
        <v>0</v>
      </c>
      <c r="L167">
        <v>0</v>
      </c>
      <c r="M167">
        <v>0</v>
      </c>
      <c r="N167" s="27">
        <f t="shared" si="118"/>
        <v>2.2344599999999999</v>
      </c>
      <c r="P167">
        <v>3</v>
      </c>
      <c r="Q167" t="s">
        <v>1</v>
      </c>
      <c r="R167">
        <v>14592</v>
      </c>
      <c r="S167">
        <v>192</v>
      </c>
      <c r="T167">
        <v>1</v>
      </c>
      <c r="U167">
        <v>4</v>
      </c>
      <c r="V167">
        <v>829.81</v>
      </c>
      <c r="W167" s="38">
        <v>2.4965999999999999</v>
      </c>
      <c r="X167" s="1">
        <v>45437</v>
      </c>
      <c r="Y167" s="2">
        <v>0.21575231481481483</v>
      </c>
      <c r="Z167">
        <v>0</v>
      </c>
      <c r="AA167">
        <v>0</v>
      </c>
      <c r="AB167">
        <v>0</v>
      </c>
      <c r="AC167" s="3">
        <f t="shared" si="119"/>
        <v>2.5027400000000002</v>
      </c>
      <c r="AD167" s="3"/>
    </row>
    <row r="168" spans="1:30" x14ac:dyDescent="0.25">
      <c r="A168">
        <v>4</v>
      </c>
      <c r="B168" t="s">
        <v>1</v>
      </c>
      <c r="C168">
        <v>14592</v>
      </c>
      <c r="D168">
        <v>192</v>
      </c>
      <c r="E168">
        <v>1</v>
      </c>
      <c r="F168">
        <v>4</v>
      </c>
      <c r="G168">
        <v>927.16</v>
      </c>
      <c r="H168" s="26">
        <v>2.2343999999999999</v>
      </c>
      <c r="I168" s="1">
        <v>45427</v>
      </c>
      <c r="J168" s="2">
        <v>0.15366898148148148</v>
      </c>
      <c r="K168">
        <v>0</v>
      </c>
      <c r="L168">
        <v>0</v>
      </c>
      <c r="M168">
        <v>0</v>
      </c>
      <c r="N168" s="27">
        <f t="shared" si="118"/>
        <v>2.2344599999999999</v>
      </c>
      <c r="P168">
        <v>4</v>
      </c>
      <c r="Q168" t="s">
        <v>1</v>
      </c>
      <c r="R168">
        <v>14592</v>
      </c>
      <c r="S168">
        <v>192</v>
      </c>
      <c r="T168">
        <v>1</v>
      </c>
      <c r="U168">
        <v>4</v>
      </c>
      <c r="V168">
        <v>826.47</v>
      </c>
      <c r="W168" s="38">
        <v>2.5066999999999999</v>
      </c>
      <c r="X168" s="1">
        <v>45437</v>
      </c>
      <c r="Y168" s="2">
        <v>0.73276620370370371</v>
      </c>
      <c r="Z168">
        <v>0</v>
      </c>
      <c r="AA168">
        <v>0</v>
      </c>
      <c r="AB168">
        <v>0</v>
      </c>
      <c r="AC168" s="3">
        <f t="shared" si="119"/>
        <v>2.5027400000000002</v>
      </c>
      <c r="AD168" s="3"/>
    </row>
    <row r="169" spans="1:30" x14ac:dyDescent="0.25">
      <c r="A169">
        <v>0</v>
      </c>
      <c r="B169" t="s">
        <v>1</v>
      </c>
      <c r="C169">
        <v>13056</v>
      </c>
      <c r="D169">
        <v>192</v>
      </c>
      <c r="E169">
        <v>2</v>
      </c>
      <c r="F169">
        <v>2</v>
      </c>
      <c r="G169">
        <v>654.61</v>
      </c>
      <c r="H169" s="26">
        <v>2.2669000000000001</v>
      </c>
      <c r="I169" s="1">
        <v>45425</v>
      </c>
      <c r="J169" s="2">
        <v>0.47659722222222223</v>
      </c>
      <c r="K169">
        <v>0</v>
      </c>
      <c r="L169">
        <v>0</v>
      </c>
      <c r="M169">
        <v>0</v>
      </c>
      <c r="N169" s="27">
        <f t="shared" ref="N169" si="128">AVERAGE(H169:H173)</f>
        <v>2.2669399999999995</v>
      </c>
      <c r="P169">
        <v>0</v>
      </c>
      <c r="Q169" t="s">
        <v>1</v>
      </c>
      <c r="R169">
        <v>13056</v>
      </c>
      <c r="S169">
        <v>192</v>
      </c>
      <c r="T169">
        <v>2</v>
      </c>
      <c r="U169">
        <v>2</v>
      </c>
      <c r="V169">
        <v>593.73</v>
      </c>
      <c r="W169" s="38">
        <v>2.4992999999999999</v>
      </c>
      <c r="X169" s="1">
        <v>45436</v>
      </c>
      <c r="Y169" s="2">
        <v>1.7708333333333333E-2</v>
      </c>
      <c r="Z169">
        <v>0</v>
      </c>
      <c r="AA169">
        <v>0</v>
      </c>
      <c r="AB169">
        <v>0</v>
      </c>
      <c r="AC169" s="3">
        <f t="shared" ref="AC169" si="129">AVERAGE(W169:W173)</f>
        <v>2.4896400000000001</v>
      </c>
      <c r="AD169" s="3"/>
    </row>
    <row r="170" spans="1:30" x14ac:dyDescent="0.25">
      <c r="A170">
        <v>1</v>
      </c>
      <c r="B170" t="s">
        <v>1</v>
      </c>
      <c r="C170">
        <v>13056</v>
      </c>
      <c r="D170">
        <v>192</v>
      </c>
      <c r="E170">
        <v>2</v>
      </c>
      <c r="F170">
        <v>2</v>
      </c>
      <c r="G170">
        <v>654.63</v>
      </c>
      <c r="H170" s="26">
        <v>2.2667999999999999</v>
      </c>
      <c r="I170" s="1">
        <v>45425</v>
      </c>
      <c r="J170" s="2">
        <v>0.98193287037037036</v>
      </c>
      <c r="K170">
        <v>0</v>
      </c>
      <c r="L170">
        <v>0</v>
      </c>
      <c r="M170">
        <v>0</v>
      </c>
      <c r="N170" s="27">
        <f t="shared" ref="N170" si="130">N169</f>
        <v>2.2669399999999995</v>
      </c>
      <c r="P170">
        <v>1</v>
      </c>
      <c r="Q170" t="s">
        <v>1</v>
      </c>
      <c r="R170">
        <v>13056</v>
      </c>
      <c r="S170">
        <v>192</v>
      </c>
      <c r="T170">
        <v>2</v>
      </c>
      <c r="U170">
        <v>2</v>
      </c>
      <c r="V170">
        <v>595.1</v>
      </c>
      <c r="W170" s="38">
        <v>2.4935999999999998</v>
      </c>
      <c r="X170" s="1">
        <v>45436</v>
      </c>
      <c r="Y170" s="2">
        <v>0.53442129629629631</v>
      </c>
      <c r="Z170">
        <v>0</v>
      </c>
      <c r="AA170">
        <v>0</v>
      </c>
      <c r="AB170">
        <v>0</v>
      </c>
      <c r="AC170" s="3">
        <f t="shared" ref="AC170" si="131">AC169</f>
        <v>2.4896400000000001</v>
      </c>
      <c r="AD170" s="3"/>
    </row>
    <row r="171" spans="1:30" x14ac:dyDescent="0.25">
      <c r="A171">
        <v>2</v>
      </c>
      <c r="B171" t="s">
        <v>1</v>
      </c>
      <c r="C171">
        <v>13056</v>
      </c>
      <c r="D171">
        <v>192</v>
      </c>
      <c r="E171">
        <v>2</v>
      </c>
      <c r="F171">
        <v>2</v>
      </c>
      <c r="G171">
        <v>654.62</v>
      </c>
      <c r="H171" s="26">
        <v>2.2669000000000001</v>
      </c>
      <c r="I171" s="1">
        <v>45426</v>
      </c>
      <c r="J171" s="2">
        <v>0.48729166666666668</v>
      </c>
      <c r="K171">
        <v>0</v>
      </c>
      <c r="L171">
        <v>0</v>
      </c>
      <c r="M171">
        <v>0</v>
      </c>
      <c r="N171" s="27">
        <f t="shared" si="122"/>
        <v>2.2669399999999995</v>
      </c>
      <c r="P171">
        <v>2</v>
      </c>
      <c r="Q171" t="s">
        <v>1</v>
      </c>
      <c r="R171">
        <v>13056</v>
      </c>
      <c r="S171">
        <v>192</v>
      </c>
      <c r="T171">
        <v>2</v>
      </c>
      <c r="U171">
        <v>2</v>
      </c>
      <c r="V171">
        <v>600.47</v>
      </c>
      <c r="W171" s="38">
        <v>2.4712999999999998</v>
      </c>
      <c r="X171" s="1">
        <v>45437</v>
      </c>
      <c r="Y171" s="2">
        <v>5.1307870370370372E-2</v>
      </c>
      <c r="Z171">
        <v>0</v>
      </c>
      <c r="AA171">
        <v>0</v>
      </c>
      <c r="AB171">
        <v>0</v>
      </c>
      <c r="AC171" s="3">
        <f t="shared" si="123"/>
        <v>2.4896400000000001</v>
      </c>
      <c r="AD171" s="3"/>
    </row>
    <row r="172" spans="1:30" x14ac:dyDescent="0.25">
      <c r="A172">
        <v>3</v>
      </c>
      <c r="B172" t="s">
        <v>1</v>
      </c>
      <c r="C172">
        <v>13056</v>
      </c>
      <c r="D172">
        <v>192</v>
      </c>
      <c r="E172">
        <v>2</v>
      </c>
      <c r="F172">
        <v>2</v>
      </c>
      <c r="G172">
        <v>654.58000000000004</v>
      </c>
      <c r="H172" s="26">
        <v>2.2669999999999999</v>
      </c>
      <c r="I172" s="1">
        <v>45426</v>
      </c>
      <c r="J172" s="2">
        <v>0.99285879629629625</v>
      </c>
      <c r="K172">
        <v>0</v>
      </c>
      <c r="L172">
        <v>0</v>
      </c>
      <c r="M172">
        <v>0</v>
      </c>
      <c r="N172" s="27">
        <f t="shared" si="122"/>
        <v>2.2669399999999995</v>
      </c>
      <c r="P172">
        <v>3</v>
      </c>
      <c r="Q172" t="s">
        <v>1</v>
      </c>
      <c r="R172">
        <v>13056</v>
      </c>
      <c r="S172">
        <v>192</v>
      </c>
      <c r="T172">
        <v>2</v>
      </c>
      <c r="U172">
        <v>2</v>
      </c>
      <c r="V172">
        <v>597.15</v>
      </c>
      <c r="W172" s="38">
        <v>2.4849999999999999</v>
      </c>
      <c r="X172" s="1">
        <v>45437</v>
      </c>
      <c r="Y172" s="2">
        <v>0.56807870370370372</v>
      </c>
      <c r="Z172">
        <v>0</v>
      </c>
      <c r="AA172">
        <v>0</v>
      </c>
      <c r="AB172">
        <v>0</v>
      </c>
      <c r="AC172" s="3">
        <f t="shared" si="123"/>
        <v>2.4896400000000001</v>
      </c>
      <c r="AD172" s="3"/>
    </row>
    <row r="173" spans="1:30" x14ac:dyDescent="0.25">
      <c r="A173">
        <v>4</v>
      </c>
      <c r="B173" t="s">
        <v>1</v>
      </c>
      <c r="C173">
        <v>13056</v>
      </c>
      <c r="D173">
        <v>192</v>
      </c>
      <c r="E173">
        <v>2</v>
      </c>
      <c r="F173">
        <v>2</v>
      </c>
      <c r="G173" s="16">
        <v>654.54999999999995</v>
      </c>
      <c r="H173" s="26">
        <v>2.2671000000000001</v>
      </c>
      <c r="I173" s="1">
        <v>45427</v>
      </c>
      <c r="J173" s="2">
        <v>0.49817129629629631</v>
      </c>
      <c r="K173">
        <v>0</v>
      </c>
      <c r="L173">
        <v>0</v>
      </c>
      <c r="M173">
        <v>0</v>
      </c>
      <c r="N173" s="27">
        <f t="shared" si="122"/>
        <v>2.2669399999999995</v>
      </c>
      <c r="P173">
        <v>4</v>
      </c>
      <c r="Q173" t="s">
        <v>1</v>
      </c>
      <c r="R173">
        <v>13056</v>
      </c>
      <c r="S173">
        <v>192</v>
      </c>
      <c r="T173">
        <v>2</v>
      </c>
      <c r="U173">
        <v>2</v>
      </c>
      <c r="V173" s="16">
        <v>593.82000000000005</v>
      </c>
      <c r="W173" s="26">
        <v>2.4990000000000001</v>
      </c>
      <c r="X173" s="1">
        <v>45438</v>
      </c>
      <c r="Y173" s="2">
        <v>8.5416666666666669E-2</v>
      </c>
      <c r="Z173">
        <v>0</v>
      </c>
      <c r="AA173">
        <v>0</v>
      </c>
      <c r="AB173">
        <v>0</v>
      </c>
      <c r="AC173" s="3">
        <f t="shared" si="123"/>
        <v>2.4896400000000001</v>
      </c>
      <c r="AD173" s="3"/>
    </row>
    <row r="174" spans="1:30" x14ac:dyDescent="0.25">
      <c r="A174">
        <v>0</v>
      </c>
      <c r="B174" t="s">
        <v>1</v>
      </c>
      <c r="C174">
        <v>13824</v>
      </c>
      <c r="D174">
        <v>192</v>
      </c>
      <c r="E174">
        <v>2</v>
      </c>
      <c r="F174">
        <v>2</v>
      </c>
      <c r="G174">
        <v>779.82</v>
      </c>
      <c r="H174" s="26">
        <v>2.2589000000000001</v>
      </c>
      <c r="I174" s="1">
        <v>45425</v>
      </c>
      <c r="J174" s="2">
        <v>0.24182870370370371</v>
      </c>
      <c r="K174">
        <v>0</v>
      </c>
      <c r="L174">
        <v>0</v>
      </c>
      <c r="M174">
        <v>0</v>
      </c>
      <c r="N174" s="27">
        <f t="shared" ref="N174" si="132">AVERAGE(H174:H178)</f>
        <v>2.2582599999999999</v>
      </c>
      <c r="P174">
        <v>0</v>
      </c>
      <c r="Q174" t="s">
        <v>1</v>
      </c>
      <c r="R174">
        <v>13824</v>
      </c>
      <c r="S174">
        <v>192</v>
      </c>
      <c r="T174">
        <v>2</v>
      </c>
      <c r="U174">
        <v>2</v>
      </c>
      <c r="V174">
        <v>701.32</v>
      </c>
      <c r="W174" s="38">
        <v>2.5116999999999998</v>
      </c>
      <c r="X174" s="1">
        <v>45435</v>
      </c>
      <c r="Y174" s="2">
        <v>0.86113425925925924</v>
      </c>
      <c r="Z174">
        <v>0</v>
      </c>
      <c r="AA174">
        <v>0</v>
      </c>
      <c r="AB174">
        <v>0</v>
      </c>
      <c r="AC174" s="3">
        <f t="shared" ref="AC174" si="133">AVERAGE(W174:W178)</f>
        <v>2.5072400000000004</v>
      </c>
      <c r="AD174" s="3"/>
    </row>
    <row r="175" spans="1:30" x14ac:dyDescent="0.25">
      <c r="A175">
        <v>1</v>
      </c>
      <c r="B175" t="s">
        <v>1</v>
      </c>
      <c r="C175">
        <v>13824</v>
      </c>
      <c r="D175">
        <v>192</v>
      </c>
      <c r="E175">
        <v>2</v>
      </c>
      <c r="F175">
        <v>2</v>
      </c>
      <c r="G175">
        <v>779.93</v>
      </c>
      <c r="H175" s="26">
        <v>2.2585000000000002</v>
      </c>
      <c r="I175" s="1">
        <v>45425</v>
      </c>
      <c r="J175" s="2">
        <v>0.82944444444444443</v>
      </c>
      <c r="K175">
        <v>0</v>
      </c>
      <c r="L175">
        <v>0</v>
      </c>
      <c r="M175">
        <v>0</v>
      </c>
      <c r="N175" s="27">
        <f t="shared" ref="N175" si="134">N174</f>
        <v>2.2582599999999999</v>
      </c>
      <c r="P175">
        <v>1</v>
      </c>
      <c r="Q175" t="s">
        <v>1</v>
      </c>
      <c r="R175">
        <v>13824</v>
      </c>
      <c r="S175">
        <v>192</v>
      </c>
      <c r="T175">
        <v>2</v>
      </c>
      <c r="U175">
        <v>2</v>
      </c>
      <c r="V175">
        <v>701.81</v>
      </c>
      <c r="W175" s="38">
        <v>2.5099</v>
      </c>
      <c r="X175" s="1">
        <v>45436</v>
      </c>
      <c r="Y175" s="2">
        <v>0.37740740740740741</v>
      </c>
      <c r="Z175">
        <v>0</v>
      </c>
      <c r="AA175">
        <v>0</v>
      </c>
      <c r="AB175">
        <v>0</v>
      </c>
      <c r="AC175" s="3">
        <f t="shared" ref="AC175" si="135">AC174</f>
        <v>2.5072400000000004</v>
      </c>
      <c r="AD175" s="3"/>
    </row>
    <row r="176" spans="1:30" x14ac:dyDescent="0.25">
      <c r="A176">
        <v>2</v>
      </c>
      <c r="B176" t="s">
        <v>1</v>
      </c>
      <c r="C176">
        <v>13824</v>
      </c>
      <c r="D176">
        <v>192</v>
      </c>
      <c r="E176">
        <v>2</v>
      </c>
      <c r="F176">
        <v>2</v>
      </c>
      <c r="G176">
        <v>780.22</v>
      </c>
      <c r="H176" s="26">
        <v>2.2576999999999998</v>
      </c>
      <c r="I176" s="1">
        <v>45426</v>
      </c>
      <c r="J176" s="2">
        <v>0.33478009259259262</v>
      </c>
      <c r="K176">
        <v>0</v>
      </c>
      <c r="L176">
        <v>0</v>
      </c>
      <c r="M176">
        <v>0</v>
      </c>
      <c r="N176" s="27">
        <f t="shared" si="118"/>
        <v>2.2582599999999999</v>
      </c>
      <c r="P176">
        <v>2</v>
      </c>
      <c r="Q176" t="s">
        <v>1</v>
      </c>
      <c r="R176">
        <v>13824</v>
      </c>
      <c r="S176">
        <v>192</v>
      </c>
      <c r="T176">
        <v>2</v>
      </c>
      <c r="U176">
        <v>2</v>
      </c>
      <c r="V176">
        <v>703.53</v>
      </c>
      <c r="W176" s="38">
        <v>2.5038</v>
      </c>
      <c r="X176" s="1">
        <v>45436</v>
      </c>
      <c r="Y176" s="2">
        <v>0.8944212962962963</v>
      </c>
      <c r="Z176">
        <v>0</v>
      </c>
      <c r="AA176">
        <v>0</v>
      </c>
      <c r="AB176">
        <v>0</v>
      </c>
      <c r="AC176" s="3">
        <f t="shared" si="119"/>
        <v>2.5072400000000004</v>
      </c>
      <c r="AD176" s="3"/>
    </row>
    <row r="177" spans="1:30" x14ac:dyDescent="0.25">
      <c r="A177">
        <v>3</v>
      </c>
      <c r="B177" t="s">
        <v>1</v>
      </c>
      <c r="C177">
        <v>13824</v>
      </c>
      <c r="D177">
        <v>192</v>
      </c>
      <c r="E177">
        <v>2</v>
      </c>
      <c r="F177">
        <v>2</v>
      </c>
      <c r="G177">
        <v>780.03</v>
      </c>
      <c r="H177" s="26">
        <v>2.2582</v>
      </c>
      <c r="I177" s="1">
        <v>45426</v>
      </c>
      <c r="J177" s="2">
        <v>0.84038194444444447</v>
      </c>
      <c r="K177">
        <v>0</v>
      </c>
      <c r="L177">
        <v>0</v>
      </c>
      <c r="M177">
        <v>0</v>
      </c>
      <c r="N177" s="27">
        <f t="shared" si="118"/>
        <v>2.2582599999999999</v>
      </c>
      <c r="P177">
        <v>3</v>
      </c>
      <c r="Q177" t="s">
        <v>1</v>
      </c>
      <c r="R177">
        <v>13824</v>
      </c>
      <c r="S177">
        <v>192</v>
      </c>
      <c r="T177">
        <v>2</v>
      </c>
      <c r="U177">
        <v>2</v>
      </c>
      <c r="V177">
        <v>702.95</v>
      </c>
      <c r="W177" s="38">
        <v>2.5059</v>
      </c>
      <c r="X177" s="1">
        <v>45437</v>
      </c>
      <c r="Y177" s="2">
        <v>0.41119212962962964</v>
      </c>
      <c r="Z177">
        <v>0</v>
      </c>
      <c r="AA177">
        <v>0</v>
      </c>
      <c r="AB177">
        <v>0</v>
      </c>
      <c r="AC177" s="3">
        <f t="shared" si="119"/>
        <v>2.5072400000000004</v>
      </c>
      <c r="AD177" s="3"/>
    </row>
    <row r="178" spans="1:30" x14ac:dyDescent="0.25">
      <c r="A178">
        <v>4</v>
      </c>
      <c r="B178" t="s">
        <v>1</v>
      </c>
      <c r="C178">
        <v>13824</v>
      </c>
      <c r="D178">
        <v>192</v>
      </c>
      <c r="E178">
        <v>2</v>
      </c>
      <c r="F178">
        <v>2</v>
      </c>
      <c r="G178" s="16">
        <v>780.1</v>
      </c>
      <c r="H178" s="26">
        <v>2.258</v>
      </c>
      <c r="I178" s="1">
        <v>45427</v>
      </c>
      <c r="J178" s="2">
        <v>0.34570601851851851</v>
      </c>
      <c r="K178">
        <v>0</v>
      </c>
      <c r="L178">
        <v>0</v>
      </c>
      <c r="M178">
        <v>0</v>
      </c>
      <c r="N178" s="27">
        <f t="shared" si="118"/>
        <v>2.2582599999999999</v>
      </c>
      <c r="P178">
        <v>4</v>
      </c>
      <c r="Q178" t="s">
        <v>1</v>
      </c>
      <c r="R178">
        <v>13824</v>
      </c>
      <c r="S178">
        <v>192</v>
      </c>
      <c r="T178">
        <v>2</v>
      </c>
      <c r="U178">
        <v>2</v>
      </c>
      <c r="V178" s="16">
        <v>703.23</v>
      </c>
      <c r="W178" s="26">
        <v>2.5049000000000001</v>
      </c>
      <c r="X178" s="1">
        <v>45437</v>
      </c>
      <c r="Y178" s="2">
        <v>0.92814814814814817</v>
      </c>
      <c r="Z178">
        <v>0</v>
      </c>
      <c r="AA178">
        <v>0</v>
      </c>
      <c r="AB178">
        <v>0</v>
      </c>
      <c r="AC178" s="3">
        <f t="shared" si="119"/>
        <v>2.5072400000000004</v>
      </c>
      <c r="AD178" s="3"/>
    </row>
    <row r="179" spans="1:30" x14ac:dyDescent="0.25">
      <c r="A179">
        <v>0</v>
      </c>
      <c r="B179" t="s">
        <v>1</v>
      </c>
      <c r="C179">
        <v>14592</v>
      </c>
      <c r="D179">
        <v>192</v>
      </c>
      <c r="E179">
        <v>2</v>
      </c>
      <c r="F179">
        <v>2</v>
      </c>
      <c r="G179">
        <v>905.92</v>
      </c>
      <c r="H179" s="26">
        <v>2.2867999999999999</v>
      </c>
      <c r="I179" s="1">
        <v>45425</v>
      </c>
      <c r="J179" s="2">
        <v>6.0636574074074072E-2</v>
      </c>
      <c r="K179">
        <v>0</v>
      </c>
      <c r="L179">
        <v>0</v>
      </c>
      <c r="M179">
        <v>0</v>
      </c>
      <c r="N179" s="27">
        <f t="shared" ref="N179" si="136">AVERAGE(H179:H183)</f>
        <v>2.2866</v>
      </c>
      <c r="P179">
        <v>0</v>
      </c>
      <c r="Q179" t="s">
        <v>1</v>
      </c>
      <c r="R179">
        <v>14592</v>
      </c>
      <c r="S179">
        <v>192</v>
      </c>
      <c r="T179">
        <v>2</v>
      </c>
      <c r="U179">
        <v>2</v>
      </c>
      <c r="V179">
        <v>822.77</v>
      </c>
      <c r="W179" s="38">
        <v>2.5179</v>
      </c>
      <c r="X179" s="1">
        <v>45435</v>
      </c>
      <c r="Y179" s="2">
        <v>0.57034722222222223</v>
      </c>
      <c r="Z179">
        <v>0</v>
      </c>
      <c r="AA179">
        <v>0</v>
      </c>
      <c r="AB179">
        <v>0</v>
      </c>
      <c r="AC179" s="3">
        <f t="shared" ref="AC179" si="137">AVERAGE(W179:W183)</f>
        <v>2.5202200000000001</v>
      </c>
      <c r="AD179" s="3"/>
    </row>
    <row r="180" spans="1:30" x14ac:dyDescent="0.25">
      <c r="A180">
        <v>1</v>
      </c>
      <c r="B180" t="s">
        <v>1</v>
      </c>
      <c r="C180">
        <v>14592</v>
      </c>
      <c r="D180">
        <v>192</v>
      </c>
      <c r="E180">
        <v>2</v>
      </c>
      <c r="F180">
        <v>2</v>
      </c>
      <c r="G180">
        <v>905.99</v>
      </c>
      <c r="H180" s="26">
        <v>2.2866</v>
      </c>
      <c r="I180" s="1">
        <v>45425</v>
      </c>
      <c r="J180" s="2">
        <v>0.6482175925925926</v>
      </c>
      <c r="K180">
        <v>0</v>
      </c>
      <c r="L180">
        <v>0</v>
      </c>
      <c r="M180">
        <v>0</v>
      </c>
      <c r="N180" s="27">
        <f t="shared" ref="N180" si="138">N179</f>
        <v>2.2866</v>
      </c>
      <c r="P180">
        <v>1</v>
      </c>
      <c r="Q180" t="s">
        <v>1</v>
      </c>
      <c r="R180">
        <v>14592</v>
      </c>
      <c r="S180">
        <v>192</v>
      </c>
      <c r="T180">
        <v>2</v>
      </c>
      <c r="U180">
        <v>2</v>
      </c>
      <c r="V180">
        <v>822.53</v>
      </c>
      <c r="W180" s="38">
        <v>2.5186999999999999</v>
      </c>
      <c r="X180" s="1">
        <v>45436</v>
      </c>
      <c r="Y180" s="2">
        <v>0.19315972222222222</v>
      </c>
      <c r="Z180">
        <v>0</v>
      </c>
      <c r="AA180">
        <v>0</v>
      </c>
      <c r="AB180">
        <v>0</v>
      </c>
      <c r="AC180" s="3">
        <f t="shared" ref="AC180" si="139">AC179</f>
        <v>2.5202200000000001</v>
      </c>
      <c r="AD180" s="3"/>
    </row>
    <row r="181" spans="1:30" x14ac:dyDescent="0.25">
      <c r="A181">
        <v>2</v>
      </c>
      <c r="B181" t="s">
        <v>1</v>
      </c>
      <c r="C181">
        <v>14592</v>
      </c>
      <c r="D181">
        <v>192</v>
      </c>
      <c r="E181">
        <v>2</v>
      </c>
      <c r="F181">
        <v>2</v>
      </c>
      <c r="G181">
        <v>905.8</v>
      </c>
      <c r="H181" s="26">
        <v>2.2871000000000001</v>
      </c>
      <c r="I181" s="1">
        <v>45426</v>
      </c>
      <c r="J181" s="2">
        <v>0.15355324074074075</v>
      </c>
      <c r="K181">
        <v>0</v>
      </c>
      <c r="L181">
        <v>0</v>
      </c>
      <c r="M181">
        <v>0</v>
      </c>
      <c r="N181" s="27">
        <f t="shared" si="122"/>
        <v>2.2866</v>
      </c>
      <c r="P181">
        <v>2</v>
      </c>
      <c r="Q181" t="s">
        <v>1</v>
      </c>
      <c r="R181">
        <v>14592</v>
      </c>
      <c r="S181">
        <v>192</v>
      </c>
      <c r="T181">
        <v>2</v>
      </c>
      <c r="U181">
        <v>2</v>
      </c>
      <c r="V181">
        <v>819.71</v>
      </c>
      <c r="W181" s="38">
        <v>2.5272999999999999</v>
      </c>
      <c r="X181" s="1">
        <v>45436</v>
      </c>
      <c r="Y181" s="2">
        <v>0.71026620370370375</v>
      </c>
      <c r="Z181">
        <v>0</v>
      </c>
      <c r="AA181">
        <v>0</v>
      </c>
      <c r="AB181">
        <v>0</v>
      </c>
      <c r="AC181" s="3">
        <f t="shared" si="123"/>
        <v>2.5202200000000001</v>
      </c>
      <c r="AD181" s="3"/>
    </row>
    <row r="182" spans="1:30" x14ac:dyDescent="0.25">
      <c r="A182">
        <v>3</v>
      </c>
      <c r="B182" t="s">
        <v>1</v>
      </c>
      <c r="C182">
        <v>14592</v>
      </c>
      <c r="D182">
        <v>192</v>
      </c>
      <c r="E182">
        <v>2</v>
      </c>
      <c r="F182">
        <v>2</v>
      </c>
      <c r="G182">
        <v>906.17</v>
      </c>
      <c r="H182" s="26">
        <v>2.2862</v>
      </c>
      <c r="I182" s="1">
        <v>45426</v>
      </c>
      <c r="J182" s="2">
        <v>0.65901620370370373</v>
      </c>
      <c r="K182">
        <v>0</v>
      </c>
      <c r="L182">
        <v>0</v>
      </c>
      <c r="M182">
        <v>0</v>
      </c>
      <c r="N182" s="27">
        <f t="shared" si="122"/>
        <v>2.2866</v>
      </c>
      <c r="P182">
        <v>3</v>
      </c>
      <c r="Q182" t="s">
        <v>1</v>
      </c>
      <c r="R182">
        <v>14592</v>
      </c>
      <c r="S182">
        <v>192</v>
      </c>
      <c r="T182">
        <v>2</v>
      </c>
      <c r="U182">
        <v>2</v>
      </c>
      <c r="V182">
        <v>820.66</v>
      </c>
      <c r="W182" s="38">
        <v>2.5244</v>
      </c>
      <c r="X182" s="1">
        <v>45437</v>
      </c>
      <c r="Y182" s="2">
        <v>0.22686342592592593</v>
      </c>
      <c r="Z182">
        <v>0</v>
      </c>
      <c r="AA182">
        <v>0</v>
      </c>
      <c r="AB182">
        <v>0</v>
      </c>
      <c r="AC182" s="3">
        <f t="shared" si="123"/>
        <v>2.5202200000000001</v>
      </c>
      <c r="AD182" s="3"/>
    </row>
    <row r="183" spans="1:30" x14ac:dyDescent="0.25">
      <c r="A183">
        <v>4</v>
      </c>
      <c r="B183" t="s">
        <v>1</v>
      </c>
      <c r="C183">
        <v>14592</v>
      </c>
      <c r="D183">
        <v>192</v>
      </c>
      <c r="E183">
        <v>2</v>
      </c>
      <c r="F183">
        <v>2</v>
      </c>
      <c r="G183">
        <v>906.12</v>
      </c>
      <c r="H183" s="26">
        <v>2.2863000000000002</v>
      </c>
      <c r="I183" s="1">
        <v>45427</v>
      </c>
      <c r="J183" s="2">
        <v>0.16449074074074074</v>
      </c>
      <c r="K183">
        <v>0</v>
      </c>
      <c r="L183">
        <v>0</v>
      </c>
      <c r="M183">
        <v>0</v>
      </c>
      <c r="N183" s="27">
        <f t="shared" si="122"/>
        <v>2.2866</v>
      </c>
      <c r="P183">
        <v>4</v>
      </c>
      <c r="Q183" t="s">
        <v>1</v>
      </c>
      <c r="R183">
        <v>14592</v>
      </c>
      <c r="S183">
        <v>192</v>
      </c>
      <c r="T183">
        <v>2</v>
      </c>
      <c r="U183">
        <v>2</v>
      </c>
      <c r="V183">
        <v>824.44</v>
      </c>
      <c r="W183" s="38">
        <v>2.5127999999999999</v>
      </c>
      <c r="X183" s="1">
        <v>45437</v>
      </c>
      <c r="Y183" s="2">
        <v>0.74392361111111116</v>
      </c>
      <c r="Z183">
        <v>0</v>
      </c>
      <c r="AA183">
        <v>0</v>
      </c>
      <c r="AB183">
        <v>0</v>
      </c>
      <c r="AC183" s="3">
        <f t="shared" si="123"/>
        <v>2.5202200000000001</v>
      </c>
      <c r="AD183" s="3"/>
    </row>
    <row r="184" spans="1:30" x14ac:dyDescent="0.25">
      <c r="A184">
        <v>0</v>
      </c>
      <c r="B184" t="s">
        <v>1</v>
      </c>
      <c r="C184">
        <v>12992</v>
      </c>
      <c r="D184">
        <v>224</v>
      </c>
      <c r="E184">
        <v>1</v>
      </c>
      <c r="F184">
        <v>4</v>
      </c>
      <c r="G184">
        <v>668.78</v>
      </c>
      <c r="H184" s="26">
        <v>2.1863999999999999</v>
      </c>
      <c r="I184" s="1">
        <v>45425</v>
      </c>
      <c r="J184" s="2">
        <v>0.4846064814814815</v>
      </c>
      <c r="K184">
        <v>0</v>
      </c>
      <c r="L184">
        <v>0</v>
      </c>
      <c r="M184">
        <v>0</v>
      </c>
      <c r="N184" s="27">
        <f t="shared" ref="N184" si="140">AVERAGE(H184:H188)</f>
        <v>2.1863000000000001</v>
      </c>
      <c r="P184">
        <v>0</v>
      </c>
      <c r="Q184" t="s">
        <v>1</v>
      </c>
      <c r="R184">
        <v>12992</v>
      </c>
      <c r="S184">
        <v>224</v>
      </c>
      <c r="T184">
        <v>1</v>
      </c>
      <c r="U184">
        <v>4</v>
      </c>
      <c r="V184">
        <v>596.54999999999995</v>
      </c>
      <c r="W184" s="38">
        <v>2.4510999999999998</v>
      </c>
      <c r="X184" s="1">
        <v>45436</v>
      </c>
      <c r="Y184" s="2">
        <v>2.5937499999999999E-2</v>
      </c>
      <c r="Z184">
        <v>0</v>
      </c>
      <c r="AA184">
        <v>0</v>
      </c>
      <c r="AB184">
        <v>0</v>
      </c>
      <c r="AC184" s="3">
        <f t="shared" ref="AC184" si="141">AVERAGE(W184:W188)</f>
        <v>2.4346800000000002</v>
      </c>
      <c r="AD184" s="3"/>
    </row>
    <row r="185" spans="1:30" x14ac:dyDescent="0.25">
      <c r="A185">
        <v>1</v>
      </c>
      <c r="B185" t="s">
        <v>1</v>
      </c>
      <c r="C185">
        <v>12992</v>
      </c>
      <c r="D185">
        <v>224</v>
      </c>
      <c r="E185">
        <v>1</v>
      </c>
      <c r="F185">
        <v>4</v>
      </c>
      <c r="G185">
        <v>668.7</v>
      </c>
      <c r="H185" s="26">
        <v>2.1867000000000001</v>
      </c>
      <c r="I185" s="1">
        <v>45425</v>
      </c>
      <c r="J185" s="2">
        <v>0.98994212962962957</v>
      </c>
      <c r="K185">
        <v>0</v>
      </c>
      <c r="L185">
        <v>0</v>
      </c>
      <c r="M185">
        <v>0</v>
      </c>
      <c r="N185" s="27">
        <f t="shared" ref="N185" si="142">N184</f>
        <v>2.1863000000000001</v>
      </c>
      <c r="P185">
        <v>1</v>
      </c>
      <c r="Q185" t="s">
        <v>1</v>
      </c>
      <c r="R185">
        <v>12992</v>
      </c>
      <c r="S185">
        <v>224</v>
      </c>
      <c r="T185">
        <v>1</v>
      </c>
      <c r="U185">
        <v>4</v>
      </c>
      <c r="V185">
        <v>597.85</v>
      </c>
      <c r="W185" s="38">
        <v>2.4458000000000002</v>
      </c>
      <c r="X185" s="1">
        <v>45436</v>
      </c>
      <c r="Y185" s="2">
        <v>0.54267361111111112</v>
      </c>
      <c r="Z185">
        <v>0</v>
      </c>
      <c r="AA185">
        <v>0</v>
      </c>
      <c r="AB185">
        <v>0</v>
      </c>
      <c r="AC185" s="3">
        <f t="shared" ref="AC185" si="143">AC184</f>
        <v>2.4346800000000002</v>
      </c>
      <c r="AD185" s="3"/>
    </row>
    <row r="186" spans="1:30" x14ac:dyDescent="0.25">
      <c r="A186">
        <v>2</v>
      </c>
      <c r="B186" t="s">
        <v>1</v>
      </c>
      <c r="C186">
        <v>12992</v>
      </c>
      <c r="D186">
        <v>224</v>
      </c>
      <c r="E186">
        <v>1</v>
      </c>
      <c r="F186">
        <v>4</v>
      </c>
      <c r="G186">
        <v>669.09</v>
      </c>
      <c r="H186" s="26">
        <v>2.1854</v>
      </c>
      <c r="I186" s="1">
        <v>45426</v>
      </c>
      <c r="J186" s="2">
        <v>0.49531249999999999</v>
      </c>
      <c r="K186">
        <v>0</v>
      </c>
      <c r="L186">
        <v>0</v>
      </c>
      <c r="M186">
        <v>0</v>
      </c>
      <c r="N186" s="27">
        <f t="shared" si="118"/>
        <v>2.1863000000000001</v>
      </c>
      <c r="P186">
        <v>2</v>
      </c>
      <c r="Q186" t="s">
        <v>1</v>
      </c>
      <c r="R186">
        <v>12992</v>
      </c>
      <c r="S186">
        <v>224</v>
      </c>
      <c r="T186">
        <v>1</v>
      </c>
      <c r="U186">
        <v>4</v>
      </c>
      <c r="V186">
        <v>598.02</v>
      </c>
      <c r="W186" s="38">
        <v>2.4451000000000001</v>
      </c>
      <c r="X186" s="1">
        <v>45437</v>
      </c>
      <c r="Y186" s="2">
        <v>5.9548611111111108E-2</v>
      </c>
      <c r="Z186">
        <v>0</v>
      </c>
      <c r="AA186">
        <v>0</v>
      </c>
      <c r="AB186">
        <v>0</v>
      </c>
      <c r="AC186" s="3">
        <f t="shared" si="119"/>
        <v>2.4346800000000002</v>
      </c>
      <c r="AD186" s="3"/>
    </row>
    <row r="187" spans="1:30" x14ac:dyDescent="0.25">
      <c r="A187">
        <v>3</v>
      </c>
      <c r="B187" t="s">
        <v>1</v>
      </c>
      <c r="C187">
        <v>12992</v>
      </c>
      <c r="D187">
        <v>224</v>
      </c>
      <c r="E187">
        <v>1</v>
      </c>
      <c r="F187">
        <v>4</v>
      </c>
      <c r="G187">
        <v>668.88</v>
      </c>
      <c r="H187" s="26">
        <v>2.1861000000000002</v>
      </c>
      <c r="I187" s="1">
        <v>45427</v>
      </c>
      <c r="J187" s="2">
        <v>8.7962962962962962E-4</v>
      </c>
      <c r="K187">
        <v>0</v>
      </c>
      <c r="L187">
        <v>0</v>
      </c>
      <c r="M187">
        <v>0</v>
      </c>
      <c r="N187" s="27">
        <f t="shared" si="118"/>
        <v>2.1863000000000001</v>
      </c>
      <c r="P187">
        <v>3</v>
      </c>
      <c r="Q187" t="s">
        <v>1</v>
      </c>
      <c r="R187">
        <v>12992</v>
      </c>
      <c r="S187">
        <v>224</v>
      </c>
      <c r="T187">
        <v>1</v>
      </c>
      <c r="U187">
        <v>4</v>
      </c>
      <c r="V187">
        <v>604.71</v>
      </c>
      <c r="W187" s="38">
        <v>2.4180000000000001</v>
      </c>
      <c r="X187" s="1">
        <v>45437</v>
      </c>
      <c r="Y187" s="2">
        <v>0.57640046296296299</v>
      </c>
      <c r="Z187">
        <v>0</v>
      </c>
      <c r="AA187">
        <v>0</v>
      </c>
      <c r="AB187">
        <v>0</v>
      </c>
      <c r="AC187" s="3">
        <f t="shared" si="119"/>
        <v>2.4346800000000002</v>
      </c>
      <c r="AD187" s="3"/>
    </row>
    <row r="188" spans="1:30" x14ac:dyDescent="0.25">
      <c r="A188">
        <v>4</v>
      </c>
      <c r="B188" t="s">
        <v>1</v>
      </c>
      <c r="C188">
        <v>12992</v>
      </c>
      <c r="D188">
        <v>224</v>
      </c>
      <c r="E188">
        <v>1</v>
      </c>
      <c r="F188">
        <v>4</v>
      </c>
      <c r="G188" s="16">
        <v>668.62</v>
      </c>
      <c r="H188" s="26">
        <v>2.1869000000000001</v>
      </c>
      <c r="I188" s="1">
        <v>45427</v>
      </c>
      <c r="J188" s="2">
        <v>0.50618055555555552</v>
      </c>
      <c r="K188">
        <v>0</v>
      </c>
      <c r="L188">
        <v>0</v>
      </c>
      <c r="M188">
        <v>0</v>
      </c>
      <c r="N188" s="27">
        <f t="shared" si="118"/>
        <v>2.1863000000000001</v>
      </c>
      <c r="P188">
        <v>4</v>
      </c>
      <c r="Q188" t="s">
        <v>1</v>
      </c>
      <c r="R188">
        <v>12992</v>
      </c>
      <c r="S188">
        <v>224</v>
      </c>
      <c r="T188">
        <v>1</v>
      </c>
      <c r="U188">
        <v>4</v>
      </c>
      <c r="V188" s="16">
        <v>605.88</v>
      </c>
      <c r="W188" s="26">
        <v>2.4134000000000002</v>
      </c>
      <c r="X188" s="1">
        <v>45438</v>
      </c>
      <c r="Y188" s="2">
        <v>9.375E-2</v>
      </c>
      <c r="Z188">
        <v>0</v>
      </c>
      <c r="AA188">
        <v>0</v>
      </c>
      <c r="AB188">
        <v>0</v>
      </c>
      <c r="AC188" s="3">
        <f t="shared" si="119"/>
        <v>2.4346800000000002</v>
      </c>
      <c r="AD188" s="3"/>
    </row>
    <row r="189" spans="1:30" x14ac:dyDescent="0.25">
      <c r="A189">
        <v>0</v>
      </c>
      <c r="B189" t="s">
        <v>1</v>
      </c>
      <c r="C189">
        <v>13664</v>
      </c>
      <c r="D189">
        <v>224</v>
      </c>
      <c r="E189">
        <v>1</v>
      </c>
      <c r="F189">
        <v>4</v>
      </c>
      <c r="G189">
        <v>772.48</v>
      </c>
      <c r="H189" s="26">
        <v>2.2021000000000002</v>
      </c>
      <c r="I189" s="1">
        <v>45425</v>
      </c>
      <c r="J189" s="2">
        <v>0.25107638888888889</v>
      </c>
      <c r="K189">
        <v>0</v>
      </c>
      <c r="L189">
        <v>0</v>
      </c>
      <c r="M189">
        <v>0</v>
      </c>
      <c r="N189" s="27">
        <f t="shared" ref="N189" si="144">AVERAGE(H189:H193)</f>
        <v>2.2016999999999998</v>
      </c>
      <c r="P189">
        <v>0</v>
      </c>
      <c r="Q189" t="s">
        <v>1</v>
      </c>
      <c r="R189">
        <v>13664</v>
      </c>
      <c r="S189">
        <v>224</v>
      </c>
      <c r="T189">
        <v>1</v>
      </c>
      <c r="U189">
        <v>4</v>
      </c>
      <c r="V189">
        <v>692.04</v>
      </c>
      <c r="W189" s="38">
        <v>2.4580000000000002</v>
      </c>
      <c r="X189" s="1">
        <v>45435</v>
      </c>
      <c r="Y189" s="2">
        <v>0.87062499999999998</v>
      </c>
      <c r="Z189">
        <v>0</v>
      </c>
      <c r="AA189">
        <v>0</v>
      </c>
      <c r="AB189">
        <v>0</v>
      </c>
      <c r="AC189" s="3">
        <f t="shared" ref="AC189" si="145">AVERAGE(W189:W193)</f>
        <v>2.4549799999999999</v>
      </c>
      <c r="AD189" s="3"/>
    </row>
    <row r="190" spans="1:30" x14ac:dyDescent="0.25">
      <c r="A190">
        <v>1</v>
      </c>
      <c r="B190" t="s">
        <v>1</v>
      </c>
      <c r="C190">
        <v>13664</v>
      </c>
      <c r="D190">
        <v>224</v>
      </c>
      <c r="E190">
        <v>1</v>
      </c>
      <c r="F190">
        <v>4</v>
      </c>
      <c r="G190">
        <v>772.46</v>
      </c>
      <c r="H190" s="26">
        <v>2.2021000000000002</v>
      </c>
      <c r="I190" s="1">
        <v>45425</v>
      </c>
      <c r="J190" s="2">
        <v>0.83870370370370373</v>
      </c>
      <c r="K190">
        <v>0</v>
      </c>
      <c r="L190">
        <v>0</v>
      </c>
      <c r="M190">
        <v>0</v>
      </c>
      <c r="N190" s="27">
        <f t="shared" ref="N190" si="146">N189</f>
        <v>2.2016999999999998</v>
      </c>
      <c r="P190">
        <v>1</v>
      </c>
      <c r="Q190" t="s">
        <v>1</v>
      </c>
      <c r="R190">
        <v>13664</v>
      </c>
      <c r="S190">
        <v>224</v>
      </c>
      <c r="T190">
        <v>1</v>
      </c>
      <c r="U190">
        <v>4</v>
      </c>
      <c r="V190">
        <v>692.93</v>
      </c>
      <c r="W190" s="38">
        <v>2.4548000000000001</v>
      </c>
      <c r="X190" s="1">
        <v>45436</v>
      </c>
      <c r="Y190" s="2">
        <v>0.3869097222222222</v>
      </c>
      <c r="Z190">
        <v>0</v>
      </c>
      <c r="AA190">
        <v>0</v>
      </c>
      <c r="AB190">
        <v>0</v>
      </c>
      <c r="AC190" s="3">
        <f t="shared" ref="AC190" si="147">AC189</f>
        <v>2.4549799999999999</v>
      </c>
      <c r="AD190" s="3"/>
    </row>
    <row r="191" spans="1:30" x14ac:dyDescent="0.25">
      <c r="A191">
        <v>2</v>
      </c>
      <c r="B191" t="s">
        <v>1</v>
      </c>
      <c r="C191">
        <v>13664</v>
      </c>
      <c r="D191">
        <v>224</v>
      </c>
      <c r="E191">
        <v>1</v>
      </c>
      <c r="F191">
        <v>4</v>
      </c>
      <c r="G191">
        <v>771.93</v>
      </c>
      <c r="H191" s="26">
        <v>2.2035999999999998</v>
      </c>
      <c r="I191" s="1">
        <v>45426</v>
      </c>
      <c r="J191" s="2">
        <v>0.34401620370370373</v>
      </c>
      <c r="K191">
        <v>0</v>
      </c>
      <c r="L191">
        <v>0</v>
      </c>
      <c r="M191">
        <v>0</v>
      </c>
      <c r="N191" s="27">
        <f t="shared" si="122"/>
        <v>2.2016999999999998</v>
      </c>
      <c r="P191">
        <v>2</v>
      </c>
      <c r="Q191" t="s">
        <v>1</v>
      </c>
      <c r="R191">
        <v>13664</v>
      </c>
      <c r="S191">
        <v>224</v>
      </c>
      <c r="T191">
        <v>1</v>
      </c>
      <c r="U191">
        <v>4</v>
      </c>
      <c r="V191">
        <v>692.82</v>
      </c>
      <c r="W191" s="38">
        <v>2.4552</v>
      </c>
      <c r="X191" s="1">
        <v>45436</v>
      </c>
      <c r="Y191" s="2">
        <v>0.90392361111111108</v>
      </c>
      <c r="Z191">
        <v>0</v>
      </c>
      <c r="AA191">
        <v>0</v>
      </c>
      <c r="AB191">
        <v>0</v>
      </c>
      <c r="AC191" s="3">
        <f t="shared" si="123"/>
        <v>2.4549799999999999</v>
      </c>
      <c r="AD191" s="3"/>
    </row>
    <row r="192" spans="1:30" x14ac:dyDescent="0.25">
      <c r="A192">
        <v>3</v>
      </c>
      <c r="B192" t="s">
        <v>1</v>
      </c>
      <c r="C192">
        <v>13664</v>
      </c>
      <c r="D192">
        <v>224</v>
      </c>
      <c r="E192">
        <v>1</v>
      </c>
      <c r="F192">
        <v>4</v>
      </c>
      <c r="G192">
        <v>773.37</v>
      </c>
      <c r="H192" s="26">
        <v>2.1995</v>
      </c>
      <c r="I192" s="1">
        <v>45426</v>
      </c>
      <c r="J192" s="2">
        <v>0.84964120370370366</v>
      </c>
      <c r="K192">
        <v>0</v>
      </c>
      <c r="L192">
        <v>0</v>
      </c>
      <c r="M192">
        <v>0</v>
      </c>
      <c r="N192" s="27">
        <f t="shared" si="122"/>
        <v>2.2016999999999998</v>
      </c>
      <c r="P192">
        <v>3</v>
      </c>
      <c r="Q192" t="s">
        <v>1</v>
      </c>
      <c r="R192">
        <v>13664</v>
      </c>
      <c r="S192">
        <v>224</v>
      </c>
      <c r="T192">
        <v>1</v>
      </c>
      <c r="U192">
        <v>4</v>
      </c>
      <c r="V192">
        <v>694.79</v>
      </c>
      <c r="W192" s="38">
        <v>2.4483000000000001</v>
      </c>
      <c r="X192" s="1">
        <v>45437</v>
      </c>
      <c r="Y192" s="2">
        <v>0.42071759259259262</v>
      </c>
      <c r="Z192">
        <v>0</v>
      </c>
      <c r="AA192">
        <v>0</v>
      </c>
      <c r="AB192">
        <v>0</v>
      </c>
      <c r="AC192" s="3">
        <f t="shared" si="123"/>
        <v>2.4549799999999999</v>
      </c>
      <c r="AD192" s="3"/>
    </row>
    <row r="193" spans="1:30" x14ac:dyDescent="0.25">
      <c r="A193">
        <v>4</v>
      </c>
      <c r="B193" t="s">
        <v>1</v>
      </c>
      <c r="C193">
        <v>13664</v>
      </c>
      <c r="D193">
        <v>224</v>
      </c>
      <c r="E193">
        <v>1</v>
      </c>
      <c r="F193">
        <v>4</v>
      </c>
      <c r="G193" s="16">
        <v>772.77</v>
      </c>
      <c r="H193" s="26">
        <v>2.2012</v>
      </c>
      <c r="I193" s="1">
        <v>45427</v>
      </c>
      <c r="J193" s="2">
        <v>0.35495370370370372</v>
      </c>
      <c r="K193">
        <v>0</v>
      </c>
      <c r="L193">
        <v>0</v>
      </c>
      <c r="M193">
        <v>0</v>
      </c>
      <c r="N193" s="27">
        <f t="shared" si="122"/>
        <v>2.2016999999999998</v>
      </c>
      <c r="P193">
        <v>4</v>
      </c>
      <c r="Q193" t="s">
        <v>1</v>
      </c>
      <c r="R193">
        <v>13664</v>
      </c>
      <c r="S193">
        <v>224</v>
      </c>
      <c r="T193">
        <v>1</v>
      </c>
      <c r="U193">
        <v>4</v>
      </c>
      <c r="V193" s="16">
        <v>691.89</v>
      </c>
      <c r="W193" s="26">
        <v>2.4586000000000001</v>
      </c>
      <c r="X193" s="1">
        <v>45437</v>
      </c>
      <c r="Y193" s="2">
        <v>0.93763888888888891</v>
      </c>
      <c r="Z193">
        <v>0</v>
      </c>
      <c r="AA193">
        <v>0</v>
      </c>
      <c r="AB193">
        <v>0</v>
      </c>
      <c r="AC193" s="3">
        <f t="shared" si="123"/>
        <v>2.4549799999999999</v>
      </c>
      <c r="AD193" s="3"/>
    </row>
    <row r="194" spans="1:30" x14ac:dyDescent="0.25">
      <c r="A194">
        <v>0</v>
      </c>
      <c r="B194" t="s">
        <v>1</v>
      </c>
      <c r="C194">
        <v>14560</v>
      </c>
      <c r="D194">
        <v>224</v>
      </c>
      <c r="E194">
        <v>1</v>
      </c>
      <c r="F194">
        <v>4</v>
      </c>
      <c r="G194">
        <v>931.88</v>
      </c>
      <c r="H194" s="26">
        <v>2.2084999999999999</v>
      </c>
      <c r="I194" s="1">
        <v>45425</v>
      </c>
      <c r="J194" s="2">
        <v>7.1770833333333339E-2</v>
      </c>
      <c r="K194">
        <v>0</v>
      </c>
      <c r="L194">
        <v>0</v>
      </c>
      <c r="M194">
        <v>0</v>
      </c>
      <c r="N194" s="27">
        <f t="shared" ref="N194" si="148">AVERAGE(H194:H198)</f>
        <v>2.2082000000000002</v>
      </c>
      <c r="P194">
        <v>0</v>
      </c>
      <c r="Q194" t="s">
        <v>1</v>
      </c>
      <c r="R194">
        <v>14560</v>
      </c>
      <c r="S194">
        <v>224</v>
      </c>
      <c r="T194">
        <v>1</v>
      </c>
      <c r="U194">
        <v>4</v>
      </c>
      <c r="V194">
        <v>830.92</v>
      </c>
      <c r="W194" s="38">
        <v>2.4769000000000001</v>
      </c>
      <c r="X194" s="1">
        <v>45435</v>
      </c>
      <c r="Y194" s="2">
        <v>0.58164351851851848</v>
      </c>
      <c r="Z194">
        <v>0</v>
      </c>
      <c r="AA194">
        <v>0</v>
      </c>
      <c r="AB194">
        <v>0</v>
      </c>
      <c r="AC194" s="3">
        <f t="shared" ref="AC194" si="149">AVERAGE(W194:W198)</f>
        <v>2.4788199999999998</v>
      </c>
      <c r="AD194" s="3"/>
    </row>
    <row r="195" spans="1:30" x14ac:dyDescent="0.25">
      <c r="A195">
        <v>1</v>
      </c>
      <c r="B195" t="s">
        <v>1</v>
      </c>
      <c r="C195">
        <v>14560</v>
      </c>
      <c r="D195">
        <v>224</v>
      </c>
      <c r="E195">
        <v>1</v>
      </c>
      <c r="F195">
        <v>4</v>
      </c>
      <c r="G195">
        <v>932.04</v>
      </c>
      <c r="H195" s="26">
        <v>2.2081</v>
      </c>
      <c r="I195" s="1">
        <v>45425</v>
      </c>
      <c r="J195" s="2">
        <v>0.65935185185185186</v>
      </c>
      <c r="K195">
        <v>0</v>
      </c>
      <c r="L195">
        <v>0</v>
      </c>
      <c r="M195">
        <v>0</v>
      </c>
      <c r="N195" s="27">
        <f t="shared" ref="N195" si="150">N194</f>
        <v>2.2082000000000002</v>
      </c>
      <c r="P195">
        <v>1</v>
      </c>
      <c r="Q195" t="s">
        <v>1</v>
      </c>
      <c r="R195">
        <v>14560</v>
      </c>
      <c r="S195">
        <v>224</v>
      </c>
      <c r="T195">
        <v>1</v>
      </c>
      <c r="U195">
        <v>4</v>
      </c>
      <c r="V195">
        <v>829.8</v>
      </c>
      <c r="W195" s="38">
        <v>2.4802</v>
      </c>
      <c r="X195" s="1">
        <v>45436</v>
      </c>
      <c r="Y195" s="2">
        <v>0.20444444444444446</v>
      </c>
      <c r="Z195">
        <v>0</v>
      </c>
      <c r="AA195">
        <v>0</v>
      </c>
      <c r="AB195">
        <v>0</v>
      </c>
      <c r="AC195" s="3">
        <f t="shared" ref="AC195" si="151">AC194</f>
        <v>2.4788199999999998</v>
      </c>
      <c r="AD195" s="3"/>
    </row>
    <row r="196" spans="1:30" x14ac:dyDescent="0.25">
      <c r="A196">
        <v>2</v>
      </c>
      <c r="B196" t="s">
        <v>1</v>
      </c>
      <c r="C196">
        <v>14560</v>
      </c>
      <c r="D196">
        <v>224</v>
      </c>
      <c r="E196">
        <v>1</v>
      </c>
      <c r="F196">
        <v>4</v>
      </c>
      <c r="G196">
        <v>932.07</v>
      </c>
      <c r="H196" s="26">
        <v>2.2081</v>
      </c>
      <c r="I196" s="1">
        <v>45426</v>
      </c>
      <c r="J196" s="2">
        <v>0.16468749999999999</v>
      </c>
      <c r="K196">
        <v>0</v>
      </c>
      <c r="L196">
        <v>0</v>
      </c>
      <c r="M196">
        <v>0</v>
      </c>
      <c r="N196" s="27">
        <f t="shared" si="118"/>
        <v>2.2082000000000002</v>
      </c>
      <c r="P196">
        <v>2</v>
      </c>
      <c r="Q196" t="s">
        <v>1</v>
      </c>
      <c r="R196">
        <v>14560</v>
      </c>
      <c r="S196">
        <v>224</v>
      </c>
      <c r="T196">
        <v>1</v>
      </c>
      <c r="U196">
        <v>4</v>
      </c>
      <c r="V196">
        <v>829.79</v>
      </c>
      <c r="W196" s="38">
        <v>2.4802</v>
      </c>
      <c r="X196" s="1">
        <v>45436</v>
      </c>
      <c r="Y196" s="2">
        <v>0.72155092592592596</v>
      </c>
      <c r="Z196">
        <v>0</v>
      </c>
      <c r="AA196">
        <v>0</v>
      </c>
      <c r="AB196">
        <v>0</v>
      </c>
      <c r="AC196" s="3">
        <f t="shared" si="119"/>
        <v>2.4788199999999998</v>
      </c>
      <c r="AD196" s="3"/>
    </row>
    <row r="197" spans="1:30" x14ac:dyDescent="0.25">
      <c r="A197">
        <v>3</v>
      </c>
      <c r="B197" t="s">
        <v>1</v>
      </c>
      <c r="C197">
        <v>14560</v>
      </c>
      <c r="D197">
        <v>224</v>
      </c>
      <c r="E197">
        <v>1</v>
      </c>
      <c r="F197">
        <v>4</v>
      </c>
      <c r="G197">
        <v>931.95</v>
      </c>
      <c r="H197" s="26">
        <v>2.2082999999999999</v>
      </c>
      <c r="I197" s="1">
        <v>45426</v>
      </c>
      <c r="J197" s="2">
        <v>0.67015046296296299</v>
      </c>
      <c r="K197">
        <v>0</v>
      </c>
      <c r="L197">
        <v>0</v>
      </c>
      <c r="M197">
        <v>0</v>
      </c>
      <c r="N197" s="27">
        <f t="shared" si="118"/>
        <v>2.2082000000000002</v>
      </c>
      <c r="P197">
        <v>3</v>
      </c>
      <c r="Q197" t="s">
        <v>1</v>
      </c>
      <c r="R197">
        <v>14560</v>
      </c>
      <c r="S197">
        <v>224</v>
      </c>
      <c r="T197">
        <v>1</v>
      </c>
      <c r="U197">
        <v>4</v>
      </c>
      <c r="V197">
        <v>831.06</v>
      </c>
      <c r="W197" s="38">
        <v>2.4765000000000001</v>
      </c>
      <c r="X197" s="1">
        <v>45437</v>
      </c>
      <c r="Y197" s="2">
        <v>0.23815972222222223</v>
      </c>
      <c r="Z197">
        <v>0</v>
      </c>
      <c r="AA197">
        <v>0</v>
      </c>
      <c r="AB197">
        <v>0</v>
      </c>
      <c r="AC197" s="3">
        <f t="shared" si="119"/>
        <v>2.4788199999999998</v>
      </c>
      <c r="AD197" s="3"/>
    </row>
    <row r="198" spans="1:30" x14ac:dyDescent="0.25">
      <c r="A198">
        <v>4</v>
      </c>
      <c r="B198" t="s">
        <v>1</v>
      </c>
      <c r="C198">
        <v>14560</v>
      </c>
      <c r="D198">
        <v>224</v>
      </c>
      <c r="E198">
        <v>1</v>
      </c>
      <c r="F198">
        <v>4</v>
      </c>
      <c r="G198">
        <v>932.1</v>
      </c>
      <c r="H198" s="26">
        <v>2.2080000000000002</v>
      </c>
      <c r="I198" s="1">
        <v>45427</v>
      </c>
      <c r="J198" s="2">
        <v>0.175625</v>
      </c>
      <c r="K198">
        <v>0</v>
      </c>
      <c r="L198">
        <v>0</v>
      </c>
      <c r="M198">
        <v>0</v>
      </c>
      <c r="N198" s="27">
        <f t="shared" si="118"/>
        <v>2.2082000000000002</v>
      </c>
      <c r="P198">
        <v>4</v>
      </c>
      <c r="Q198" t="s">
        <v>1</v>
      </c>
      <c r="R198">
        <v>14560</v>
      </c>
      <c r="S198">
        <v>224</v>
      </c>
      <c r="T198">
        <v>1</v>
      </c>
      <c r="U198">
        <v>4</v>
      </c>
      <c r="V198">
        <v>829.77</v>
      </c>
      <c r="W198" s="38">
        <v>2.4803000000000002</v>
      </c>
      <c r="X198" s="1">
        <v>45437</v>
      </c>
      <c r="Y198" s="2">
        <v>0.75520833333333337</v>
      </c>
      <c r="Z198">
        <v>0</v>
      </c>
      <c r="AA198">
        <v>0</v>
      </c>
      <c r="AB198">
        <v>0</v>
      </c>
      <c r="AC198" s="3">
        <f t="shared" si="119"/>
        <v>2.4788199999999998</v>
      </c>
      <c r="AD198" s="3"/>
    </row>
    <row r="199" spans="1:30" x14ac:dyDescent="0.25">
      <c r="A199">
        <v>0</v>
      </c>
      <c r="B199" t="s">
        <v>1</v>
      </c>
      <c r="C199">
        <v>12992</v>
      </c>
      <c r="D199">
        <v>224</v>
      </c>
      <c r="E199">
        <v>2</v>
      </c>
      <c r="F199">
        <v>2</v>
      </c>
      <c r="G199">
        <v>648.66999999999996</v>
      </c>
      <c r="H199" s="26">
        <v>2.2542</v>
      </c>
      <c r="I199" s="1">
        <v>45425</v>
      </c>
      <c r="J199" s="2">
        <v>0.49238425925925927</v>
      </c>
      <c r="K199">
        <v>0</v>
      </c>
      <c r="L199">
        <v>0</v>
      </c>
      <c r="M199">
        <v>0</v>
      </c>
      <c r="N199" s="27">
        <f t="shared" ref="N199" si="152">AVERAGE(H199:H203)</f>
        <v>2.2549199999999998</v>
      </c>
      <c r="P199">
        <v>0</v>
      </c>
      <c r="Q199" t="s">
        <v>1</v>
      </c>
      <c r="R199">
        <v>12992</v>
      </c>
      <c r="S199">
        <v>224</v>
      </c>
      <c r="T199">
        <v>2</v>
      </c>
      <c r="U199">
        <v>2</v>
      </c>
      <c r="V199">
        <v>596.08000000000004</v>
      </c>
      <c r="W199" s="38">
        <v>2.4529999999999998</v>
      </c>
      <c r="X199" s="1">
        <v>45436</v>
      </c>
      <c r="Y199" s="2">
        <v>3.4108796296296297E-2</v>
      </c>
      <c r="Z199">
        <v>0</v>
      </c>
      <c r="AA199">
        <v>0</v>
      </c>
      <c r="AB199">
        <v>0</v>
      </c>
      <c r="AC199" s="3">
        <f t="shared" ref="AC199" si="153">AVERAGE(W199:W203)</f>
        <v>2.4561199999999994</v>
      </c>
      <c r="AD199" s="3"/>
    </row>
    <row r="200" spans="1:30" x14ac:dyDescent="0.25">
      <c r="A200">
        <v>1</v>
      </c>
      <c r="B200" t="s">
        <v>1</v>
      </c>
      <c r="C200">
        <v>12992</v>
      </c>
      <c r="D200">
        <v>224</v>
      </c>
      <c r="E200">
        <v>2</v>
      </c>
      <c r="F200">
        <v>2</v>
      </c>
      <c r="G200">
        <v>648.30999999999995</v>
      </c>
      <c r="H200" s="26">
        <v>2.2553999999999998</v>
      </c>
      <c r="I200" s="1">
        <v>45425</v>
      </c>
      <c r="J200" s="2">
        <v>0.99771990740740746</v>
      </c>
      <c r="K200">
        <v>0</v>
      </c>
      <c r="L200">
        <v>0</v>
      </c>
      <c r="M200">
        <v>0</v>
      </c>
      <c r="N200" s="27">
        <f t="shared" ref="N200" si="154">N199</f>
        <v>2.2549199999999998</v>
      </c>
      <c r="P200">
        <v>1</v>
      </c>
      <c r="Q200" t="s">
        <v>1</v>
      </c>
      <c r="R200">
        <v>12992</v>
      </c>
      <c r="S200">
        <v>224</v>
      </c>
      <c r="T200">
        <v>2</v>
      </c>
      <c r="U200">
        <v>2</v>
      </c>
      <c r="V200">
        <v>594.86</v>
      </c>
      <c r="W200" s="38">
        <v>2.4581</v>
      </c>
      <c r="X200" s="1">
        <v>45436</v>
      </c>
      <c r="Y200" s="2">
        <v>0.55083333333333329</v>
      </c>
      <c r="Z200">
        <v>0</v>
      </c>
      <c r="AA200">
        <v>0</v>
      </c>
      <c r="AB200">
        <v>0</v>
      </c>
      <c r="AC200" s="3">
        <f t="shared" ref="AC200" si="155">AC199</f>
        <v>2.4561199999999994</v>
      </c>
      <c r="AD200" s="3"/>
    </row>
    <row r="201" spans="1:30" x14ac:dyDescent="0.25">
      <c r="A201">
        <v>2</v>
      </c>
      <c r="B201" t="s">
        <v>1</v>
      </c>
      <c r="C201">
        <v>12992</v>
      </c>
      <c r="D201">
        <v>224</v>
      </c>
      <c r="E201">
        <v>2</v>
      </c>
      <c r="F201">
        <v>2</v>
      </c>
      <c r="G201">
        <v>648.30999999999995</v>
      </c>
      <c r="H201" s="26">
        <v>2.2553999999999998</v>
      </c>
      <c r="I201" s="1">
        <v>45426</v>
      </c>
      <c r="J201" s="2">
        <v>0.50307870370370367</v>
      </c>
      <c r="K201">
        <v>0</v>
      </c>
      <c r="L201">
        <v>0</v>
      </c>
      <c r="M201">
        <v>0</v>
      </c>
      <c r="N201" s="27">
        <f t="shared" si="122"/>
        <v>2.2549199999999998</v>
      </c>
      <c r="P201">
        <v>2</v>
      </c>
      <c r="Q201" t="s">
        <v>1</v>
      </c>
      <c r="R201">
        <v>12992</v>
      </c>
      <c r="S201">
        <v>224</v>
      </c>
      <c r="T201">
        <v>2</v>
      </c>
      <c r="U201">
        <v>2</v>
      </c>
      <c r="V201">
        <v>591.76</v>
      </c>
      <c r="W201" s="38">
        <v>2.4710000000000001</v>
      </c>
      <c r="X201" s="1">
        <v>45437</v>
      </c>
      <c r="Y201" s="2">
        <v>6.7673611111111115E-2</v>
      </c>
      <c r="Z201">
        <v>0</v>
      </c>
      <c r="AA201">
        <v>0</v>
      </c>
      <c r="AB201">
        <v>0</v>
      </c>
      <c r="AC201" s="3">
        <f t="shared" si="123"/>
        <v>2.4561199999999994</v>
      </c>
      <c r="AD201" s="3"/>
    </row>
    <row r="202" spans="1:30" x14ac:dyDescent="0.25">
      <c r="A202">
        <v>3</v>
      </c>
      <c r="B202" t="s">
        <v>1</v>
      </c>
      <c r="C202">
        <v>12992</v>
      </c>
      <c r="D202">
        <v>224</v>
      </c>
      <c r="E202">
        <v>2</v>
      </c>
      <c r="F202">
        <v>2</v>
      </c>
      <c r="G202">
        <v>648.34</v>
      </c>
      <c r="H202" s="26">
        <v>2.2553000000000001</v>
      </c>
      <c r="I202" s="1">
        <v>45427</v>
      </c>
      <c r="J202" s="2">
        <v>8.6458333333333335E-3</v>
      </c>
      <c r="K202">
        <v>0</v>
      </c>
      <c r="L202">
        <v>0</v>
      </c>
      <c r="M202">
        <v>0</v>
      </c>
      <c r="N202" s="27">
        <f t="shared" si="122"/>
        <v>2.2549199999999998</v>
      </c>
      <c r="P202">
        <v>3</v>
      </c>
      <c r="Q202" t="s">
        <v>1</v>
      </c>
      <c r="R202">
        <v>12992</v>
      </c>
      <c r="S202">
        <v>224</v>
      </c>
      <c r="T202">
        <v>2</v>
      </c>
      <c r="U202">
        <v>2</v>
      </c>
      <c r="V202">
        <v>602.97</v>
      </c>
      <c r="W202" s="38">
        <v>2.4249999999999998</v>
      </c>
      <c r="X202" s="1">
        <v>45437</v>
      </c>
      <c r="Y202" s="2">
        <v>0.5846527777777778</v>
      </c>
      <c r="Z202">
        <v>0</v>
      </c>
      <c r="AA202">
        <v>0</v>
      </c>
      <c r="AB202">
        <v>0</v>
      </c>
      <c r="AC202" s="3">
        <f t="shared" si="123"/>
        <v>2.4561199999999994</v>
      </c>
      <c r="AD202" s="3"/>
    </row>
    <row r="203" spans="1:30" x14ac:dyDescent="0.25">
      <c r="A203">
        <v>4</v>
      </c>
      <c r="B203" t="s">
        <v>1</v>
      </c>
      <c r="C203">
        <v>12992</v>
      </c>
      <c r="D203">
        <v>224</v>
      </c>
      <c r="E203">
        <v>2</v>
      </c>
      <c r="F203">
        <v>2</v>
      </c>
      <c r="G203" s="16">
        <v>648.63</v>
      </c>
      <c r="H203" s="26">
        <v>2.2543000000000002</v>
      </c>
      <c r="I203" s="1">
        <v>45427</v>
      </c>
      <c r="J203" s="2">
        <v>0.51395833333333329</v>
      </c>
      <c r="K203">
        <v>0</v>
      </c>
      <c r="L203">
        <v>0</v>
      </c>
      <c r="M203">
        <v>0</v>
      </c>
      <c r="N203" s="27">
        <f t="shared" si="122"/>
        <v>2.2549199999999998</v>
      </c>
      <c r="P203">
        <v>4</v>
      </c>
      <c r="Q203" t="s">
        <v>1</v>
      </c>
      <c r="R203">
        <v>12992</v>
      </c>
      <c r="S203">
        <v>224</v>
      </c>
      <c r="T203">
        <v>2</v>
      </c>
      <c r="U203">
        <v>2</v>
      </c>
      <c r="V203" s="16">
        <v>591.15</v>
      </c>
      <c r="W203" s="26">
        <v>2.4735</v>
      </c>
      <c r="X203" s="1">
        <v>45438</v>
      </c>
      <c r="Y203" s="2">
        <v>0.10187499999999999</v>
      </c>
      <c r="Z203">
        <v>0</v>
      </c>
      <c r="AA203">
        <v>0</v>
      </c>
      <c r="AB203">
        <v>0</v>
      </c>
      <c r="AC203" s="3">
        <f t="shared" si="123"/>
        <v>2.4561199999999994</v>
      </c>
      <c r="AD203" s="3"/>
    </row>
    <row r="204" spans="1:30" x14ac:dyDescent="0.25">
      <c r="A204">
        <v>0</v>
      </c>
      <c r="B204" t="s">
        <v>1</v>
      </c>
      <c r="C204">
        <v>13664</v>
      </c>
      <c r="D204">
        <v>224</v>
      </c>
      <c r="E204">
        <v>2</v>
      </c>
      <c r="F204">
        <v>2</v>
      </c>
      <c r="G204">
        <v>750.97</v>
      </c>
      <c r="H204" s="26">
        <v>2.2650999999999999</v>
      </c>
      <c r="I204" s="1">
        <v>45425</v>
      </c>
      <c r="J204" s="2">
        <v>0.26006944444444446</v>
      </c>
      <c r="K204">
        <v>0</v>
      </c>
      <c r="L204">
        <v>0</v>
      </c>
      <c r="M204">
        <v>0</v>
      </c>
      <c r="N204" s="27">
        <f t="shared" ref="N204" si="156">AVERAGE(H204:H208)</f>
        <v>2.2660399999999998</v>
      </c>
      <c r="P204">
        <v>0</v>
      </c>
      <c r="Q204" t="s">
        <v>1</v>
      </c>
      <c r="R204">
        <v>13664</v>
      </c>
      <c r="S204">
        <v>224</v>
      </c>
      <c r="T204">
        <v>2</v>
      </c>
      <c r="U204">
        <v>2</v>
      </c>
      <c r="V204">
        <v>683.55</v>
      </c>
      <c r="W204" s="38">
        <v>2.4885000000000002</v>
      </c>
      <c r="X204" s="1">
        <v>45435</v>
      </c>
      <c r="Y204" s="2">
        <v>0.88</v>
      </c>
      <c r="Z204">
        <v>0</v>
      </c>
      <c r="AA204">
        <v>0</v>
      </c>
      <c r="AB204">
        <v>0</v>
      </c>
      <c r="AC204" s="3">
        <f t="shared" ref="AC204" si="157">AVERAGE(W204:W208)</f>
        <v>2.47878</v>
      </c>
      <c r="AD204" s="3"/>
    </row>
    <row r="205" spans="1:30" x14ac:dyDescent="0.25">
      <c r="A205">
        <v>1</v>
      </c>
      <c r="B205" t="s">
        <v>1</v>
      </c>
      <c r="C205">
        <v>13664</v>
      </c>
      <c r="D205">
        <v>224</v>
      </c>
      <c r="E205">
        <v>2</v>
      </c>
      <c r="F205">
        <v>2</v>
      </c>
      <c r="G205">
        <v>750.28</v>
      </c>
      <c r="H205" s="26">
        <v>2.2671999999999999</v>
      </c>
      <c r="I205" s="1">
        <v>45425</v>
      </c>
      <c r="J205" s="2">
        <v>0.84768518518518521</v>
      </c>
      <c r="K205">
        <v>0</v>
      </c>
      <c r="L205">
        <v>0</v>
      </c>
      <c r="M205">
        <v>0</v>
      </c>
      <c r="N205" s="27">
        <f t="shared" ref="N205" si="158">N204</f>
        <v>2.2660399999999998</v>
      </c>
      <c r="P205">
        <v>1</v>
      </c>
      <c r="Q205" t="s">
        <v>1</v>
      </c>
      <c r="R205">
        <v>13664</v>
      </c>
      <c r="S205">
        <v>224</v>
      </c>
      <c r="T205">
        <v>2</v>
      </c>
      <c r="U205">
        <v>2</v>
      </c>
      <c r="V205">
        <v>684.07</v>
      </c>
      <c r="W205" s="38">
        <v>2.4866000000000001</v>
      </c>
      <c r="X205" s="1">
        <v>45436</v>
      </c>
      <c r="Y205" s="2">
        <v>0.39628472222222222</v>
      </c>
      <c r="Z205">
        <v>0</v>
      </c>
      <c r="AA205">
        <v>0</v>
      </c>
      <c r="AB205">
        <v>0</v>
      </c>
      <c r="AC205" s="3">
        <f t="shared" ref="AC205" si="159">AC204</f>
        <v>2.47878</v>
      </c>
      <c r="AD205" s="3"/>
    </row>
    <row r="206" spans="1:30" x14ac:dyDescent="0.25">
      <c r="A206">
        <v>2</v>
      </c>
      <c r="B206" t="s">
        <v>1</v>
      </c>
      <c r="C206">
        <v>13664</v>
      </c>
      <c r="D206">
        <v>224</v>
      </c>
      <c r="E206">
        <v>2</v>
      </c>
      <c r="F206">
        <v>2</v>
      </c>
      <c r="G206">
        <v>750.97</v>
      </c>
      <c r="H206" s="26">
        <v>2.2650999999999999</v>
      </c>
      <c r="I206" s="1">
        <v>45426</v>
      </c>
      <c r="J206" s="2">
        <v>0.35300925925925924</v>
      </c>
      <c r="K206">
        <v>0</v>
      </c>
      <c r="L206">
        <v>0</v>
      </c>
      <c r="M206">
        <v>0</v>
      </c>
      <c r="N206" s="27">
        <f t="shared" si="118"/>
        <v>2.2660399999999998</v>
      </c>
      <c r="P206">
        <v>2</v>
      </c>
      <c r="Q206" t="s">
        <v>1</v>
      </c>
      <c r="R206">
        <v>13664</v>
      </c>
      <c r="S206">
        <v>224</v>
      </c>
      <c r="T206">
        <v>2</v>
      </c>
      <c r="U206">
        <v>2</v>
      </c>
      <c r="V206">
        <v>687.95</v>
      </c>
      <c r="W206" s="38">
        <v>2.4725999999999999</v>
      </c>
      <c r="X206" s="1">
        <v>45436</v>
      </c>
      <c r="Y206" s="2">
        <v>0.91334490740740737</v>
      </c>
      <c r="Z206">
        <v>0</v>
      </c>
      <c r="AA206">
        <v>0</v>
      </c>
      <c r="AB206">
        <v>0</v>
      </c>
      <c r="AC206" s="3">
        <f t="shared" si="119"/>
        <v>2.47878</v>
      </c>
      <c r="AD206" s="3"/>
    </row>
    <row r="207" spans="1:30" x14ac:dyDescent="0.25">
      <c r="A207">
        <v>3</v>
      </c>
      <c r="B207" t="s">
        <v>1</v>
      </c>
      <c r="C207">
        <v>13664</v>
      </c>
      <c r="D207">
        <v>224</v>
      </c>
      <c r="E207">
        <v>2</v>
      </c>
      <c r="F207">
        <v>2</v>
      </c>
      <c r="G207">
        <v>750.69</v>
      </c>
      <c r="H207" s="26">
        <v>2.266</v>
      </c>
      <c r="I207" s="1">
        <v>45426</v>
      </c>
      <c r="J207" s="2">
        <v>0.85863425925925929</v>
      </c>
      <c r="K207">
        <v>0</v>
      </c>
      <c r="L207">
        <v>0</v>
      </c>
      <c r="M207">
        <v>0</v>
      </c>
      <c r="N207" s="27">
        <f t="shared" si="118"/>
        <v>2.2660399999999998</v>
      </c>
      <c r="P207">
        <v>3</v>
      </c>
      <c r="Q207" t="s">
        <v>1</v>
      </c>
      <c r="R207">
        <v>13664</v>
      </c>
      <c r="S207">
        <v>224</v>
      </c>
      <c r="T207">
        <v>2</v>
      </c>
      <c r="U207">
        <v>2</v>
      </c>
      <c r="V207">
        <v>685.38</v>
      </c>
      <c r="W207" s="38">
        <v>2.4819</v>
      </c>
      <c r="X207" s="1">
        <v>45437</v>
      </c>
      <c r="Y207" s="2">
        <v>0.43010416666666668</v>
      </c>
      <c r="Z207">
        <v>0</v>
      </c>
      <c r="AA207">
        <v>0</v>
      </c>
      <c r="AB207">
        <v>0</v>
      </c>
      <c r="AC207" s="3">
        <f t="shared" si="119"/>
        <v>2.47878</v>
      </c>
      <c r="AD207" s="3"/>
    </row>
    <row r="208" spans="1:30" x14ac:dyDescent="0.25">
      <c r="A208">
        <v>4</v>
      </c>
      <c r="B208" t="s">
        <v>1</v>
      </c>
      <c r="C208">
        <v>13664</v>
      </c>
      <c r="D208">
        <v>224</v>
      </c>
      <c r="E208">
        <v>2</v>
      </c>
      <c r="F208">
        <v>2</v>
      </c>
      <c r="G208" s="16">
        <v>750.4</v>
      </c>
      <c r="H208" s="26">
        <v>2.2667999999999999</v>
      </c>
      <c r="I208" s="1">
        <v>45427</v>
      </c>
      <c r="J208" s="2">
        <v>0.36394675925925923</v>
      </c>
      <c r="K208">
        <v>0</v>
      </c>
      <c r="L208">
        <v>0</v>
      </c>
      <c r="M208">
        <v>0</v>
      </c>
      <c r="N208" s="27">
        <f t="shared" si="118"/>
        <v>2.2660399999999998</v>
      </c>
      <c r="P208">
        <v>4</v>
      </c>
      <c r="Q208" t="s">
        <v>1</v>
      </c>
      <c r="R208">
        <v>13664</v>
      </c>
      <c r="S208">
        <v>224</v>
      </c>
      <c r="T208">
        <v>2</v>
      </c>
      <c r="U208">
        <v>2</v>
      </c>
      <c r="V208" s="16">
        <v>690.27</v>
      </c>
      <c r="W208" s="26">
        <v>2.4643000000000002</v>
      </c>
      <c r="X208" s="1">
        <v>45437</v>
      </c>
      <c r="Y208" s="2">
        <v>0.94709490740740743</v>
      </c>
      <c r="Z208">
        <v>0</v>
      </c>
      <c r="AA208">
        <v>0</v>
      </c>
      <c r="AB208">
        <v>0</v>
      </c>
      <c r="AC208" s="3">
        <f t="shared" si="119"/>
        <v>2.47878</v>
      </c>
      <c r="AD208" s="3"/>
    </row>
    <row r="209" spans="1:30" x14ac:dyDescent="0.25">
      <c r="A209">
        <v>0</v>
      </c>
      <c r="B209" t="s">
        <v>1</v>
      </c>
      <c r="C209">
        <v>14560</v>
      </c>
      <c r="D209">
        <v>224</v>
      </c>
      <c r="E209">
        <v>2</v>
      </c>
      <c r="F209">
        <v>2</v>
      </c>
      <c r="G209">
        <v>910.67</v>
      </c>
      <c r="H209" s="26">
        <v>2.2599</v>
      </c>
      <c r="I209" s="1">
        <v>45425</v>
      </c>
      <c r="J209" s="2">
        <v>8.2650462962962967E-2</v>
      </c>
      <c r="K209">
        <v>0</v>
      </c>
      <c r="L209">
        <v>0</v>
      </c>
      <c r="M209">
        <v>0</v>
      </c>
      <c r="N209" s="27">
        <f t="shared" ref="N209" si="160">AVERAGE(H209:H213)</f>
        <v>2.2587000000000002</v>
      </c>
      <c r="P209">
        <v>0</v>
      </c>
      <c r="Q209" t="s">
        <v>1</v>
      </c>
      <c r="R209">
        <v>14560</v>
      </c>
      <c r="S209">
        <v>224</v>
      </c>
      <c r="T209">
        <v>2</v>
      </c>
      <c r="U209">
        <v>2</v>
      </c>
      <c r="V209">
        <v>823.87</v>
      </c>
      <c r="W209" s="38">
        <v>2.4981</v>
      </c>
      <c r="X209" s="1">
        <v>45435</v>
      </c>
      <c r="Y209" s="2">
        <v>0.59284722222222219</v>
      </c>
      <c r="Z209">
        <v>0</v>
      </c>
      <c r="AA209">
        <v>0</v>
      </c>
      <c r="AB209">
        <v>0</v>
      </c>
      <c r="AC209" s="3">
        <f t="shared" ref="AC209" si="161">AVERAGE(W209:W213)</f>
        <v>2.4970600000000003</v>
      </c>
      <c r="AD209" s="3"/>
    </row>
    <row r="210" spans="1:30" x14ac:dyDescent="0.25">
      <c r="A210">
        <v>1</v>
      </c>
      <c r="B210" t="s">
        <v>1</v>
      </c>
      <c r="C210">
        <v>14560</v>
      </c>
      <c r="D210">
        <v>224</v>
      </c>
      <c r="E210">
        <v>2</v>
      </c>
      <c r="F210">
        <v>2</v>
      </c>
      <c r="G210">
        <v>911.26</v>
      </c>
      <c r="H210" s="26">
        <v>2.2585000000000002</v>
      </c>
      <c r="I210" s="1">
        <v>45425</v>
      </c>
      <c r="J210" s="2">
        <v>0.67024305555555552</v>
      </c>
      <c r="K210">
        <v>0</v>
      </c>
      <c r="L210">
        <v>0</v>
      </c>
      <c r="M210">
        <v>0</v>
      </c>
      <c r="N210" s="27">
        <f t="shared" ref="N210" si="162">N209</f>
        <v>2.2587000000000002</v>
      </c>
      <c r="P210">
        <v>1</v>
      </c>
      <c r="Q210" t="s">
        <v>1</v>
      </c>
      <c r="R210">
        <v>14560</v>
      </c>
      <c r="S210">
        <v>224</v>
      </c>
      <c r="T210">
        <v>2</v>
      </c>
      <c r="U210">
        <v>2</v>
      </c>
      <c r="V210">
        <v>823.29</v>
      </c>
      <c r="W210" s="38">
        <v>2.4998</v>
      </c>
      <c r="X210" s="1">
        <v>45436</v>
      </c>
      <c r="Y210" s="2">
        <v>0.21562500000000001</v>
      </c>
      <c r="Z210">
        <v>0</v>
      </c>
      <c r="AA210">
        <v>0</v>
      </c>
      <c r="AB210">
        <v>0</v>
      </c>
      <c r="AC210" s="3">
        <f t="shared" ref="AC210" si="163">AC209</f>
        <v>2.4970600000000003</v>
      </c>
      <c r="AD210" s="3"/>
    </row>
    <row r="211" spans="1:30" x14ac:dyDescent="0.25">
      <c r="A211">
        <v>2</v>
      </c>
      <c r="B211" t="s">
        <v>1</v>
      </c>
      <c r="C211">
        <v>14560</v>
      </c>
      <c r="D211">
        <v>224</v>
      </c>
      <c r="E211">
        <v>2</v>
      </c>
      <c r="F211">
        <v>2</v>
      </c>
      <c r="G211">
        <v>911.26</v>
      </c>
      <c r="H211" s="26">
        <v>2.2585000000000002</v>
      </c>
      <c r="I211" s="1">
        <v>45426</v>
      </c>
      <c r="J211" s="2">
        <v>0.17557870370370371</v>
      </c>
      <c r="K211">
        <v>0</v>
      </c>
      <c r="L211">
        <v>0</v>
      </c>
      <c r="M211">
        <v>0</v>
      </c>
      <c r="N211" s="27">
        <f t="shared" si="122"/>
        <v>2.2587000000000002</v>
      </c>
      <c r="P211">
        <v>2</v>
      </c>
      <c r="Q211" t="s">
        <v>1</v>
      </c>
      <c r="R211">
        <v>14560</v>
      </c>
      <c r="S211">
        <v>224</v>
      </c>
      <c r="T211">
        <v>2</v>
      </c>
      <c r="U211">
        <v>2</v>
      </c>
      <c r="V211">
        <v>823.07</v>
      </c>
      <c r="W211" s="38">
        <v>2.5005000000000002</v>
      </c>
      <c r="X211" s="1">
        <v>45436</v>
      </c>
      <c r="Y211" s="2">
        <v>0.73273148148148148</v>
      </c>
      <c r="Z211">
        <v>0</v>
      </c>
      <c r="AA211">
        <v>0</v>
      </c>
      <c r="AB211">
        <v>0</v>
      </c>
      <c r="AC211" s="3">
        <f t="shared" si="123"/>
        <v>2.4970600000000003</v>
      </c>
      <c r="AD211" s="3"/>
    </row>
    <row r="212" spans="1:30" x14ac:dyDescent="0.25">
      <c r="A212">
        <v>3</v>
      </c>
      <c r="B212" t="s">
        <v>1</v>
      </c>
      <c r="C212">
        <v>14560</v>
      </c>
      <c r="D212">
        <v>224</v>
      </c>
      <c r="E212">
        <v>2</v>
      </c>
      <c r="F212">
        <v>2</v>
      </c>
      <c r="G212">
        <v>911.25</v>
      </c>
      <c r="H212" s="26">
        <v>2.2585000000000002</v>
      </c>
      <c r="I212" s="1">
        <v>45426</v>
      </c>
      <c r="J212" s="2">
        <v>0.68103009259259262</v>
      </c>
      <c r="K212">
        <v>0</v>
      </c>
      <c r="L212">
        <v>0</v>
      </c>
      <c r="M212">
        <v>0</v>
      </c>
      <c r="N212" s="27">
        <f t="shared" si="122"/>
        <v>2.2587000000000002</v>
      </c>
      <c r="P212">
        <v>3</v>
      </c>
      <c r="Q212" t="s">
        <v>1</v>
      </c>
      <c r="R212">
        <v>14560</v>
      </c>
      <c r="S212">
        <v>224</v>
      </c>
      <c r="T212">
        <v>2</v>
      </c>
      <c r="U212">
        <v>2</v>
      </c>
      <c r="V212">
        <v>825.57</v>
      </c>
      <c r="W212" s="38">
        <v>2.4929000000000001</v>
      </c>
      <c r="X212" s="1">
        <v>45437</v>
      </c>
      <c r="Y212" s="2">
        <v>0.24936342592592592</v>
      </c>
      <c r="Z212">
        <v>0</v>
      </c>
      <c r="AA212">
        <v>0</v>
      </c>
      <c r="AB212">
        <v>0</v>
      </c>
      <c r="AC212" s="3">
        <f t="shared" si="123"/>
        <v>2.4970600000000003</v>
      </c>
      <c r="AD212" s="3"/>
    </row>
    <row r="213" spans="1:30" x14ac:dyDescent="0.25">
      <c r="A213">
        <v>4</v>
      </c>
      <c r="B213" t="s">
        <v>1</v>
      </c>
      <c r="C213">
        <v>14560</v>
      </c>
      <c r="D213">
        <v>224</v>
      </c>
      <c r="E213">
        <v>2</v>
      </c>
      <c r="F213">
        <v>2</v>
      </c>
      <c r="G213">
        <v>911.43</v>
      </c>
      <c r="H213" s="26">
        <v>2.2581000000000002</v>
      </c>
      <c r="I213" s="1">
        <v>45427</v>
      </c>
      <c r="J213" s="2">
        <v>0.1865162037037037</v>
      </c>
      <c r="K213">
        <v>0</v>
      </c>
      <c r="L213">
        <v>0</v>
      </c>
      <c r="M213">
        <v>0</v>
      </c>
      <c r="N213" s="27">
        <f t="shared" si="122"/>
        <v>2.2587000000000002</v>
      </c>
      <c r="P213">
        <v>4</v>
      </c>
      <c r="Q213" t="s">
        <v>1</v>
      </c>
      <c r="R213">
        <v>14560</v>
      </c>
      <c r="S213">
        <v>224</v>
      </c>
      <c r="T213">
        <v>2</v>
      </c>
      <c r="U213">
        <v>2</v>
      </c>
      <c r="V213">
        <v>825.21</v>
      </c>
      <c r="W213" s="38">
        <v>2.4940000000000002</v>
      </c>
      <c r="X213" s="1">
        <v>45437</v>
      </c>
      <c r="Y213" s="2">
        <v>0.76641203703703709</v>
      </c>
      <c r="Z213">
        <v>0</v>
      </c>
      <c r="AA213">
        <v>0</v>
      </c>
      <c r="AB213">
        <v>0</v>
      </c>
      <c r="AC213" s="3">
        <f t="shared" si="123"/>
        <v>2.4970600000000003</v>
      </c>
      <c r="AD213" s="3"/>
    </row>
    <row r="214" spans="1:30" x14ac:dyDescent="0.25">
      <c r="A214">
        <v>0</v>
      </c>
      <c r="B214" t="s">
        <v>1</v>
      </c>
      <c r="C214">
        <v>13056</v>
      </c>
      <c r="D214">
        <v>256</v>
      </c>
      <c r="E214">
        <v>1</v>
      </c>
      <c r="F214">
        <v>4</v>
      </c>
      <c r="G214">
        <v>692.84</v>
      </c>
      <c r="H214" s="26">
        <v>2.1417999999999999</v>
      </c>
      <c r="I214" s="1">
        <v>45425</v>
      </c>
      <c r="J214" s="2">
        <v>0.50067129629629625</v>
      </c>
      <c r="K214">
        <v>0</v>
      </c>
      <c r="L214">
        <v>0</v>
      </c>
      <c r="M214">
        <v>0</v>
      </c>
      <c r="N214" s="27">
        <f t="shared" ref="N214" si="164">AVERAGE(H214:H218)</f>
        <v>2.14154</v>
      </c>
      <c r="P214">
        <v>0</v>
      </c>
      <c r="Q214" t="s">
        <v>1</v>
      </c>
      <c r="R214">
        <v>13056</v>
      </c>
      <c r="S214">
        <v>256</v>
      </c>
      <c r="T214">
        <v>1</v>
      </c>
      <c r="U214">
        <v>4</v>
      </c>
      <c r="V214">
        <v>617.61</v>
      </c>
      <c r="W214" s="38">
        <v>2.4026999999999998</v>
      </c>
      <c r="X214" s="1">
        <v>45436</v>
      </c>
      <c r="Y214" s="2">
        <v>4.2581018518518518E-2</v>
      </c>
      <c r="Z214">
        <v>0</v>
      </c>
      <c r="AA214">
        <v>0</v>
      </c>
      <c r="AB214">
        <v>0</v>
      </c>
      <c r="AC214" s="3">
        <f t="shared" ref="AC214" si="165">AVERAGE(W214:W218)</f>
        <v>2.3939599999999999</v>
      </c>
      <c r="AD214" s="3"/>
    </row>
    <row r="215" spans="1:30" x14ac:dyDescent="0.25">
      <c r="A215">
        <v>1</v>
      </c>
      <c r="B215" t="s">
        <v>1</v>
      </c>
      <c r="C215">
        <v>13056</v>
      </c>
      <c r="D215">
        <v>256</v>
      </c>
      <c r="E215">
        <v>1</v>
      </c>
      <c r="F215">
        <v>4</v>
      </c>
      <c r="G215">
        <v>692.94</v>
      </c>
      <c r="H215" s="26">
        <v>2.1415000000000002</v>
      </c>
      <c r="I215" s="1">
        <v>45426</v>
      </c>
      <c r="J215" s="2">
        <v>6.0069444444444441E-3</v>
      </c>
      <c r="K215">
        <v>0</v>
      </c>
      <c r="L215">
        <v>0</v>
      </c>
      <c r="M215">
        <v>0</v>
      </c>
      <c r="N215" s="27">
        <f t="shared" ref="N215" si="166">N214</f>
        <v>2.14154</v>
      </c>
      <c r="P215">
        <v>1</v>
      </c>
      <c r="Q215" t="s">
        <v>1</v>
      </c>
      <c r="R215">
        <v>13056</v>
      </c>
      <c r="S215">
        <v>256</v>
      </c>
      <c r="T215">
        <v>1</v>
      </c>
      <c r="U215">
        <v>4</v>
      </c>
      <c r="V215">
        <v>620.74</v>
      </c>
      <c r="W215" s="38">
        <v>2.3906000000000001</v>
      </c>
      <c r="X215" s="1">
        <v>45436</v>
      </c>
      <c r="Y215" s="2">
        <v>0.55934027777777773</v>
      </c>
      <c r="Z215">
        <v>0</v>
      </c>
      <c r="AA215">
        <v>0</v>
      </c>
      <c r="AB215">
        <v>0</v>
      </c>
      <c r="AC215" s="3">
        <f t="shared" ref="AC215" si="167">AC214</f>
        <v>2.3939599999999999</v>
      </c>
      <c r="AD215" s="3"/>
    </row>
    <row r="216" spans="1:30" x14ac:dyDescent="0.25">
      <c r="A216">
        <v>2</v>
      </c>
      <c r="B216" t="s">
        <v>1</v>
      </c>
      <c r="C216">
        <v>13056</v>
      </c>
      <c r="D216">
        <v>256</v>
      </c>
      <c r="E216">
        <v>1</v>
      </c>
      <c r="F216">
        <v>4</v>
      </c>
      <c r="G216">
        <v>693.01</v>
      </c>
      <c r="H216" s="26">
        <v>2.1413000000000002</v>
      </c>
      <c r="I216" s="1">
        <v>45426</v>
      </c>
      <c r="J216" s="2">
        <v>0.5113657407407407</v>
      </c>
      <c r="K216">
        <v>0</v>
      </c>
      <c r="L216">
        <v>0</v>
      </c>
      <c r="M216">
        <v>0</v>
      </c>
      <c r="N216" s="27">
        <f t="shared" si="118"/>
        <v>2.14154</v>
      </c>
      <c r="P216">
        <v>2</v>
      </c>
      <c r="Q216" t="s">
        <v>1</v>
      </c>
      <c r="R216">
        <v>13056</v>
      </c>
      <c r="S216">
        <v>256</v>
      </c>
      <c r="T216">
        <v>1</v>
      </c>
      <c r="U216">
        <v>4</v>
      </c>
      <c r="V216">
        <v>618.99</v>
      </c>
      <c r="W216" s="38">
        <v>2.3973</v>
      </c>
      <c r="X216" s="1">
        <v>45437</v>
      </c>
      <c r="Y216" s="2">
        <v>7.615740740740741E-2</v>
      </c>
      <c r="Z216">
        <v>0</v>
      </c>
      <c r="AA216">
        <v>0</v>
      </c>
      <c r="AB216">
        <v>0</v>
      </c>
      <c r="AC216" s="3">
        <f t="shared" si="119"/>
        <v>2.3939599999999999</v>
      </c>
      <c r="AD216" s="3"/>
    </row>
    <row r="217" spans="1:30" x14ac:dyDescent="0.25">
      <c r="A217">
        <v>3</v>
      </c>
      <c r="B217" t="s">
        <v>1</v>
      </c>
      <c r="C217">
        <v>13056</v>
      </c>
      <c r="D217">
        <v>256</v>
      </c>
      <c r="E217">
        <v>1</v>
      </c>
      <c r="F217">
        <v>4</v>
      </c>
      <c r="G217">
        <v>692.69</v>
      </c>
      <c r="H217" s="26">
        <v>2.1423000000000001</v>
      </c>
      <c r="I217" s="1">
        <v>45427</v>
      </c>
      <c r="J217" s="2">
        <v>1.6932870370370369E-2</v>
      </c>
      <c r="K217">
        <v>0</v>
      </c>
      <c r="L217">
        <v>0</v>
      </c>
      <c r="M217">
        <v>0</v>
      </c>
      <c r="N217" s="27">
        <f t="shared" si="118"/>
        <v>2.14154</v>
      </c>
      <c r="P217">
        <v>3</v>
      </c>
      <c r="Q217" t="s">
        <v>1</v>
      </c>
      <c r="R217">
        <v>13056</v>
      </c>
      <c r="S217">
        <v>256</v>
      </c>
      <c r="T217">
        <v>1</v>
      </c>
      <c r="U217">
        <v>4</v>
      </c>
      <c r="V217">
        <v>624</v>
      </c>
      <c r="W217" s="38">
        <v>2.3780999999999999</v>
      </c>
      <c r="X217" s="1">
        <v>45437</v>
      </c>
      <c r="Y217" s="2">
        <v>0.59319444444444447</v>
      </c>
      <c r="Z217">
        <v>0</v>
      </c>
      <c r="AA217">
        <v>0</v>
      </c>
      <c r="AB217">
        <v>0</v>
      </c>
      <c r="AC217" s="3">
        <f t="shared" si="119"/>
        <v>2.3939599999999999</v>
      </c>
      <c r="AD217" s="3"/>
    </row>
    <row r="218" spans="1:30" x14ac:dyDescent="0.25">
      <c r="A218">
        <v>4</v>
      </c>
      <c r="B218" t="s">
        <v>1</v>
      </c>
      <c r="C218">
        <v>13056</v>
      </c>
      <c r="D218">
        <v>256</v>
      </c>
      <c r="E218">
        <v>1</v>
      </c>
      <c r="F218">
        <v>4</v>
      </c>
      <c r="G218" s="16">
        <v>693.16</v>
      </c>
      <c r="H218" s="26">
        <v>2.1408</v>
      </c>
      <c r="I218" s="1">
        <v>45427</v>
      </c>
      <c r="J218" s="2">
        <v>0.52225694444444448</v>
      </c>
      <c r="K218">
        <v>0</v>
      </c>
      <c r="L218">
        <v>0</v>
      </c>
      <c r="M218">
        <v>0</v>
      </c>
      <c r="N218" s="27">
        <f t="shared" si="118"/>
        <v>2.14154</v>
      </c>
      <c r="P218">
        <v>4</v>
      </c>
      <c r="Q218" t="s">
        <v>1</v>
      </c>
      <c r="R218">
        <v>13056</v>
      </c>
      <c r="S218">
        <v>256</v>
      </c>
      <c r="T218">
        <v>1</v>
      </c>
      <c r="U218">
        <v>4</v>
      </c>
      <c r="V218" s="16">
        <v>618.02</v>
      </c>
      <c r="W218" s="26">
        <v>2.4011</v>
      </c>
      <c r="X218" s="1">
        <v>45438</v>
      </c>
      <c r="Y218" s="2">
        <v>0.11034722222222222</v>
      </c>
      <c r="Z218">
        <v>0</v>
      </c>
      <c r="AA218">
        <v>0</v>
      </c>
      <c r="AB218">
        <v>0</v>
      </c>
      <c r="AC218" s="3">
        <f t="shared" si="119"/>
        <v>2.3939599999999999</v>
      </c>
      <c r="AD218" s="3"/>
    </row>
    <row r="219" spans="1:30" x14ac:dyDescent="0.25">
      <c r="A219">
        <v>0</v>
      </c>
      <c r="B219" t="s">
        <v>1</v>
      </c>
      <c r="C219">
        <v>13824</v>
      </c>
      <c r="D219">
        <v>256</v>
      </c>
      <c r="E219">
        <v>1</v>
      </c>
      <c r="F219">
        <v>4</v>
      </c>
      <c r="G219">
        <v>824.63</v>
      </c>
      <c r="H219" s="26">
        <v>2.1360999999999999</v>
      </c>
      <c r="I219" s="1">
        <v>45425</v>
      </c>
      <c r="J219" s="2">
        <v>0.26993055555555556</v>
      </c>
      <c r="K219">
        <v>0</v>
      </c>
      <c r="L219">
        <v>0</v>
      </c>
      <c r="M219">
        <v>0</v>
      </c>
      <c r="N219" s="27">
        <f t="shared" ref="N219" si="168">AVERAGE(H219:H223)</f>
        <v>2.1341000000000001</v>
      </c>
      <c r="P219">
        <v>0</v>
      </c>
      <c r="Q219" t="s">
        <v>1</v>
      </c>
      <c r="R219">
        <v>13824</v>
      </c>
      <c r="S219">
        <v>256</v>
      </c>
      <c r="T219">
        <v>1</v>
      </c>
      <c r="U219">
        <v>4</v>
      </c>
      <c r="V219">
        <v>730.36</v>
      </c>
      <c r="W219" s="38">
        <v>2.4117999999999999</v>
      </c>
      <c r="X219" s="1">
        <v>45435</v>
      </c>
      <c r="Y219" s="2">
        <v>0.88995370370370375</v>
      </c>
      <c r="Z219">
        <v>0</v>
      </c>
      <c r="AA219">
        <v>0</v>
      </c>
      <c r="AB219">
        <v>0</v>
      </c>
      <c r="AC219" s="3">
        <f t="shared" ref="AC219" si="169">AVERAGE(W219:W223)</f>
        <v>2.4104600000000005</v>
      </c>
      <c r="AD219" s="3"/>
    </row>
    <row r="220" spans="1:30" x14ac:dyDescent="0.25">
      <c r="A220">
        <v>1</v>
      </c>
      <c r="B220" t="s">
        <v>1</v>
      </c>
      <c r="C220">
        <v>13824</v>
      </c>
      <c r="D220">
        <v>256</v>
      </c>
      <c r="E220">
        <v>1</v>
      </c>
      <c r="F220">
        <v>4</v>
      </c>
      <c r="G220">
        <v>825.57</v>
      </c>
      <c r="H220" s="26">
        <v>2.1337000000000002</v>
      </c>
      <c r="I220" s="1">
        <v>45425</v>
      </c>
      <c r="J220" s="2">
        <v>0.85754629629629631</v>
      </c>
      <c r="K220">
        <v>0</v>
      </c>
      <c r="L220">
        <v>0</v>
      </c>
      <c r="M220">
        <v>0</v>
      </c>
      <c r="N220" s="27">
        <f t="shared" ref="N220" si="170">N219</f>
        <v>2.1341000000000001</v>
      </c>
      <c r="P220">
        <v>1</v>
      </c>
      <c r="Q220" t="s">
        <v>1</v>
      </c>
      <c r="R220">
        <v>13824</v>
      </c>
      <c r="S220">
        <v>256</v>
      </c>
      <c r="T220">
        <v>1</v>
      </c>
      <c r="U220">
        <v>4</v>
      </c>
      <c r="V220">
        <v>731.72</v>
      </c>
      <c r="W220" s="38">
        <v>2.4073000000000002</v>
      </c>
      <c r="X220" s="1">
        <v>45436</v>
      </c>
      <c r="Y220" s="2">
        <v>0.40625</v>
      </c>
      <c r="Z220">
        <v>0</v>
      </c>
      <c r="AA220">
        <v>0</v>
      </c>
      <c r="AB220">
        <v>0</v>
      </c>
      <c r="AC220" s="3">
        <f t="shared" ref="AC220" si="171">AC219</f>
        <v>2.4104600000000005</v>
      </c>
      <c r="AD220" s="3"/>
    </row>
    <row r="221" spans="1:30" x14ac:dyDescent="0.25">
      <c r="A221">
        <v>2</v>
      </c>
      <c r="B221" t="s">
        <v>1</v>
      </c>
      <c r="C221">
        <v>13824</v>
      </c>
      <c r="D221">
        <v>256</v>
      </c>
      <c r="E221">
        <v>1</v>
      </c>
      <c r="F221">
        <v>4</v>
      </c>
      <c r="G221">
        <v>826.4</v>
      </c>
      <c r="H221" s="26">
        <v>2.1315</v>
      </c>
      <c r="I221" s="1">
        <v>45426</v>
      </c>
      <c r="J221" s="2">
        <v>0.36289351851851853</v>
      </c>
      <c r="K221">
        <v>0</v>
      </c>
      <c r="L221">
        <v>0</v>
      </c>
      <c r="M221">
        <v>0</v>
      </c>
      <c r="N221" s="27">
        <f t="shared" si="122"/>
        <v>2.1341000000000001</v>
      </c>
      <c r="P221">
        <v>2</v>
      </c>
      <c r="Q221" t="s">
        <v>1</v>
      </c>
      <c r="R221">
        <v>13824</v>
      </c>
      <c r="S221">
        <v>256</v>
      </c>
      <c r="T221">
        <v>1</v>
      </c>
      <c r="U221">
        <v>4</v>
      </c>
      <c r="V221">
        <v>729.96</v>
      </c>
      <c r="W221" s="38">
        <v>2.4131</v>
      </c>
      <c r="X221" s="1">
        <v>45436</v>
      </c>
      <c r="Y221" s="2">
        <v>0.92329861111111111</v>
      </c>
      <c r="Z221">
        <v>0</v>
      </c>
      <c r="AA221">
        <v>0</v>
      </c>
      <c r="AB221">
        <v>0</v>
      </c>
      <c r="AC221" s="3">
        <f t="shared" si="123"/>
        <v>2.4104600000000005</v>
      </c>
      <c r="AD221" s="3"/>
    </row>
    <row r="222" spans="1:30" x14ac:dyDescent="0.25">
      <c r="A222">
        <v>3</v>
      </c>
      <c r="B222" t="s">
        <v>1</v>
      </c>
      <c r="C222">
        <v>13824</v>
      </c>
      <c r="D222">
        <v>256</v>
      </c>
      <c r="E222">
        <v>1</v>
      </c>
      <c r="F222">
        <v>4</v>
      </c>
      <c r="G222">
        <v>825.44</v>
      </c>
      <c r="H222" s="26">
        <v>2.1339999999999999</v>
      </c>
      <c r="I222" s="1">
        <v>45426</v>
      </c>
      <c r="J222" s="2">
        <v>0.86849537037037039</v>
      </c>
      <c r="K222">
        <v>0</v>
      </c>
      <c r="L222">
        <v>0</v>
      </c>
      <c r="M222">
        <v>0</v>
      </c>
      <c r="N222" s="27">
        <f t="shared" si="122"/>
        <v>2.1341000000000001</v>
      </c>
      <c r="P222">
        <v>3</v>
      </c>
      <c r="Q222" t="s">
        <v>1</v>
      </c>
      <c r="R222">
        <v>13824</v>
      </c>
      <c r="S222">
        <v>256</v>
      </c>
      <c r="T222">
        <v>1</v>
      </c>
      <c r="U222">
        <v>4</v>
      </c>
      <c r="V222">
        <v>730.32</v>
      </c>
      <c r="W222" s="38">
        <v>2.4119000000000002</v>
      </c>
      <c r="X222" s="1">
        <v>45437</v>
      </c>
      <c r="Y222" s="2">
        <v>0.44005787037037036</v>
      </c>
      <c r="Z222">
        <v>0</v>
      </c>
      <c r="AA222">
        <v>0</v>
      </c>
      <c r="AB222">
        <v>0</v>
      </c>
      <c r="AC222" s="3">
        <f t="shared" si="123"/>
        <v>2.4104600000000005</v>
      </c>
      <c r="AD222" s="3"/>
    </row>
    <row r="223" spans="1:30" x14ac:dyDescent="0.25">
      <c r="A223">
        <v>4</v>
      </c>
      <c r="B223" t="s">
        <v>1</v>
      </c>
      <c r="C223">
        <v>13824</v>
      </c>
      <c r="D223">
        <v>256</v>
      </c>
      <c r="E223">
        <v>1</v>
      </c>
      <c r="F223">
        <v>4</v>
      </c>
      <c r="G223" s="16">
        <v>824.97</v>
      </c>
      <c r="H223" s="26">
        <v>2.1352000000000002</v>
      </c>
      <c r="I223" s="1">
        <v>45427</v>
      </c>
      <c r="J223" s="2">
        <v>0.37380787037037039</v>
      </c>
      <c r="K223">
        <v>0</v>
      </c>
      <c r="L223">
        <v>0</v>
      </c>
      <c r="M223">
        <v>0</v>
      </c>
      <c r="N223" s="27">
        <f t="shared" si="122"/>
        <v>2.1341000000000001</v>
      </c>
      <c r="P223">
        <v>4</v>
      </c>
      <c r="Q223" t="s">
        <v>1</v>
      </c>
      <c r="R223">
        <v>13824</v>
      </c>
      <c r="S223">
        <v>256</v>
      </c>
      <c r="T223">
        <v>1</v>
      </c>
      <c r="U223">
        <v>4</v>
      </c>
      <c r="V223" s="16">
        <v>731.46</v>
      </c>
      <c r="W223" s="26">
        <v>2.4081999999999999</v>
      </c>
      <c r="X223" s="1">
        <v>45437</v>
      </c>
      <c r="Y223" s="2">
        <v>0.95706018518518521</v>
      </c>
      <c r="Z223">
        <v>0</v>
      </c>
      <c r="AA223">
        <v>0</v>
      </c>
      <c r="AB223">
        <v>0</v>
      </c>
      <c r="AC223" s="3">
        <f t="shared" si="123"/>
        <v>2.4104600000000005</v>
      </c>
      <c r="AD223" s="3"/>
    </row>
    <row r="224" spans="1:30" x14ac:dyDescent="0.25">
      <c r="A224">
        <v>0</v>
      </c>
      <c r="B224" t="s">
        <v>1</v>
      </c>
      <c r="C224">
        <v>14592</v>
      </c>
      <c r="D224">
        <v>256</v>
      </c>
      <c r="E224">
        <v>1</v>
      </c>
      <c r="F224">
        <v>4</v>
      </c>
      <c r="G224">
        <v>952.23</v>
      </c>
      <c r="H224" s="26">
        <v>2.1756000000000002</v>
      </c>
      <c r="I224" s="1">
        <v>45425</v>
      </c>
      <c r="J224" s="2">
        <v>9.402777777777778E-2</v>
      </c>
      <c r="K224">
        <v>0</v>
      </c>
      <c r="L224">
        <v>0</v>
      </c>
      <c r="M224">
        <v>0</v>
      </c>
      <c r="N224" s="27">
        <f t="shared" ref="N224" si="172">AVERAGE(H224:H228)</f>
        <v>2.1747199999999998</v>
      </c>
      <c r="P224">
        <v>0</v>
      </c>
      <c r="Q224" t="s">
        <v>1</v>
      </c>
      <c r="R224">
        <v>14592</v>
      </c>
      <c r="S224">
        <v>256</v>
      </c>
      <c r="T224">
        <v>1</v>
      </c>
      <c r="U224">
        <v>4</v>
      </c>
      <c r="V224">
        <v>855.63</v>
      </c>
      <c r="W224" s="38">
        <v>2.4211999999999998</v>
      </c>
      <c r="X224" s="1">
        <v>45435</v>
      </c>
      <c r="Y224" s="2">
        <v>0.60445601851851849</v>
      </c>
      <c r="Z224">
        <v>0</v>
      </c>
      <c r="AA224">
        <v>0</v>
      </c>
      <c r="AB224">
        <v>0</v>
      </c>
      <c r="AC224" s="3">
        <f t="shared" ref="AC224" si="173">AVERAGE(W224:W228)</f>
        <v>2.43432</v>
      </c>
      <c r="AD224" s="3"/>
    </row>
    <row r="225" spans="1:30" x14ac:dyDescent="0.25">
      <c r="A225">
        <v>1</v>
      </c>
      <c r="B225" t="s">
        <v>1</v>
      </c>
      <c r="C225">
        <v>14592</v>
      </c>
      <c r="D225">
        <v>256</v>
      </c>
      <c r="E225">
        <v>1</v>
      </c>
      <c r="F225">
        <v>4</v>
      </c>
      <c r="G225">
        <v>952.52</v>
      </c>
      <c r="H225" s="26">
        <v>2.1749000000000001</v>
      </c>
      <c r="I225" s="1">
        <v>45425</v>
      </c>
      <c r="J225" s="2">
        <v>0.68160879629629634</v>
      </c>
      <c r="K225">
        <v>0</v>
      </c>
      <c r="L225">
        <v>0</v>
      </c>
      <c r="M225">
        <v>0</v>
      </c>
      <c r="N225" s="27">
        <f t="shared" ref="N225:N288" si="174">N224</f>
        <v>2.1747199999999998</v>
      </c>
      <c r="P225">
        <v>1</v>
      </c>
      <c r="Q225" t="s">
        <v>1</v>
      </c>
      <c r="R225">
        <v>14592</v>
      </c>
      <c r="S225">
        <v>256</v>
      </c>
      <c r="T225">
        <v>1</v>
      </c>
      <c r="U225">
        <v>4</v>
      </c>
      <c r="V225">
        <v>850.38</v>
      </c>
      <c r="W225" s="38">
        <v>2.4361999999999999</v>
      </c>
      <c r="X225" s="1">
        <v>45436</v>
      </c>
      <c r="Y225" s="2">
        <v>0.22718749999999999</v>
      </c>
      <c r="Z225">
        <v>0</v>
      </c>
      <c r="AA225">
        <v>0</v>
      </c>
      <c r="AB225">
        <v>0</v>
      </c>
      <c r="AC225" s="3">
        <f t="shared" ref="AC225:AC288" si="175">AC224</f>
        <v>2.43432</v>
      </c>
      <c r="AD225" s="3"/>
    </row>
    <row r="226" spans="1:30" x14ac:dyDescent="0.25">
      <c r="A226">
        <v>2</v>
      </c>
      <c r="B226" t="s">
        <v>1</v>
      </c>
      <c r="C226">
        <v>14592</v>
      </c>
      <c r="D226">
        <v>256</v>
      </c>
      <c r="E226">
        <v>1</v>
      </c>
      <c r="F226">
        <v>4</v>
      </c>
      <c r="G226">
        <v>952.93</v>
      </c>
      <c r="H226" s="26">
        <v>2.1739999999999999</v>
      </c>
      <c r="I226" s="1">
        <v>45426</v>
      </c>
      <c r="J226" s="2">
        <v>0.18695601851851851</v>
      </c>
      <c r="K226">
        <v>0</v>
      </c>
      <c r="L226">
        <v>0</v>
      </c>
      <c r="M226">
        <v>0</v>
      </c>
      <c r="N226" s="27">
        <f t="shared" si="174"/>
        <v>2.1747199999999998</v>
      </c>
      <c r="P226">
        <v>2</v>
      </c>
      <c r="Q226" t="s">
        <v>1</v>
      </c>
      <c r="R226">
        <v>14592</v>
      </c>
      <c r="S226">
        <v>256</v>
      </c>
      <c r="T226">
        <v>1</v>
      </c>
      <c r="U226">
        <v>4</v>
      </c>
      <c r="V226">
        <v>850.33</v>
      </c>
      <c r="W226" s="38">
        <v>2.4363000000000001</v>
      </c>
      <c r="X226" s="1">
        <v>45436</v>
      </c>
      <c r="Y226" s="2">
        <v>0.74427083333333333</v>
      </c>
      <c r="Z226">
        <v>0</v>
      </c>
      <c r="AA226">
        <v>0</v>
      </c>
      <c r="AB226">
        <v>0</v>
      </c>
      <c r="AC226" s="3">
        <f t="shared" si="175"/>
        <v>2.43432</v>
      </c>
      <c r="AD226" s="3"/>
    </row>
    <row r="227" spans="1:30" x14ac:dyDescent="0.25">
      <c r="A227">
        <v>3</v>
      </c>
      <c r="B227" t="s">
        <v>1</v>
      </c>
      <c r="C227">
        <v>14592</v>
      </c>
      <c r="D227">
        <v>256</v>
      </c>
      <c r="E227">
        <v>1</v>
      </c>
      <c r="F227">
        <v>4</v>
      </c>
      <c r="G227">
        <v>953.21</v>
      </c>
      <c r="H227" s="26">
        <v>2.1734</v>
      </c>
      <c r="I227" s="1">
        <v>45426</v>
      </c>
      <c r="J227" s="2">
        <v>0.69241898148148151</v>
      </c>
      <c r="K227">
        <v>0</v>
      </c>
      <c r="L227">
        <v>0</v>
      </c>
      <c r="M227">
        <v>0</v>
      </c>
      <c r="N227" s="27">
        <f t="shared" si="174"/>
        <v>2.1747199999999998</v>
      </c>
      <c r="P227">
        <v>3</v>
      </c>
      <c r="Q227" t="s">
        <v>1</v>
      </c>
      <c r="R227">
        <v>14592</v>
      </c>
      <c r="S227">
        <v>256</v>
      </c>
      <c r="T227">
        <v>1</v>
      </c>
      <c r="U227">
        <v>4</v>
      </c>
      <c r="V227">
        <v>849.96</v>
      </c>
      <c r="W227" s="38">
        <v>2.4373999999999998</v>
      </c>
      <c r="X227" s="1">
        <v>45437</v>
      </c>
      <c r="Y227" s="2">
        <v>0.26090277777777776</v>
      </c>
      <c r="Z227">
        <v>0</v>
      </c>
      <c r="AA227">
        <v>0</v>
      </c>
      <c r="AB227">
        <v>0</v>
      </c>
      <c r="AC227" s="3">
        <f t="shared" si="175"/>
        <v>2.43432</v>
      </c>
      <c r="AD227" s="3"/>
    </row>
    <row r="228" spans="1:30" x14ac:dyDescent="0.25">
      <c r="A228">
        <v>4</v>
      </c>
      <c r="B228" t="s">
        <v>1</v>
      </c>
      <c r="C228">
        <v>14592</v>
      </c>
      <c r="D228">
        <v>256</v>
      </c>
      <c r="E228">
        <v>1</v>
      </c>
      <c r="F228">
        <v>4</v>
      </c>
      <c r="G228">
        <v>952.19</v>
      </c>
      <c r="H228" s="26">
        <v>2.1757</v>
      </c>
      <c r="I228" s="1">
        <v>45427</v>
      </c>
      <c r="J228" s="2">
        <v>0.19788194444444446</v>
      </c>
      <c r="K228">
        <v>0</v>
      </c>
      <c r="L228">
        <v>0</v>
      </c>
      <c r="M228">
        <v>0</v>
      </c>
      <c r="N228" s="27">
        <f t="shared" si="174"/>
        <v>2.1747199999999998</v>
      </c>
      <c r="P228">
        <v>4</v>
      </c>
      <c r="Q228" t="s">
        <v>1</v>
      </c>
      <c r="R228">
        <v>14592</v>
      </c>
      <c r="S228">
        <v>256</v>
      </c>
      <c r="T228">
        <v>1</v>
      </c>
      <c r="U228">
        <v>4</v>
      </c>
      <c r="V228">
        <v>848.86</v>
      </c>
      <c r="W228" s="38">
        <v>2.4405000000000001</v>
      </c>
      <c r="X228" s="1">
        <v>45437</v>
      </c>
      <c r="Y228" s="2">
        <v>0.77793981481481478</v>
      </c>
      <c r="Z228">
        <v>0</v>
      </c>
      <c r="AA228">
        <v>0</v>
      </c>
      <c r="AB228">
        <v>0</v>
      </c>
      <c r="AC228" s="3">
        <f t="shared" si="175"/>
        <v>2.43432</v>
      </c>
      <c r="AD228" s="3"/>
    </row>
    <row r="229" spans="1:30" x14ac:dyDescent="0.25">
      <c r="A229">
        <v>0</v>
      </c>
      <c r="B229" t="s">
        <v>1</v>
      </c>
      <c r="C229">
        <v>13056</v>
      </c>
      <c r="D229">
        <v>256</v>
      </c>
      <c r="E229">
        <v>2</v>
      </c>
      <c r="F229">
        <v>2</v>
      </c>
      <c r="G229">
        <v>673.4</v>
      </c>
      <c r="H229" s="26">
        <v>2.2035999999999998</v>
      </c>
      <c r="I229" s="1">
        <v>45425</v>
      </c>
      <c r="J229" s="2">
        <v>0.50875000000000004</v>
      </c>
      <c r="K229">
        <v>0</v>
      </c>
      <c r="L229">
        <v>0</v>
      </c>
      <c r="M229">
        <v>0</v>
      </c>
      <c r="N229" s="27">
        <f t="shared" ref="N229" si="176">AVERAGE(H229:H233)</f>
        <v>2.2022599999999999</v>
      </c>
      <c r="P229">
        <v>0</v>
      </c>
      <c r="Q229" t="s">
        <v>1</v>
      </c>
      <c r="R229">
        <v>13056</v>
      </c>
      <c r="S229">
        <v>256</v>
      </c>
      <c r="T229">
        <v>2</v>
      </c>
      <c r="U229">
        <v>2</v>
      </c>
      <c r="V229">
        <v>608.62</v>
      </c>
      <c r="W229" s="38">
        <v>2.4382000000000001</v>
      </c>
      <c r="X229" s="1">
        <v>45436</v>
      </c>
      <c r="Y229" s="2">
        <v>5.0960648148148151E-2</v>
      </c>
      <c r="Z229">
        <v>0</v>
      </c>
      <c r="AA229">
        <v>0</v>
      </c>
      <c r="AB229">
        <v>0</v>
      </c>
      <c r="AC229" s="3">
        <f t="shared" ref="AC229" si="177">AVERAGE(W229:W233)</f>
        <v>2.4348000000000001</v>
      </c>
      <c r="AD229" s="3"/>
    </row>
    <row r="230" spans="1:30" x14ac:dyDescent="0.25">
      <c r="A230">
        <v>1</v>
      </c>
      <c r="B230" t="s">
        <v>1</v>
      </c>
      <c r="C230">
        <v>13056</v>
      </c>
      <c r="D230">
        <v>256</v>
      </c>
      <c r="E230">
        <v>2</v>
      </c>
      <c r="F230">
        <v>2</v>
      </c>
      <c r="G230">
        <v>673.59</v>
      </c>
      <c r="H230" s="26">
        <v>2.2029999999999998</v>
      </c>
      <c r="I230" s="1">
        <v>45426</v>
      </c>
      <c r="J230" s="2">
        <v>1.4085648148148147E-2</v>
      </c>
      <c r="K230">
        <v>0</v>
      </c>
      <c r="L230">
        <v>0</v>
      </c>
      <c r="M230">
        <v>0</v>
      </c>
      <c r="N230" s="27">
        <f t="shared" ref="N230:N293" si="178">N229</f>
        <v>2.2022599999999999</v>
      </c>
      <c r="P230">
        <v>1</v>
      </c>
      <c r="Q230" t="s">
        <v>1</v>
      </c>
      <c r="R230">
        <v>13056</v>
      </c>
      <c r="S230">
        <v>256</v>
      </c>
      <c r="T230">
        <v>2</v>
      </c>
      <c r="U230">
        <v>2</v>
      </c>
      <c r="V230">
        <v>609.23</v>
      </c>
      <c r="W230" s="38">
        <v>2.4358</v>
      </c>
      <c r="X230" s="1">
        <v>45436</v>
      </c>
      <c r="Y230" s="2">
        <v>0.56773148148148145</v>
      </c>
      <c r="Z230">
        <v>0</v>
      </c>
      <c r="AA230">
        <v>0</v>
      </c>
      <c r="AB230">
        <v>0</v>
      </c>
      <c r="AC230" s="3">
        <f t="shared" ref="AC230:AC293" si="179">AC229</f>
        <v>2.4348000000000001</v>
      </c>
      <c r="AD230" s="3"/>
    </row>
    <row r="231" spans="1:30" x14ac:dyDescent="0.25">
      <c r="A231">
        <v>2</v>
      </c>
      <c r="B231" t="s">
        <v>1</v>
      </c>
      <c r="C231">
        <v>13056</v>
      </c>
      <c r="D231">
        <v>256</v>
      </c>
      <c r="E231">
        <v>2</v>
      </c>
      <c r="F231">
        <v>2</v>
      </c>
      <c r="G231">
        <v>674.73</v>
      </c>
      <c r="H231" s="26">
        <v>2.1993</v>
      </c>
      <c r="I231" s="1">
        <v>45426</v>
      </c>
      <c r="J231" s="2">
        <v>0.51945601851851853</v>
      </c>
      <c r="K231">
        <v>0</v>
      </c>
      <c r="L231">
        <v>0</v>
      </c>
      <c r="M231">
        <v>0</v>
      </c>
      <c r="N231" s="27">
        <f t="shared" si="178"/>
        <v>2.2022599999999999</v>
      </c>
      <c r="P231">
        <v>2</v>
      </c>
      <c r="Q231" t="s">
        <v>1</v>
      </c>
      <c r="R231">
        <v>13056</v>
      </c>
      <c r="S231">
        <v>256</v>
      </c>
      <c r="T231">
        <v>2</v>
      </c>
      <c r="U231">
        <v>2</v>
      </c>
      <c r="V231">
        <v>610.34</v>
      </c>
      <c r="W231" s="38">
        <v>2.4312999999999998</v>
      </c>
      <c r="X231" s="1">
        <v>45437</v>
      </c>
      <c r="Y231" s="2">
        <v>8.4560185185185183E-2</v>
      </c>
      <c r="Z231">
        <v>0</v>
      </c>
      <c r="AA231">
        <v>0</v>
      </c>
      <c r="AB231">
        <v>0</v>
      </c>
      <c r="AC231" s="3">
        <f t="shared" si="179"/>
        <v>2.4348000000000001</v>
      </c>
      <c r="AD231" s="3"/>
    </row>
    <row r="232" spans="1:30" x14ac:dyDescent="0.25">
      <c r="A232">
        <v>3</v>
      </c>
      <c r="B232" t="s">
        <v>1</v>
      </c>
      <c r="C232">
        <v>13056</v>
      </c>
      <c r="D232">
        <v>256</v>
      </c>
      <c r="E232">
        <v>2</v>
      </c>
      <c r="F232">
        <v>2</v>
      </c>
      <c r="G232">
        <v>673.49</v>
      </c>
      <c r="H232" s="26">
        <v>2.2033</v>
      </c>
      <c r="I232" s="1">
        <v>45427</v>
      </c>
      <c r="J232" s="2">
        <v>2.5000000000000001E-2</v>
      </c>
      <c r="K232">
        <v>0</v>
      </c>
      <c r="L232">
        <v>0</v>
      </c>
      <c r="M232">
        <v>0</v>
      </c>
      <c r="N232" s="27">
        <f t="shared" si="178"/>
        <v>2.2022599999999999</v>
      </c>
      <c r="P232">
        <v>3</v>
      </c>
      <c r="Q232" t="s">
        <v>1</v>
      </c>
      <c r="R232">
        <v>13056</v>
      </c>
      <c r="S232">
        <v>256</v>
      </c>
      <c r="T232">
        <v>2</v>
      </c>
      <c r="U232">
        <v>2</v>
      </c>
      <c r="V232">
        <v>612.12</v>
      </c>
      <c r="W232" s="38">
        <v>2.4243000000000001</v>
      </c>
      <c r="X232" s="1">
        <v>45437</v>
      </c>
      <c r="Y232" s="2">
        <v>0.60162037037037042</v>
      </c>
      <c r="Z232">
        <v>0</v>
      </c>
      <c r="AA232">
        <v>0</v>
      </c>
      <c r="AB232">
        <v>0</v>
      </c>
      <c r="AC232" s="3">
        <f t="shared" si="179"/>
        <v>2.4348000000000001</v>
      </c>
      <c r="AD232" s="3"/>
    </row>
    <row r="233" spans="1:30" x14ac:dyDescent="0.25">
      <c r="A233">
        <v>4</v>
      </c>
      <c r="B233" t="s">
        <v>1</v>
      </c>
      <c r="C233">
        <v>13056</v>
      </c>
      <c r="D233">
        <v>256</v>
      </c>
      <c r="E233">
        <v>2</v>
      </c>
      <c r="F233">
        <v>2</v>
      </c>
      <c r="G233" s="16">
        <v>673.87</v>
      </c>
      <c r="H233" s="26">
        <v>2.2021000000000002</v>
      </c>
      <c r="I233" s="1">
        <v>45427</v>
      </c>
      <c r="J233" s="2">
        <v>0.53033564814814815</v>
      </c>
      <c r="K233">
        <v>0</v>
      </c>
      <c r="L233">
        <v>0</v>
      </c>
      <c r="M233">
        <v>0</v>
      </c>
      <c r="N233" s="27">
        <f t="shared" si="178"/>
        <v>2.2022599999999999</v>
      </c>
      <c r="P233">
        <v>4</v>
      </c>
      <c r="Q233" t="s">
        <v>1</v>
      </c>
      <c r="R233">
        <v>13056</v>
      </c>
      <c r="S233">
        <v>256</v>
      </c>
      <c r="T233">
        <v>2</v>
      </c>
      <c r="U233">
        <v>2</v>
      </c>
      <c r="V233" s="16">
        <v>607.08000000000004</v>
      </c>
      <c r="W233" s="26">
        <v>2.4443999999999999</v>
      </c>
      <c r="X233" s="1">
        <v>45438</v>
      </c>
      <c r="Y233" s="2">
        <v>0.1187037037037037</v>
      </c>
      <c r="Z233">
        <v>0</v>
      </c>
      <c r="AA233">
        <v>0</v>
      </c>
      <c r="AB233">
        <v>0</v>
      </c>
      <c r="AC233" s="3">
        <f t="shared" si="179"/>
        <v>2.4348000000000001</v>
      </c>
      <c r="AD233" s="3"/>
    </row>
    <row r="234" spans="1:30" x14ac:dyDescent="0.25">
      <c r="A234">
        <v>0</v>
      </c>
      <c r="B234" t="s">
        <v>1</v>
      </c>
      <c r="C234">
        <v>13824</v>
      </c>
      <c r="D234">
        <v>256</v>
      </c>
      <c r="E234">
        <v>2</v>
      </c>
      <c r="F234">
        <v>2</v>
      </c>
      <c r="G234">
        <v>793.91</v>
      </c>
      <c r="H234" s="26">
        <v>2.2187999999999999</v>
      </c>
      <c r="I234" s="1">
        <v>45425</v>
      </c>
      <c r="J234" s="2">
        <v>0.27940972222222221</v>
      </c>
      <c r="K234">
        <v>0</v>
      </c>
      <c r="L234">
        <v>0</v>
      </c>
      <c r="M234">
        <v>0</v>
      </c>
      <c r="N234" s="27">
        <f t="shared" ref="N234" si="180">AVERAGE(H234:H238)</f>
        <v>2.2178800000000001</v>
      </c>
      <c r="P234">
        <v>0</v>
      </c>
      <c r="Q234" t="s">
        <v>1</v>
      </c>
      <c r="R234">
        <v>13824</v>
      </c>
      <c r="S234">
        <v>256</v>
      </c>
      <c r="T234">
        <v>2</v>
      </c>
      <c r="U234">
        <v>2</v>
      </c>
      <c r="V234">
        <v>719.13</v>
      </c>
      <c r="W234" s="38">
        <v>2.4495</v>
      </c>
      <c r="X234" s="1">
        <v>45435</v>
      </c>
      <c r="Y234" s="2">
        <v>0.8997222222222222</v>
      </c>
      <c r="Z234">
        <v>0</v>
      </c>
      <c r="AA234">
        <v>0</v>
      </c>
      <c r="AB234">
        <v>0</v>
      </c>
      <c r="AC234" s="3">
        <f t="shared" ref="AC234" si="181">AVERAGE(W234:W238)</f>
        <v>2.4506799999999997</v>
      </c>
      <c r="AD234" s="3"/>
    </row>
    <row r="235" spans="1:30" x14ac:dyDescent="0.25">
      <c r="A235">
        <v>1</v>
      </c>
      <c r="B235" t="s">
        <v>1</v>
      </c>
      <c r="C235">
        <v>13824</v>
      </c>
      <c r="D235">
        <v>256</v>
      </c>
      <c r="E235">
        <v>2</v>
      </c>
      <c r="F235">
        <v>2</v>
      </c>
      <c r="G235">
        <v>794.25</v>
      </c>
      <c r="H235" s="26">
        <v>2.2178</v>
      </c>
      <c r="I235" s="1">
        <v>45425</v>
      </c>
      <c r="J235" s="2">
        <v>0.86703703703703705</v>
      </c>
      <c r="K235">
        <v>0</v>
      </c>
      <c r="L235">
        <v>0</v>
      </c>
      <c r="M235">
        <v>0</v>
      </c>
      <c r="N235" s="27">
        <f t="shared" ref="N235" si="182">N234</f>
        <v>2.2178800000000001</v>
      </c>
      <c r="P235">
        <v>1</v>
      </c>
      <c r="Q235" t="s">
        <v>1</v>
      </c>
      <c r="R235">
        <v>13824</v>
      </c>
      <c r="S235">
        <v>256</v>
      </c>
      <c r="T235">
        <v>2</v>
      </c>
      <c r="U235">
        <v>2</v>
      </c>
      <c r="V235">
        <v>717.95</v>
      </c>
      <c r="W235" s="38">
        <v>2.4535</v>
      </c>
      <c r="X235" s="1">
        <v>45436</v>
      </c>
      <c r="Y235" s="2">
        <v>0.41600694444444447</v>
      </c>
      <c r="Z235">
        <v>0</v>
      </c>
      <c r="AA235">
        <v>0</v>
      </c>
      <c r="AB235">
        <v>0</v>
      </c>
      <c r="AC235" s="3">
        <f t="shared" ref="AC235" si="183">AC234</f>
        <v>2.4506799999999997</v>
      </c>
      <c r="AD235" s="3"/>
    </row>
    <row r="236" spans="1:30" x14ac:dyDescent="0.25">
      <c r="A236">
        <v>2</v>
      </c>
      <c r="B236" t="s">
        <v>1</v>
      </c>
      <c r="C236">
        <v>13824</v>
      </c>
      <c r="D236">
        <v>256</v>
      </c>
      <c r="E236">
        <v>2</v>
      </c>
      <c r="F236">
        <v>2</v>
      </c>
      <c r="G236">
        <v>795.04</v>
      </c>
      <c r="H236" s="26">
        <v>2.2155999999999998</v>
      </c>
      <c r="I236" s="1">
        <v>45426</v>
      </c>
      <c r="J236" s="2">
        <v>0.37238425925925928</v>
      </c>
      <c r="K236">
        <v>0</v>
      </c>
      <c r="L236">
        <v>0</v>
      </c>
      <c r="M236">
        <v>0</v>
      </c>
      <c r="N236" s="27">
        <f t="shared" si="174"/>
        <v>2.2178800000000001</v>
      </c>
      <c r="P236">
        <v>2</v>
      </c>
      <c r="Q236" t="s">
        <v>1</v>
      </c>
      <c r="R236">
        <v>13824</v>
      </c>
      <c r="S236">
        <v>256</v>
      </c>
      <c r="T236">
        <v>2</v>
      </c>
      <c r="U236">
        <v>2</v>
      </c>
      <c r="V236">
        <v>717.66</v>
      </c>
      <c r="W236" s="38">
        <v>2.4544999999999999</v>
      </c>
      <c r="X236" s="1">
        <v>45436</v>
      </c>
      <c r="Y236" s="2">
        <v>0.93304398148148149</v>
      </c>
      <c r="Z236">
        <v>0</v>
      </c>
      <c r="AA236">
        <v>0</v>
      </c>
      <c r="AB236">
        <v>0</v>
      </c>
      <c r="AC236" s="3">
        <f t="shared" si="175"/>
        <v>2.4506799999999997</v>
      </c>
      <c r="AD236" s="3"/>
    </row>
    <row r="237" spans="1:30" x14ac:dyDescent="0.25">
      <c r="A237">
        <v>3</v>
      </c>
      <c r="B237" t="s">
        <v>1</v>
      </c>
      <c r="C237">
        <v>13824</v>
      </c>
      <c r="D237">
        <v>256</v>
      </c>
      <c r="E237">
        <v>2</v>
      </c>
      <c r="F237">
        <v>2</v>
      </c>
      <c r="G237">
        <v>793.95</v>
      </c>
      <c r="H237" s="26">
        <v>2.2187000000000001</v>
      </c>
      <c r="I237" s="1">
        <v>45426</v>
      </c>
      <c r="J237" s="2">
        <v>0.87798611111111113</v>
      </c>
      <c r="K237">
        <v>0</v>
      </c>
      <c r="L237">
        <v>0</v>
      </c>
      <c r="M237">
        <v>0</v>
      </c>
      <c r="N237" s="27">
        <f t="shared" si="174"/>
        <v>2.2178800000000001</v>
      </c>
      <c r="P237">
        <v>3</v>
      </c>
      <c r="Q237" t="s">
        <v>1</v>
      </c>
      <c r="R237">
        <v>13824</v>
      </c>
      <c r="S237">
        <v>256</v>
      </c>
      <c r="T237">
        <v>2</v>
      </c>
      <c r="U237">
        <v>2</v>
      </c>
      <c r="V237">
        <v>717.75</v>
      </c>
      <c r="W237" s="38">
        <v>2.4542000000000002</v>
      </c>
      <c r="X237" s="1">
        <v>45437</v>
      </c>
      <c r="Y237" s="2">
        <v>0.44981481481481483</v>
      </c>
      <c r="Z237">
        <v>0</v>
      </c>
      <c r="AA237">
        <v>0</v>
      </c>
      <c r="AB237">
        <v>0</v>
      </c>
      <c r="AC237" s="3">
        <f t="shared" si="175"/>
        <v>2.4506799999999997</v>
      </c>
      <c r="AD237" s="3"/>
    </row>
    <row r="238" spans="1:30" x14ac:dyDescent="0.25">
      <c r="A238">
        <v>4</v>
      </c>
      <c r="B238" t="s">
        <v>1</v>
      </c>
      <c r="C238">
        <v>13824</v>
      </c>
      <c r="D238">
        <v>256</v>
      </c>
      <c r="E238">
        <v>2</v>
      </c>
      <c r="F238">
        <v>2</v>
      </c>
      <c r="G238" s="16">
        <v>794.02</v>
      </c>
      <c r="H238" s="26">
        <v>2.2185000000000001</v>
      </c>
      <c r="I238" s="1">
        <v>45427</v>
      </c>
      <c r="J238" s="2">
        <v>0.38328703703703704</v>
      </c>
      <c r="K238">
        <v>0</v>
      </c>
      <c r="L238">
        <v>0</v>
      </c>
      <c r="M238">
        <v>0</v>
      </c>
      <c r="N238" s="27">
        <f t="shared" si="174"/>
        <v>2.2178800000000001</v>
      </c>
      <c r="P238">
        <v>4</v>
      </c>
      <c r="Q238" t="s">
        <v>1</v>
      </c>
      <c r="R238">
        <v>13824</v>
      </c>
      <c r="S238">
        <v>256</v>
      </c>
      <c r="T238">
        <v>2</v>
      </c>
      <c r="U238">
        <v>2</v>
      </c>
      <c r="V238" s="16">
        <v>721.43</v>
      </c>
      <c r="W238" s="26">
        <v>2.4417</v>
      </c>
      <c r="X238" s="1">
        <v>45437</v>
      </c>
      <c r="Y238" s="2">
        <v>0.96685185185185185</v>
      </c>
      <c r="Z238">
        <v>0</v>
      </c>
      <c r="AA238">
        <v>0</v>
      </c>
      <c r="AB238">
        <v>0</v>
      </c>
      <c r="AC238" s="3">
        <f t="shared" si="175"/>
        <v>2.4506799999999997</v>
      </c>
      <c r="AD238" s="3"/>
    </row>
    <row r="239" spans="1:30" x14ac:dyDescent="0.25">
      <c r="A239">
        <v>0</v>
      </c>
      <c r="B239" t="s">
        <v>1</v>
      </c>
      <c r="C239">
        <v>14592</v>
      </c>
      <c r="D239">
        <v>256</v>
      </c>
      <c r="E239">
        <v>2</v>
      </c>
      <c r="F239">
        <v>2</v>
      </c>
      <c r="G239">
        <v>929.27</v>
      </c>
      <c r="H239" s="26">
        <v>2.2292999999999998</v>
      </c>
      <c r="I239" s="1">
        <v>45425</v>
      </c>
      <c r="J239" s="2">
        <v>0.10511574074074075</v>
      </c>
      <c r="K239">
        <v>0</v>
      </c>
      <c r="L239">
        <v>0</v>
      </c>
      <c r="M239">
        <v>0</v>
      </c>
      <c r="N239" s="27">
        <f t="shared" ref="N239" si="184">AVERAGE(H239:H243)</f>
        <v>2.2283999999999997</v>
      </c>
      <c r="P239">
        <v>0</v>
      </c>
      <c r="Q239" t="s">
        <v>1</v>
      </c>
      <c r="R239">
        <v>14592</v>
      </c>
      <c r="S239">
        <v>256</v>
      </c>
      <c r="T239">
        <v>2</v>
      </c>
      <c r="U239">
        <v>2</v>
      </c>
      <c r="V239">
        <v>839.04</v>
      </c>
      <c r="W239" s="38">
        <v>2.4691000000000001</v>
      </c>
      <c r="X239" s="1">
        <v>45435</v>
      </c>
      <c r="Y239" s="2">
        <v>0.61583333333333334</v>
      </c>
      <c r="Z239">
        <v>0</v>
      </c>
      <c r="AA239">
        <v>0</v>
      </c>
      <c r="AB239">
        <v>0</v>
      </c>
      <c r="AC239" s="3">
        <f t="shared" ref="AC239" si="185">AVERAGE(W239:W243)</f>
        <v>2.4648400000000001</v>
      </c>
      <c r="AD239" s="3"/>
    </row>
    <row r="240" spans="1:30" x14ac:dyDescent="0.25">
      <c r="A240">
        <v>1</v>
      </c>
      <c r="B240" t="s">
        <v>1</v>
      </c>
      <c r="C240">
        <v>14592</v>
      </c>
      <c r="D240">
        <v>256</v>
      </c>
      <c r="E240">
        <v>2</v>
      </c>
      <c r="F240">
        <v>2</v>
      </c>
      <c r="G240">
        <v>929.86</v>
      </c>
      <c r="H240" s="26">
        <v>2.2279</v>
      </c>
      <c r="I240" s="1">
        <v>45425</v>
      </c>
      <c r="J240" s="2">
        <v>0.69271990740740741</v>
      </c>
      <c r="K240">
        <v>0</v>
      </c>
      <c r="L240">
        <v>0</v>
      </c>
      <c r="M240">
        <v>0</v>
      </c>
      <c r="N240" s="27">
        <f t="shared" ref="N240" si="186">N239</f>
        <v>2.2283999999999997</v>
      </c>
      <c r="P240">
        <v>1</v>
      </c>
      <c r="Q240" t="s">
        <v>1</v>
      </c>
      <c r="R240">
        <v>14592</v>
      </c>
      <c r="S240">
        <v>256</v>
      </c>
      <c r="T240">
        <v>2</v>
      </c>
      <c r="U240">
        <v>2</v>
      </c>
      <c r="V240">
        <v>842.23</v>
      </c>
      <c r="W240" s="38">
        <v>2.4597000000000002</v>
      </c>
      <c r="X240" s="1">
        <v>45436</v>
      </c>
      <c r="Y240" s="2">
        <v>0.23859953703703704</v>
      </c>
      <c r="Z240">
        <v>0</v>
      </c>
      <c r="AA240">
        <v>0</v>
      </c>
      <c r="AB240">
        <v>0</v>
      </c>
      <c r="AC240" s="3">
        <f t="shared" ref="AC240" si="187">AC239</f>
        <v>2.4648400000000001</v>
      </c>
      <c r="AD240" s="3"/>
    </row>
    <row r="241" spans="1:30" x14ac:dyDescent="0.25">
      <c r="A241">
        <v>2</v>
      </c>
      <c r="B241" t="s">
        <v>1</v>
      </c>
      <c r="C241">
        <v>14592</v>
      </c>
      <c r="D241">
        <v>256</v>
      </c>
      <c r="E241">
        <v>2</v>
      </c>
      <c r="F241">
        <v>2</v>
      </c>
      <c r="G241">
        <v>929.39</v>
      </c>
      <c r="H241" s="26">
        <v>2.2290999999999999</v>
      </c>
      <c r="I241" s="1">
        <v>45426</v>
      </c>
      <c r="J241" s="2">
        <v>0.19805555555555557</v>
      </c>
      <c r="K241">
        <v>0</v>
      </c>
      <c r="L241">
        <v>0</v>
      </c>
      <c r="M241">
        <v>0</v>
      </c>
      <c r="N241" s="27">
        <f t="shared" si="178"/>
        <v>2.2283999999999997</v>
      </c>
      <c r="P241">
        <v>2</v>
      </c>
      <c r="Q241" t="s">
        <v>1</v>
      </c>
      <c r="R241">
        <v>14592</v>
      </c>
      <c r="S241">
        <v>256</v>
      </c>
      <c r="T241">
        <v>2</v>
      </c>
      <c r="U241">
        <v>2</v>
      </c>
      <c r="V241">
        <v>841.01</v>
      </c>
      <c r="W241" s="38">
        <v>2.4632999999999998</v>
      </c>
      <c r="X241" s="1">
        <v>45436</v>
      </c>
      <c r="Y241" s="2">
        <v>0.75567129629629626</v>
      </c>
      <c r="Z241">
        <v>0</v>
      </c>
      <c r="AA241">
        <v>0</v>
      </c>
      <c r="AB241">
        <v>0</v>
      </c>
      <c r="AC241" s="3">
        <f t="shared" si="179"/>
        <v>2.4648400000000001</v>
      </c>
      <c r="AD241" s="3"/>
    </row>
    <row r="242" spans="1:30" x14ac:dyDescent="0.25">
      <c r="A242">
        <v>3</v>
      </c>
      <c r="B242" t="s">
        <v>1</v>
      </c>
      <c r="C242">
        <v>14592</v>
      </c>
      <c r="D242">
        <v>256</v>
      </c>
      <c r="E242">
        <v>2</v>
      </c>
      <c r="F242">
        <v>2</v>
      </c>
      <c r="G242">
        <v>929.44</v>
      </c>
      <c r="H242" s="26">
        <v>2.2288999999999999</v>
      </c>
      <c r="I242" s="1">
        <v>45426</v>
      </c>
      <c r="J242" s="2">
        <v>0.70351851851851854</v>
      </c>
      <c r="K242">
        <v>0</v>
      </c>
      <c r="L242">
        <v>0</v>
      </c>
      <c r="M242">
        <v>0</v>
      </c>
      <c r="N242" s="27">
        <f t="shared" si="178"/>
        <v>2.2283999999999997</v>
      </c>
      <c r="P242">
        <v>3</v>
      </c>
      <c r="Q242" t="s">
        <v>1</v>
      </c>
      <c r="R242">
        <v>14592</v>
      </c>
      <c r="S242">
        <v>256</v>
      </c>
      <c r="T242">
        <v>2</v>
      </c>
      <c r="U242">
        <v>2</v>
      </c>
      <c r="V242">
        <v>839.25</v>
      </c>
      <c r="W242" s="38">
        <v>2.4685000000000001</v>
      </c>
      <c r="X242" s="1">
        <v>45437</v>
      </c>
      <c r="Y242" s="2">
        <v>0.27228009259259262</v>
      </c>
      <c r="Z242">
        <v>0</v>
      </c>
      <c r="AA242">
        <v>0</v>
      </c>
      <c r="AB242">
        <v>0</v>
      </c>
      <c r="AC242" s="3">
        <f t="shared" si="179"/>
        <v>2.4648400000000001</v>
      </c>
      <c r="AD242" s="3"/>
    </row>
    <row r="243" spans="1:30" x14ac:dyDescent="0.25">
      <c r="A243">
        <v>4</v>
      </c>
      <c r="B243" t="s">
        <v>1</v>
      </c>
      <c r="C243">
        <v>14592</v>
      </c>
      <c r="D243">
        <v>256</v>
      </c>
      <c r="E243">
        <v>2</v>
      </c>
      <c r="F243">
        <v>2</v>
      </c>
      <c r="G243">
        <v>930.35</v>
      </c>
      <c r="H243" s="26">
        <v>2.2267999999999999</v>
      </c>
      <c r="I243" s="1">
        <v>45427</v>
      </c>
      <c r="J243" s="2">
        <v>0.20900462962962962</v>
      </c>
      <c r="K243">
        <v>0</v>
      </c>
      <c r="L243">
        <v>0</v>
      </c>
      <c r="M243">
        <v>0</v>
      </c>
      <c r="N243" s="27">
        <f t="shared" si="178"/>
        <v>2.2283999999999997</v>
      </c>
      <c r="P243">
        <v>4</v>
      </c>
      <c r="Q243" t="s">
        <v>1</v>
      </c>
      <c r="R243">
        <v>14592</v>
      </c>
      <c r="S243">
        <v>256</v>
      </c>
      <c r="T243">
        <v>2</v>
      </c>
      <c r="U243">
        <v>2</v>
      </c>
      <c r="V243">
        <v>840.9</v>
      </c>
      <c r="W243" s="38">
        <v>2.4636</v>
      </c>
      <c r="X243" s="1">
        <v>45437</v>
      </c>
      <c r="Y243" s="2">
        <v>0.78934027777777782</v>
      </c>
      <c r="Z243">
        <v>0</v>
      </c>
      <c r="AA243">
        <v>0</v>
      </c>
      <c r="AB243">
        <v>0</v>
      </c>
      <c r="AC243" s="3">
        <f t="shared" si="179"/>
        <v>2.4648400000000001</v>
      </c>
      <c r="AD243" s="3"/>
    </row>
    <row r="244" spans="1:30" x14ac:dyDescent="0.25">
      <c r="A244" s="45">
        <v>0</v>
      </c>
      <c r="B244" s="45" t="s">
        <v>1</v>
      </c>
      <c r="C244" s="45">
        <v>13040</v>
      </c>
      <c r="D244" s="45">
        <v>80</v>
      </c>
      <c r="E244" s="45">
        <v>1</v>
      </c>
      <c r="F244" s="45">
        <v>4</v>
      </c>
      <c r="G244" s="45">
        <v>662.62</v>
      </c>
      <c r="H244" s="71">
        <v>2.2313000000000001</v>
      </c>
      <c r="I244" s="47">
        <v>45425</v>
      </c>
      <c r="J244" s="48">
        <v>0.5320138888888889</v>
      </c>
      <c r="K244" s="45">
        <v>0</v>
      </c>
      <c r="L244" s="45">
        <v>0</v>
      </c>
      <c r="M244" s="45">
        <v>0</v>
      </c>
      <c r="N244" s="27">
        <f t="shared" ref="N244" si="188">AVERAGE(H244:H248)</f>
        <v>2.2312400000000001</v>
      </c>
      <c r="P244" s="45">
        <v>0</v>
      </c>
      <c r="Q244" s="45" t="s">
        <v>1</v>
      </c>
      <c r="R244" s="45">
        <v>13040</v>
      </c>
      <c r="S244" s="45">
        <v>80</v>
      </c>
      <c r="T244" s="45">
        <v>1</v>
      </c>
      <c r="U244" s="45">
        <v>4</v>
      </c>
      <c r="V244" s="45">
        <v>573.91999999999996</v>
      </c>
      <c r="W244" s="73">
        <v>2.5760999999999998</v>
      </c>
      <c r="X244" s="47">
        <v>45436</v>
      </c>
      <c r="Y244" s="48">
        <v>7.4872685185185181E-2</v>
      </c>
      <c r="Z244" s="45">
        <v>0</v>
      </c>
      <c r="AA244" s="45">
        <v>0</v>
      </c>
      <c r="AB244" s="45">
        <v>0</v>
      </c>
      <c r="AC244" s="3">
        <f t="shared" ref="AC244" si="189">AVERAGE(W244:W248)</f>
        <v>2.57538</v>
      </c>
      <c r="AD244" s="3"/>
    </row>
    <row r="245" spans="1:30" x14ac:dyDescent="0.25">
      <c r="A245" s="45">
        <v>1</v>
      </c>
      <c r="B245" s="45" t="s">
        <v>1</v>
      </c>
      <c r="C245" s="45">
        <v>13040</v>
      </c>
      <c r="D245" s="45">
        <v>80</v>
      </c>
      <c r="E245" s="45">
        <v>1</v>
      </c>
      <c r="F245" s="45">
        <v>4</v>
      </c>
      <c r="G245" s="45">
        <v>662.27</v>
      </c>
      <c r="H245" s="71">
        <v>2.2324999999999999</v>
      </c>
      <c r="I245" s="47">
        <v>45426</v>
      </c>
      <c r="J245" s="48">
        <v>3.7349537037037035E-2</v>
      </c>
      <c r="K245" s="45">
        <v>0</v>
      </c>
      <c r="L245" s="45">
        <v>0</v>
      </c>
      <c r="M245" s="45">
        <v>0</v>
      </c>
      <c r="N245" s="27">
        <f t="shared" ref="N245" si="190">N244</f>
        <v>2.2312400000000001</v>
      </c>
      <c r="P245" s="45">
        <v>1</v>
      </c>
      <c r="Q245" s="45" t="s">
        <v>1</v>
      </c>
      <c r="R245" s="45">
        <v>13040</v>
      </c>
      <c r="S245" s="45">
        <v>80</v>
      </c>
      <c r="T245" s="45">
        <v>1</v>
      </c>
      <c r="U245" s="45">
        <v>4</v>
      </c>
      <c r="V245" s="45">
        <v>575.27</v>
      </c>
      <c r="W245" s="73">
        <v>2.5701000000000001</v>
      </c>
      <c r="X245" s="47">
        <v>45436</v>
      </c>
      <c r="Y245" s="48">
        <v>0.59190972222222227</v>
      </c>
      <c r="Z245" s="45">
        <v>0</v>
      </c>
      <c r="AA245" s="45">
        <v>0</v>
      </c>
      <c r="AB245" s="45">
        <v>0</v>
      </c>
      <c r="AC245" s="3">
        <f t="shared" ref="AC245" si="191">AC244</f>
        <v>2.57538</v>
      </c>
      <c r="AD245" s="3"/>
    </row>
    <row r="246" spans="1:30" x14ac:dyDescent="0.25">
      <c r="A246" s="45">
        <v>2</v>
      </c>
      <c r="B246" s="45" t="s">
        <v>1</v>
      </c>
      <c r="C246" s="45">
        <v>13040</v>
      </c>
      <c r="D246" s="45">
        <v>80</v>
      </c>
      <c r="E246" s="45">
        <v>1</v>
      </c>
      <c r="F246" s="45">
        <v>4</v>
      </c>
      <c r="G246" s="45">
        <v>663.21</v>
      </c>
      <c r="H246" s="71">
        <v>2.2292999999999998</v>
      </c>
      <c r="I246" s="47">
        <v>45426</v>
      </c>
      <c r="J246" s="48">
        <v>0.54274305555555558</v>
      </c>
      <c r="K246" s="45">
        <v>0</v>
      </c>
      <c r="L246" s="45">
        <v>0</v>
      </c>
      <c r="M246" s="45">
        <v>0</v>
      </c>
      <c r="N246" s="27">
        <f t="shared" si="174"/>
        <v>2.2312400000000001</v>
      </c>
      <c r="P246" s="45">
        <v>2</v>
      </c>
      <c r="Q246" s="45" t="s">
        <v>1</v>
      </c>
      <c r="R246" s="45">
        <v>13040</v>
      </c>
      <c r="S246" s="45">
        <v>80</v>
      </c>
      <c r="T246" s="45">
        <v>1</v>
      </c>
      <c r="U246" s="45">
        <v>4</v>
      </c>
      <c r="V246" s="45">
        <v>573.58000000000004</v>
      </c>
      <c r="W246" s="73">
        <v>2.5775999999999999</v>
      </c>
      <c r="X246" s="47">
        <v>45437</v>
      </c>
      <c r="Y246" s="48">
        <v>0.10846064814814815</v>
      </c>
      <c r="Z246" s="45">
        <v>0</v>
      </c>
      <c r="AA246" s="45">
        <v>0</v>
      </c>
      <c r="AB246" s="45">
        <v>0</v>
      </c>
      <c r="AC246" s="3">
        <f t="shared" si="175"/>
        <v>2.57538</v>
      </c>
      <c r="AD246" s="3"/>
    </row>
    <row r="247" spans="1:30" x14ac:dyDescent="0.25">
      <c r="A247" s="45">
        <v>3</v>
      </c>
      <c r="B247" s="45" t="s">
        <v>1</v>
      </c>
      <c r="C247" s="45">
        <v>13040</v>
      </c>
      <c r="D247" s="45">
        <v>80</v>
      </c>
      <c r="E247" s="45">
        <v>1</v>
      </c>
      <c r="F247" s="45">
        <v>4</v>
      </c>
      <c r="G247" s="45">
        <v>662.53</v>
      </c>
      <c r="H247" s="71">
        <v>2.2315999999999998</v>
      </c>
      <c r="I247" s="47">
        <v>45427</v>
      </c>
      <c r="J247" s="48">
        <v>4.8275462962962964E-2</v>
      </c>
      <c r="K247" s="45">
        <v>0</v>
      </c>
      <c r="L247" s="45">
        <v>0</v>
      </c>
      <c r="M247" s="45">
        <v>0</v>
      </c>
      <c r="N247" s="27">
        <f t="shared" si="174"/>
        <v>2.2312400000000001</v>
      </c>
      <c r="P247" s="45">
        <v>3</v>
      </c>
      <c r="Q247" s="45" t="s">
        <v>1</v>
      </c>
      <c r="R247" s="45">
        <v>13040</v>
      </c>
      <c r="S247" s="45">
        <v>80</v>
      </c>
      <c r="T247" s="45">
        <v>1</v>
      </c>
      <c r="U247" s="45">
        <v>4</v>
      </c>
      <c r="V247" s="45">
        <v>573.80999999999995</v>
      </c>
      <c r="W247" s="73">
        <v>2.5766</v>
      </c>
      <c r="X247" s="47">
        <v>45437</v>
      </c>
      <c r="Y247" s="48">
        <v>0.62564814814814818</v>
      </c>
      <c r="Z247" s="45">
        <v>0</v>
      </c>
      <c r="AA247" s="45">
        <v>0</v>
      </c>
      <c r="AB247" s="45">
        <v>0</v>
      </c>
      <c r="AC247" s="3">
        <f t="shared" si="175"/>
        <v>2.57538</v>
      </c>
      <c r="AD247" s="3"/>
    </row>
    <row r="248" spans="1:30" x14ac:dyDescent="0.25">
      <c r="A248" s="45">
        <v>4</v>
      </c>
      <c r="B248" s="45" t="s">
        <v>1</v>
      </c>
      <c r="C248" s="45">
        <v>13040</v>
      </c>
      <c r="D248" s="45">
        <v>80</v>
      </c>
      <c r="E248" s="45">
        <v>1</v>
      </c>
      <c r="F248" s="45">
        <v>4</v>
      </c>
      <c r="G248" s="72">
        <v>662.55</v>
      </c>
      <c r="H248" s="71">
        <v>2.2315</v>
      </c>
      <c r="I248" s="47">
        <v>45427</v>
      </c>
      <c r="J248" s="48">
        <v>0.55359953703703701</v>
      </c>
      <c r="K248" s="45">
        <v>0</v>
      </c>
      <c r="L248" s="45">
        <v>0</v>
      </c>
      <c r="M248" s="45">
        <v>0</v>
      </c>
      <c r="N248" s="27">
        <f t="shared" si="174"/>
        <v>2.2312400000000001</v>
      </c>
      <c r="P248" s="45">
        <v>4</v>
      </c>
      <c r="Q248" s="45" t="s">
        <v>1</v>
      </c>
      <c r="R248" s="45">
        <v>13040</v>
      </c>
      <c r="S248" s="45">
        <v>80</v>
      </c>
      <c r="T248" s="45">
        <v>1</v>
      </c>
      <c r="U248" s="45">
        <v>4</v>
      </c>
      <c r="V248" s="72">
        <v>573.83000000000004</v>
      </c>
      <c r="W248" s="71">
        <v>2.5764999999999998</v>
      </c>
      <c r="X248" s="47">
        <v>45438</v>
      </c>
      <c r="Y248" s="48">
        <v>0.14274305555555555</v>
      </c>
      <c r="Z248" s="45">
        <v>0</v>
      </c>
      <c r="AA248" s="45">
        <v>0</v>
      </c>
      <c r="AB248" s="45">
        <v>0</v>
      </c>
      <c r="AC248" s="3">
        <f t="shared" si="175"/>
        <v>2.57538</v>
      </c>
      <c r="AD248" s="3"/>
    </row>
    <row r="249" spans="1:30" x14ac:dyDescent="0.25">
      <c r="A249" s="45">
        <v>0</v>
      </c>
      <c r="B249" s="45" t="s">
        <v>1</v>
      </c>
      <c r="C249" s="45">
        <v>13760</v>
      </c>
      <c r="D249" s="45">
        <v>80</v>
      </c>
      <c r="E249" s="45">
        <v>1</v>
      </c>
      <c r="F249" s="45">
        <v>4</v>
      </c>
      <c r="G249" s="45">
        <v>777.36</v>
      </c>
      <c r="H249" s="71">
        <v>2.2347000000000001</v>
      </c>
      <c r="I249" s="47">
        <v>45425</v>
      </c>
      <c r="J249" s="48">
        <v>0.38916666666666666</v>
      </c>
      <c r="K249" s="45">
        <v>0</v>
      </c>
      <c r="L249" s="45">
        <v>0</v>
      </c>
      <c r="M249" s="45">
        <v>0</v>
      </c>
      <c r="N249" s="27">
        <f t="shared" ref="N249" si="192">AVERAGE(H249:H253)</f>
        <v>2.2349800000000002</v>
      </c>
      <c r="P249" s="45">
        <v>0</v>
      </c>
      <c r="Q249" s="45" t="s">
        <v>1</v>
      </c>
      <c r="R249" s="45">
        <v>13760</v>
      </c>
      <c r="S249" s="45">
        <v>80</v>
      </c>
      <c r="T249" s="45">
        <v>1</v>
      </c>
      <c r="U249" s="45">
        <v>4</v>
      </c>
      <c r="V249" s="45">
        <v>672.6</v>
      </c>
      <c r="W249" s="73">
        <v>2.5827</v>
      </c>
      <c r="X249" s="47">
        <v>45435</v>
      </c>
      <c r="Y249" s="48">
        <v>0.92776620370370366</v>
      </c>
      <c r="Z249" s="45">
        <v>0</v>
      </c>
      <c r="AA249" s="45">
        <v>0</v>
      </c>
      <c r="AB249" s="45">
        <v>0</v>
      </c>
      <c r="AC249" s="3">
        <f t="shared" ref="AC249" si="193">AVERAGE(W249:W253)</f>
        <v>2.5775199999999998</v>
      </c>
      <c r="AD249" s="3"/>
    </row>
    <row r="250" spans="1:30" x14ac:dyDescent="0.25">
      <c r="A250" s="45">
        <v>1</v>
      </c>
      <c r="B250" s="45" t="s">
        <v>1</v>
      </c>
      <c r="C250" s="45">
        <v>13760</v>
      </c>
      <c r="D250" s="45">
        <v>80</v>
      </c>
      <c r="E250" s="45">
        <v>1</v>
      </c>
      <c r="F250" s="45">
        <v>4</v>
      </c>
      <c r="G250" s="45">
        <v>777.32</v>
      </c>
      <c r="H250" s="71">
        <v>2.2347999999999999</v>
      </c>
      <c r="I250" s="47">
        <v>45425</v>
      </c>
      <c r="J250" s="48">
        <v>0.89451388888888894</v>
      </c>
      <c r="K250" s="45">
        <v>0</v>
      </c>
      <c r="L250" s="45">
        <v>0</v>
      </c>
      <c r="M250" s="45">
        <v>0</v>
      </c>
      <c r="N250" s="27">
        <f t="shared" ref="N250" si="194">N249</f>
        <v>2.2349800000000002</v>
      </c>
      <c r="P250" s="45">
        <v>1</v>
      </c>
      <c r="Q250" s="45" t="s">
        <v>1</v>
      </c>
      <c r="R250" s="45">
        <v>13760</v>
      </c>
      <c r="S250" s="45">
        <v>80</v>
      </c>
      <c r="T250" s="45">
        <v>1</v>
      </c>
      <c r="U250" s="45">
        <v>4</v>
      </c>
      <c r="V250" s="45">
        <v>672.87</v>
      </c>
      <c r="W250" s="73">
        <v>2.5817000000000001</v>
      </c>
      <c r="X250" s="47">
        <v>45436</v>
      </c>
      <c r="Y250" s="48">
        <v>0.4440162037037037</v>
      </c>
      <c r="Z250" s="45">
        <v>0</v>
      </c>
      <c r="AA250" s="45">
        <v>0</v>
      </c>
      <c r="AB250" s="45">
        <v>0</v>
      </c>
      <c r="AC250" s="3">
        <f t="shared" ref="AC250" si="195">AC249</f>
        <v>2.5775199999999998</v>
      </c>
      <c r="AD250" s="3"/>
    </row>
    <row r="251" spans="1:30" x14ac:dyDescent="0.25">
      <c r="A251" s="45">
        <v>2</v>
      </c>
      <c r="B251" s="45" t="s">
        <v>1</v>
      </c>
      <c r="C251" s="45">
        <v>13760</v>
      </c>
      <c r="D251" s="45">
        <v>80</v>
      </c>
      <c r="E251" s="45">
        <v>1</v>
      </c>
      <c r="F251" s="45">
        <v>4</v>
      </c>
      <c r="G251" s="45">
        <v>777.22</v>
      </c>
      <c r="H251" s="71">
        <v>2.2351000000000001</v>
      </c>
      <c r="I251" s="47">
        <v>45426</v>
      </c>
      <c r="J251" s="48">
        <v>0.39984953703703702</v>
      </c>
      <c r="K251" s="45">
        <v>0</v>
      </c>
      <c r="L251" s="45">
        <v>0</v>
      </c>
      <c r="M251" s="45">
        <v>0</v>
      </c>
      <c r="N251" s="27">
        <f t="shared" si="178"/>
        <v>2.2349800000000002</v>
      </c>
      <c r="P251" s="45">
        <v>2</v>
      </c>
      <c r="Q251" s="45" t="s">
        <v>1</v>
      </c>
      <c r="R251" s="45">
        <v>13760</v>
      </c>
      <c r="S251" s="45">
        <v>80</v>
      </c>
      <c r="T251" s="45">
        <v>1</v>
      </c>
      <c r="U251" s="45">
        <v>4</v>
      </c>
      <c r="V251" s="45">
        <v>672.06</v>
      </c>
      <c r="W251" s="73">
        <v>2.5848</v>
      </c>
      <c r="X251" s="47">
        <v>45436</v>
      </c>
      <c r="Y251" s="48">
        <v>0.96104166666666668</v>
      </c>
      <c r="Z251" s="45">
        <v>0</v>
      </c>
      <c r="AA251" s="45">
        <v>0</v>
      </c>
      <c r="AB251" s="45">
        <v>0</v>
      </c>
      <c r="AC251" s="3">
        <f t="shared" si="179"/>
        <v>2.5775199999999998</v>
      </c>
      <c r="AD251" s="3"/>
    </row>
    <row r="252" spans="1:30" x14ac:dyDescent="0.25">
      <c r="A252" s="45">
        <v>3</v>
      </c>
      <c r="B252" s="45" t="s">
        <v>1</v>
      </c>
      <c r="C252" s="45">
        <v>13760</v>
      </c>
      <c r="D252" s="45">
        <v>80</v>
      </c>
      <c r="E252" s="45">
        <v>1</v>
      </c>
      <c r="F252" s="45">
        <v>4</v>
      </c>
      <c r="G252" s="45">
        <v>777.19</v>
      </c>
      <c r="H252" s="71">
        <v>2.2351000000000001</v>
      </c>
      <c r="I252" s="47">
        <v>45426</v>
      </c>
      <c r="J252" s="48">
        <v>0.90543981481481484</v>
      </c>
      <c r="K252" s="45">
        <v>0</v>
      </c>
      <c r="L252" s="45">
        <v>0</v>
      </c>
      <c r="M252" s="45">
        <v>0</v>
      </c>
      <c r="N252" s="27">
        <f t="shared" si="178"/>
        <v>2.2349800000000002</v>
      </c>
      <c r="P252" s="45">
        <v>3</v>
      </c>
      <c r="Q252" s="45" t="s">
        <v>1</v>
      </c>
      <c r="R252" s="45">
        <v>13760</v>
      </c>
      <c r="S252" s="45">
        <v>80</v>
      </c>
      <c r="T252" s="45">
        <v>1</v>
      </c>
      <c r="U252" s="45">
        <v>4</v>
      </c>
      <c r="V252" s="45">
        <v>676.31</v>
      </c>
      <c r="W252" s="73">
        <v>2.5686</v>
      </c>
      <c r="X252" s="47">
        <v>45437</v>
      </c>
      <c r="Y252" s="48">
        <v>0.47789351851851852</v>
      </c>
      <c r="Z252" s="45">
        <v>0</v>
      </c>
      <c r="AA252" s="45">
        <v>0</v>
      </c>
      <c r="AB252" s="45">
        <v>0</v>
      </c>
      <c r="AC252" s="3">
        <f t="shared" si="179"/>
        <v>2.5775199999999998</v>
      </c>
      <c r="AD252" s="3"/>
    </row>
    <row r="253" spans="1:30" x14ac:dyDescent="0.25">
      <c r="A253" s="45">
        <v>4</v>
      </c>
      <c r="B253" s="45" t="s">
        <v>1</v>
      </c>
      <c r="C253" s="45">
        <v>13760</v>
      </c>
      <c r="D253" s="45">
        <v>80</v>
      </c>
      <c r="E253" s="45">
        <v>1</v>
      </c>
      <c r="F253" s="45">
        <v>4</v>
      </c>
      <c r="G253" s="72">
        <v>777.17</v>
      </c>
      <c r="H253" s="71">
        <v>2.2351999999999999</v>
      </c>
      <c r="I253" s="47">
        <v>45427</v>
      </c>
      <c r="J253" s="48">
        <v>0.41075231481481483</v>
      </c>
      <c r="K253" s="45">
        <v>0</v>
      </c>
      <c r="L253" s="45">
        <v>0</v>
      </c>
      <c r="M253" s="45">
        <v>0</v>
      </c>
      <c r="N253" s="27">
        <f t="shared" si="178"/>
        <v>2.2349800000000002</v>
      </c>
      <c r="P253" s="45">
        <v>4</v>
      </c>
      <c r="Q253" s="45" t="s">
        <v>1</v>
      </c>
      <c r="R253" s="45">
        <v>13760</v>
      </c>
      <c r="S253" s="45">
        <v>80</v>
      </c>
      <c r="T253" s="45">
        <v>1</v>
      </c>
      <c r="U253" s="45">
        <v>4</v>
      </c>
      <c r="V253" s="72">
        <v>675.97</v>
      </c>
      <c r="W253" s="71">
        <v>2.5697999999999999</v>
      </c>
      <c r="X253" s="47">
        <v>45437</v>
      </c>
      <c r="Y253" s="48">
        <v>0.9949189814814815</v>
      </c>
      <c r="Z253" s="45">
        <v>0</v>
      </c>
      <c r="AA253" s="45">
        <v>0</v>
      </c>
      <c r="AB253" s="45">
        <v>0</v>
      </c>
      <c r="AC253" s="3">
        <f t="shared" si="179"/>
        <v>2.5775199999999998</v>
      </c>
      <c r="AD253" s="3"/>
    </row>
    <row r="254" spans="1:30" x14ac:dyDescent="0.25">
      <c r="A254" s="45">
        <v>0</v>
      </c>
      <c r="B254" s="45" t="s">
        <v>1</v>
      </c>
      <c r="C254" s="45">
        <v>14640</v>
      </c>
      <c r="D254" s="45">
        <v>80</v>
      </c>
      <c r="E254" s="45">
        <v>1</v>
      </c>
      <c r="F254" s="45">
        <v>4</v>
      </c>
      <c r="G254" s="45">
        <v>931.06</v>
      </c>
      <c r="H254" s="71">
        <v>2.2471000000000001</v>
      </c>
      <c r="I254" s="47">
        <v>45425</v>
      </c>
      <c r="J254" s="48">
        <v>0.13761574074074073</v>
      </c>
      <c r="K254" s="45">
        <v>0</v>
      </c>
      <c r="L254" s="45">
        <v>0</v>
      </c>
      <c r="M254" s="45">
        <v>0</v>
      </c>
      <c r="N254" s="27">
        <f t="shared" ref="N254" si="196">AVERAGE(H254:H258)</f>
        <v>2.2466999999999997</v>
      </c>
      <c r="P254" s="45">
        <v>0</v>
      </c>
      <c r="Q254" s="45" t="s">
        <v>1</v>
      </c>
      <c r="R254" s="45">
        <v>14640</v>
      </c>
      <c r="S254" s="45">
        <v>80</v>
      </c>
      <c r="T254" s="45">
        <v>1</v>
      </c>
      <c r="U254" s="45">
        <v>4</v>
      </c>
      <c r="V254" s="45">
        <v>807.51</v>
      </c>
      <c r="W254" s="73">
        <v>2.5909</v>
      </c>
      <c r="X254" s="47">
        <v>45435</v>
      </c>
      <c r="Y254" s="48">
        <v>0.64870370370370367</v>
      </c>
      <c r="Z254" s="45">
        <v>0</v>
      </c>
      <c r="AA254" s="45">
        <v>0</v>
      </c>
      <c r="AB254" s="45">
        <v>0</v>
      </c>
      <c r="AC254" s="3">
        <f t="shared" ref="AC254" si="197">AVERAGE(W254:W258)</f>
        <v>2.5904399999999996</v>
      </c>
      <c r="AD254" s="3"/>
    </row>
    <row r="255" spans="1:30" x14ac:dyDescent="0.25">
      <c r="A255" s="45">
        <v>1</v>
      </c>
      <c r="B255" s="45" t="s">
        <v>1</v>
      </c>
      <c r="C255" s="45">
        <v>14640</v>
      </c>
      <c r="D255" s="45">
        <v>80</v>
      </c>
      <c r="E255" s="45">
        <v>1</v>
      </c>
      <c r="F255" s="45">
        <v>4</v>
      </c>
      <c r="G255" s="45">
        <v>931.53</v>
      </c>
      <c r="H255" s="71">
        <v>2.246</v>
      </c>
      <c r="I255" s="47">
        <v>45425</v>
      </c>
      <c r="J255" s="48">
        <v>0.72523148148148153</v>
      </c>
      <c r="K255" s="45">
        <v>0</v>
      </c>
      <c r="L255" s="45">
        <v>0</v>
      </c>
      <c r="M255" s="45">
        <v>0</v>
      </c>
      <c r="N255" s="27">
        <f t="shared" ref="N255" si="198">N254</f>
        <v>2.2466999999999997</v>
      </c>
      <c r="P255" s="45">
        <v>1</v>
      </c>
      <c r="Q255" s="45" t="s">
        <v>1</v>
      </c>
      <c r="R255" s="45">
        <v>14640</v>
      </c>
      <c r="S255" s="45">
        <v>80</v>
      </c>
      <c r="T255" s="45">
        <v>1</v>
      </c>
      <c r="U255" s="45">
        <v>4</v>
      </c>
      <c r="V255" s="45">
        <v>811.19</v>
      </c>
      <c r="W255" s="73">
        <v>2.5790999999999999</v>
      </c>
      <c r="X255" s="47">
        <v>45436</v>
      </c>
      <c r="Y255" s="48">
        <v>0.27152777777777776</v>
      </c>
      <c r="Z255" s="45">
        <v>0</v>
      </c>
      <c r="AA255" s="45">
        <v>0</v>
      </c>
      <c r="AB255" s="45">
        <v>0</v>
      </c>
      <c r="AC255" s="3">
        <f t="shared" ref="AC255" si="199">AC254</f>
        <v>2.5904399999999996</v>
      </c>
      <c r="AD255" s="3"/>
    </row>
    <row r="256" spans="1:30" x14ac:dyDescent="0.25">
      <c r="A256" s="45">
        <v>2</v>
      </c>
      <c r="B256" s="45" t="s">
        <v>1</v>
      </c>
      <c r="C256" s="45">
        <v>14640</v>
      </c>
      <c r="D256" s="45">
        <v>80</v>
      </c>
      <c r="E256" s="45">
        <v>1</v>
      </c>
      <c r="F256" s="45">
        <v>4</v>
      </c>
      <c r="G256" s="45">
        <v>931.11</v>
      </c>
      <c r="H256" s="71">
        <v>2.2469999999999999</v>
      </c>
      <c r="I256" s="47">
        <v>45426</v>
      </c>
      <c r="J256" s="48">
        <v>0.23055555555555557</v>
      </c>
      <c r="K256" s="45">
        <v>0</v>
      </c>
      <c r="L256" s="45">
        <v>0</v>
      </c>
      <c r="M256" s="45">
        <v>0</v>
      </c>
      <c r="N256" s="27">
        <f t="shared" si="174"/>
        <v>2.2466999999999997</v>
      </c>
      <c r="P256" s="45">
        <v>2</v>
      </c>
      <c r="Q256" s="45" t="s">
        <v>1</v>
      </c>
      <c r="R256" s="45">
        <v>14640</v>
      </c>
      <c r="S256" s="45">
        <v>80</v>
      </c>
      <c r="T256" s="45">
        <v>1</v>
      </c>
      <c r="U256" s="45">
        <v>4</v>
      </c>
      <c r="V256" s="45">
        <v>806.95</v>
      </c>
      <c r="W256" s="73">
        <v>2.5926999999999998</v>
      </c>
      <c r="X256" s="47">
        <v>45436</v>
      </c>
      <c r="Y256" s="48">
        <v>0.78855324074074074</v>
      </c>
      <c r="Z256" s="45">
        <v>0</v>
      </c>
      <c r="AA256" s="45">
        <v>0</v>
      </c>
      <c r="AB256" s="45">
        <v>0</v>
      </c>
      <c r="AC256" s="3">
        <f t="shared" si="175"/>
        <v>2.5904399999999996</v>
      </c>
      <c r="AD256" s="3"/>
    </row>
    <row r="257" spans="1:30" x14ac:dyDescent="0.25">
      <c r="A257" s="45">
        <v>3</v>
      </c>
      <c r="B257" s="45" t="s">
        <v>1</v>
      </c>
      <c r="C257" s="45">
        <v>14640</v>
      </c>
      <c r="D257" s="45">
        <v>80</v>
      </c>
      <c r="E257" s="45">
        <v>1</v>
      </c>
      <c r="F257" s="45">
        <v>4</v>
      </c>
      <c r="G257" s="45">
        <v>931.42</v>
      </c>
      <c r="H257" s="71">
        <v>2.2462</v>
      </c>
      <c r="I257" s="47">
        <v>45426</v>
      </c>
      <c r="J257" s="48">
        <v>0.73604166666666671</v>
      </c>
      <c r="K257" s="45">
        <v>0</v>
      </c>
      <c r="L257" s="45">
        <v>0</v>
      </c>
      <c r="M257" s="45">
        <v>0</v>
      </c>
      <c r="N257" s="27">
        <f t="shared" si="174"/>
        <v>2.2466999999999997</v>
      </c>
      <c r="P257" s="45">
        <v>3</v>
      </c>
      <c r="Q257" s="45" t="s">
        <v>1</v>
      </c>
      <c r="R257" s="45">
        <v>14640</v>
      </c>
      <c r="S257" s="45">
        <v>80</v>
      </c>
      <c r="T257" s="45">
        <v>1</v>
      </c>
      <c r="U257" s="45">
        <v>4</v>
      </c>
      <c r="V257" s="45">
        <v>805.88</v>
      </c>
      <c r="W257" s="73">
        <v>2.5960999999999999</v>
      </c>
      <c r="X257" s="47">
        <v>45437</v>
      </c>
      <c r="Y257" s="48">
        <v>0.30519675925925926</v>
      </c>
      <c r="Z257" s="45">
        <v>0</v>
      </c>
      <c r="AA257" s="45">
        <v>0</v>
      </c>
      <c r="AB257" s="45">
        <v>0</v>
      </c>
      <c r="AC257" s="3">
        <f t="shared" si="175"/>
        <v>2.5904399999999996</v>
      </c>
      <c r="AD257" s="3"/>
    </row>
    <row r="258" spans="1:30" x14ac:dyDescent="0.25">
      <c r="A258" s="45">
        <v>4</v>
      </c>
      <c r="B258" s="45" t="s">
        <v>1</v>
      </c>
      <c r="C258" s="45">
        <v>14640</v>
      </c>
      <c r="D258" s="45">
        <v>80</v>
      </c>
      <c r="E258" s="45">
        <v>1</v>
      </c>
      <c r="F258" s="45">
        <v>4</v>
      </c>
      <c r="G258" s="45">
        <v>931.02</v>
      </c>
      <c r="H258" s="71">
        <v>2.2471999999999999</v>
      </c>
      <c r="I258" s="47">
        <v>45427</v>
      </c>
      <c r="J258" s="48">
        <v>0.24150462962962962</v>
      </c>
      <c r="K258" s="45">
        <v>0</v>
      </c>
      <c r="L258" s="45">
        <v>0</v>
      </c>
      <c r="M258" s="45">
        <v>0</v>
      </c>
      <c r="N258" s="27">
        <f t="shared" si="174"/>
        <v>2.2466999999999997</v>
      </c>
      <c r="P258" s="45">
        <v>4</v>
      </c>
      <c r="Q258" s="45" t="s">
        <v>1</v>
      </c>
      <c r="R258" s="45">
        <v>14640</v>
      </c>
      <c r="S258" s="45">
        <v>80</v>
      </c>
      <c r="T258" s="45">
        <v>1</v>
      </c>
      <c r="U258" s="45">
        <v>4</v>
      </c>
      <c r="V258" s="45">
        <v>806.73</v>
      </c>
      <c r="W258" s="73">
        <v>2.5933999999999999</v>
      </c>
      <c r="X258" s="47">
        <v>45437</v>
      </c>
      <c r="Y258" s="48">
        <v>0.82224537037037038</v>
      </c>
      <c r="Z258" s="45">
        <v>0</v>
      </c>
      <c r="AA258" s="45">
        <v>0</v>
      </c>
      <c r="AB258" s="45">
        <v>0</v>
      </c>
      <c r="AC258" s="3">
        <f t="shared" si="175"/>
        <v>2.5904399999999996</v>
      </c>
      <c r="AD258" s="3"/>
    </row>
    <row r="259" spans="1:30" x14ac:dyDescent="0.25">
      <c r="A259" s="45">
        <v>0</v>
      </c>
      <c r="B259" s="45" t="s">
        <v>1</v>
      </c>
      <c r="C259" s="45">
        <v>13040</v>
      </c>
      <c r="D259" s="45">
        <v>80</v>
      </c>
      <c r="E259" s="45">
        <v>2</v>
      </c>
      <c r="F259" s="45">
        <v>2</v>
      </c>
      <c r="G259" s="45">
        <v>639.85</v>
      </c>
      <c r="H259" s="71">
        <v>2.3107000000000002</v>
      </c>
      <c r="I259" s="47">
        <v>45425</v>
      </c>
      <c r="J259" s="48">
        <v>0.53968749999999999</v>
      </c>
      <c r="K259" s="45">
        <v>0</v>
      </c>
      <c r="L259" s="45">
        <v>0</v>
      </c>
      <c r="M259" s="45">
        <v>0</v>
      </c>
      <c r="N259" s="27">
        <f t="shared" ref="N259" si="200">AVERAGE(H259:H263)</f>
        <v>2.3103000000000002</v>
      </c>
      <c r="P259" s="45">
        <v>0</v>
      </c>
      <c r="Q259" s="45" t="s">
        <v>1</v>
      </c>
      <c r="R259" s="45">
        <v>13040</v>
      </c>
      <c r="S259" s="45">
        <v>80</v>
      </c>
      <c r="T259" s="45">
        <v>2</v>
      </c>
      <c r="U259" s="45">
        <v>2</v>
      </c>
      <c r="V259" s="45">
        <v>576.22</v>
      </c>
      <c r="W259" s="73">
        <v>2.5657999999999999</v>
      </c>
      <c r="X259" s="47">
        <v>45436</v>
      </c>
      <c r="Y259" s="48">
        <v>8.2847222222222225E-2</v>
      </c>
      <c r="Z259" s="45">
        <v>0</v>
      </c>
      <c r="AA259" s="45">
        <v>0</v>
      </c>
      <c r="AB259" s="45">
        <v>0</v>
      </c>
      <c r="AC259" s="3">
        <f t="shared" ref="AC259" si="201">AVERAGE(W259:W263)</f>
        <v>2.55952</v>
      </c>
      <c r="AD259" s="3"/>
    </row>
    <row r="260" spans="1:30" x14ac:dyDescent="0.25">
      <c r="A260" s="45">
        <v>1</v>
      </c>
      <c r="B260" s="45" t="s">
        <v>1</v>
      </c>
      <c r="C260" s="45">
        <v>13040</v>
      </c>
      <c r="D260" s="45">
        <v>80</v>
      </c>
      <c r="E260" s="45">
        <v>2</v>
      </c>
      <c r="F260" s="45">
        <v>2</v>
      </c>
      <c r="G260" s="45">
        <v>639.84</v>
      </c>
      <c r="H260" s="71">
        <v>2.3107000000000002</v>
      </c>
      <c r="I260" s="47">
        <v>45426</v>
      </c>
      <c r="J260" s="48">
        <v>4.5023148148148145E-2</v>
      </c>
      <c r="K260" s="45">
        <v>0</v>
      </c>
      <c r="L260" s="45">
        <v>0</v>
      </c>
      <c r="M260" s="45">
        <v>0</v>
      </c>
      <c r="N260" s="27">
        <f t="shared" ref="N260" si="202">N259</f>
        <v>2.3103000000000002</v>
      </c>
      <c r="P260" s="45">
        <v>1</v>
      </c>
      <c r="Q260" s="45" t="s">
        <v>1</v>
      </c>
      <c r="R260" s="45">
        <v>13040</v>
      </c>
      <c r="S260" s="45">
        <v>80</v>
      </c>
      <c r="T260" s="45">
        <v>2</v>
      </c>
      <c r="U260" s="45">
        <v>2</v>
      </c>
      <c r="V260" s="45">
        <v>577.33000000000004</v>
      </c>
      <c r="W260" s="73">
        <v>2.5609000000000002</v>
      </c>
      <c r="X260" s="47">
        <v>45436</v>
      </c>
      <c r="Y260" s="48">
        <v>0.59989583333333329</v>
      </c>
      <c r="Z260" s="45">
        <v>0</v>
      </c>
      <c r="AA260" s="45">
        <v>0</v>
      </c>
      <c r="AB260" s="45">
        <v>0</v>
      </c>
      <c r="AC260" s="3">
        <f t="shared" ref="AC260" si="203">AC259</f>
        <v>2.55952</v>
      </c>
      <c r="AD260" s="3"/>
    </row>
    <row r="261" spans="1:30" x14ac:dyDescent="0.25">
      <c r="A261" s="45">
        <v>2</v>
      </c>
      <c r="B261" s="45" t="s">
        <v>1</v>
      </c>
      <c r="C261" s="45">
        <v>13040</v>
      </c>
      <c r="D261" s="45">
        <v>80</v>
      </c>
      <c r="E261" s="45">
        <v>2</v>
      </c>
      <c r="F261" s="45">
        <v>2</v>
      </c>
      <c r="G261" s="45">
        <v>639.91999999999996</v>
      </c>
      <c r="H261" s="71">
        <v>2.3104</v>
      </c>
      <c r="I261" s="47">
        <v>45426</v>
      </c>
      <c r="J261" s="48">
        <v>0.55041666666666667</v>
      </c>
      <c r="K261" s="45">
        <v>0</v>
      </c>
      <c r="L261" s="45">
        <v>0</v>
      </c>
      <c r="M261" s="45">
        <v>0</v>
      </c>
      <c r="N261" s="27">
        <f t="shared" si="178"/>
        <v>2.3103000000000002</v>
      </c>
      <c r="P261" s="45">
        <v>2</v>
      </c>
      <c r="Q261" s="45" t="s">
        <v>1</v>
      </c>
      <c r="R261" s="45">
        <v>13040</v>
      </c>
      <c r="S261" s="45">
        <v>80</v>
      </c>
      <c r="T261" s="45">
        <v>2</v>
      </c>
      <c r="U261" s="45">
        <v>2</v>
      </c>
      <c r="V261" s="45">
        <v>579.53</v>
      </c>
      <c r="W261" s="73">
        <v>2.5512000000000001</v>
      </c>
      <c r="X261" s="47">
        <v>45437</v>
      </c>
      <c r="Y261" s="48">
        <v>0.11648148148148148</v>
      </c>
      <c r="Z261" s="45">
        <v>0</v>
      </c>
      <c r="AA261" s="45">
        <v>0</v>
      </c>
      <c r="AB261" s="45">
        <v>0</v>
      </c>
      <c r="AC261" s="3">
        <f t="shared" si="179"/>
        <v>2.55952</v>
      </c>
      <c r="AD261" s="3"/>
    </row>
    <row r="262" spans="1:30" x14ac:dyDescent="0.25">
      <c r="A262" s="45">
        <v>3</v>
      </c>
      <c r="B262" s="45" t="s">
        <v>1</v>
      </c>
      <c r="C262" s="45">
        <v>13040</v>
      </c>
      <c r="D262" s="45">
        <v>80</v>
      </c>
      <c r="E262" s="45">
        <v>2</v>
      </c>
      <c r="F262" s="45">
        <v>2</v>
      </c>
      <c r="G262" s="45">
        <v>640</v>
      </c>
      <c r="H262" s="71">
        <v>2.3100999999999998</v>
      </c>
      <c r="I262" s="47">
        <v>45427</v>
      </c>
      <c r="J262" s="48">
        <v>5.5949074074074075E-2</v>
      </c>
      <c r="K262" s="45">
        <v>0</v>
      </c>
      <c r="L262" s="45">
        <v>0</v>
      </c>
      <c r="M262" s="45">
        <v>0</v>
      </c>
      <c r="N262" s="27">
        <f t="shared" si="178"/>
        <v>2.3103000000000002</v>
      </c>
      <c r="P262" s="45">
        <v>3</v>
      </c>
      <c r="Q262" s="45" t="s">
        <v>1</v>
      </c>
      <c r="R262" s="45">
        <v>13040</v>
      </c>
      <c r="S262" s="45">
        <v>80</v>
      </c>
      <c r="T262" s="45">
        <v>2</v>
      </c>
      <c r="U262" s="45">
        <v>2</v>
      </c>
      <c r="V262" s="45">
        <v>578.87</v>
      </c>
      <c r="W262" s="73">
        <v>2.5541</v>
      </c>
      <c r="X262" s="47">
        <v>45437</v>
      </c>
      <c r="Y262" s="48">
        <v>0.63365740740740739</v>
      </c>
      <c r="Z262" s="45">
        <v>0</v>
      </c>
      <c r="AA262" s="45">
        <v>0</v>
      </c>
      <c r="AB262" s="45">
        <v>0</v>
      </c>
      <c r="AC262" s="3">
        <f t="shared" si="179"/>
        <v>2.55952</v>
      </c>
      <c r="AD262" s="3"/>
    </row>
    <row r="263" spans="1:30" x14ac:dyDescent="0.25">
      <c r="A263" s="45">
        <v>4</v>
      </c>
      <c r="B263" s="45" t="s">
        <v>1</v>
      </c>
      <c r="C263" s="45">
        <v>13040</v>
      </c>
      <c r="D263" s="45">
        <v>80</v>
      </c>
      <c r="E263" s="45">
        <v>2</v>
      </c>
      <c r="F263" s="45">
        <v>2</v>
      </c>
      <c r="G263" s="72">
        <v>640.13</v>
      </c>
      <c r="H263" s="71">
        <v>2.3096000000000001</v>
      </c>
      <c r="I263" s="47">
        <v>45427</v>
      </c>
      <c r="J263" s="48">
        <v>0.5612731481481481</v>
      </c>
      <c r="K263" s="45">
        <v>0</v>
      </c>
      <c r="L263" s="45">
        <v>0</v>
      </c>
      <c r="M263" s="45">
        <v>0</v>
      </c>
      <c r="N263" s="27">
        <f t="shared" si="178"/>
        <v>2.3103000000000002</v>
      </c>
      <c r="P263" s="45">
        <v>4</v>
      </c>
      <c r="Q263" s="45" t="s">
        <v>1</v>
      </c>
      <c r="R263" s="45">
        <v>13040</v>
      </c>
      <c r="S263" s="45">
        <v>80</v>
      </c>
      <c r="T263" s="45">
        <v>2</v>
      </c>
      <c r="U263" s="45">
        <v>2</v>
      </c>
      <c r="V263" s="72">
        <v>576.26</v>
      </c>
      <c r="W263" s="71">
        <v>2.5655999999999999</v>
      </c>
      <c r="X263" s="47">
        <v>45438</v>
      </c>
      <c r="Y263" s="48">
        <v>0.1507175925925926</v>
      </c>
      <c r="Z263" s="45">
        <v>0</v>
      </c>
      <c r="AA263" s="45">
        <v>0</v>
      </c>
      <c r="AB263" s="45">
        <v>0</v>
      </c>
      <c r="AC263" s="3">
        <f t="shared" si="179"/>
        <v>2.55952</v>
      </c>
      <c r="AD263" s="3"/>
    </row>
    <row r="264" spans="1:30" x14ac:dyDescent="0.25">
      <c r="A264" s="45">
        <v>0</v>
      </c>
      <c r="B264" s="45" t="s">
        <v>1</v>
      </c>
      <c r="C264" s="45">
        <v>13760</v>
      </c>
      <c r="D264" s="45">
        <v>80</v>
      </c>
      <c r="E264" s="45">
        <v>2</v>
      </c>
      <c r="F264" s="45">
        <v>2</v>
      </c>
      <c r="G264" s="45">
        <v>749.07</v>
      </c>
      <c r="H264" s="71">
        <v>2.3191000000000002</v>
      </c>
      <c r="I264" s="47">
        <v>45425</v>
      </c>
      <c r="J264" s="48">
        <v>0.3981365740740741</v>
      </c>
      <c r="K264" s="45">
        <v>0</v>
      </c>
      <c r="L264" s="45">
        <v>0</v>
      </c>
      <c r="M264" s="45">
        <v>0</v>
      </c>
      <c r="N264" s="27">
        <f t="shared" ref="N264" si="204">AVERAGE(H264:H268)</f>
        <v>2.3194399999999997</v>
      </c>
      <c r="P264" s="45">
        <v>0</v>
      </c>
      <c r="Q264" s="45" t="s">
        <v>1</v>
      </c>
      <c r="R264" s="45">
        <v>13760</v>
      </c>
      <c r="S264" s="45">
        <v>80</v>
      </c>
      <c r="T264" s="45">
        <v>2</v>
      </c>
      <c r="U264" s="45">
        <v>2</v>
      </c>
      <c r="V264" s="45">
        <v>673.97</v>
      </c>
      <c r="W264" s="73">
        <v>2.5775000000000001</v>
      </c>
      <c r="X264" s="47">
        <v>45435</v>
      </c>
      <c r="Y264" s="48">
        <v>0.93700231481481477</v>
      </c>
      <c r="Z264" s="45">
        <v>0</v>
      </c>
      <c r="AA264" s="45">
        <v>0</v>
      </c>
      <c r="AB264" s="45">
        <v>0</v>
      </c>
      <c r="AC264" s="3">
        <f t="shared" ref="AC264" si="205">AVERAGE(W264:W268)</f>
        <v>2.5723000000000003</v>
      </c>
      <c r="AD264" s="3"/>
    </row>
    <row r="265" spans="1:30" x14ac:dyDescent="0.25">
      <c r="A265" s="45">
        <v>1</v>
      </c>
      <c r="B265" s="45" t="s">
        <v>1</v>
      </c>
      <c r="C265" s="45">
        <v>13760</v>
      </c>
      <c r="D265" s="45">
        <v>80</v>
      </c>
      <c r="E265" s="45">
        <v>2</v>
      </c>
      <c r="F265" s="45">
        <v>2</v>
      </c>
      <c r="G265" s="45">
        <v>748.98</v>
      </c>
      <c r="H265" s="71">
        <v>2.3193000000000001</v>
      </c>
      <c r="I265" s="47">
        <v>45425</v>
      </c>
      <c r="J265" s="48">
        <v>0.90347222222222223</v>
      </c>
      <c r="K265" s="45">
        <v>0</v>
      </c>
      <c r="L265" s="45">
        <v>0</v>
      </c>
      <c r="M265" s="45">
        <v>0</v>
      </c>
      <c r="N265" s="27">
        <f t="shared" ref="N265" si="206">N264</f>
        <v>2.3194399999999997</v>
      </c>
      <c r="P265" s="45">
        <v>1</v>
      </c>
      <c r="Q265" s="45" t="s">
        <v>1</v>
      </c>
      <c r="R265" s="45">
        <v>13760</v>
      </c>
      <c r="S265" s="45">
        <v>80</v>
      </c>
      <c r="T265" s="45">
        <v>2</v>
      </c>
      <c r="U265" s="45">
        <v>2</v>
      </c>
      <c r="V265" s="45">
        <v>674.7</v>
      </c>
      <c r="W265" s="73">
        <v>2.5747</v>
      </c>
      <c r="X265" s="47">
        <v>45436</v>
      </c>
      <c r="Y265" s="48">
        <v>0.45326388888888891</v>
      </c>
      <c r="Z265" s="45">
        <v>0</v>
      </c>
      <c r="AA265" s="45">
        <v>0</v>
      </c>
      <c r="AB265" s="45">
        <v>0</v>
      </c>
      <c r="AC265" s="3">
        <f t="shared" ref="AC265" si="207">AC264</f>
        <v>2.5723000000000003</v>
      </c>
      <c r="AD265" s="3"/>
    </row>
    <row r="266" spans="1:30" x14ac:dyDescent="0.25">
      <c r="A266" s="45">
        <v>2</v>
      </c>
      <c r="B266" s="45" t="s">
        <v>1</v>
      </c>
      <c r="C266" s="45">
        <v>13760</v>
      </c>
      <c r="D266" s="45">
        <v>80</v>
      </c>
      <c r="E266" s="45">
        <v>2</v>
      </c>
      <c r="F266" s="45">
        <v>2</v>
      </c>
      <c r="G266" s="45">
        <v>748.88</v>
      </c>
      <c r="H266" s="71">
        <v>2.3195999999999999</v>
      </c>
      <c r="I266" s="47">
        <v>45426</v>
      </c>
      <c r="J266" s="48">
        <v>0.40881944444444446</v>
      </c>
      <c r="K266" s="45">
        <v>0</v>
      </c>
      <c r="L266" s="45">
        <v>0</v>
      </c>
      <c r="M266" s="45">
        <v>0</v>
      </c>
      <c r="N266" s="27">
        <f t="shared" si="174"/>
        <v>2.3194399999999997</v>
      </c>
      <c r="P266" s="45">
        <v>2</v>
      </c>
      <c r="Q266" s="45" t="s">
        <v>1</v>
      </c>
      <c r="R266" s="45">
        <v>13760</v>
      </c>
      <c r="S266" s="45">
        <v>80</v>
      </c>
      <c r="T266" s="45">
        <v>2</v>
      </c>
      <c r="U266" s="45">
        <v>2</v>
      </c>
      <c r="V266" s="45">
        <v>678.55</v>
      </c>
      <c r="W266" s="73">
        <v>2.5600999999999998</v>
      </c>
      <c r="X266" s="47">
        <v>45436</v>
      </c>
      <c r="Y266" s="48">
        <v>0.9703356481481481</v>
      </c>
      <c r="Z266" s="45">
        <v>0</v>
      </c>
      <c r="AA266" s="45">
        <v>0</v>
      </c>
      <c r="AB266" s="45">
        <v>0</v>
      </c>
      <c r="AC266" s="3">
        <f t="shared" si="175"/>
        <v>2.5723000000000003</v>
      </c>
      <c r="AD266" s="3"/>
    </row>
    <row r="267" spans="1:30" x14ac:dyDescent="0.25">
      <c r="A267" s="45">
        <v>3</v>
      </c>
      <c r="B267" s="45" t="s">
        <v>1</v>
      </c>
      <c r="C267" s="45">
        <v>13760</v>
      </c>
      <c r="D267" s="45">
        <v>80</v>
      </c>
      <c r="E267" s="45">
        <v>2</v>
      </c>
      <c r="F267" s="45">
        <v>2</v>
      </c>
      <c r="G267" s="45">
        <v>748.88</v>
      </c>
      <c r="H267" s="71">
        <v>2.3197000000000001</v>
      </c>
      <c r="I267" s="47">
        <v>45426</v>
      </c>
      <c r="J267" s="48">
        <v>0.91440972222222228</v>
      </c>
      <c r="K267" s="45">
        <v>0</v>
      </c>
      <c r="L267" s="45">
        <v>0</v>
      </c>
      <c r="M267" s="45">
        <v>0</v>
      </c>
      <c r="N267" s="27">
        <f t="shared" si="174"/>
        <v>2.3194399999999997</v>
      </c>
      <c r="P267" s="45">
        <v>3</v>
      </c>
      <c r="Q267" s="45" t="s">
        <v>1</v>
      </c>
      <c r="R267" s="45">
        <v>13760</v>
      </c>
      <c r="S267" s="45">
        <v>80</v>
      </c>
      <c r="T267" s="45">
        <v>2</v>
      </c>
      <c r="U267" s="45">
        <v>2</v>
      </c>
      <c r="V267" s="45">
        <v>674.12</v>
      </c>
      <c r="W267" s="73">
        <v>2.5769000000000002</v>
      </c>
      <c r="X267" s="47">
        <v>45437</v>
      </c>
      <c r="Y267" s="48">
        <v>0.48714120370370373</v>
      </c>
      <c r="Z267" s="45">
        <v>0</v>
      </c>
      <c r="AA267" s="45">
        <v>0</v>
      </c>
      <c r="AB267" s="45">
        <v>0</v>
      </c>
      <c r="AC267" s="3">
        <f t="shared" si="175"/>
        <v>2.5723000000000003</v>
      </c>
      <c r="AD267" s="3"/>
    </row>
    <row r="268" spans="1:30" x14ac:dyDescent="0.25">
      <c r="A268" s="45">
        <v>4</v>
      </c>
      <c r="B268" s="45" t="s">
        <v>1</v>
      </c>
      <c r="C268" s="45">
        <v>13760</v>
      </c>
      <c r="D268" s="45">
        <v>80</v>
      </c>
      <c r="E268" s="45">
        <v>2</v>
      </c>
      <c r="F268" s="45">
        <v>2</v>
      </c>
      <c r="G268" s="72">
        <v>748.94</v>
      </c>
      <c r="H268" s="71">
        <v>2.3195000000000001</v>
      </c>
      <c r="I268" s="47">
        <v>45427</v>
      </c>
      <c r="J268" s="48">
        <v>0.41972222222222222</v>
      </c>
      <c r="K268" s="45">
        <v>0</v>
      </c>
      <c r="L268" s="45">
        <v>0</v>
      </c>
      <c r="M268" s="45">
        <v>0</v>
      </c>
      <c r="N268" s="27">
        <f t="shared" si="174"/>
        <v>2.3194399999999997</v>
      </c>
      <c r="P268" s="45">
        <v>4</v>
      </c>
      <c r="Q268" s="45" t="s">
        <v>1</v>
      </c>
      <c r="R268" s="45">
        <v>13760</v>
      </c>
      <c r="S268" s="45">
        <v>80</v>
      </c>
      <c r="T268" s="45">
        <v>2</v>
      </c>
      <c r="U268" s="45">
        <v>2</v>
      </c>
      <c r="V268" s="72">
        <v>675.33</v>
      </c>
      <c r="W268" s="71">
        <v>2.5722999999999998</v>
      </c>
      <c r="X268" s="47">
        <v>45438</v>
      </c>
      <c r="Y268" s="48">
        <v>4.178240740740741E-3</v>
      </c>
      <c r="Z268" s="45">
        <v>0</v>
      </c>
      <c r="AA268" s="45">
        <v>0</v>
      </c>
      <c r="AB268" s="45">
        <v>0</v>
      </c>
      <c r="AC268" s="3">
        <f t="shared" si="175"/>
        <v>2.5723000000000003</v>
      </c>
      <c r="AD268" s="3"/>
    </row>
    <row r="269" spans="1:30" x14ac:dyDescent="0.25">
      <c r="A269" s="45">
        <v>0</v>
      </c>
      <c r="B269" s="45" t="s">
        <v>1</v>
      </c>
      <c r="C269" s="45">
        <v>14640</v>
      </c>
      <c r="D269" s="45">
        <v>80</v>
      </c>
      <c r="E269" s="45">
        <v>2</v>
      </c>
      <c r="F269" s="45">
        <v>2</v>
      </c>
      <c r="G269" s="45">
        <v>900</v>
      </c>
      <c r="H269" s="71">
        <v>2.3247</v>
      </c>
      <c r="I269" s="47">
        <v>45425</v>
      </c>
      <c r="J269" s="48">
        <v>0.14837962962962964</v>
      </c>
      <c r="K269" s="45">
        <v>0</v>
      </c>
      <c r="L269" s="45">
        <v>0</v>
      </c>
      <c r="M269" s="45">
        <v>0</v>
      </c>
      <c r="N269" s="27">
        <f t="shared" ref="N269" si="208">AVERAGE(H269:H273)</f>
        <v>2.32348</v>
      </c>
      <c r="P269" s="45">
        <v>0</v>
      </c>
      <c r="Q269" s="45" t="s">
        <v>1</v>
      </c>
      <c r="R269" s="45">
        <v>14640</v>
      </c>
      <c r="S269" s="45">
        <v>80</v>
      </c>
      <c r="T269" s="45">
        <v>2</v>
      </c>
      <c r="U269" s="45">
        <v>2</v>
      </c>
      <c r="V269" s="45">
        <v>811.71</v>
      </c>
      <c r="W269" s="73">
        <v>2.5775000000000001</v>
      </c>
      <c r="X269" s="47">
        <v>45435</v>
      </c>
      <c r="Y269" s="48">
        <v>0.6597453703703704</v>
      </c>
      <c r="Z269" s="45">
        <v>0</v>
      </c>
      <c r="AA269" s="45">
        <v>0</v>
      </c>
      <c r="AB269" s="45">
        <v>0</v>
      </c>
      <c r="AC269" s="3">
        <f t="shared" ref="AC269" si="209">AVERAGE(W269:W273)</f>
        <v>2.5789599999999999</v>
      </c>
      <c r="AD269" s="3"/>
    </row>
    <row r="270" spans="1:30" x14ac:dyDescent="0.25">
      <c r="A270" s="45">
        <v>1</v>
      </c>
      <c r="B270" s="45" t="s">
        <v>1</v>
      </c>
      <c r="C270" s="45">
        <v>14640</v>
      </c>
      <c r="D270" s="45">
        <v>80</v>
      </c>
      <c r="E270" s="45">
        <v>2</v>
      </c>
      <c r="F270" s="45">
        <v>2</v>
      </c>
      <c r="G270" s="45">
        <v>900.34</v>
      </c>
      <c r="H270" s="71">
        <v>2.3237999999999999</v>
      </c>
      <c r="I270" s="47">
        <v>45425</v>
      </c>
      <c r="J270" s="48">
        <v>0.73598379629629629</v>
      </c>
      <c r="K270" s="45">
        <v>0</v>
      </c>
      <c r="L270" s="45">
        <v>0</v>
      </c>
      <c r="M270" s="45">
        <v>0</v>
      </c>
      <c r="N270" s="27">
        <f t="shared" ref="N270" si="210">N269</f>
        <v>2.32348</v>
      </c>
      <c r="P270" s="45">
        <v>1</v>
      </c>
      <c r="Q270" s="45" t="s">
        <v>1</v>
      </c>
      <c r="R270" s="45">
        <v>14640</v>
      </c>
      <c r="S270" s="45">
        <v>80</v>
      </c>
      <c r="T270" s="45">
        <v>2</v>
      </c>
      <c r="U270" s="45">
        <v>2</v>
      </c>
      <c r="V270" s="45">
        <v>811.22</v>
      </c>
      <c r="W270" s="73">
        <v>2.5790000000000002</v>
      </c>
      <c r="X270" s="47">
        <v>45436</v>
      </c>
      <c r="Y270" s="48">
        <v>0.28256944444444443</v>
      </c>
      <c r="Z270" s="45">
        <v>0</v>
      </c>
      <c r="AA270" s="45">
        <v>0</v>
      </c>
      <c r="AB270" s="45">
        <v>0</v>
      </c>
      <c r="AC270" s="3">
        <f t="shared" ref="AC270" si="211">AC269</f>
        <v>2.5789599999999999</v>
      </c>
      <c r="AD270" s="3"/>
    </row>
    <row r="271" spans="1:30" x14ac:dyDescent="0.25">
      <c r="A271" s="45">
        <v>2</v>
      </c>
      <c r="B271" s="45" t="s">
        <v>1</v>
      </c>
      <c r="C271" s="45">
        <v>14640</v>
      </c>
      <c r="D271" s="45">
        <v>80</v>
      </c>
      <c r="E271" s="45">
        <v>2</v>
      </c>
      <c r="F271" s="45">
        <v>2</v>
      </c>
      <c r="G271" s="45">
        <v>900.02</v>
      </c>
      <c r="H271" s="71">
        <v>2.3246000000000002</v>
      </c>
      <c r="I271" s="47">
        <v>45426</v>
      </c>
      <c r="J271" s="48">
        <v>0.24130787037037038</v>
      </c>
      <c r="K271" s="45">
        <v>0</v>
      </c>
      <c r="L271" s="45">
        <v>0</v>
      </c>
      <c r="M271" s="45">
        <v>0</v>
      </c>
      <c r="N271" s="27">
        <f t="shared" si="178"/>
        <v>2.32348</v>
      </c>
      <c r="P271" s="45">
        <v>2</v>
      </c>
      <c r="Q271" s="45" t="s">
        <v>1</v>
      </c>
      <c r="R271" s="45">
        <v>14640</v>
      </c>
      <c r="S271" s="45">
        <v>80</v>
      </c>
      <c r="T271" s="45">
        <v>2</v>
      </c>
      <c r="U271" s="45">
        <v>2</v>
      </c>
      <c r="V271" s="45">
        <v>810.13</v>
      </c>
      <c r="W271" s="73">
        <v>2.5825</v>
      </c>
      <c r="X271" s="47">
        <v>45436</v>
      </c>
      <c r="Y271" s="48">
        <v>0.79958333333333331</v>
      </c>
      <c r="Z271" s="45">
        <v>0</v>
      </c>
      <c r="AA271" s="45">
        <v>0</v>
      </c>
      <c r="AB271" s="45">
        <v>0</v>
      </c>
      <c r="AC271" s="3">
        <f t="shared" si="179"/>
        <v>2.5789599999999999</v>
      </c>
      <c r="AD271" s="3"/>
    </row>
    <row r="272" spans="1:30" x14ac:dyDescent="0.25">
      <c r="A272" s="45">
        <v>3</v>
      </c>
      <c r="B272" s="45" t="s">
        <v>1</v>
      </c>
      <c r="C272" s="45">
        <v>14640</v>
      </c>
      <c r="D272" s="45">
        <v>80</v>
      </c>
      <c r="E272" s="45">
        <v>2</v>
      </c>
      <c r="F272" s="45">
        <v>2</v>
      </c>
      <c r="G272" s="45">
        <v>901.84</v>
      </c>
      <c r="H272" s="71">
        <v>2.3199000000000001</v>
      </c>
      <c r="I272" s="47">
        <v>45426</v>
      </c>
      <c r="J272" s="48">
        <v>0.74681712962962965</v>
      </c>
      <c r="K272" s="45">
        <v>0</v>
      </c>
      <c r="L272" s="45">
        <v>0</v>
      </c>
      <c r="M272" s="45">
        <v>0</v>
      </c>
      <c r="N272" s="27">
        <f t="shared" si="178"/>
        <v>2.32348</v>
      </c>
      <c r="P272" s="45">
        <v>3</v>
      </c>
      <c r="Q272" s="45" t="s">
        <v>1</v>
      </c>
      <c r="R272" s="45">
        <v>14640</v>
      </c>
      <c r="S272" s="45">
        <v>80</v>
      </c>
      <c r="T272" s="45">
        <v>2</v>
      </c>
      <c r="U272" s="45">
        <v>2</v>
      </c>
      <c r="V272" s="45">
        <v>811.43</v>
      </c>
      <c r="W272" s="73">
        <v>2.5783999999999998</v>
      </c>
      <c r="X272" s="47">
        <v>45437</v>
      </c>
      <c r="Y272" s="48">
        <v>0.31623842592592594</v>
      </c>
      <c r="Z272" s="45">
        <v>0</v>
      </c>
      <c r="AA272" s="45">
        <v>0</v>
      </c>
      <c r="AB272" s="45">
        <v>0</v>
      </c>
      <c r="AC272" s="3">
        <f t="shared" si="179"/>
        <v>2.5789599999999999</v>
      </c>
      <c r="AD272" s="3"/>
    </row>
    <row r="273" spans="1:30" x14ac:dyDescent="0.25">
      <c r="A273" s="45">
        <v>4</v>
      </c>
      <c r="B273" s="45" t="s">
        <v>1</v>
      </c>
      <c r="C273" s="45">
        <v>14640</v>
      </c>
      <c r="D273" s="45">
        <v>80</v>
      </c>
      <c r="E273" s="45">
        <v>2</v>
      </c>
      <c r="F273" s="45">
        <v>2</v>
      </c>
      <c r="G273" s="45">
        <v>900.08</v>
      </c>
      <c r="H273" s="71">
        <v>2.3243999999999998</v>
      </c>
      <c r="I273" s="47">
        <v>45427</v>
      </c>
      <c r="J273" s="48">
        <v>0.25225694444444446</v>
      </c>
      <c r="K273" s="45">
        <v>0</v>
      </c>
      <c r="L273" s="45">
        <v>0</v>
      </c>
      <c r="M273" s="45">
        <v>0</v>
      </c>
      <c r="N273" s="27">
        <f t="shared" si="178"/>
        <v>2.32348</v>
      </c>
      <c r="P273" s="45">
        <v>4</v>
      </c>
      <c r="Q273" s="45" t="s">
        <v>1</v>
      </c>
      <c r="R273" s="45">
        <v>14640</v>
      </c>
      <c r="S273" s="45">
        <v>80</v>
      </c>
      <c r="T273" s="45">
        <v>2</v>
      </c>
      <c r="U273" s="45">
        <v>2</v>
      </c>
      <c r="V273" s="45">
        <v>811.74</v>
      </c>
      <c r="W273" s="73">
        <v>2.5773999999999999</v>
      </c>
      <c r="X273" s="47">
        <v>45437</v>
      </c>
      <c r="Y273" s="48">
        <v>0.83329861111111114</v>
      </c>
      <c r="Z273" s="45">
        <v>0</v>
      </c>
      <c r="AA273" s="45">
        <v>0</v>
      </c>
      <c r="AB273" s="45">
        <v>0</v>
      </c>
      <c r="AC273" s="3">
        <f t="shared" si="179"/>
        <v>2.5789599999999999</v>
      </c>
      <c r="AD273" s="3"/>
    </row>
    <row r="274" spans="1:30" x14ac:dyDescent="0.25">
      <c r="A274" s="45">
        <v>0</v>
      </c>
      <c r="B274" s="45" t="s">
        <v>1</v>
      </c>
      <c r="C274" s="45">
        <v>12992</v>
      </c>
      <c r="D274" s="45">
        <v>112</v>
      </c>
      <c r="E274" s="45">
        <v>1</v>
      </c>
      <c r="F274" s="45">
        <v>4</v>
      </c>
      <c r="G274" s="45">
        <v>649.51</v>
      </c>
      <c r="H274" s="71">
        <v>2.2513000000000001</v>
      </c>
      <c r="I274" s="47">
        <v>45425</v>
      </c>
      <c r="J274" s="48">
        <v>0.51652777777777781</v>
      </c>
      <c r="K274" s="45">
        <v>0</v>
      </c>
      <c r="L274" s="45">
        <v>0</v>
      </c>
      <c r="M274" s="45">
        <v>0</v>
      </c>
      <c r="N274" s="27">
        <f t="shared" ref="N274" si="212">AVERAGE(H274:H278)</f>
        <v>2.2515000000000001</v>
      </c>
      <c r="P274" s="45">
        <v>0</v>
      </c>
      <c r="Q274" s="45" t="s">
        <v>1</v>
      </c>
      <c r="R274" s="45">
        <v>12992</v>
      </c>
      <c r="S274" s="45">
        <v>112</v>
      </c>
      <c r="T274" s="45">
        <v>1</v>
      </c>
      <c r="U274" s="45">
        <v>4</v>
      </c>
      <c r="V274" s="45">
        <v>577.62</v>
      </c>
      <c r="W274" s="73">
        <v>2.5314000000000001</v>
      </c>
      <c r="X274" s="47">
        <v>45436</v>
      </c>
      <c r="Y274" s="48">
        <v>5.8935185185185188E-2</v>
      </c>
      <c r="Z274" s="45">
        <v>0</v>
      </c>
      <c r="AA274" s="45">
        <v>0</v>
      </c>
      <c r="AB274" s="45">
        <v>0</v>
      </c>
      <c r="AC274" s="3">
        <f t="shared" ref="AC274" si="213">AVERAGE(W274:W278)</f>
        <v>2.5104600000000001</v>
      </c>
    </row>
    <row r="275" spans="1:30" x14ac:dyDescent="0.25">
      <c r="A275" s="45">
        <v>1</v>
      </c>
      <c r="B275" s="45" t="s">
        <v>1</v>
      </c>
      <c r="C275" s="45">
        <v>12992</v>
      </c>
      <c r="D275" s="45">
        <v>112</v>
      </c>
      <c r="E275" s="45">
        <v>1</v>
      </c>
      <c r="F275" s="45">
        <v>4</v>
      </c>
      <c r="G275" s="45">
        <v>649.17999999999995</v>
      </c>
      <c r="H275" s="71">
        <v>2.2524000000000002</v>
      </c>
      <c r="I275" s="47">
        <v>45426</v>
      </c>
      <c r="J275" s="48">
        <v>2.1863425925925925E-2</v>
      </c>
      <c r="K275" s="45">
        <v>0</v>
      </c>
      <c r="L275" s="45">
        <v>0</v>
      </c>
      <c r="M275" s="45">
        <v>0</v>
      </c>
      <c r="N275" s="27">
        <f t="shared" ref="N275" si="214">N274</f>
        <v>2.2515000000000001</v>
      </c>
      <c r="P275" s="45">
        <v>1</v>
      </c>
      <c r="Q275" s="45" t="s">
        <v>1</v>
      </c>
      <c r="R275" s="45">
        <v>12992</v>
      </c>
      <c r="S275" s="45">
        <v>112</v>
      </c>
      <c r="T275" s="45">
        <v>1</v>
      </c>
      <c r="U275" s="45">
        <v>4</v>
      </c>
      <c r="V275" s="45">
        <v>600.75</v>
      </c>
      <c r="W275" s="73">
        <v>2.4340000000000002</v>
      </c>
      <c r="X275" s="47">
        <v>45436</v>
      </c>
      <c r="Y275" s="48">
        <v>0.57597222222222222</v>
      </c>
      <c r="Z275" s="45">
        <v>0</v>
      </c>
      <c r="AA275" s="45">
        <v>0</v>
      </c>
      <c r="AB275" s="45">
        <v>0</v>
      </c>
      <c r="AC275" s="3">
        <f t="shared" ref="AC275" si="215">AC274</f>
        <v>2.5104600000000001</v>
      </c>
    </row>
    <row r="276" spans="1:30" x14ac:dyDescent="0.25">
      <c r="A276" s="45">
        <v>2</v>
      </c>
      <c r="B276" s="45" t="s">
        <v>1</v>
      </c>
      <c r="C276" s="45">
        <v>12992</v>
      </c>
      <c r="D276" s="45">
        <v>112</v>
      </c>
      <c r="E276" s="45">
        <v>1</v>
      </c>
      <c r="F276" s="45">
        <v>4</v>
      </c>
      <c r="G276" s="45">
        <v>649.88</v>
      </c>
      <c r="H276" s="71">
        <v>2.25</v>
      </c>
      <c r="I276" s="47">
        <v>45426</v>
      </c>
      <c r="J276" s="48">
        <v>0.52724537037037034</v>
      </c>
      <c r="K276" s="45">
        <v>0</v>
      </c>
      <c r="L276" s="45">
        <v>0</v>
      </c>
      <c r="M276" s="45">
        <v>0</v>
      </c>
      <c r="N276" s="27">
        <f t="shared" si="174"/>
        <v>2.2515000000000001</v>
      </c>
      <c r="P276" s="45">
        <v>2</v>
      </c>
      <c r="Q276" s="45" t="s">
        <v>1</v>
      </c>
      <c r="R276" s="45">
        <v>12992</v>
      </c>
      <c r="S276" s="45">
        <v>112</v>
      </c>
      <c r="T276" s="45">
        <v>1</v>
      </c>
      <c r="U276" s="45">
        <v>4</v>
      </c>
      <c r="V276" s="45">
        <v>575.25</v>
      </c>
      <c r="W276" s="73">
        <v>2.5419</v>
      </c>
      <c r="X276" s="47">
        <v>45437</v>
      </c>
      <c r="Y276" s="48">
        <v>9.2499999999999999E-2</v>
      </c>
      <c r="Z276" s="45">
        <v>0</v>
      </c>
      <c r="AA276" s="45">
        <v>0</v>
      </c>
      <c r="AB276" s="45">
        <v>0</v>
      </c>
      <c r="AC276" s="3">
        <f t="shared" si="175"/>
        <v>2.5104600000000001</v>
      </c>
    </row>
    <row r="277" spans="1:30" x14ac:dyDescent="0.25">
      <c r="A277" s="45">
        <v>3</v>
      </c>
      <c r="B277" s="45" t="s">
        <v>1</v>
      </c>
      <c r="C277" s="45">
        <v>12992</v>
      </c>
      <c r="D277" s="45">
        <v>112</v>
      </c>
      <c r="E277" s="45">
        <v>1</v>
      </c>
      <c r="F277" s="45">
        <v>4</v>
      </c>
      <c r="G277" s="45">
        <v>649.25</v>
      </c>
      <c r="H277" s="71">
        <v>2.2522000000000002</v>
      </c>
      <c r="I277" s="47">
        <v>45427</v>
      </c>
      <c r="J277" s="48">
        <v>3.2789351851851854E-2</v>
      </c>
      <c r="K277" s="45">
        <v>0</v>
      </c>
      <c r="L277" s="45">
        <v>0</v>
      </c>
      <c r="M277" s="45">
        <v>0</v>
      </c>
      <c r="N277" s="27">
        <f t="shared" si="174"/>
        <v>2.2515000000000001</v>
      </c>
      <c r="P277" s="45">
        <v>3</v>
      </c>
      <c r="Q277" s="45" t="s">
        <v>1</v>
      </c>
      <c r="R277" s="45">
        <v>12992</v>
      </c>
      <c r="S277" s="45">
        <v>112</v>
      </c>
      <c r="T277" s="45">
        <v>1</v>
      </c>
      <c r="U277" s="45">
        <v>4</v>
      </c>
      <c r="V277" s="45">
        <v>581.99</v>
      </c>
      <c r="W277" s="73">
        <v>2.5124</v>
      </c>
      <c r="X277" s="47">
        <v>45437</v>
      </c>
      <c r="Y277" s="48">
        <v>0.60964120370370367</v>
      </c>
      <c r="Z277" s="45">
        <v>0</v>
      </c>
      <c r="AA277" s="45">
        <v>0</v>
      </c>
      <c r="AB277" s="45">
        <v>0</v>
      </c>
      <c r="AC277" s="3">
        <f t="shared" si="175"/>
        <v>2.5104600000000001</v>
      </c>
    </row>
    <row r="278" spans="1:30" x14ac:dyDescent="0.25">
      <c r="A278" s="45">
        <v>4</v>
      </c>
      <c r="B278" s="45" t="s">
        <v>1</v>
      </c>
      <c r="C278" s="45">
        <v>12992</v>
      </c>
      <c r="D278" s="45">
        <v>112</v>
      </c>
      <c r="E278" s="45">
        <v>1</v>
      </c>
      <c r="F278" s="45">
        <v>4</v>
      </c>
      <c r="G278" s="72">
        <v>649.41999999999996</v>
      </c>
      <c r="H278" s="71">
        <v>2.2515999999999998</v>
      </c>
      <c r="I278" s="47">
        <v>45427</v>
      </c>
      <c r="J278" s="48">
        <v>0.53811342592592593</v>
      </c>
      <c r="K278" s="45">
        <v>0</v>
      </c>
      <c r="L278" s="45">
        <v>0</v>
      </c>
      <c r="M278" s="45">
        <v>0</v>
      </c>
      <c r="N278" s="27">
        <f t="shared" si="174"/>
        <v>2.2515000000000001</v>
      </c>
      <c r="P278" s="45">
        <v>4</v>
      </c>
      <c r="Q278" s="45" t="s">
        <v>1</v>
      </c>
      <c r="R278" s="45">
        <v>12992</v>
      </c>
      <c r="S278" s="45">
        <v>112</v>
      </c>
      <c r="T278" s="45">
        <v>1</v>
      </c>
      <c r="U278" s="45">
        <v>4</v>
      </c>
      <c r="V278" s="72">
        <v>577.37</v>
      </c>
      <c r="W278" s="71">
        <v>2.5326</v>
      </c>
      <c r="X278" s="47">
        <v>45438</v>
      </c>
      <c r="Y278" s="48">
        <v>0.12667824074074074</v>
      </c>
      <c r="Z278" s="45">
        <v>0</v>
      </c>
      <c r="AA278" s="45">
        <v>0</v>
      </c>
      <c r="AB278" s="45">
        <v>0</v>
      </c>
      <c r="AC278" s="3">
        <f t="shared" si="175"/>
        <v>2.5104600000000001</v>
      </c>
    </row>
    <row r="279" spans="1:30" x14ac:dyDescent="0.25">
      <c r="A279" s="45">
        <v>0</v>
      </c>
      <c r="B279" s="45" t="s">
        <v>1</v>
      </c>
      <c r="C279" s="45">
        <v>13776</v>
      </c>
      <c r="D279" s="45">
        <v>112</v>
      </c>
      <c r="E279" s="45">
        <v>1</v>
      </c>
      <c r="F279" s="45">
        <v>4</v>
      </c>
      <c r="G279" s="45">
        <v>7880.41</v>
      </c>
      <c r="H279" s="71">
        <v>0.22120999999999999</v>
      </c>
      <c r="I279" s="47">
        <v>45425</v>
      </c>
      <c r="J279" s="48">
        <v>0.37092592592592594</v>
      </c>
      <c r="K279" s="45">
        <v>0</v>
      </c>
      <c r="L279" s="45">
        <v>0</v>
      </c>
      <c r="M279" s="45">
        <v>0</v>
      </c>
      <c r="N279" s="27">
        <f t="shared" ref="N279" si="216">AVERAGE(H279:H283)</f>
        <v>1.8541420000000002</v>
      </c>
      <c r="P279" s="45">
        <v>0</v>
      </c>
      <c r="Q279" s="45" t="s">
        <v>1</v>
      </c>
      <c r="R279" s="45">
        <v>13776</v>
      </c>
      <c r="S279" s="45">
        <v>112</v>
      </c>
      <c r="T279" s="45">
        <v>1</v>
      </c>
      <c r="U279" s="45">
        <v>4</v>
      </c>
      <c r="V279" s="45">
        <v>687.11</v>
      </c>
      <c r="W279" s="73">
        <v>2.5369999999999999</v>
      </c>
      <c r="X279" s="47">
        <v>45435</v>
      </c>
      <c r="Y279" s="48">
        <v>0.90913194444444445</v>
      </c>
      <c r="Z279" s="45">
        <v>0</v>
      </c>
      <c r="AA279" s="45">
        <v>0</v>
      </c>
      <c r="AB279" s="45">
        <v>0</v>
      </c>
      <c r="AC279" s="3">
        <f t="shared" ref="AC279" si="217">AVERAGE(W279:W283)</f>
        <v>2.5424199999999999</v>
      </c>
    </row>
    <row r="280" spans="1:30" x14ac:dyDescent="0.25">
      <c r="A280" s="45">
        <v>1</v>
      </c>
      <c r="B280" s="45" t="s">
        <v>1</v>
      </c>
      <c r="C280" s="45">
        <v>13776</v>
      </c>
      <c r="D280" s="45">
        <v>112</v>
      </c>
      <c r="E280" s="45">
        <v>1</v>
      </c>
      <c r="F280" s="45">
        <v>4</v>
      </c>
      <c r="G280" s="45">
        <v>770.61</v>
      </c>
      <c r="H280" s="71">
        <v>2.2621000000000002</v>
      </c>
      <c r="I280" s="47">
        <v>45425</v>
      </c>
      <c r="J280" s="48">
        <v>0.87626157407407412</v>
      </c>
      <c r="K280" s="45">
        <v>0</v>
      </c>
      <c r="L280" s="45">
        <v>0</v>
      </c>
      <c r="M280" s="45">
        <v>0</v>
      </c>
      <c r="N280" s="27">
        <f t="shared" ref="N280" si="218">N279</f>
        <v>1.8541420000000002</v>
      </c>
      <c r="P280" s="45">
        <v>1</v>
      </c>
      <c r="Q280" s="45" t="s">
        <v>1</v>
      </c>
      <c r="R280" s="45">
        <v>13776</v>
      </c>
      <c r="S280" s="45">
        <v>112</v>
      </c>
      <c r="T280" s="45">
        <v>1</v>
      </c>
      <c r="U280" s="45">
        <v>4</v>
      </c>
      <c r="V280" s="45">
        <v>685.47</v>
      </c>
      <c r="W280" s="73">
        <v>2.5430999999999999</v>
      </c>
      <c r="X280" s="47">
        <v>45436</v>
      </c>
      <c r="Y280" s="48">
        <v>0.42540509259259257</v>
      </c>
      <c r="Z280" s="45">
        <v>0</v>
      </c>
      <c r="AA280" s="45">
        <v>0</v>
      </c>
      <c r="AB280" s="45">
        <v>0</v>
      </c>
      <c r="AC280" s="3">
        <f t="shared" ref="AC280" si="219">AC279</f>
        <v>2.5424199999999999</v>
      </c>
    </row>
    <row r="281" spans="1:30" x14ac:dyDescent="0.25">
      <c r="A281" s="45">
        <v>2</v>
      </c>
      <c r="B281" s="45" t="s">
        <v>1</v>
      </c>
      <c r="C281" s="45">
        <v>13776</v>
      </c>
      <c r="D281" s="45">
        <v>112</v>
      </c>
      <c r="E281" s="45">
        <v>1</v>
      </c>
      <c r="F281" s="45">
        <v>4</v>
      </c>
      <c r="G281" s="45">
        <v>770.44</v>
      </c>
      <c r="H281" s="71">
        <v>2.2625999999999999</v>
      </c>
      <c r="I281" s="47">
        <v>45426</v>
      </c>
      <c r="J281" s="48">
        <v>0.38160879629629629</v>
      </c>
      <c r="K281" s="45">
        <v>0</v>
      </c>
      <c r="L281" s="45">
        <v>0</v>
      </c>
      <c r="M281" s="45">
        <v>0</v>
      </c>
      <c r="N281" s="27">
        <f t="shared" si="178"/>
        <v>1.8541420000000002</v>
      </c>
      <c r="P281" s="45">
        <v>2</v>
      </c>
      <c r="Q281" s="45" t="s">
        <v>1</v>
      </c>
      <c r="R281" s="45">
        <v>13776</v>
      </c>
      <c r="S281" s="45">
        <v>112</v>
      </c>
      <c r="T281" s="45">
        <v>1</v>
      </c>
      <c r="U281" s="45">
        <v>4</v>
      </c>
      <c r="V281" s="45">
        <v>684.29</v>
      </c>
      <c r="W281" s="73">
        <v>2.5474999999999999</v>
      </c>
      <c r="X281" s="47">
        <v>45436</v>
      </c>
      <c r="Y281" s="48">
        <v>0.94241898148148151</v>
      </c>
      <c r="Z281" s="45">
        <v>0</v>
      </c>
      <c r="AA281" s="45">
        <v>0</v>
      </c>
      <c r="AB281" s="45">
        <v>0</v>
      </c>
      <c r="AC281" s="3">
        <f t="shared" si="179"/>
        <v>2.5424199999999999</v>
      </c>
    </row>
    <row r="282" spans="1:30" x14ac:dyDescent="0.25">
      <c r="A282" s="45">
        <v>3</v>
      </c>
      <c r="B282" s="45" t="s">
        <v>1</v>
      </c>
      <c r="C282" s="45">
        <v>13776</v>
      </c>
      <c r="D282" s="45">
        <v>112</v>
      </c>
      <c r="E282" s="45">
        <v>1</v>
      </c>
      <c r="F282" s="45">
        <v>4</v>
      </c>
      <c r="G282" s="45">
        <v>770.49</v>
      </c>
      <c r="H282" s="71">
        <v>2.2625000000000002</v>
      </c>
      <c r="I282" s="47">
        <v>45426</v>
      </c>
      <c r="J282" s="48">
        <v>0.88719907407407406</v>
      </c>
      <c r="K282" s="45">
        <v>0</v>
      </c>
      <c r="L282" s="45">
        <v>0</v>
      </c>
      <c r="M282" s="45">
        <v>0</v>
      </c>
      <c r="N282" s="27">
        <f t="shared" si="178"/>
        <v>1.8541420000000002</v>
      </c>
      <c r="P282" s="45">
        <v>3</v>
      </c>
      <c r="Q282" s="45" t="s">
        <v>1</v>
      </c>
      <c r="R282" s="45">
        <v>13776</v>
      </c>
      <c r="S282" s="45">
        <v>112</v>
      </c>
      <c r="T282" s="45">
        <v>1</v>
      </c>
      <c r="U282" s="45">
        <v>4</v>
      </c>
      <c r="V282" s="45">
        <v>687.25</v>
      </c>
      <c r="W282" s="73">
        <v>2.5365000000000002</v>
      </c>
      <c r="X282" s="47">
        <v>45437</v>
      </c>
      <c r="Y282" s="48">
        <v>0.45922453703703703</v>
      </c>
      <c r="Z282" s="45">
        <v>0</v>
      </c>
      <c r="AA282" s="45">
        <v>0</v>
      </c>
      <c r="AB282" s="45">
        <v>0</v>
      </c>
      <c r="AC282" s="3">
        <f t="shared" si="179"/>
        <v>2.5424199999999999</v>
      </c>
    </row>
    <row r="283" spans="1:30" x14ac:dyDescent="0.25">
      <c r="A283" s="45">
        <v>4</v>
      </c>
      <c r="B283" s="45" t="s">
        <v>1</v>
      </c>
      <c r="C283" s="45">
        <v>13776</v>
      </c>
      <c r="D283" s="45">
        <v>112</v>
      </c>
      <c r="E283" s="45">
        <v>1</v>
      </c>
      <c r="F283" s="45">
        <v>4</v>
      </c>
      <c r="G283" s="72">
        <v>770.54</v>
      </c>
      <c r="H283" s="71">
        <v>2.2623000000000002</v>
      </c>
      <c r="I283" s="47">
        <v>45427</v>
      </c>
      <c r="J283" s="48">
        <v>0.39251157407407405</v>
      </c>
      <c r="K283" s="45">
        <v>0</v>
      </c>
      <c r="L283" s="45">
        <v>0</v>
      </c>
      <c r="M283" s="45">
        <v>0</v>
      </c>
      <c r="N283" s="27">
        <f t="shared" si="178"/>
        <v>1.8541420000000002</v>
      </c>
      <c r="P283" s="45">
        <v>4</v>
      </c>
      <c r="Q283" s="45" t="s">
        <v>1</v>
      </c>
      <c r="R283" s="45">
        <v>13776</v>
      </c>
      <c r="S283" s="45">
        <v>112</v>
      </c>
      <c r="T283" s="45">
        <v>1</v>
      </c>
      <c r="U283" s="45">
        <v>4</v>
      </c>
      <c r="V283" s="72">
        <v>684.15</v>
      </c>
      <c r="W283" s="71">
        <v>2.548</v>
      </c>
      <c r="X283" s="47">
        <v>45437</v>
      </c>
      <c r="Y283" s="48">
        <v>0.97622685185185187</v>
      </c>
      <c r="Z283" s="45">
        <v>0</v>
      </c>
      <c r="AA283" s="45">
        <v>0</v>
      </c>
      <c r="AB283" s="45">
        <v>0</v>
      </c>
      <c r="AC283" s="3">
        <f t="shared" si="179"/>
        <v>2.5424199999999999</v>
      </c>
    </row>
    <row r="284" spans="1:30" x14ac:dyDescent="0.25">
      <c r="A284" s="45">
        <v>0</v>
      </c>
      <c r="B284" s="45" t="s">
        <v>1</v>
      </c>
      <c r="C284" s="45">
        <v>14560</v>
      </c>
      <c r="D284" s="45">
        <v>112</v>
      </c>
      <c r="E284" s="45">
        <v>1</v>
      </c>
      <c r="F284" s="45">
        <v>4</v>
      </c>
      <c r="G284" s="45">
        <v>908.33</v>
      </c>
      <c r="H284" s="71">
        <v>2.2658</v>
      </c>
      <c r="I284" s="47">
        <v>45425</v>
      </c>
      <c r="J284" s="48">
        <v>0.11597222222222223</v>
      </c>
      <c r="K284" s="45">
        <v>0</v>
      </c>
      <c r="L284" s="45">
        <v>0</v>
      </c>
      <c r="M284" s="45">
        <v>0</v>
      </c>
      <c r="N284" s="27">
        <f t="shared" ref="N284" si="220">AVERAGE(H284:H288)</f>
        <v>2.2655800000000004</v>
      </c>
      <c r="P284" s="45">
        <v>0</v>
      </c>
      <c r="Q284" s="45" t="s">
        <v>1</v>
      </c>
      <c r="R284" s="45">
        <v>14560</v>
      </c>
      <c r="S284" s="45">
        <v>112</v>
      </c>
      <c r="T284" s="45">
        <v>1</v>
      </c>
      <c r="U284" s="45">
        <v>4</v>
      </c>
      <c r="V284" s="45">
        <v>804.32</v>
      </c>
      <c r="W284" s="73">
        <v>2.5588000000000002</v>
      </c>
      <c r="X284" s="47">
        <v>45435</v>
      </c>
      <c r="Y284" s="48">
        <v>0.62678240740740743</v>
      </c>
      <c r="Z284" s="45">
        <v>0</v>
      </c>
      <c r="AA284" s="45">
        <v>0</v>
      </c>
      <c r="AB284" s="45">
        <v>0</v>
      </c>
      <c r="AC284" s="3">
        <f t="shared" ref="AC284" si="221">AVERAGE(W284:W288)</f>
        <v>2.5518200000000002</v>
      </c>
    </row>
    <row r="285" spans="1:30" x14ac:dyDescent="0.25">
      <c r="A285" s="45">
        <v>1</v>
      </c>
      <c r="B285" s="45" t="s">
        <v>1</v>
      </c>
      <c r="C285" s="45">
        <v>14560</v>
      </c>
      <c r="D285" s="45">
        <v>112</v>
      </c>
      <c r="E285" s="45">
        <v>1</v>
      </c>
      <c r="F285" s="45">
        <v>4</v>
      </c>
      <c r="G285" s="45">
        <v>908.24</v>
      </c>
      <c r="H285" s="71">
        <v>2.266</v>
      </c>
      <c r="I285" s="47">
        <v>45425</v>
      </c>
      <c r="J285" s="48">
        <v>0.70357638888888885</v>
      </c>
      <c r="K285" s="45">
        <v>0</v>
      </c>
      <c r="L285" s="45">
        <v>0</v>
      </c>
      <c r="M285" s="45">
        <v>0</v>
      </c>
      <c r="N285" s="27">
        <f t="shared" ref="N285" si="222">N284</f>
        <v>2.2655800000000004</v>
      </c>
      <c r="P285" s="45">
        <v>1</v>
      </c>
      <c r="Q285" s="45" t="s">
        <v>1</v>
      </c>
      <c r="R285" s="45">
        <v>14560</v>
      </c>
      <c r="S285" s="45">
        <v>112</v>
      </c>
      <c r="T285" s="45">
        <v>1</v>
      </c>
      <c r="U285" s="45">
        <v>4</v>
      </c>
      <c r="V285" s="45">
        <v>805.73</v>
      </c>
      <c r="W285" s="73">
        <v>2.5543</v>
      </c>
      <c r="X285" s="47">
        <v>45436</v>
      </c>
      <c r="Y285" s="48">
        <v>0.24957175925925926</v>
      </c>
      <c r="Z285" s="45">
        <v>0</v>
      </c>
      <c r="AA285" s="45">
        <v>0</v>
      </c>
      <c r="AB285" s="45">
        <v>0</v>
      </c>
      <c r="AC285" s="3">
        <f t="shared" ref="AC285" si="223">AC284</f>
        <v>2.5518200000000002</v>
      </c>
    </row>
    <row r="286" spans="1:30" x14ac:dyDescent="0.25">
      <c r="A286" s="45">
        <v>2</v>
      </c>
      <c r="B286" s="45" t="s">
        <v>1</v>
      </c>
      <c r="C286" s="45">
        <v>14560</v>
      </c>
      <c r="D286" s="45">
        <v>112</v>
      </c>
      <c r="E286" s="45">
        <v>1</v>
      </c>
      <c r="F286" s="45">
        <v>4</v>
      </c>
      <c r="G286" s="45">
        <v>908.31</v>
      </c>
      <c r="H286" s="71">
        <v>2.2658</v>
      </c>
      <c r="I286" s="47">
        <v>45426</v>
      </c>
      <c r="J286" s="48">
        <v>0.20891203703703703</v>
      </c>
      <c r="K286" s="45">
        <v>0</v>
      </c>
      <c r="L286" s="45">
        <v>0</v>
      </c>
      <c r="M286" s="45">
        <v>0</v>
      </c>
      <c r="N286" s="27">
        <f t="shared" si="174"/>
        <v>2.2655800000000004</v>
      </c>
      <c r="P286" s="45">
        <v>2</v>
      </c>
      <c r="Q286" s="45" t="s">
        <v>1</v>
      </c>
      <c r="R286" s="45">
        <v>14560</v>
      </c>
      <c r="S286" s="45">
        <v>112</v>
      </c>
      <c r="T286" s="45">
        <v>1</v>
      </c>
      <c r="U286" s="45">
        <v>4</v>
      </c>
      <c r="V286" s="45">
        <v>805.56</v>
      </c>
      <c r="W286" s="73">
        <v>2.5548000000000002</v>
      </c>
      <c r="X286" s="47">
        <v>45436</v>
      </c>
      <c r="Y286" s="48">
        <v>0.76663194444444449</v>
      </c>
      <c r="Z286" s="45">
        <v>0</v>
      </c>
      <c r="AA286" s="45">
        <v>0</v>
      </c>
      <c r="AB286" s="45">
        <v>0</v>
      </c>
      <c r="AC286" s="3">
        <f t="shared" si="175"/>
        <v>2.5518200000000002</v>
      </c>
    </row>
    <row r="287" spans="1:30" x14ac:dyDescent="0.25">
      <c r="A287" s="45">
        <v>3</v>
      </c>
      <c r="B287" s="45" t="s">
        <v>1</v>
      </c>
      <c r="C287" s="45">
        <v>14560</v>
      </c>
      <c r="D287" s="45">
        <v>112</v>
      </c>
      <c r="E287" s="45">
        <v>1</v>
      </c>
      <c r="F287" s="45">
        <v>4</v>
      </c>
      <c r="G287" s="45">
        <v>908.62</v>
      </c>
      <c r="H287" s="71">
        <v>2.2650999999999999</v>
      </c>
      <c r="I287" s="47">
        <v>45426</v>
      </c>
      <c r="J287" s="48">
        <v>0.71437499999999998</v>
      </c>
      <c r="K287" s="45">
        <v>0</v>
      </c>
      <c r="L287" s="45">
        <v>0</v>
      </c>
      <c r="M287" s="45">
        <v>0</v>
      </c>
      <c r="N287" s="27">
        <f t="shared" si="174"/>
        <v>2.2655800000000004</v>
      </c>
      <c r="P287" s="45">
        <v>3</v>
      </c>
      <c r="Q287" s="45" t="s">
        <v>1</v>
      </c>
      <c r="R287" s="45">
        <v>14560</v>
      </c>
      <c r="S287" s="45">
        <v>112</v>
      </c>
      <c r="T287" s="45">
        <v>1</v>
      </c>
      <c r="U287" s="45">
        <v>4</v>
      </c>
      <c r="V287" s="45">
        <v>808.71</v>
      </c>
      <c r="W287" s="73">
        <v>2.5449000000000002</v>
      </c>
      <c r="X287" s="47">
        <v>45437</v>
      </c>
      <c r="Y287" s="48">
        <v>0.28327546296296297</v>
      </c>
      <c r="Z287" s="45">
        <v>0</v>
      </c>
      <c r="AA287" s="45">
        <v>0</v>
      </c>
      <c r="AB287" s="45">
        <v>0</v>
      </c>
      <c r="AC287" s="3">
        <f t="shared" si="175"/>
        <v>2.5518200000000002</v>
      </c>
    </row>
    <row r="288" spans="1:30" x14ac:dyDescent="0.25">
      <c r="A288" s="45">
        <v>4</v>
      </c>
      <c r="B288" s="45" t="s">
        <v>1</v>
      </c>
      <c r="C288" s="45">
        <v>14560</v>
      </c>
      <c r="D288" s="45">
        <v>112</v>
      </c>
      <c r="E288" s="45">
        <v>1</v>
      </c>
      <c r="F288" s="45">
        <v>4</v>
      </c>
      <c r="G288" s="45">
        <v>908.56</v>
      </c>
      <c r="H288" s="71">
        <v>2.2652000000000001</v>
      </c>
      <c r="I288" s="47">
        <v>45427</v>
      </c>
      <c r="J288" s="48">
        <v>0.21986111111111112</v>
      </c>
      <c r="K288" s="45">
        <v>0</v>
      </c>
      <c r="L288" s="45">
        <v>0</v>
      </c>
      <c r="M288" s="45">
        <v>0</v>
      </c>
      <c r="N288" s="27">
        <f t="shared" si="174"/>
        <v>2.2655800000000004</v>
      </c>
      <c r="P288" s="45">
        <v>4</v>
      </c>
      <c r="Q288" s="45" t="s">
        <v>1</v>
      </c>
      <c r="R288" s="45">
        <v>14560</v>
      </c>
      <c r="S288" s="45">
        <v>112</v>
      </c>
      <c r="T288" s="45">
        <v>1</v>
      </c>
      <c r="U288" s="45">
        <v>4</v>
      </c>
      <c r="V288" s="45">
        <v>808.27</v>
      </c>
      <c r="W288" s="73">
        <v>2.5463</v>
      </c>
      <c r="X288" s="47">
        <v>45437</v>
      </c>
      <c r="Y288" s="48">
        <v>0.80033564814814817</v>
      </c>
      <c r="Z288" s="45">
        <v>0</v>
      </c>
      <c r="AA288" s="45">
        <v>0</v>
      </c>
      <c r="AB288" s="45">
        <v>0</v>
      </c>
      <c r="AC288" s="3">
        <f t="shared" si="175"/>
        <v>2.5518200000000002</v>
      </c>
    </row>
    <row r="289" spans="1:29" x14ac:dyDescent="0.25">
      <c r="A289" s="45">
        <v>0</v>
      </c>
      <c r="B289" s="45" t="s">
        <v>1</v>
      </c>
      <c r="C289" s="45">
        <v>12992</v>
      </c>
      <c r="D289" s="45">
        <v>112</v>
      </c>
      <c r="E289" s="45">
        <v>2</v>
      </c>
      <c r="F289" s="45">
        <v>2</v>
      </c>
      <c r="G289" s="45">
        <v>628.96</v>
      </c>
      <c r="H289" s="71">
        <v>2.3248000000000002</v>
      </c>
      <c r="I289" s="47">
        <v>45425</v>
      </c>
      <c r="J289" s="48">
        <v>0.52407407407407403</v>
      </c>
      <c r="K289" s="45">
        <v>0</v>
      </c>
      <c r="L289" s="45">
        <v>0</v>
      </c>
      <c r="M289" s="45">
        <v>0</v>
      </c>
      <c r="N289" s="27">
        <f t="shared" ref="N289" si="224">AVERAGE(H289:H293)</f>
        <v>2.3248000000000002</v>
      </c>
      <c r="P289" s="45">
        <v>0</v>
      </c>
      <c r="Q289" s="45" t="s">
        <v>1</v>
      </c>
      <c r="R289" s="45">
        <v>12992</v>
      </c>
      <c r="S289" s="45">
        <v>112</v>
      </c>
      <c r="T289" s="45">
        <v>2</v>
      </c>
      <c r="U289" s="45">
        <v>2</v>
      </c>
      <c r="V289" s="45">
        <v>578.59</v>
      </c>
      <c r="W289" s="73">
        <v>2.5272000000000001</v>
      </c>
      <c r="X289" s="47">
        <v>45436</v>
      </c>
      <c r="Y289" s="48">
        <v>6.6921296296296298E-2</v>
      </c>
      <c r="Z289" s="45">
        <v>0</v>
      </c>
      <c r="AA289" s="45">
        <v>0</v>
      </c>
      <c r="AB289" s="45">
        <v>0</v>
      </c>
      <c r="AC289" s="3">
        <f t="shared" ref="AC289" si="225">AVERAGE(W289:W293)</f>
        <v>2.5110999999999999</v>
      </c>
    </row>
    <row r="290" spans="1:29" x14ac:dyDescent="0.25">
      <c r="A290" s="45">
        <v>1</v>
      </c>
      <c r="B290" s="45" t="s">
        <v>1</v>
      </c>
      <c r="C290" s="45">
        <v>12992</v>
      </c>
      <c r="D290" s="45">
        <v>112</v>
      </c>
      <c r="E290" s="45">
        <v>2</v>
      </c>
      <c r="F290" s="45">
        <v>2</v>
      </c>
      <c r="G290" s="45">
        <v>628.99</v>
      </c>
      <c r="H290" s="71">
        <v>2.3247</v>
      </c>
      <c r="I290" s="47">
        <v>45426</v>
      </c>
      <c r="J290" s="48">
        <v>2.9409722222222223E-2</v>
      </c>
      <c r="K290" s="45">
        <v>0</v>
      </c>
      <c r="L290" s="45">
        <v>0</v>
      </c>
      <c r="M290" s="45">
        <v>0</v>
      </c>
      <c r="N290" s="27">
        <f t="shared" ref="N290" si="226">N289</f>
        <v>2.3248000000000002</v>
      </c>
      <c r="P290" s="45">
        <v>1</v>
      </c>
      <c r="Q290" s="45" t="s">
        <v>1</v>
      </c>
      <c r="R290" s="45">
        <v>12992</v>
      </c>
      <c r="S290" s="45">
        <v>112</v>
      </c>
      <c r="T290" s="45">
        <v>2</v>
      </c>
      <c r="U290" s="45">
        <v>2</v>
      </c>
      <c r="V290" s="45">
        <v>577.86</v>
      </c>
      <c r="W290" s="73">
        <v>2.5304000000000002</v>
      </c>
      <c r="X290" s="47">
        <v>45436</v>
      </c>
      <c r="Y290" s="48">
        <v>0.58393518518518517</v>
      </c>
      <c r="Z290" s="45">
        <v>0</v>
      </c>
      <c r="AA290" s="45">
        <v>0</v>
      </c>
      <c r="AB290" s="45">
        <v>0</v>
      </c>
      <c r="AC290" s="3">
        <f t="shared" ref="AC290" si="227">AC289</f>
        <v>2.5110999999999999</v>
      </c>
    </row>
    <row r="291" spans="1:29" x14ac:dyDescent="0.25">
      <c r="A291" s="45">
        <v>2</v>
      </c>
      <c r="B291" s="45" t="s">
        <v>1</v>
      </c>
      <c r="C291" s="45">
        <v>12992</v>
      </c>
      <c r="D291" s="45">
        <v>112</v>
      </c>
      <c r="E291" s="45">
        <v>2</v>
      </c>
      <c r="F291" s="45">
        <v>2</v>
      </c>
      <c r="G291" s="45">
        <v>628.97</v>
      </c>
      <c r="H291" s="71">
        <v>2.3248000000000002</v>
      </c>
      <c r="I291" s="47">
        <v>45426</v>
      </c>
      <c r="J291" s="48">
        <v>0.53479166666666667</v>
      </c>
      <c r="K291" s="45">
        <v>0</v>
      </c>
      <c r="L291" s="45">
        <v>0</v>
      </c>
      <c r="M291" s="45">
        <v>0</v>
      </c>
      <c r="N291" s="27">
        <f t="shared" si="178"/>
        <v>2.3248000000000002</v>
      </c>
      <c r="P291" s="45">
        <v>2</v>
      </c>
      <c r="Q291" s="45" t="s">
        <v>1</v>
      </c>
      <c r="R291" s="45">
        <v>12992</v>
      </c>
      <c r="S291" s="45">
        <v>112</v>
      </c>
      <c r="T291" s="45">
        <v>2</v>
      </c>
      <c r="U291" s="45">
        <v>2</v>
      </c>
      <c r="V291" s="45">
        <v>580.78</v>
      </c>
      <c r="W291" s="73">
        <v>2.5177</v>
      </c>
      <c r="X291" s="47">
        <v>45437</v>
      </c>
      <c r="Y291" s="48">
        <v>0.10050925925925926</v>
      </c>
      <c r="Z291" s="45">
        <v>0</v>
      </c>
      <c r="AA291" s="45">
        <v>0</v>
      </c>
      <c r="AB291" s="45">
        <v>0</v>
      </c>
      <c r="AC291" s="3">
        <f t="shared" si="179"/>
        <v>2.5110999999999999</v>
      </c>
    </row>
    <row r="292" spans="1:29" x14ac:dyDescent="0.25">
      <c r="A292" s="45">
        <v>3</v>
      </c>
      <c r="B292" s="45" t="s">
        <v>1</v>
      </c>
      <c r="C292" s="45">
        <v>12992</v>
      </c>
      <c r="D292" s="45">
        <v>112</v>
      </c>
      <c r="E292" s="45">
        <v>2</v>
      </c>
      <c r="F292" s="45">
        <v>2</v>
      </c>
      <c r="G292" s="45">
        <v>629.04999999999995</v>
      </c>
      <c r="H292" s="71">
        <v>2.3245</v>
      </c>
      <c r="I292" s="47">
        <v>45427</v>
      </c>
      <c r="J292" s="48">
        <v>4.0335648148148148E-2</v>
      </c>
      <c r="K292" s="45">
        <v>0</v>
      </c>
      <c r="L292" s="45">
        <v>0</v>
      </c>
      <c r="M292" s="45">
        <v>0</v>
      </c>
      <c r="N292" s="27">
        <f t="shared" si="178"/>
        <v>2.3248000000000002</v>
      </c>
      <c r="P292" s="45">
        <v>3</v>
      </c>
      <c r="Q292" s="45" t="s">
        <v>1</v>
      </c>
      <c r="R292" s="45">
        <v>12992</v>
      </c>
      <c r="S292" s="45">
        <v>112</v>
      </c>
      <c r="T292" s="45">
        <v>2</v>
      </c>
      <c r="U292" s="45">
        <v>2</v>
      </c>
      <c r="V292" s="45">
        <v>584.46</v>
      </c>
      <c r="W292" s="73">
        <v>2.5017999999999998</v>
      </c>
      <c r="X292" s="47">
        <v>45437</v>
      </c>
      <c r="Y292" s="48">
        <v>0.61769675925925926</v>
      </c>
      <c r="Z292" s="45">
        <v>0</v>
      </c>
      <c r="AA292" s="45">
        <v>0</v>
      </c>
      <c r="AB292" s="45">
        <v>0</v>
      </c>
      <c r="AC292" s="3">
        <f t="shared" si="179"/>
        <v>2.5110999999999999</v>
      </c>
    </row>
    <row r="293" spans="1:29" x14ac:dyDescent="0.25">
      <c r="A293" s="45">
        <v>4</v>
      </c>
      <c r="B293" s="45" t="s">
        <v>1</v>
      </c>
      <c r="C293" s="45">
        <v>12992</v>
      </c>
      <c r="D293" s="45">
        <v>112</v>
      </c>
      <c r="E293" s="45">
        <v>2</v>
      </c>
      <c r="F293" s="45">
        <v>2</v>
      </c>
      <c r="G293" s="72">
        <v>628.86</v>
      </c>
      <c r="H293" s="71">
        <v>2.3252000000000002</v>
      </c>
      <c r="I293" s="47">
        <v>45427</v>
      </c>
      <c r="J293" s="48">
        <v>0.54565972222222225</v>
      </c>
      <c r="K293" s="45">
        <v>0</v>
      </c>
      <c r="L293" s="45">
        <v>0</v>
      </c>
      <c r="M293" s="45">
        <v>0</v>
      </c>
      <c r="N293" s="27">
        <f t="shared" si="178"/>
        <v>2.3248000000000002</v>
      </c>
      <c r="P293" s="45">
        <v>4</v>
      </c>
      <c r="Q293" s="45" t="s">
        <v>1</v>
      </c>
      <c r="R293" s="45">
        <v>12992</v>
      </c>
      <c r="S293" s="45">
        <v>112</v>
      </c>
      <c r="T293" s="45">
        <v>2</v>
      </c>
      <c r="U293" s="45">
        <v>2</v>
      </c>
      <c r="V293" s="72">
        <v>589.99</v>
      </c>
      <c r="W293" s="71">
        <v>2.4784000000000002</v>
      </c>
      <c r="X293" s="47">
        <v>45438</v>
      </c>
      <c r="Y293" s="48">
        <v>0.13479166666666667</v>
      </c>
      <c r="Z293" s="45">
        <v>0</v>
      </c>
      <c r="AA293" s="45">
        <v>0</v>
      </c>
      <c r="AB293" s="45">
        <v>0</v>
      </c>
      <c r="AC293" s="3">
        <f t="shared" si="179"/>
        <v>2.5110999999999999</v>
      </c>
    </row>
    <row r="294" spans="1:29" x14ac:dyDescent="0.25">
      <c r="A294" s="45">
        <v>0</v>
      </c>
      <c r="B294" s="45" t="s">
        <v>1</v>
      </c>
      <c r="C294" s="45">
        <v>13776</v>
      </c>
      <c r="D294" s="45">
        <v>112</v>
      </c>
      <c r="E294" s="45">
        <v>2</v>
      </c>
      <c r="F294" s="45">
        <v>2</v>
      </c>
      <c r="G294" s="45">
        <v>746.94</v>
      </c>
      <c r="H294" s="71">
        <v>2.3338000000000001</v>
      </c>
      <c r="I294" s="47">
        <v>45425</v>
      </c>
      <c r="J294" s="48">
        <v>0.37987268518518519</v>
      </c>
      <c r="K294" s="45">
        <v>0</v>
      </c>
      <c r="L294" s="45">
        <v>0</v>
      </c>
      <c r="M294" s="45">
        <v>0</v>
      </c>
      <c r="N294" s="27">
        <f t="shared" ref="N294" si="228">AVERAGE(H294:H298)</f>
        <v>2.3338200000000002</v>
      </c>
      <c r="P294" s="45">
        <v>0</v>
      </c>
      <c r="Q294" s="45" t="s">
        <v>1</v>
      </c>
      <c r="R294" s="45">
        <v>13776</v>
      </c>
      <c r="S294" s="45">
        <v>112</v>
      </c>
      <c r="T294" s="45">
        <v>2</v>
      </c>
      <c r="U294" s="45">
        <v>2</v>
      </c>
      <c r="V294" s="45">
        <v>686.01</v>
      </c>
      <c r="W294" s="73">
        <v>2.5411000000000001</v>
      </c>
      <c r="X294" s="47">
        <v>45435</v>
      </c>
      <c r="Y294" s="48">
        <v>0.91853009259259255</v>
      </c>
      <c r="Z294" s="45">
        <v>0</v>
      </c>
      <c r="AA294" s="45">
        <v>0</v>
      </c>
      <c r="AB294" s="45">
        <v>0</v>
      </c>
      <c r="AC294" s="3">
        <f t="shared" ref="AC294" si="229">AVERAGE(W294:W298)</f>
        <v>2.5425399999999998</v>
      </c>
    </row>
    <row r="295" spans="1:29" x14ac:dyDescent="0.25">
      <c r="A295" s="45">
        <v>1</v>
      </c>
      <c r="B295" s="45" t="s">
        <v>1</v>
      </c>
      <c r="C295" s="45">
        <v>13776</v>
      </c>
      <c r="D295" s="45">
        <v>112</v>
      </c>
      <c r="E295" s="45">
        <v>2</v>
      </c>
      <c r="F295" s="45">
        <v>2</v>
      </c>
      <c r="G295" s="45">
        <v>747.02</v>
      </c>
      <c r="H295" s="71">
        <v>2.3336000000000001</v>
      </c>
      <c r="I295" s="47">
        <v>45425</v>
      </c>
      <c r="J295" s="48">
        <v>0.88520833333333337</v>
      </c>
      <c r="K295" s="45">
        <v>0</v>
      </c>
      <c r="L295" s="45">
        <v>0</v>
      </c>
      <c r="M295" s="45">
        <v>0</v>
      </c>
      <c r="N295" s="27">
        <f t="shared" ref="N295:N298" si="230">N294</f>
        <v>2.3338200000000002</v>
      </c>
      <c r="P295" s="45">
        <v>1</v>
      </c>
      <c r="Q295" s="45" t="s">
        <v>1</v>
      </c>
      <c r="R295" s="45">
        <v>13776</v>
      </c>
      <c r="S295" s="45">
        <v>112</v>
      </c>
      <c r="T295" s="45">
        <v>2</v>
      </c>
      <c r="U295" s="45">
        <v>2</v>
      </c>
      <c r="V295" s="45">
        <v>684.1</v>
      </c>
      <c r="W295" s="73">
        <v>2.5482</v>
      </c>
      <c r="X295" s="47">
        <v>45436</v>
      </c>
      <c r="Y295" s="48">
        <v>0.43478009259259259</v>
      </c>
      <c r="Z295" s="45">
        <v>0</v>
      </c>
      <c r="AA295" s="45">
        <v>0</v>
      </c>
      <c r="AB295" s="45">
        <v>0</v>
      </c>
      <c r="AC295" s="3">
        <f t="shared" ref="AC295:AC298" si="231">AC294</f>
        <v>2.5425399999999998</v>
      </c>
    </row>
    <row r="296" spans="1:29" x14ac:dyDescent="0.25">
      <c r="A296" s="45">
        <v>2</v>
      </c>
      <c r="B296" s="45" t="s">
        <v>1</v>
      </c>
      <c r="C296" s="45">
        <v>13776</v>
      </c>
      <c r="D296" s="45">
        <v>112</v>
      </c>
      <c r="E296" s="45">
        <v>2</v>
      </c>
      <c r="F296" s="45">
        <v>2</v>
      </c>
      <c r="G296" s="45">
        <v>747.33</v>
      </c>
      <c r="H296" s="71">
        <v>2.3325999999999998</v>
      </c>
      <c r="I296" s="47">
        <v>45426</v>
      </c>
      <c r="J296" s="48">
        <v>0.39055555555555554</v>
      </c>
      <c r="K296" s="45">
        <v>0</v>
      </c>
      <c r="L296" s="45">
        <v>0</v>
      </c>
      <c r="M296" s="45">
        <v>0</v>
      </c>
      <c r="N296" s="27">
        <f t="shared" si="230"/>
        <v>2.3338200000000002</v>
      </c>
      <c r="P296" s="45">
        <v>2</v>
      </c>
      <c r="Q296" s="45" t="s">
        <v>1</v>
      </c>
      <c r="R296" s="45">
        <v>13776</v>
      </c>
      <c r="S296" s="45">
        <v>112</v>
      </c>
      <c r="T296" s="45">
        <v>2</v>
      </c>
      <c r="U296" s="45">
        <v>2</v>
      </c>
      <c r="V296" s="45">
        <v>685.33</v>
      </c>
      <c r="W296" s="73">
        <v>2.5436000000000001</v>
      </c>
      <c r="X296" s="47">
        <v>45436</v>
      </c>
      <c r="Y296" s="48">
        <v>0.95181712962962961</v>
      </c>
      <c r="Z296" s="45">
        <v>0</v>
      </c>
      <c r="AA296" s="45">
        <v>0</v>
      </c>
      <c r="AB296" s="45">
        <v>0</v>
      </c>
      <c r="AC296" s="3">
        <f t="shared" si="231"/>
        <v>2.5425399999999998</v>
      </c>
    </row>
    <row r="297" spans="1:29" x14ac:dyDescent="0.25">
      <c r="A297" s="45">
        <v>3</v>
      </c>
      <c r="B297" s="45" t="s">
        <v>1</v>
      </c>
      <c r="C297" s="45">
        <v>13776</v>
      </c>
      <c r="D297" s="45">
        <v>112</v>
      </c>
      <c r="E297" s="45">
        <v>2</v>
      </c>
      <c r="F297" s="45">
        <v>2</v>
      </c>
      <c r="G297" s="45">
        <v>746.66</v>
      </c>
      <c r="H297" s="71">
        <v>2.3347000000000002</v>
      </c>
      <c r="I297" s="47">
        <v>45426</v>
      </c>
      <c r="J297" s="48">
        <v>0.89614583333333331</v>
      </c>
      <c r="K297" s="45">
        <v>0</v>
      </c>
      <c r="L297" s="45">
        <v>0</v>
      </c>
      <c r="M297" s="45">
        <v>0</v>
      </c>
      <c r="N297" s="27">
        <f t="shared" si="230"/>
        <v>2.3338200000000002</v>
      </c>
      <c r="P297" s="45">
        <v>3</v>
      </c>
      <c r="Q297" s="45" t="s">
        <v>1</v>
      </c>
      <c r="R297" s="45">
        <v>13776</v>
      </c>
      <c r="S297" s="45">
        <v>112</v>
      </c>
      <c r="T297" s="45">
        <v>2</v>
      </c>
      <c r="U297" s="45">
        <v>2</v>
      </c>
      <c r="V297" s="45">
        <v>684.87</v>
      </c>
      <c r="W297" s="73">
        <v>2.5453000000000001</v>
      </c>
      <c r="X297" s="47">
        <v>45437</v>
      </c>
      <c r="Y297" s="48">
        <v>0.46861111111111109</v>
      </c>
      <c r="Z297" s="45">
        <v>0</v>
      </c>
      <c r="AA297" s="45">
        <v>0</v>
      </c>
      <c r="AB297" s="45">
        <v>0</v>
      </c>
      <c r="AC297" s="3">
        <f t="shared" si="231"/>
        <v>2.5425399999999998</v>
      </c>
    </row>
    <row r="298" spans="1:29" x14ac:dyDescent="0.25">
      <c r="A298" s="45">
        <v>4</v>
      </c>
      <c r="B298" s="45" t="s">
        <v>1</v>
      </c>
      <c r="C298" s="45">
        <v>13776</v>
      </c>
      <c r="D298" s="45">
        <v>112</v>
      </c>
      <c r="E298" s="45">
        <v>2</v>
      </c>
      <c r="F298" s="45">
        <v>2</v>
      </c>
      <c r="G298" s="72">
        <v>746.74</v>
      </c>
      <c r="H298" s="71">
        <v>2.3344</v>
      </c>
      <c r="I298" s="47">
        <v>45427</v>
      </c>
      <c r="J298" s="48">
        <v>0.40145833333333331</v>
      </c>
      <c r="K298" s="45">
        <v>0</v>
      </c>
      <c r="L298" s="45">
        <v>0</v>
      </c>
      <c r="M298" s="45">
        <v>0</v>
      </c>
      <c r="N298" s="27">
        <f t="shared" si="230"/>
        <v>2.3338200000000002</v>
      </c>
      <c r="P298" s="45">
        <v>4</v>
      </c>
      <c r="Q298" s="45" t="s">
        <v>1</v>
      </c>
      <c r="R298" s="45">
        <v>13776</v>
      </c>
      <c r="S298" s="45">
        <v>112</v>
      </c>
      <c r="T298" s="45">
        <v>2</v>
      </c>
      <c r="U298" s="45">
        <v>2</v>
      </c>
      <c r="V298" s="72">
        <v>687.78</v>
      </c>
      <c r="W298" s="71">
        <v>2.5345</v>
      </c>
      <c r="X298" s="47">
        <v>45437</v>
      </c>
      <c r="Y298" s="48">
        <v>0.9856597222222222</v>
      </c>
      <c r="Z298" s="45">
        <v>0</v>
      </c>
      <c r="AA298" s="45">
        <v>0</v>
      </c>
      <c r="AB298" s="45">
        <v>0</v>
      </c>
      <c r="AC298" s="3">
        <f t="shared" si="231"/>
        <v>2.5425399999999998</v>
      </c>
    </row>
    <row r="299" spans="1:29" x14ac:dyDescent="0.25">
      <c r="A299" s="45">
        <v>0</v>
      </c>
      <c r="B299" s="45" t="s">
        <v>1</v>
      </c>
      <c r="C299" s="45">
        <v>14560</v>
      </c>
      <c r="D299" s="45">
        <v>112</v>
      </c>
      <c r="E299" s="45">
        <v>2</v>
      </c>
      <c r="F299" s="45">
        <v>2</v>
      </c>
      <c r="G299" s="45">
        <v>881.32</v>
      </c>
      <c r="H299" s="71">
        <v>2.3351999999999999</v>
      </c>
      <c r="I299" s="47">
        <v>45425</v>
      </c>
      <c r="J299" s="48">
        <v>0.12650462962962963</v>
      </c>
      <c r="K299" s="45">
        <v>0</v>
      </c>
      <c r="L299" s="45">
        <v>0</v>
      </c>
      <c r="M299" s="45">
        <v>0</v>
      </c>
      <c r="N299" s="27">
        <f t="shared" ref="N299" si="232">AVERAGE(H299:H303)</f>
        <v>2.3348199999999997</v>
      </c>
      <c r="P299" s="45">
        <v>0</v>
      </c>
      <c r="Q299" s="45" t="s">
        <v>1</v>
      </c>
      <c r="R299" s="45">
        <v>14560</v>
      </c>
      <c r="S299" s="45">
        <v>112</v>
      </c>
      <c r="T299" s="45">
        <v>2</v>
      </c>
      <c r="U299" s="45">
        <v>2</v>
      </c>
      <c r="V299" s="45">
        <v>805.24</v>
      </c>
      <c r="W299" s="73">
        <v>2.5558000000000001</v>
      </c>
      <c r="X299" s="47">
        <v>45435</v>
      </c>
      <c r="Y299" s="48">
        <v>0.63770833333333332</v>
      </c>
      <c r="Z299" s="45">
        <v>0</v>
      </c>
      <c r="AA299" s="45">
        <v>0</v>
      </c>
      <c r="AB299" s="45">
        <v>0</v>
      </c>
      <c r="AC299" s="3">
        <f t="shared" ref="AC299" si="233">AVERAGE(W299:W303)</f>
        <v>2.5541000000000005</v>
      </c>
    </row>
    <row r="300" spans="1:29" x14ac:dyDescent="0.25">
      <c r="A300" s="45">
        <v>1</v>
      </c>
      <c r="B300" s="45" t="s">
        <v>1</v>
      </c>
      <c r="C300" s="45">
        <v>14560</v>
      </c>
      <c r="D300" s="45">
        <v>112</v>
      </c>
      <c r="E300" s="45">
        <v>2</v>
      </c>
      <c r="F300" s="45">
        <v>2</v>
      </c>
      <c r="G300" s="45">
        <v>881.39</v>
      </c>
      <c r="H300" s="71">
        <v>2.335</v>
      </c>
      <c r="I300" s="47">
        <v>45425</v>
      </c>
      <c r="J300" s="48">
        <v>0.71410879629629631</v>
      </c>
      <c r="K300" s="45">
        <v>0</v>
      </c>
      <c r="L300" s="45">
        <v>0</v>
      </c>
      <c r="M300" s="45">
        <v>0</v>
      </c>
      <c r="N300" s="27">
        <f t="shared" ref="N300:N303" si="234">N299</f>
        <v>2.3348199999999997</v>
      </c>
      <c r="P300" s="45">
        <v>1</v>
      </c>
      <c r="Q300" s="45" t="s">
        <v>1</v>
      </c>
      <c r="R300" s="45">
        <v>14560</v>
      </c>
      <c r="S300" s="45">
        <v>112</v>
      </c>
      <c r="T300" s="45">
        <v>2</v>
      </c>
      <c r="U300" s="45">
        <v>2</v>
      </c>
      <c r="V300" s="45">
        <v>804.98</v>
      </c>
      <c r="W300" s="73">
        <v>2.5567000000000002</v>
      </c>
      <c r="X300" s="47">
        <v>45436</v>
      </c>
      <c r="Y300" s="48">
        <v>0.26049768518518518</v>
      </c>
      <c r="Z300" s="45">
        <v>0</v>
      </c>
      <c r="AA300" s="45">
        <v>0</v>
      </c>
      <c r="AB300" s="45">
        <v>0</v>
      </c>
      <c r="AC300" s="3">
        <f t="shared" ref="AC300:AC303" si="235">AC299</f>
        <v>2.5541000000000005</v>
      </c>
    </row>
    <row r="301" spans="1:29" x14ac:dyDescent="0.25">
      <c r="A301" s="45">
        <v>2</v>
      </c>
      <c r="B301" s="45" t="s">
        <v>1</v>
      </c>
      <c r="C301" s="45">
        <v>14560</v>
      </c>
      <c r="D301" s="45">
        <v>112</v>
      </c>
      <c r="E301" s="45">
        <v>2</v>
      </c>
      <c r="F301" s="45">
        <v>2</v>
      </c>
      <c r="G301" s="45">
        <v>880.88</v>
      </c>
      <c r="H301" s="71">
        <v>2.3363999999999998</v>
      </c>
      <c r="I301" s="47">
        <v>45426</v>
      </c>
      <c r="J301" s="48">
        <v>0.21943287037037038</v>
      </c>
      <c r="K301" s="45">
        <v>0</v>
      </c>
      <c r="L301" s="45">
        <v>0</v>
      </c>
      <c r="M301" s="45">
        <v>0</v>
      </c>
      <c r="N301" s="27">
        <f t="shared" si="234"/>
        <v>2.3348199999999997</v>
      </c>
      <c r="P301" s="45">
        <v>2</v>
      </c>
      <c r="Q301" s="45" t="s">
        <v>1</v>
      </c>
      <c r="R301" s="45">
        <v>14560</v>
      </c>
      <c r="S301" s="45">
        <v>112</v>
      </c>
      <c r="T301" s="45">
        <v>2</v>
      </c>
      <c r="U301" s="45">
        <v>2</v>
      </c>
      <c r="V301" s="45">
        <v>806.55</v>
      </c>
      <c r="W301" s="73">
        <v>2.5516999999999999</v>
      </c>
      <c r="X301" s="47">
        <v>45436</v>
      </c>
      <c r="Y301" s="48">
        <v>0.77756944444444442</v>
      </c>
      <c r="Z301" s="45">
        <v>0</v>
      </c>
      <c r="AA301" s="45">
        <v>0</v>
      </c>
      <c r="AB301" s="45">
        <v>0</v>
      </c>
      <c r="AC301" s="3">
        <f t="shared" si="235"/>
        <v>2.5541000000000005</v>
      </c>
    </row>
    <row r="302" spans="1:29" x14ac:dyDescent="0.25">
      <c r="A302" s="45">
        <v>3</v>
      </c>
      <c r="B302" s="45" t="s">
        <v>1</v>
      </c>
      <c r="C302" s="45">
        <v>14560</v>
      </c>
      <c r="D302" s="45">
        <v>112</v>
      </c>
      <c r="E302" s="45">
        <v>2</v>
      </c>
      <c r="F302" s="45">
        <v>2</v>
      </c>
      <c r="G302" s="45">
        <v>882.84</v>
      </c>
      <c r="H302" s="71">
        <v>2.3311999999999999</v>
      </c>
      <c r="I302" s="47">
        <v>45426</v>
      </c>
      <c r="J302" s="48">
        <v>0.72491898148148148</v>
      </c>
      <c r="K302" s="45">
        <v>0</v>
      </c>
      <c r="L302" s="45">
        <v>0</v>
      </c>
      <c r="M302" s="45">
        <v>0</v>
      </c>
      <c r="N302" s="27">
        <f t="shared" si="234"/>
        <v>2.3348199999999997</v>
      </c>
      <c r="P302" s="45">
        <v>3</v>
      </c>
      <c r="Q302" s="45" t="s">
        <v>1</v>
      </c>
      <c r="R302" s="45">
        <v>14560</v>
      </c>
      <c r="S302" s="45">
        <v>112</v>
      </c>
      <c r="T302" s="45">
        <v>2</v>
      </c>
      <c r="U302" s="45">
        <v>2</v>
      </c>
      <c r="V302" s="45">
        <v>807</v>
      </c>
      <c r="W302" s="73">
        <v>2.5503</v>
      </c>
      <c r="X302" s="47">
        <v>45437</v>
      </c>
      <c r="Y302" s="48">
        <v>0.29422453703703705</v>
      </c>
      <c r="Z302" s="45">
        <v>0</v>
      </c>
      <c r="AA302" s="45">
        <v>0</v>
      </c>
      <c r="AB302" s="45">
        <v>0</v>
      </c>
      <c r="AC302" s="3">
        <f t="shared" si="235"/>
        <v>2.5541000000000005</v>
      </c>
    </row>
    <row r="303" spans="1:29" x14ac:dyDescent="0.25">
      <c r="A303" s="45">
        <v>4</v>
      </c>
      <c r="B303" s="45" t="s">
        <v>1</v>
      </c>
      <c r="C303" s="45">
        <v>14560</v>
      </c>
      <c r="D303" s="45">
        <v>112</v>
      </c>
      <c r="E303" s="45">
        <v>2</v>
      </c>
      <c r="F303" s="45">
        <v>2</v>
      </c>
      <c r="G303" s="45">
        <v>880.92</v>
      </c>
      <c r="H303" s="71">
        <v>2.3363</v>
      </c>
      <c r="I303" s="47">
        <v>45427</v>
      </c>
      <c r="J303" s="48">
        <v>0.23038194444444443</v>
      </c>
      <c r="K303" s="45">
        <v>0</v>
      </c>
      <c r="L303" s="45">
        <v>0</v>
      </c>
      <c r="M303" s="45">
        <v>0</v>
      </c>
      <c r="N303" s="27">
        <f t="shared" si="234"/>
        <v>2.3348199999999997</v>
      </c>
      <c r="P303" s="45">
        <v>4</v>
      </c>
      <c r="Q303" s="45" t="s">
        <v>1</v>
      </c>
      <c r="R303" s="45">
        <v>14560</v>
      </c>
      <c r="S303" s="45">
        <v>112</v>
      </c>
      <c r="T303" s="45">
        <v>2</v>
      </c>
      <c r="U303" s="45">
        <v>2</v>
      </c>
      <c r="V303" s="45">
        <v>805.2</v>
      </c>
      <c r="W303" s="73">
        <v>2.556</v>
      </c>
      <c r="X303" s="47">
        <v>45437</v>
      </c>
      <c r="Y303" s="48">
        <v>0.81126157407407407</v>
      </c>
      <c r="Z303" s="45">
        <v>0</v>
      </c>
      <c r="AA303" s="45">
        <v>0</v>
      </c>
      <c r="AB303" s="45">
        <v>0</v>
      </c>
      <c r="AC303" s="3">
        <f t="shared" si="235"/>
        <v>2.5541000000000005</v>
      </c>
    </row>
  </sheetData>
  <sortState xmlns:xlrd2="http://schemas.microsoft.com/office/spreadsheetml/2017/richdata2" ref="P4:AB243">
    <sortCondition ref="S4:S243"/>
    <sortCondition ref="T4:T243"/>
    <sortCondition ref="R4:R243"/>
    <sortCondition ref="P4:P243"/>
  </sortState>
  <mergeCells count="8">
    <mergeCell ref="P1:S1"/>
    <mergeCell ref="P2:Q2"/>
    <mergeCell ref="Z2:AB2"/>
    <mergeCell ref="Z1:AB1"/>
    <mergeCell ref="A1:D1"/>
    <mergeCell ref="A2:B2"/>
    <mergeCell ref="K2:M2"/>
    <mergeCell ref="K1:M1"/>
  </mergeCells>
  <conditionalFormatting sqref="N1:N3 N304:N1048576">
    <cfRule type="colorScale" priority="2">
      <colorScale>
        <cfvo type="min"/>
        <cfvo type="percentile" val="50"/>
        <cfvo type="max"/>
        <color rgb="FFF8696B"/>
        <color rgb="FFFFEB84"/>
        <color rgb="FF63BE7B"/>
      </colorScale>
    </cfRule>
  </conditionalFormatting>
  <conditionalFormatting sqref="N4:N303 AC4:AC303">
    <cfRule type="colorScale" priority="1">
      <colorScale>
        <cfvo type="min"/>
        <cfvo type="percentile" val="50"/>
        <cfvo type="max"/>
        <color rgb="FFF8696B"/>
        <color rgb="FFFFEB84"/>
        <color rgb="FF63BE7B"/>
      </colorScale>
    </cfRule>
  </conditionalFormatting>
  <conditionalFormatting sqref="AC1:AD3 AC304:AD1048576 AD4:AD303">
    <cfRule type="colorScale" priority="4">
      <colorScale>
        <cfvo type="min"/>
        <cfvo type="percentile" val="50"/>
        <cfvo type="max"/>
        <color rgb="FFF8696B"/>
        <color rgb="FFFFEB84"/>
        <color rgb="FF63BE7B"/>
      </colorScale>
    </cfRule>
  </conditionalFormatting>
  <conditionalFormatting sqref="AD244 AD249 AD254 AD259 AD264 AD269">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838B7-CB7D-4DFE-B737-D0B104E36767}">
  <dimension ref="A1:M260"/>
  <sheetViews>
    <sheetView workbookViewId="0">
      <selection activeCell="I2" sqref="I2:L2"/>
    </sheetView>
  </sheetViews>
  <sheetFormatPr defaultColWidth="8.85546875" defaultRowHeight="15" x14ac:dyDescent="0.25"/>
  <cols>
    <col min="2" max="5" width="9.140625" style="18"/>
    <col min="6" max="6" width="9.140625" style="3"/>
    <col min="9" max="12" width="9.140625" style="18"/>
    <col min="13" max="13" width="9.140625" style="3"/>
  </cols>
  <sheetData>
    <row r="1" spans="1:13" x14ac:dyDescent="0.25">
      <c r="B1" s="84" t="s">
        <v>52</v>
      </c>
      <c r="C1" s="84"/>
      <c r="D1" s="84"/>
      <c r="E1" s="84"/>
      <c r="F1" s="84"/>
      <c r="I1" s="84" t="s">
        <v>32</v>
      </c>
      <c r="J1" s="84"/>
      <c r="K1" s="84"/>
      <c r="L1" s="84"/>
      <c r="M1" s="84"/>
    </row>
    <row r="2" spans="1:13" x14ac:dyDescent="0.25">
      <c r="B2" s="21">
        <f>INDEX(B4:B500,MATCH(MAX(F4:F500),F4:F500,0))</f>
        <v>14560</v>
      </c>
      <c r="C2" s="21">
        <f>INDEX(C4:C500,MATCH(MAX(F4:F500),F4:F500,0))</f>
        <v>112</v>
      </c>
      <c r="D2" s="21">
        <f>INDEX(D4:D500,MATCH(MAX(F4:F500),F4:F500,0))</f>
        <v>2</v>
      </c>
      <c r="E2" s="21">
        <f>INDEX(E4:E500,MATCH(MAX(F4:F500),F4:F500,0))</f>
        <v>2</v>
      </c>
      <c r="F2" s="5">
        <f>MAX(F4:F500)</f>
        <v>2.3348199999999997</v>
      </c>
      <c r="I2" s="21">
        <f>INDEX(I4:I500,MATCH(MAX(M4:M500),M4:M500,0))</f>
        <v>14640</v>
      </c>
      <c r="J2" s="21">
        <f>INDEX(J4:J500,MATCH(MAX(M4:M500),M4:M500,0))</f>
        <v>80</v>
      </c>
      <c r="K2" s="21">
        <f>INDEX(K4:K500,MATCH(MAX(M4:M500),M4:M500,0))</f>
        <v>1</v>
      </c>
      <c r="L2" s="21">
        <f>INDEX(L4:L500,MATCH(MAX(M4:M500),M4:M500,0))</f>
        <v>4</v>
      </c>
      <c r="M2" s="5">
        <f>MAX(M4:M500)</f>
        <v>2.5904399999999996</v>
      </c>
    </row>
    <row r="3" spans="1:13" x14ac:dyDescent="0.25">
      <c r="A3" s="77" t="s">
        <v>54</v>
      </c>
      <c r="B3" s="21" t="s">
        <v>12</v>
      </c>
      <c r="C3" s="21" t="s">
        <v>13</v>
      </c>
      <c r="D3" s="21" t="s">
        <v>14</v>
      </c>
      <c r="E3" s="21" t="s">
        <v>15</v>
      </c>
      <c r="F3" s="10" t="s">
        <v>51</v>
      </c>
      <c r="H3" s="77" t="s">
        <v>54</v>
      </c>
      <c r="I3" s="21" t="s">
        <v>12</v>
      </c>
      <c r="J3" s="21" t="s">
        <v>13</v>
      </c>
      <c r="K3" s="21" t="s">
        <v>14</v>
      </c>
      <c r="L3" s="21" t="s">
        <v>15</v>
      </c>
      <c r="M3" s="10" t="s">
        <v>51</v>
      </c>
    </row>
    <row r="4" spans="1:13" x14ac:dyDescent="0.25">
      <c r="A4">
        <f>CHOOSE(IF(ABS(B4-13056)&lt;=ABS(B4-13824),IF(ABS(B4-13056)&lt;=ABS(B4-14592),1,3),IF(ABS(B4-13824)&lt;=ABS(B4-14592),2,3)),13056,13824,14592)</f>
        <v>13056</v>
      </c>
      <c r="B4" s="18" cm="1">
        <f t="array" ref="B4:F260">_xlfn.CHOOSECOLS(_xlfn._xlws.FILTER('933 params 1 node, RAW'!A4:N500,'933 params 1 node, RAW'!A4:A500=0),3,4,5,6,14)</f>
        <v>13056</v>
      </c>
      <c r="C4" s="18">
        <v>32</v>
      </c>
      <c r="D4" s="18">
        <v>1</v>
      </c>
      <c r="E4" s="18">
        <v>4</v>
      </c>
      <c r="F4" s="3">
        <v>2.2183999999999999</v>
      </c>
      <c r="H4">
        <f>CHOOSE(IF(ABS(I4-13056)&lt;=ABS(I4-13824),IF(ABS(I4-13056)&lt;=ABS(I4-14592),1,3),IF(ABS(I4-13824)&lt;=ABS(I4-14592),2,3)),13056,13824,14592)</f>
        <v>13056</v>
      </c>
      <c r="I4" s="18" cm="1">
        <f t="array" ref="I4:M260">_xlfn.CHOOSECOLS(_xlfn._xlws.FILTER('933 params 1 node, RAW'!P4:AC500,'933 params 1 node, RAW'!P4:P500=0),3,4,5,6,14)</f>
        <v>13056</v>
      </c>
      <c r="J4" s="18">
        <v>32</v>
      </c>
      <c r="K4" s="18">
        <v>1</v>
      </c>
      <c r="L4" s="18">
        <v>4</v>
      </c>
      <c r="M4" s="3">
        <v>2.4730599999999998</v>
      </c>
    </row>
    <row r="5" spans="1:13" x14ac:dyDescent="0.25">
      <c r="A5">
        <f t="shared" ref="A5:A68" si="0">CHOOSE(IF(ABS(B5-13056)&lt;=ABS(B5-13824),IF(ABS(B5-13056)&lt;=ABS(B5-14592),1,3),IF(ABS(B5-13824)&lt;=ABS(B5-14592),2,3)),13056,13824,14592)</f>
        <v>13824</v>
      </c>
      <c r="B5" s="18">
        <v>13824</v>
      </c>
      <c r="C5" s="18">
        <v>32</v>
      </c>
      <c r="D5" s="18">
        <v>1</v>
      </c>
      <c r="E5" s="18">
        <v>4</v>
      </c>
      <c r="F5" s="3">
        <v>2.1856800000000001</v>
      </c>
      <c r="H5">
        <f t="shared" ref="H5:H68" si="1">CHOOSE(IF(ABS(I5-13056)&lt;=ABS(I5-13824),IF(ABS(I5-13056)&lt;=ABS(I5-14592),1,3),IF(ABS(I5-13824)&lt;=ABS(I5-14592),2,3)),13056,13824,14592)</f>
        <v>13824</v>
      </c>
      <c r="I5" s="18">
        <v>13824</v>
      </c>
      <c r="J5" s="18">
        <v>32</v>
      </c>
      <c r="K5" s="18">
        <v>1</v>
      </c>
      <c r="L5" s="18">
        <v>4</v>
      </c>
      <c r="M5" s="3">
        <v>2.4613199999999997</v>
      </c>
    </row>
    <row r="6" spans="1:13" x14ac:dyDescent="0.25">
      <c r="A6">
        <f t="shared" si="0"/>
        <v>14592</v>
      </c>
      <c r="B6" s="18">
        <v>14592</v>
      </c>
      <c r="C6" s="18">
        <v>32</v>
      </c>
      <c r="D6" s="18">
        <v>1</v>
      </c>
      <c r="E6" s="18">
        <v>4</v>
      </c>
      <c r="F6" s="3">
        <v>2.23156</v>
      </c>
      <c r="H6">
        <f t="shared" si="1"/>
        <v>14592</v>
      </c>
      <c r="I6" s="18">
        <v>14592</v>
      </c>
      <c r="J6" s="18">
        <v>32</v>
      </c>
      <c r="K6" s="18">
        <v>1</v>
      </c>
      <c r="L6" s="18">
        <v>4</v>
      </c>
      <c r="M6" s="3">
        <v>2.4844599999999999</v>
      </c>
    </row>
    <row r="7" spans="1:13" x14ac:dyDescent="0.25">
      <c r="A7">
        <f t="shared" si="0"/>
        <v>13056</v>
      </c>
      <c r="B7" s="18">
        <v>13056</v>
      </c>
      <c r="C7" s="18">
        <v>32</v>
      </c>
      <c r="D7" s="18">
        <v>2</v>
      </c>
      <c r="E7" s="18">
        <v>2</v>
      </c>
      <c r="F7" s="3">
        <v>2.2278500000000001</v>
      </c>
      <c r="H7">
        <f t="shared" si="1"/>
        <v>13056</v>
      </c>
      <c r="I7" s="18">
        <v>13056</v>
      </c>
      <c r="J7" s="18">
        <v>32</v>
      </c>
      <c r="K7" s="18">
        <v>2</v>
      </c>
      <c r="L7" s="18">
        <v>2</v>
      </c>
      <c r="M7" s="3">
        <v>2.4567200000000002</v>
      </c>
    </row>
    <row r="8" spans="1:13" x14ac:dyDescent="0.25">
      <c r="A8">
        <f t="shared" si="0"/>
        <v>13824</v>
      </c>
      <c r="B8" s="18">
        <v>13824</v>
      </c>
      <c r="C8" s="18">
        <v>32</v>
      </c>
      <c r="D8" s="18">
        <v>2</v>
      </c>
      <c r="E8" s="18">
        <v>2</v>
      </c>
      <c r="F8" s="3">
        <v>2.2071000000000001</v>
      </c>
      <c r="H8">
        <f t="shared" si="1"/>
        <v>13824</v>
      </c>
      <c r="I8" s="18">
        <v>13824</v>
      </c>
      <c r="J8" s="18">
        <v>32</v>
      </c>
      <c r="K8" s="18">
        <v>2</v>
      </c>
      <c r="L8" s="18">
        <v>2</v>
      </c>
      <c r="M8" s="3">
        <v>2.4626600000000001</v>
      </c>
    </row>
    <row r="9" spans="1:13" x14ac:dyDescent="0.25">
      <c r="A9">
        <f t="shared" si="0"/>
        <v>14592</v>
      </c>
      <c r="B9" s="18">
        <v>14592</v>
      </c>
      <c r="C9" s="18">
        <v>32</v>
      </c>
      <c r="D9" s="18">
        <v>2</v>
      </c>
      <c r="E9" s="18">
        <v>2</v>
      </c>
      <c r="F9" s="3">
        <v>2.2431399999999995</v>
      </c>
      <c r="H9">
        <f t="shared" si="1"/>
        <v>14592</v>
      </c>
      <c r="I9" s="18">
        <v>14592</v>
      </c>
      <c r="J9" s="18">
        <v>32</v>
      </c>
      <c r="K9" s="18">
        <v>2</v>
      </c>
      <c r="L9" s="18">
        <v>2</v>
      </c>
      <c r="M9" s="3">
        <v>2.4679799999999998</v>
      </c>
    </row>
    <row r="10" spans="1:13" x14ac:dyDescent="0.25">
      <c r="A10">
        <f t="shared" si="0"/>
        <v>13056</v>
      </c>
      <c r="B10" s="18">
        <v>13056</v>
      </c>
      <c r="C10" s="18">
        <v>64</v>
      </c>
      <c r="D10" s="18">
        <v>1</v>
      </c>
      <c r="E10" s="18">
        <v>4</v>
      </c>
      <c r="F10" s="3">
        <v>2.2046999999999999</v>
      </c>
      <c r="H10">
        <f t="shared" si="1"/>
        <v>13056</v>
      </c>
      <c r="I10" s="18">
        <v>13056</v>
      </c>
      <c r="J10" s="18">
        <v>64</v>
      </c>
      <c r="K10" s="18">
        <v>1</v>
      </c>
      <c r="L10" s="18">
        <v>4</v>
      </c>
      <c r="M10" s="3">
        <v>2.5720599999999996</v>
      </c>
    </row>
    <row r="11" spans="1:13" x14ac:dyDescent="0.25">
      <c r="A11">
        <f t="shared" si="0"/>
        <v>13824</v>
      </c>
      <c r="B11" s="18">
        <v>13824</v>
      </c>
      <c r="C11" s="18">
        <v>64</v>
      </c>
      <c r="D11" s="18">
        <v>1</v>
      </c>
      <c r="E11" s="18">
        <v>4</v>
      </c>
      <c r="F11" s="3">
        <v>2.1837399999999998</v>
      </c>
      <c r="H11">
        <f t="shared" si="1"/>
        <v>13824</v>
      </c>
      <c r="I11" s="18">
        <v>13824</v>
      </c>
      <c r="J11" s="18">
        <v>64</v>
      </c>
      <c r="K11" s="18">
        <v>1</v>
      </c>
      <c r="L11" s="18">
        <v>4</v>
      </c>
      <c r="M11" s="3">
        <v>2.5643000000000002</v>
      </c>
    </row>
    <row r="12" spans="1:13" x14ac:dyDescent="0.25">
      <c r="A12">
        <f t="shared" si="0"/>
        <v>14592</v>
      </c>
      <c r="B12" s="18">
        <v>14592</v>
      </c>
      <c r="C12" s="18">
        <v>64</v>
      </c>
      <c r="D12" s="18">
        <v>1</v>
      </c>
      <c r="E12" s="18">
        <v>4</v>
      </c>
      <c r="F12" s="3">
        <v>2.2198600000000002</v>
      </c>
      <c r="H12">
        <f t="shared" si="1"/>
        <v>14592</v>
      </c>
      <c r="I12" s="18">
        <v>14592</v>
      </c>
      <c r="J12" s="18">
        <v>64</v>
      </c>
      <c r="K12" s="18">
        <v>1</v>
      </c>
      <c r="L12" s="18">
        <v>4</v>
      </c>
      <c r="M12" s="3">
        <v>2.5794399999999995</v>
      </c>
    </row>
    <row r="13" spans="1:13" x14ac:dyDescent="0.25">
      <c r="A13">
        <f t="shared" si="0"/>
        <v>13056</v>
      </c>
      <c r="B13" s="18">
        <v>13056</v>
      </c>
      <c r="C13" s="18">
        <v>64</v>
      </c>
      <c r="D13" s="18">
        <v>2</v>
      </c>
      <c r="E13" s="18">
        <v>2</v>
      </c>
      <c r="F13" s="3">
        <v>2.2986599999999999</v>
      </c>
      <c r="H13">
        <f t="shared" si="1"/>
        <v>13056</v>
      </c>
      <c r="I13" s="18">
        <v>13056</v>
      </c>
      <c r="J13" s="18">
        <v>64</v>
      </c>
      <c r="K13" s="18">
        <v>2</v>
      </c>
      <c r="L13" s="18">
        <v>2</v>
      </c>
      <c r="M13" s="3">
        <v>2.54908</v>
      </c>
    </row>
    <row r="14" spans="1:13" x14ac:dyDescent="0.25">
      <c r="A14">
        <f t="shared" si="0"/>
        <v>13824</v>
      </c>
      <c r="B14" s="18">
        <v>13824</v>
      </c>
      <c r="C14" s="18">
        <v>64</v>
      </c>
      <c r="D14" s="18">
        <v>2</v>
      </c>
      <c r="E14" s="18">
        <v>2</v>
      </c>
      <c r="F14" s="3">
        <v>2.2812199999999998</v>
      </c>
      <c r="H14">
        <f t="shared" si="1"/>
        <v>13824</v>
      </c>
      <c r="I14" s="18">
        <v>13824</v>
      </c>
      <c r="J14" s="18">
        <v>64</v>
      </c>
      <c r="K14" s="18">
        <v>2</v>
      </c>
      <c r="L14" s="18">
        <v>2</v>
      </c>
      <c r="M14" s="3">
        <v>2.5678199999999998</v>
      </c>
    </row>
    <row r="15" spans="1:13" x14ac:dyDescent="0.25">
      <c r="A15">
        <f t="shared" si="0"/>
        <v>14592</v>
      </c>
      <c r="B15" s="18">
        <v>14592</v>
      </c>
      <c r="C15" s="18">
        <v>64</v>
      </c>
      <c r="D15" s="18">
        <v>2</v>
      </c>
      <c r="E15" s="18">
        <v>2</v>
      </c>
      <c r="F15" s="3">
        <v>2.3093400000000002</v>
      </c>
      <c r="H15">
        <f t="shared" si="1"/>
        <v>14592</v>
      </c>
      <c r="I15" s="18">
        <v>14592</v>
      </c>
      <c r="J15" s="18">
        <v>64</v>
      </c>
      <c r="K15" s="18">
        <v>2</v>
      </c>
      <c r="L15" s="18">
        <v>2</v>
      </c>
      <c r="M15" s="3">
        <v>2.5743800000000001</v>
      </c>
    </row>
    <row r="16" spans="1:13" x14ac:dyDescent="0.25">
      <c r="A16">
        <f t="shared" si="0"/>
        <v>13056</v>
      </c>
      <c r="B16" s="18">
        <v>13056</v>
      </c>
      <c r="C16" s="18">
        <v>96</v>
      </c>
      <c r="D16" s="18">
        <v>1</v>
      </c>
      <c r="E16" s="18">
        <v>4</v>
      </c>
      <c r="F16" s="3">
        <v>2.2598200000000004</v>
      </c>
      <c r="H16">
        <f t="shared" si="1"/>
        <v>13056</v>
      </c>
      <c r="I16" s="18">
        <v>13056</v>
      </c>
      <c r="J16" s="18">
        <v>96</v>
      </c>
      <c r="K16" s="18">
        <v>1</v>
      </c>
      <c r="L16" s="18">
        <v>4</v>
      </c>
      <c r="M16" s="3">
        <v>2.5431400000000002</v>
      </c>
    </row>
    <row r="17" spans="1:13" x14ac:dyDescent="0.25">
      <c r="A17">
        <f t="shared" si="0"/>
        <v>13824</v>
      </c>
      <c r="B17" s="18">
        <v>13824</v>
      </c>
      <c r="C17" s="18">
        <v>96</v>
      </c>
      <c r="D17" s="18">
        <v>1</v>
      </c>
      <c r="E17" s="18">
        <v>4</v>
      </c>
      <c r="F17" s="3">
        <v>2.2400399999999996</v>
      </c>
      <c r="H17">
        <f t="shared" si="1"/>
        <v>13824</v>
      </c>
      <c r="I17" s="18">
        <v>13824</v>
      </c>
      <c r="J17" s="18">
        <v>96</v>
      </c>
      <c r="K17" s="18">
        <v>1</v>
      </c>
      <c r="L17" s="18">
        <v>4</v>
      </c>
      <c r="M17" s="3">
        <v>2.5580600000000002</v>
      </c>
    </row>
    <row r="18" spans="1:13" x14ac:dyDescent="0.25">
      <c r="A18">
        <f t="shared" si="0"/>
        <v>14592</v>
      </c>
      <c r="B18" s="18">
        <v>14592</v>
      </c>
      <c r="C18" s="18">
        <v>96</v>
      </c>
      <c r="D18" s="18">
        <v>1</v>
      </c>
      <c r="E18" s="18">
        <v>4</v>
      </c>
      <c r="F18" s="3">
        <v>2.2791799999999998</v>
      </c>
      <c r="H18">
        <f t="shared" si="1"/>
        <v>14592</v>
      </c>
      <c r="I18" s="18">
        <v>14592</v>
      </c>
      <c r="J18" s="18">
        <v>96</v>
      </c>
      <c r="K18" s="18">
        <v>1</v>
      </c>
      <c r="L18" s="18">
        <v>4</v>
      </c>
      <c r="M18" s="3">
        <v>2.5705199999999997</v>
      </c>
    </row>
    <row r="19" spans="1:13" x14ac:dyDescent="0.25">
      <c r="A19">
        <f t="shared" si="0"/>
        <v>13056</v>
      </c>
      <c r="B19" s="18">
        <v>13056</v>
      </c>
      <c r="C19" s="18">
        <v>96</v>
      </c>
      <c r="D19" s="18">
        <v>2</v>
      </c>
      <c r="E19" s="18">
        <v>2</v>
      </c>
      <c r="F19" s="3">
        <v>2.3056000000000001</v>
      </c>
      <c r="H19">
        <f t="shared" si="1"/>
        <v>13056</v>
      </c>
      <c r="I19" s="18">
        <v>13056</v>
      </c>
      <c r="J19" s="18">
        <v>96</v>
      </c>
      <c r="K19" s="18">
        <v>2</v>
      </c>
      <c r="L19" s="18">
        <v>2</v>
      </c>
      <c r="M19" s="3">
        <v>2.5334400000000001</v>
      </c>
    </row>
    <row r="20" spans="1:13" x14ac:dyDescent="0.25">
      <c r="A20">
        <f t="shared" si="0"/>
        <v>13824</v>
      </c>
      <c r="B20" s="18">
        <v>13824</v>
      </c>
      <c r="C20" s="18">
        <v>96</v>
      </c>
      <c r="D20" s="18">
        <v>2</v>
      </c>
      <c r="E20" s="18">
        <v>2</v>
      </c>
      <c r="F20" s="3">
        <v>2.2928799999999998</v>
      </c>
      <c r="H20">
        <f t="shared" si="1"/>
        <v>13824</v>
      </c>
      <c r="I20" s="18">
        <v>13824</v>
      </c>
      <c r="J20" s="18">
        <v>96</v>
      </c>
      <c r="K20" s="18">
        <v>2</v>
      </c>
      <c r="L20" s="18">
        <v>2</v>
      </c>
      <c r="M20" s="3">
        <v>2.5667200000000001</v>
      </c>
    </row>
    <row r="21" spans="1:13" x14ac:dyDescent="0.25">
      <c r="A21">
        <f t="shared" si="0"/>
        <v>14592</v>
      </c>
      <c r="B21" s="18">
        <v>14592</v>
      </c>
      <c r="C21" s="18">
        <v>96</v>
      </c>
      <c r="D21" s="18">
        <v>2</v>
      </c>
      <c r="E21" s="18">
        <v>2</v>
      </c>
      <c r="F21" s="3">
        <v>2.3224999999999998</v>
      </c>
      <c r="H21">
        <f t="shared" si="1"/>
        <v>14592</v>
      </c>
      <c r="I21" s="18">
        <v>14592</v>
      </c>
      <c r="J21" s="18">
        <v>96</v>
      </c>
      <c r="K21" s="18">
        <v>2</v>
      </c>
      <c r="L21" s="18">
        <v>2</v>
      </c>
      <c r="M21" s="3">
        <v>2.5716200000000002</v>
      </c>
    </row>
    <row r="22" spans="1:13" x14ac:dyDescent="0.25">
      <c r="A22">
        <f t="shared" si="0"/>
        <v>13056</v>
      </c>
      <c r="B22" s="18">
        <v>13056</v>
      </c>
      <c r="C22" s="18">
        <v>128</v>
      </c>
      <c r="D22" s="18">
        <v>1</v>
      </c>
      <c r="E22" s="18">
        <v>4</v>
      </c>
      <c r="F22" s="3">
        <v>2.21468</v>
      </c>
      <c r="H22">
        <f t="shared" si="1"/>
        <v>13056</v>
      </c>
      <c r="I22" s="18">
        <v>13056</v>
      </c>
      <c r="J22" s="18">
        <v>128</v>
      </c>
      <c r="K22" s="18">
        <v>1</v>
      </c>
      <c r="L22" s="18">
        <v>4</v>
      </c>
      <c r="M22" s="3">
        <v>2.50936</v>
      </c>
    </row>
    <row r="23" spans="1:13" x14ac:dyDescent="0.25">
      <c r="A23">
        <f t="shared" si="0"/>
        <v>13824</v>
      </c>
      <c r="B23" s="18">
        <v>13824</v>
      </c>
      <c r="C23" s="18">
        <v>128</v>
      </c>
      <c r="D23" s="18">
        <v>1</v>
      </c>
      <c r="E23" s="18">
        <v>4</v>
      </c>
      <c r="F23" s="3">
        <v>2.1963599999999999</v>
      </c>
      <c r="H23">
        <f t="shared" si="1"/>
        <v>13824</v>
      </c>
      <c r="I23" s="18">
        <v>13824</v>
      </c>
      <c r="J23" s="18">
        <v>128</v>
      </c>
      <c r="K23" s="18">
        <v>1</v>
      </c>
      <c r="L23" s="18">
        <v>4</v>
      </c>
      <c r="M23" s="3">
        <v>2.5113750000000001</v>
      </c>
    </row>
    <row r="24" spans="1:13" x14ac:dyDescent="0.25">
      <c r="A24">
        <f t="shared" si="0"/>
        <v>14592</v>
      </c>
      <c r="B24" s="18">
        <v>14592</v>
      </c>
      <c r="C24" s="18">
        <v>128</v>
      </c>
      <c r="D24" s="18">
        <v>1</v>
      </c>
      <c r="E24" s="18">
        <v>4</v>
      </c>
      <c r="F24" s="3">
        <v>2.2364600000000001</v>
      </c>
      <c r="H24">
        <f t="shared" si="1"/>
        <v>14592</v>
      </c>
      <c r="I24" s="18">
        <v>14592</v>
      </c>
      <c r="J24" s="18">
        <v>128</v>
      </c>
      <c r="K24" s="18">
        <v>1</v>
      </c>
      <c r="L24" s="18">
        <v>4</v>
      </c>
      <c r="M24" s="3">
        <v>2.5363799999999999</v>
      </c>
    </row>
    <row r="25" spans="1:13" x14ac:dyDescent="0.25">
      <c r="A25">
        <f t="shared" si="0"/>
        <v>13056</v>
      </c>
      <c r="B25" s="18">
        <v>13056</v>
      </c>
      <c r="C25" s="18">
        <v>128</v>
      </c>
      <c r="D25" s="18">
        <v>2</v>
      </c>
      <c r="E25" s="18">
        <v>2</v>
      </c>
      <c r="F25" s="3">
        <v>2.2989400000000004</v>
      </c>
      <c r="H25">
        <f t="shared" si="1"/>
        <v>13056</v>
      </c>
      <c r="I25" s="18">
        <v>13056</v>
      </c>
      <c r="J25" s="18">
        <v>128</v>
      </c>
      <c r="K25" s="18">
        <v>2</v>
      </c>
      <c r="L25" s="18">
        <v>2</v>
      </c>
      <c r="M25" s="3">
        <v>2.52014</v>
      </c>
    </row>
    <row r="26" spans="1:13" x14ac:dyDescent="0.25">
      <c r="A26">
        <f t="shared" si="0"/>
        <v>13824</v>
      </c>
      <c r="B26" s="18">
        <v>13824</v>
      </c>
      <c r="C26" s="18">
        <v>128</v>
      </c>
      <c r="D26" s="18">
        <v>2</v>
      </c>
      <c r="E26" s="18">
        <v>2</v>
      </c>
      <c r="F26" s="3">
        <v>2.2845800000000001</v>
      </c>
      <c r="H26">
        <f t="shared" si="1"/>
        <v>13824</v>
      </c>
      <c r="I26" s="18">
        <v>13824</v>
      </c>
      <c r="J26" s="18">
        <v>128</v>
      </c>
      <c r="K26" s="18">
        <v>2</v>
      </c>
      <c r="L26" s="18">
        <v>2</v>
      </c>
      <c r="M26" s="3">
        <v>2.5300199999999999</v>
      </c>
    </row>
    <row r="27" spans="1:13" x14ac:dyDescent="0.25">
      <c r="A27">
        <f t="shared" si="0"/>
        <v>14592</v>
      </c>
      <c r="B27" s="18">
        <v>14592</v>
      </c>
      <c r="C27" s="18">
        <v>128</v>
      </c>
      <c r="D27" s="18">
        <v>2</v>
      </c>
      <c r="E27" s="18">
        <v>2</v>
      </c>
      <c r="F27" s="3">
        <v>2.3155399999999999</v>
      </c>
      <c r="H27">
        <f t="shared" si="1"/>
        <v>14592</v>
      </c>
      <c r="I27" s="18">
        <v>14592</v>
      </c>
      <c r="J27" s="18">
        <v>128</v>
      </c>
      <c r="K27" s="18">
        <v>2</v>
      </c>
      <c r="L27" s="18">
        <v>2</v>
      </c>
      <c r="M27" s="3">
        <v>2.5379399999999999</v>
      </c>
    </row>
    <row r="28" spans="1:13" x14ac:dyDescent="0.25">
      <c r="A28">
        <f t="shared" si="0"/>
        <v>13056</v>
      </c>
      <c r="B28" s="18">
        <v>12960</v>
      </c>
      <c r="C28" s="18">
        <v>160</v>
      </c>
      <c r="D28" s="18">
        <v>1</v>
      </c>
      <c r="E28" s="18">
        <v>4</v>
      </c>
      <c r="F28" s="3">
        <v>2.2352400000000001</v>
      </c>
      <c r="H28">
        <f t="shared" si="1"/>
        <v>13056</v>
      </c>
      <c r="I28" s="18">
        <v>12960</v>
      </c>
      <c r="J28" s="18">
        <v>160</v>
      </c>
      <c r="K28" s="18">
        <v>1</v>
      </c>
      <c r="L28" s="18">
        <v>4</v>
      </c>
      <c r="M28" s="3">
        <v>2.4786200000000003</v>
      </c>
    </row>
    <row r="29" spans="1:13" x14ac:dyDescent="0.25">
      <c r="A29">
        <f t="shared" si="0"/>
        <v>13824</v>
      </c>
      <c r="B29" s="18">
        <v>13760</v>
      </c>
      <c r="C29" s="18">
        <v>160</v>
      </c>
      <c r="D29" s="18">
        <v>1</v>
      </c>
      <c r="E29" s="18">
        <v>4</v>
      </c>
      <c r="F29" s="3">
        <v>2.2392199999999995</v>
      </c>
      <c r="H29">
        <f t="shared" si="1"/>
        <v>13824</v>
      </c>
      <c r="I29" s="18">
        <v>13760</v>
      </c>
      <c r="J29" s="18">
        <v>160</v>
      </c>
      <c r="K29" s="18">
        <v>1</v>
      </c>
      <c r="L29" s="18">
        <v>4</v>
      </c>
      <c r="M29" s="3">
        <v>2.5112200000000002</v>
      </c>
    </row>
    <row r="30" spans="1:13" x14ac:dyDescent="0.25">
      <c r="A30">
        <f t="shared" si="0"/>
        <v>14592</v>
      </c>
      <c r="B30" s="18">
        <v>14560</v>
      </c>
      <c r="C30" s="18">
        <v>160</v>
      </c>
      <c r="D30" s="18">
        <v>1</v>
      </c>
      <c r="E30" s="18">
        <v>4</v>
      </c>
      <c r="F30" s="3">
        <v>2.2487200000000001</v>
      </c>
      <c r="H30">
        <f t="shared" si="1"/>
        <v>14592</v>
      </c>
      <c r="I30" s="18">
        <v>14560</v>
      </c>
      <c r="J30" s="18">
        <v>160</v>
      </c>
      <c r="K30" s="18">
        <v>1</v>
      </c>
      <c r="L30" s="18">
        <v>4</v>
      </c>
      <c r="M30" s="3">
        <v>2.5259799999999997</v>
      </c>
    </row>
    <row r="31" spans="1:13" x14ac:dyDescent="0.25">
      <c r="A31">
        <f t="shared" si="0"/>
        <v>13056</v>
      </c>
      <c r="B31" s="18">
        <v>12960</v>
      </c>
      <c r="C31" s="18">
        <v>160</v>
      </c>
      <c r="D31" s="18">
        <v>2</v>
      </c>
      <c r="E31" s="18">
        <v>2</v>
      </c>
      <c r="F31" s="3">
        <v>2.2864800000000001</v>
      </c>
      <c r="H31">
        <f t="shared" si="1"/>
        <v>13056</v>
      </c>
      <c r="I31" s="18">
        <v>12960</v>
      </c>
      <c r="J31" s="18">
        <v>160</v>
      </c>
      <c r="K31" s="18">
        <v>2</v>
      </c>
      <c r="L31" s="18">
        <v>2</v>
      </c>
      <c r="M31" s="3">
        <v>2.5103</v>
      </c>
    </row>
    <row r="32" spans="1:13" x14ac:dyDescent="0.25">
      <c r="A32">
        <f t="shared" si="0"/>
        <v>13824</v>
      </c>
      <c r="B32" s="18">
        <v>13760</v>
      </c>
      <c r="C32" s="18">
        <v>160</v>
      </c>
      <c r="D32" s="18">
        <v>2</v>
      </c>
      <c r="E32" s="18">
        <v>2</v>
      </c>
      <c r="F32" s="3">
        <v>2.3097400000000001</v>
      </c>
      <c r="H32">
        <f t="shared" si="1"/>
        <v>13824</v>
      </c>
      <c r="I32" s="18">
        <v>13760</v>
      </c>
      <c r="J32" s="18">
        <v>160</v>
      </c>
      <c r="K32" s="18">
        <v>2</v>
      </c>
      <c r="L32" s="18">
        <v>2</v>
      </c>
      <c r="M32" s="3">
        <v>2.5215800000000002</v>
      </c>
    </row>
    <row r="33" spans="1:13" x14ac:dyDescent="0.25">
      <c r="A33">
        <f t="shared" si="0"/>
        <v>14592</v>
      </c>
      <c r="B33" s="18">
        <v>14560</v>
      </c>
      <c r="C33" s="18">
        <v>160</v>
      </c>
      <c r="D33" s="18">
        <v>2</v>
      </c>
      <c r="E33" s="18">
        <v>2</v>
      </c>
      <c r="F33" s="3">
        <v>2.31968</v>
      </c>
      <c r="H33">
        <f t="shared" si="1"/>
        <v>14592</v>
      </c>
      <c r="I33" s="18">
        <v>14560</v>
      </c>
      <c r="J33" s="18">
        <v>160</v>
      </c>
      <c r="K33" s="18">
        <v>2</v>
      </c>
      <c r="L33" s="18">
        <v>2</v>
      </c>
      <c r="M33" s="3">
        <v>2.5352199999999998</v>
      </c>
    </row>
    <row r="34" spans="1:13" x14ac:dyDescent="0.25">
      <c r="A34">
        <f t="shared" si="0"/>
        <v>13056</v>
      </c>
      <c r="B34" s="18">
        <v>13056</v>
      </c>
      <c r="C34" s="18">
        <v>192</v>
      </c>
      <c r="D34" s="18">
        <v>1</v>
      </c>
      <c r="E34" s="18">
        <v>4</v>
      </c>
      <c r="F34" s="3">
        <v>2.2077999999999998</v>
      </c>
      <c r="H34">
        <f t="shared" si="1"/>
        <v>13056</v>
      </c>
      <c r="I34" s="18">
        <v>13056</v>
      </c>
      <c r="J34" s="18">
        <v>192</v>
      </c>
      <c r="K34" s="18">
        <v>1</v>
      </c>
      <c r="L34" s="18">
        <v>4</v>
      </c>
      <c r="M34" s="3">
        <v>2.46062</v>
      </c>
    </row>
    <row r="35" spans="1:13" x14ac:dyDescent="0.25">
      <c r="A35">
        <f t="shared" si="0"/>
        <v>13824</v>
      </c>
      <c r="B35" s="18">
        <v>13824</v>
      </c>
      <c r="C35" s="18">
        <v>192</v>
      </c>
      <c r="D35" s="18">
        <v>1</v>
      </c>
      <c r="E35" s="18">
        <v>4</v>
      </c>
      <c r="F35" s="3">
        <v>2.1958199999999999</v>
      </c>
      <c r="H35">
        <f t="shared" si="1"/>
        <v>13824</v>
      </c>
      <c r="I35" s="18">
        <v>13824</v>
      </c>
      <c r="J35" s="18">
        <v>192</v>
      </c>
      <c r="K35" s="18">
        <v>1</v>
      </c>
      <c r="L35" s="18">
        <v>4</v>
      </c>
      <c r="M35" s="3">
        <v>2.4815400000000003</v>
      </c>
    </row>
    <row r="36" spans="1:13" x14ac:dyDescent="0.25">
      <c r="A36">
        <f t="shared" si="0"/>
        <v>14592</v>
      </c>
      <c r="B36" s="18">
        <v>14592</v>
      </c>
      <c r="C36" s="18">
        <v>192</v>
      </c>
      <c r="D36" s="18">
        <v>1</v>
      </c>
      <c r="E36" s="18">
        <v>4</v>
      </c>
      <c r="F36" s="3">
        <v>2.2344599999999999</v>
      </c>
      <c r="H36">
        <f t="shared" si="1"/>
        <v>14592</v>
      </c>
      <c r="I36" s="18">
        <v>14592</v>
      </c>
      <c r="J36" s="18">
        <v>192</v>
      </c>
      <c r="K36" s="18">
        <v>1</v>
      </c>
      <c r="L36" s="18">
        <v>4</v>
      </c>
      <c r="M36" s="3">
        <v>2.5027400000000002</v>
      </c>
    </row>
    <row r="37" spans="1:13" x14ac:dyDescent="0.25">
      <c r="A37">
        <f t="shared" si="0"/>
        <v>13056</v>
      </c>
      <c r="B37" s="18">
        <v>13056</v>
      </c>
      <c r="C37" s="18">
        <v>192</v>
      </c>
      <c r="D37" s="18">
        <v>2</v>
      </c>
      <c r="E37" s="18">
        <v>2</v>
      </c>
      <c r="F37" s="3">
        <v>2.2669399999999995</v>
      </c>
      <c r="H37">
        <f t="shared" si="1"/>
        <v>13056</v>
      </c>
      <c r="I37" s="18">
        <v>13056</v>
      </c>
      <c r="J37" s="18">
        <v>192</v>
      </c>
      <c r="K37" s="18">
        <v>2</v>
      </c>
      <c r="L37" s="18">
        <v>2</v>
      </c>
      <c r="M37" s="3">
        <v>2.4896400000000001</v>
      </c>
    </row>
    <row r="38" spans="1:13" x14ac:dyDescent="0.25">
      <c r="A38">
        <f t="shared" si="0"/>
        <v>13824</v>
      </c>
      <c r="B38" s="18">
        <v>13824</v>
      </c>
      <c r="C38" s="18">
        <v>192</v>
      </c>
      <c r="D38" s="18">
        <v>2</v>
      </c>
      <c r="E38" s="18">
        <v>2</v>
      </c>
      <c r="F38" s="3">
        <v>2.2582599999999999</v>
      </c>
      <c r="H38">
        <f t="shared" si="1"/>
        <v>13824</v>
      </c>
      <c r="I38" s="18">
        <v>13824</v>
      </c>
      <c r="J38" s="18">
        <v>192</v>
      </c>
      <c r="K38" s="18">
        <v>2</v>
      </c>
      <c r="L38" s="18">
        <v>2</v>
      </c>
      <c r="M38" s="3">
        <v>2.5072400000000004</v>
      </c>
    </row>
    <row r="39" spans="1:13" x14ac:dyDescent="0.25">
      <c r="A39">
        <f t="shared" si="0"/>
        <v>14592</v>
      </c>
      <c r="B39" s="18">
        <v>14592</v>
      </c>
      <c r="C39" s="18">
        <v>192</v>
      </c>
      <c r="D39" s="18">
        <v>2</v>
      </c>
      <c r="E39" s="18">
        <v>2</v>
      </c>
      <c r="F39" s="3">
        <v>2.2866</v>
      </c>
      <c r="H39">
        <f t="shared" si="1"/>
        <v>14592</v>
      </c>
      <c r="I39" s="18">
        <v>14592</v>
      </c>
      <c r="J39" s="18">
        <v>192</v>
      </c>
      <c r="K39" s="18">
        <v>2</v>
      </c>
      <c r="L39" s="18">
        <v>2</v>
      </c>
      <c r="M39" s="3">
        <v>2.5202200000000001</v>
      </c>
    </row>
    <row r="40" spans="1:13" x14ac:dyDescent="0.25">
      <c r="A40">
        <f t="shared" si="0"/>
        <v>13056</v>
      </c>
      <c r="B40" s="18">
        <v>12992</v>
      </c>
      <c r="C40" s="18">
        <v>224</v>
      </c>
      <c r="D40" s="18">
        <v>1</v>
      </c>
      <c r="E40" s="18">
        <v>4</v>
      </c>
      <c r="F40" s="3">
        <v>2.1863000000000001</v>
      </c>
      <c r="H40">
        <f t="shared" si="1"/>
        <v>13056</v>
      </c>
      <c r="I40" s="18">
        <v>12992</v>
      </c>
      <c r="J40" s="18">
        <v>224</v>
      </c>
      <c r="K40" s="18">
        <v>1</v>
      </c>
      <c r="L40" s="18">
        <v>4</v>
      </c>
      <c r="M40" s="3">
        <v>2.4346800000000002</v>
      </c>
    </row>
    <row r="41" spans="1:13" x14ac:dyDescent="0.25">
      <c r="A41">
        <f t="shared" si="0"/>
        <v>13824</v>
      </c>
      <c r="B41" s="18">
        <v>13664</v>
      </c>
      <c r="C41" s="18">
        <v>224</v>
      </c>
      <c r="D41" s="18">
        <v>1</v>
      </c>
      <c r="E41" s="18">
        <v>4</v>
      </c>
      <c r="F41" s="3">
        <v>2.2016999999999998</v>
      </c>
      <c r="H41">
        <f t="shared" si="1"/>
        <v>13824</v>
      </c>
      <c r="I41" s="18">
        <v>13664</v>
      </c>
      <c r="J41" s="18">
        <v>224</v>
      </c>
      <c r="K41" s="18">
        <v>1</v>
      </c>
      <c r="L41" s="18">
        <v>4</v>
      </c>
      <c r="M41" s="3">
        <v>2.4549799999999999</v>
      </c>
    </row>
    <row r="42" spans="1:13" x14ac:dyDescent="0.25">
      <c r="A42">
        <f t="shared" si="0"/>
        <v>14592</v>
      </c>
      <c r="B42" s="18">
        <v>14560</v>
      </c>
      <c r="C42" s="18">
        <v>224</v>
      </c>
      <c r="D42" s="18">
        <v>1</v>
      </c>
      <c r="E42" s="18">
        <v>4</v>
      </c>
      <c r="F42" s="3">
        <v>2.2082000000000002</v>
      </c>
      <c r="H42">
        <f t="shared" si="1"/>
        <v>14592</v>
      </c>
      <c r="I42" s="18">
        <v>14560</v>
      </c>
      <c r="J42" s="18">
        <v>224</v>
      </c>
      <c r="K42" s="18">
        <v>1</v>
      </c>
      <c r="L42" s="18">
        <v>4</v>
      </c>
      <c r="M42" s="3">
        <v>2.4788199999999998</v>
      </c>
    </row>
    <row r="43" spans="1:13" x14ac:dyDescent="0.25">
      <c r="A43">
        <f t="shared" si="0"/>
        <v>13056</v>
      </c>
      <c r="B43" s="18">
        <v>12992</v>
      </c>
      <c r="C43" s="18">
        <v>224</v>
      </c>
      <c r="D43" s="18">
        <v>2</v>
      </c>
      <c r="E43" s="18">
        <v>2</v>
      </c>
      <c r="F43" s="3">
        <v>2.2549199999999998</v>
      </c>
      <c r="H43">
        <f t="shared" si="1"/>
        <v>13056</v>
      </c>
      <c r="I43" s="18">
        <v>12992</v>
      </c>
      <c r="J43" s="18">
        <v>224</v>
      </c>
      <c r="K43" s="18">
        <v>2</v>
      </c>
      <c r="L43" s="18">
        <v>2</v>
      </c>
      <c r="M43" s="3">
        <v>2.4561199999999994</v>
      </c>
    </row>
    <row r="44" spans="1:13" x14ac:dyDescent="0.25">
      <c r="A44">
        <f t="shared" si="0"/>
        <v>13824</v>
      </c>
      <c r="B44" s="18">
        <v>13664</v>
      </c>
      <c r="C44" s="18">
        <v>224</v>
      </c>
      <c r="D44" s="18">
        <v>2</v>
      </c>
      <c r="E44" s="18">
        <v>2</v>
      </c>
      <c r="F44" s="3">
        <v>2.2660399999999998</v>
      </c>
      <c r="H44">
        <f t="shared" si="1"/>
        <v>13824</v>
      </c>
      <c r="I44" s="18">
        <v>13664</v>
      </c>
      <c r="J44" s="18">
        <v>224</v>
      </c>
      <c r="K44" s="18">
        <v>2</v>
      </c>
      <c r="L44" s="18">
        <v>2</v>
      </c>
      <c r="M44" s="3">
        <v>2.47878</v>
      </c>
    </row>
    <row r="45" spans="1:13" x14ac:dyDescent="0.25">
      <c r="A45">
        <f t="shared" si="0"/>
        <v>14592</v>
      </c>
      <c r="B45" s="18">
        <v>14560</v>
      </c>
      <c r="C45" s="18">
        <v>224</v>
      </c>
      <c r="D45" s="18">
        <v>2</v>
      </c>
      <c r="E45" s="18">
        <v>2</v>
      </c>
      <c r="F45" s="3">
        <v>2.2587000000000002</v>
      </c>
      <c r="H45">
        <f t="shared" si="1"/>
        <v>14592</v>
      </c>
      <c r="I45" s="18">
        <v>14560</v>
      </c>
      <c r="J45" s="18">
        <v>224</v>
      </c>
      <c r="K45" s="18">
        <v>2</v>
      </c>
      <c r="L45" s="18">
        <v>2</v>
      </c>
      <c r="M45" s="3">
        <v>2.4970600000000003</v>
      </c>
    </row>
    <row r="46" spans="1:13" x14ac:dyDescent="0.25">
      <c r="A46">
        <f t="shared" si="0"/>
        <v>13056</v>
      </c>
      <c r="B46" s="18">
        <v>13056</v>
      </c>
      <c r="C46" s="18">
        <v>256</v>
      </c>
      <c r="D46" s="18">
        <v>1</v>
      </c>
      <c r="E46" s="18">
        <v>4</v>
      </c>
      <c r="F46" s="3">
        <v>2.14154</v>
      </c>
      <c r="H46">
        <f t="shared" si="1"/>
        <v>13056</v>
      </c>
      <c r="I46" s="18">
        <v>13056</v>
      </c>
      <c r="J46" s="18">
        <v>256</v>
      </c>
      <c r="K46" s="18">
        <v>1</v>
      </c>
      <c r="L46" s="18">
        <v>4</v>
      </c>
      <c r="M46" s="3">
        <v>2.3939599999999999</v>
      </c>
    </row>
    <row r="47" spans="1:13" x14ac:dyDescent="0.25">
      <c r="A47">
        <f t="shared" si="0"/>
        <v>13824</v>
      </c>
      <c r="B47" s="18">
        <v>13824</v>
      </c>
      <c r="C47" s="18">
        <v>256</v>
      </c>
      <c r="D47" s="18">
        <v>1</v>
      </c>
      <c r="E47" s="18">
        <v>4</v>
      </c>
      <c r="F47" s="3">
        <v>2.1341000000000001</v>
      </c>
      <c r="H47">
        <f t="shared" si="1"/>
        <v>13824</v>
      </c>
      <c r="I47" s="18">
        <v>13824</v>
      </c>
      <c r="J47" s="18">
        <v>256</v>
      </c>
      <c r="K47" s="18">
        <v>1</v>
      </c>
      <c r="L47" s="18">
        <v>4</v>
      </c>
      <c r="M47" s="3">
        <v>2.4104600000000005</v>
      </c>
    </row>
    <row r="48" spans="1:13" x14ac:dyDescent="0.25">
      <c r="A48">
        <f t="shared" si="0"/>
        <v>14592</v>
      </c>
      <c r="B48" s="18">
        <v>14592</v>
      </c>
      <c r="C48" s="18">
        <v>256</v>
      </c>
      <c r="D48" s="18">
        <v>1</v>
      </c>
      <c r="E48" s="18">
        <v>4</v>
      </c>
      <c r="F48" s="3">
        <v>2.1747199999999998</v>
      </c>
      <c r="H48">
        <f t="shared" si="1"/>
        <v>14592</v>
      </c>
      <c r="I48" s="18">
        <v>14592</v>
      </c>
      <c r="J48" s="18">
        <v>256</v>
      </c>
      <c r="K48" s="18">
        <v>1</v>
      </c>
      <c r="L48" s="18">
        <v>4</v>
      </c>
      <c r="M48" s="3">
        <v>2.43432</v>
      </c>
    </row>
    <row r="49" spans="1:13" x14ac:dyDescent="0.25">
      <c r="A49">
        <f t="shared" si="0"/>
        <v>13056</v>
      </c>
      <c r="B49" s="18">
        <v>13056</v>
      </c>
      <c r="C49" s="18">
        <v>256</v>
      </c>
      <c r="D49" s="18">
        <v>2</v>
      </c>
      <c r="E49" s="18">
        <v>2</v>
      </c>
      <c r="F49" s="3">
        <v>2.2022599999999999</v>
      </c>
      <c r="H49">
        <f t="shared" si="1"/>
        <v>13056</v>
      </c>
      <c r="I49" s="18">
        <v>13056</v>
      </c>
      <c r="J49" s="18">
        <v>256</v>
      </c>
      <c r="K49" s="18">
        <v>2</v>
      </c>
      <c r="L49" s="18">
        <v>2</v>
      </c>
      <c r="M49" s="3">
        <v>2.4348000000000001</v>
      </c>
    </row>
    <row r="50" spans="1:13" x14ac:dyDescent="0.25">
      <c r="A50">
        <f t="shared" si="0"/>
        <v>13824</v>
      </c>
      <c r="B50" s="18">
        <v>13824</v>
      </c>
      <c r="C50" s="18">
        <v>256</v>
      </c>
      <c r="D50" s="18">
        <v>2</v>
      </c>
      <c r="E50" s="18">
        <v>2</v>
      </c>
      <c r="F50" s="3">
        <v>2.2178800000000001</v>
      </c>
      <c r="H50">
        <f t="shared" si="1"/>
        <v>13824</v>
      </c>
      <c r="I50" s="18">
        <v>13824</v>
      </c>
      <c r="J50" s="18">
        <v>256</v>
      </c>
      <c r="K50" s="18">
        <v>2</v>
      </c>
      <c r="L50" s="18">
        <v>2</v>
      </c>
      <c r="M50" s="3">
        <v>2.4506799999999997</v>
      </c>
    </row>
    <row r="51" spans="1:13" x14ac:dyDescent="0.25">
      <c r="A51">
        <f t="shared" si="0"/>
        <v>14592</v>
      </c>
      <c r="B51" s="18">
        <v>14592</v>
      </c>
      <c r="C51" s="18">
        <v>256</v>
      </c>
      <c r="D51" s="18">
        <v>2</v>
      </c>
      <c r="E51" s="18">
        <v>2</v>
      </c>
      <c r="F51" s="3">
        <v>2.2283999999999997</v>
      </c>
      <c r="H51">
        <f t="shared" si="1"/>
        <v>14592</v>
      </c>
      <c r="I51" s="18">
        <v>14592</v>
      </c>
      <c r="J51" s="18">
        <v>256</v>
      </c>
      <c r="K51" s="18">
        <v>2</v>
      </c>
      <c r="L51" s="18">
        <v>2</v>
      </c>
      <c r="M51" s="3">
        <v>2.4648400000000001</v>
      </c>
    </row>
    <row r="52" spans="1:13" x14ac:dyDescent="0.25">
      <c r="A52">
        <f t="shared" si="0"/>
        <v>13056</v>
      </c>
      <c r="B52" s="18">
        <v>13040</v>
      </c>
      <c r="C52" s="18">
        <v>80</v>
      </c>
      <c r="D52" s="18">
        <v>1</v>
      </c>
      <c r="E52" s="18">
        <v>4</v>
      </c>
      <c r="F52" s="3">
        <v>2.2312400000000001</v>
      </c>
      <c r="H52">
        <f t="shared" si="1"/>
        <v>13056</v>
      </c>
      <c r="I52" s="18">
        <v>13040</v>
      </c>
      <c r="J52" s="18">
        <v>80</v>
      </c>
      <c r="K52" s="18">
        <v>1</v>
      </c>
      <c r="L52" s="18">
        <v>4</v>
      </c>
      <c r="M52" s="3">
        <v>2.57538</v>
      </c>
    </row>
    <row r="53" spans="1:13" x14ac:dyDescent="0.25">
      <c r="A53">
        <f t="shared" si="0"/>
        <v>13824</v>
      </c>
      <c r="B53" s="18">
        <v>13760</v>
      </c>
      <c r="C53" s="18">
        <v>80</v>
      </c>
      <c r="D53" s="18">
        <v>1</v>
      </c>
      <c r="E53" s="18">
        <v>4</v>
      </c>
      <c r="F53" s="3">
        <v>2.2349800000000002</v>
      </c>
      <c r="H53">
        <f t="shared" si="1"/>
        <v>13824</v>
      </c>
      <c r="I53" s="18">
        <v>13760</v>
      </c>
      <c r="J53" s="18">
        <v>80</v>
      </c>
      <c r="K53" s="18">
        <v>1</v>
      </c>
      <c r="L53" s="18">
        <v>4</v>
      </c>
      <c r="M53" s="3">
        <v>2.5775199999999998</v>
      </c>
    </row>
    <row r="54" spans="1:13" x14ac:dyDescent="0.25">
      <c r="A54">
        <f t="shared" si="0"/>
        <v>14592</v>
      </c>
      <c r="B54" s="18">
        <v>14640</v>
      </c>
      <c r="C54" s="18">
        <v>80</v>
      </c>
      <c r="D54" s="18">
        <v>1</v>
      </c>
      <c r="E54" s="18">
        <v>4</v>
      </c>
      <c r="F54" s="3">
        <v>2.2466999999999997</v>
      </c>
      <c r="H54">
        <f t="shared" si="1"/>
        <v>14592</v>
      </c>
      <c r="I54" s="18">
        <v>14640</v>
      </c>
      <c r="J54" s="18">
        <v>80</v>
      </c>
      <c r="K54" s="18">
        <v>1</v>
      </c>
      <c r="L54" s="18">
        <v>4</v>
      </c>
      <c r="M54" s="3">
        <v>2.5904399999999996</v>
      </c>
    </row>
    <row r="55" spans="1:13" x14ac:dyDescent="0.25">
      <c r="A55">
        <f t="shared" si="0"/>
        <v>13056</v>
      </c>
      <c r="B55" s="18">
        <v>13040</v>
      </c>
      <c r="C55" s="18">
        <v>80</v>
      </c>
      <c r="D55" s="18">
        <v>2</v>
      </c>
      <c r="E55" s="18">
        <v>2</v>
      </c>
      <c r="F55" s="3">
        <v>2.3103000000000002</v>
      </c>
      <c r="H55">
        <f t="shared" si="1"/>
        <v>13056</v>
      </c>
      <c r="I55" s="18">
        <v>13040</v>
      </c>
      <c r="J55" s="18">
        <v>80</v>
      </c>
      <c r="K55" s="18">
        <v>2</v>
      </c>
      <c r="L55" s="18">
        <v>2</v>
      </c>
      <c r="M55" s="3">
        <v>2.55952</v>
      </c>
    </row>
    <row r="56" spans="1:13" x14ac:dyDescent="0.25">
      <c r="A56">
        <f t="shared" si="0"/>
        <v>13824</v>
      </c>
      <c r="B56" s="18">
        <v>13760</v>
      </c>
      <c r="C56" s="18">
        <v>80</v>
      </c>
      <c r="D56" s="18">
        <v>2</v>
      </c>
      <c r="E56" s="18">
        <v>2</v>
      </c>
      <c r="F56" s="3">
        <v>2.3194399999999997</v>
      </c>
      <c r="H56">
        <f t="shared" si="1"/>
        <v>13824</v>
      </c>
      <c r="I56" s="18">
        <v>13760</v>
      </c>
      <c r="J56" s="18">
        <v>80</v>
      </c>
      <c r="K56" s="18">
        <v>2</v>
      </c>
      <c r="L56" s="18">
        <v>2</v>
      </c>
      <c r="M56" s="3">
        <v>2.5723000000000003</v>
      </c>
    </row>
    <row r="57" spans="1:13" x14ac:dyDescent="0.25">
      <c r="A57">
        <f t="shared" si="0"/>
        <v>14592</v>
      </c>
      <c r="B57" s="18">
        <v>14640</v>
      </c>
      <c r="C57" s="18">
        <v>80</v>
      </c>
      <c r="D57" s="18">
        <v>2</v>
      </c>
      <c r="E57" s="18">
        <v>2</v>
      </c>
      <c r="F57" s="3">
        <v>2.32348</v>
      </c>
      <c r="H57">
        <f t="shared" si="1"/>
        <v>14592</v>
      </c>
      <c r="I57" s="18">
        <v>14640</v>
      </c>
      <c r="J57" s="18">
        <v>80</v>
      </c>
      <c r="K57" s="18">
        <v>2</v>
      </c>
      <c r="L57" s="18">
        <v>2</v>
      </c>
      <c r="M57" s="3">
        <v>2.5789599999999999</v>
      </c>
    </row>
    <row r="58" spans="1:13" x14ac:dyDescent="0.25">
      <c r="A58">
        <f t="shared" si="0"/>
        <v>13056</v>
      </c>
      <c r="B58" s="18">
        <v>12992</v>
      </c>
      <c r="C58" s="18">
        <v>112</v>
      </c>
      <c r="D58" s="18">
        <v>1</v>
      </c>
      <c r="E58" s="18">
        <v>4</v>
      </c>
      <c r="F58" s="3">
        <v>2.2515000000000001</v>
      </c>
      <c r="H58">
        <f t="shared" si="1"/>
        <v>13056</v>
      </c>
      <c r="I58" s="18">
        <v>12992</v>
      </c>
      <c r="J58" s="18">
        <v>112</v>
      </c>
      <c r="K58" s="18">
        <v>1</v>
      </c>
      <c r="L58" s="18">
        <v>4</v>
      </c>
      <c r="M58" s="3">
        <v>2.5104600000000001</v>
      </c>
    </row>
    <row r="59" spans="1:13" x14ac:dyDescent="0.25">
      <c r="A59">
        <f t="shared" si="0"/>
        <v>13824</v>
      </c>
      <c r="B59" s="18">
        <v>13776</v>
      </c>
      <c r="C59" s="18">
        <v>112</v>
      </c>
      <c r="D59" s="18">
        <v>1</v>
      </c>
      <c r="E59" s="18">
        <v>4</v>
      </c>
      <c r="F59" s="3">
        <v>1.8541420000000002</v>
      </c>
      <c r="H59">
        <f t="shared" si="1"/>
        <v>13824</v>
      </c>
      <c r="I59" s="18">
        <v>13776</v>
      </c>
      <c r="J59" s="18">
        <v>112</v>
      </c>
      <c r="K59" s="18">
        <v>1</v>
      </c>
      <c r="L59" s="18">
        <v>4</v>
      </c>
      <c r="M59" s="3">
        <v>2.5424199999999999</v>
      </c>
    </row>
    <row r="60" spans="1:13" x14ac:dyDescent="0.25">
      <c r="A60">
        <f t="shared" si="0"/>
        <v>14592</v>
      </c>
      <c r="B60" s="18">
        <v>14560</v>
      </c>
      <c r="C60" s="18">
        <v>112</v>
      </c>
      <c r="D60" s="18">
        <v>1</v>
      </c>
      <c r="E60" s="18">
        <v>4</v>
      </c>
      <c r="F60" s="3">
        <v>2.2655800000000004</v>
      </c>
      <c r="H60">
        <f t="shared" si="1"/>
        <v>14592</v>
      </c>
      <c r="I60" s="18">
        <v>14560</v>
      </c>
      <c r="J60" s="18">
        <v>112</v>
      </c>
      <c r="K60" s="18">
        <v>1</v>
      </c>
      <c r="L60" s="18">
        <v>4</v>
      </c>
      <c r="M60" s="3">
        <v>2.5518200000000002</v>
      </c>
    </row>
    <row r="61" spans="1:13" x14ac:dyDescent="0.25">
      <c r="A61">
        <f t="shared" si="0"/>
        <v>13056</v>
      </c>
      <c r="B61" s="18">
        <v>12992</v>
      </c>
      <c r="C61" s="18">
        <v>112</v>
      </c>
      <c r="D61" s="18">
        <v>2</v>
      </c>
      <c r="E61" s="18">
        <v>2</v>
      </c>
      <c r="F61" s="3">
        <v>2.3248000000000002</v>
      </c>
      <c r="H61">
        <f t="shared" si="1"/>
        <v>13056</v>
      </c>
      <c r="I61" s="18">
        <v>12992</v>
      </c>
      <c r="J61" s="18">
        <v>112</v>
      </c>
      <c r="K61" s="18">
        <v>2</v>
      </c>
      <c r="L61" s="18">
        <v>2</v>
      </c>
      <c r="M61" s="3">
        <v>2.5110999999999999</v>
      </c>
    </row>
    <row r="62" spans="1:13" x14ac:dyDescent="0.25">
      <c r="A62">
        <f t="shared" si="0"/>
        <v>13824</v>
      </c>
      <c r="B62" s="18">
        <v>13776</v>
      </c>
      <c r="C62" s="18">
        <v>112</v>
      </c>
      <c r="D62" s="18">
        <v>2</v>
      </c>
      <c r="E62" s="18">
        <v>2</v>
      </c>
      <c r="F62" s="3">
        <v>2.3338200000000002</v>
      </c>
      <c r="H62">
        <f t="shared" si="1"/>
        <v>13824</v>
      </c>
      <c r="I62" s="18">
        <v>13776</v>
      </c>
      <c r="J62" s="18">
        <v>112</v>
      </c>
      <c r="K62" s="18">
        <v>2</v>
      </c>
      <c r="L62" s="18">
        <v>2</v>
      </c>
      <c r="M62" s="3">
        <v>2.5425399999999998</v>
      </c>
    </row>
    <row r="63" spans="1:13" x14ac:dyDescent="0.25">
      <c r="A63">
        <f t="shared" si="0"/>
        <v>14592</v>
      </c>
      <c r="B63" s="18">
        <v>14560</v>
      </c>
      <c r="C63" s="18">
        <v>112</v>
      </c>
      <c r="D63" s="18">
        <v>2</v>
      </c>
      <c r="E63" s="18">
        <v>2</v>
      </c>
      <c r="F63" s="3">
        <v>2.3348199999999997</v>
      </c>
      <c r="H63">
        <f t="shared" si="1"/>
        <v>14592</v>
      </c>
      <c r="I63" s="18">
        <v>14560</v>
      </c>
      <c r="J63" s="18">
        <v>112</v>
      </c>
      <c r="K63" s="18">
        <v>2</v>
      </c>
      <c r="L63" s="18">
        <v>2</v>
      </c>
      <c r="M63" s="3">
        <v>2.5541000000000005</v>
      </c>
    </row>
    <row r="64" spans="1:13" x14ac:dyDescent="0.25">
      <c r="A64">
        <f t="shared" si="0"/>
        <v>13056</v>
      </c>
      <c r="B64" s="18">
        <v>0</v>
      </c>
      <c r="C64" s="18">
        <v>0</v>
      </c>
      <c r="D64" s="18">
        <v>0</v>
      </c>
      <c r="E64" s="18">
        <v>0</v>
      </c>
      <c r="F64" s="3">
        <v>0</v>
      </c>
      <c r="H64">
        <f t="shared" si="1"/>
        <v>13056</v>
      </c>
      <c r="I64" s="18">
        <v>0</v>
      </c>
      <c r="J64" s="18">
        <v>0</v>
      </c>
      <c r="K64" s="18">
        <v>0</v>
      </c>
      <c r="L64" s="18">
        <v>0</v>
      </c>
      <c r="M64" s="3">
        <v>0</v>
      </c>
    </row>
    <row r="65" spans="1:13" x14ac:dyDescent="0.25">
      <c r="A65">
        <f t="shared" si="0"/>
        <v>13056</v>
      </c>
      <c r="B65" s="18">
        <v>0</v>
      </c>
      <c r="C65" s="18">
        <v>0</v>
      </c>
      <c r="D65" s="18">
        <v>0</v>
      </c>
      <c r="E65" s="18">
        <v>0</v>
      </c>
      <c r="F65" s="3">
        <v>0</v>
      </c>
      <c r="H65">
        <f t="shared" si="1"/>
        <v>13056</v>
      </c>
      <c r="I65" s="18">
        <v>0</v>
      </c>
      <c r="J65" s="18">
        <v>0</v>
      </c>
      <c r="K65" s="18">
        <v>0</v>
      </c>
      <c r="L65" s="18">
        <v>0</v>
      </c>
      <c r="M65" s="3">
        <v>0</v>
      </c>
    </row>
    <row r="66" spans="1:13" x14ac:dyDescent="0.25">
      <c r="A66">
        <f t="shared" si="0"/>
        <v>13056</v>
      </c>
      <c r="B66" s="18">
        <v>0</v>
      </c>
      <c r="C66" s="18">
        <v>0</v>
      </c>
      <c r="D66" s="18">
        <v>0</v>
      </c>
      <c r="E66" s="18">
        <v>0</v>
      </c>
      <c r="F66" s="3">
        <v>0</v>
      </c>
      <c r="H66">
        <f t="shared" si="1"/>
        <v>13056</v>
      </c>
      <c r="I66" s="18">
        <v>0</v>
      </c>
      <c r="J66" s="18">
        <v>0</v>
      </c>
      <c r="K66" s="18">
        <v>0</v>
      </c>
      <c r="L66" s="18">
        <v>0</v>
      </c>
      <c r="M66" s="3">
        <v>0</v>
      </c>
    </row>
    <row r="67" spans="1:13" x14ac:dyDescent="0.25">
      <c r="A67">
        <f t="shared" si="0"/>
        <v>13056</v>
      </c>
      <c r="B67" s="18">
        <v>0</v>
      </c>
      <c r="C67" s="18">
        <v>0</v>
      </c>
      <c r="D67" s="18">
        <v>0</v>
      </c>
      <c r="E67" s="18">
        <v>0</v>
      </c>
      <c r="F67" s="3">
        <v>0</v>
      </c>
      <c r="H67">
        <f t="shared" si="1"/>
        <v>13056</v>
      </c>
      <c r="I67" s="18">
        <v>0</v>
      </c>
      <c r="J67" s="18">
        <v>0</v>
      </c>
      <c r="K67" s="18">
        <v>0</v>
      </c>
      <c r="L67" s="18">
        <v>0</v>
      </c>
      <c r="M67" s="3">
        <v>0</v>
      </c>
    </row>
    <row r="68" spans="1:13" x14ac:dyDescent="0.25">
      <c r="A68">
        <f t="shared" si="0"/>
        <v>13056</v>
      </c>
      <c r="B68" s="18">
        <v>0</v>
      </c>
      <c r="C68" s="18">
        <v>0</v>
      </c>
      <c r="D68" s="18">
        <v>0</v>
      </c>
      <c r="E68" s="18">
        <v>0</v>
      </c>
      <c r="F68" s="3">
        <v>0</v>
      </c>
      <c r="H68">
        <f t="shared" si="1"/>
        <v>13056</v>
      </c>
      <c r="I68" s="18">
        <v>0</v>
      </c>
      <c r="J68" s="18">
        <v>0</v>
      </c>
      <c r="K68" s="18">
        <v>0</v>
      </c>
      <c r="L68" s="18">
        <v>0</v>
      </c>
      <c r="M68" s="3">
        <v>0</v>
      </c>
    </row>
    <row r="69" spans="1:13" x14ac:dyDescent="0.25">
      <c r="A69">
        <f t="shared" ref="A69:A132" si="2">CHOOSE(IF(ABS(B69-13056)&lt;=ABS(B69-13824),IF(ABS(B69-13056)&lt;=ABS(B69-14592),1,3),IF(ABS(B69-13824)&lt;=ABS(B69-14592),2,3)),13056,13824,14592)</f>
        <v>13056</v>
      </c>
      <c r="B69" s="18">
        <v>0</v>
      </c>
      <c r="C69" s="18">
        <v>0</v>
      </c>
      <c r="D69" s="18">
        <v>0</v>
      </c>
      <c r="E69" s="18">
        <v>0</v>
      </c>
      <c r="F69" s="3">
        <v>0</v>
      </c>
      <c r="H69">
        <f t="shared" ref="H69:H132" si="3">CHOOSE(IF(ABS(I69-13056)&lt;=ABS(I69-13824),IF(ABS(I69-13056)&lt;=ABS(I69-14592),1,3),IF(ABS(I69-13824)&lt;=ABS(I69-14592),2,3)),13056,13824,14592)</f>
        <v>13056</v>
      </c>
      <c r="I69" s="18">
        <v>0</v>
      </c>
      <c r="J69" s="18">
        <v>0</v>
      </c>
      <c r="K69" s="18">
        <v>0</v>
      </c>
      <c r="L69" s="18">
        <v>0</v>
      </c>
      <c r="M69" s="3">
        <v>0</v>
      </c>
    </row>
    <row r="70" spans="1:13" x14ac:dyDescent="0.25">
      <c r="A70">
        <f t="shared" si="2"/>
        <v>13056</v>
      </c>
      <c r="B70" s="18">
        <v>0</v>
      </c>
      <c r="C70" s="18">
        <v>0</v>
      </c>
      <c r="D70" s="18">
        <v>0</v>
      </c>
      <c r="E70" s="18">
        <v>0</v>
      </c>
      <c r="F70" s="3">
        <v>0</v>
      </c>
      <c r="H70">
        <f t="shared" si="3"/>
        <v>13056</v>
      </c>
      <c r="I70" s="18">
        <v>0</v>
      </c>
      <c r="J70" s="18">
        <v>0</v>
      </c>
      <c r="K70" s="18">
        <v>0</v>
      </c>
      <c r="L70" s="18">
        <v>0</v>
      </c>
      <c r="M70" s="3">
        <v>0</v>
      </c>
    </row>
    <row r="71" spans="1:13" x14ac:dyDescent="0.25">
      <c r="A71">
        <f t="shared" si="2"/>
        <v>13056</v>
      </c>
      <c r="B71" s="18">
        <v>0</v>
      </c>
      <c r="C71" s="18">
        <v>0</v>
      </c>
      <c r="D71" s="18">
        <v>0</v>
      </c>
      <c r="E71" s="18">
        <v>0</v>
      </c>
      <c r="F71" s="3">
        <v>0</v>
      </c>
      <c r="H71">
        <f t="shared" si="3"/>
        <v>13056</v>
      </c>
      <c r="I71" s="18">
        <v>0</v>
      </c>
      <c r="J71" s="18">
        <v>0</v>
      </c>
      <c r="K71" s="18">
        <v>0</v>
      </c>
      <c r="L71" s="18">
        <v>0</v>
      </c>
      <c r="M71" s="3">
        <v>0</v>
      </c>
    </row>
    <row r="72" spans="1:13" x14ac:dyDescent="0.25">
      <c r="A72">
        <f t="shared" si="2"/>
        <v>13056</v>
      </c>
      <c r="B72" s="18">
        <v>0</v>
      </c>
      <c r="C72" s="18">
        <v>0</v>
      </c>
      <c r="D72" s="18">
        <v>0</v>
      </c>
      <c r="E72" s="18">
        <v>0</v>
      </c>
      <c r="F72" s="3">
        <v>0</v>
      </c>
      <c r="H72">
        <f t="shared" si="3"/>
        <v>13056</v>
      </c>
      <c r="I72" s="18">
        <v>0</v>
      </c>
      <c r="J72" s="18">
        <v>0</v>
      </c>
      <c r="K72" s="18">
        <v>0</v>
      </c>
      <c r="L72" s="18">
        <v>0</v>
      </c>
      <c r="M72" s="3">
        <v>0</v>
      </c>
    </row>
    <row r="73" spans="1:13" x14ac:dyDescent="0.25">
      <c r="A73">
        <f t="shared" si="2"/>
        <v>13056</v>
      </c>
      <c r="B73" s="18">
        <v>0</v>
      </c>
      <c r="C73" s="18">
        <v>0</v>
      </c>
      <c r="D73" s="18">
        <v>0</v>
      </c>
      <c r="E73" s="18">
        <v>0</v>
      </c>
      <c r="F73" s="3">
        <v>0</v>
      </c>
      <c r="H73">
        <f t="shared" si="3"/>
        <v>13056</v>
      </c>
      <c r="I73" s="18">
        <v>0</v>
      </c>
      <c r="J73" s="18">
        <v>0</v>
      </c>
      <c r="K73" s="18">
        <v>0</v>
      </c>
      <c r="L73" s="18">
        <v>0</v>
      </c>
      <c r="M73" s="3">
        <v>0</v>
      </c>
    </row>
    <row r="74" spans="1:13" x14ac:dyDescent="0.25">
      <c r="A74">
        <f t="shared" si="2"/>
        <v>13056</v>
      </c>
      <c r="B74" s="18">
        <v>0</v>
      </c>
      <c r="C74" s="18">
        <v>0</v>
      </c>
      <c r="D74" s="18">
        <v>0</v>
      </c>
      <c r="E74" s="18">
        <v>0</v>
      </c>
      <c r="F74" s="3">
        <v>0</v>
      </c>
      <c r="H74">
        <f t="shared" si="3"/>
        <v>13056</v>
      </c>
      <c r="I74" s="18">
        <v>0</v>
      </c>
      <c r="J74" s="18">
        <v>0</v>
      </c>
      <c r="K74" s="18">
        <v>0</v>
      </c>
      <c r="L74" s="18">
        <v>0</v>
      </c>
      <c r="M74" s="3">
        <v>0</v>
      </c>
    </row>
    <row r="75" spans="1:13" x14ac:dyDescent="0.25">
      <c r="A75">
        <f t="shared" si="2"/>
        <v>13056</v>
      </c>
      <c r="B75" s="18">
        <v>0</v>
      </c>
      <c r="C75" s="18">
        <v>0</v>
      </c>
      <c r="D75" s="18">
        <v>0</v>
      </c>
      <c r="E75" s="18">
        <v>0</v>
      </c>
      <c r="F75" s="3">
        <v>0</v>
      </c>
      <c r="H75">
        <f t="shared" si="3"/>
        <v>13056</v>
      </c>
      <c r="I75" s="18">
        <v>0</v>
      </c>
      <c r="J75" s="18">
        <v>0</v>
      </c>
      <c r="K75" s="18">
        <v>0</v>
      </c>
      <c r="L75" s="18">
        <v>0</v>
      </c>
      <c r="M75" s="3">
        <v>0</v>
      </c>
    </row>
    <row r="76" spans="1:13" x14ac:dyDescent="0.25">
      <c r="A76">
        <f t="shared" si="2"/>
        <v>13056</v>
      </c>
      <c r="B76" s="18">
        <v>0</v>
      </c>
      <c r="C76" s="18">
        <v>0</v>
      </c>
      <c r="D76" s="18">
        <v>0</v>
      </c>
      <c r="E76" s="18">
        <v>0</v>
      </c>
      <c r="F76" s="3">
        <v>0</v>
      </c>
      <c r="H76">
        <f t="shared" si="3"/>
        <v>13056</v>
      </c>
      <c r="I76" s="18">
        <v>0</v>
      </c>
      <c r="J76" s="18">
        <v>0</v>
      </c>
      <c r="K76" s="18">
        <v>0</v>
      </c>
      <c r="L76" s="18">
        <v>0</v>
      </c>
      <c r="M76" s="3">
        <v>0</v>
      </c>
    </row>
    <row r="77" spans="1:13" x14ac:dyDescent="0.25">
      <c r="A77">
        <f t="shared" si="2"/>
        <v>13056</v>
      </c>
      <c r="B77" s="18">
        <v>0</v>
      </c>
      <c r="C77" s="18">
        <v>0</v>
      </c>
      <c r="D77" s="18">
        <v>0</v>
      </c>
      <c r="E77" s="18">
        <v>0</v>
      </c>
      <c r="F77" s="3">
        <v>0</v>
      </c>
      <c r="H77">
        <f t="shared" si="3"/>
        <v>13056</v>
      </c>
      <c r="I77" s="18">
        <v>0</v>
      </c>
      <c r="J77" s="18">
        <v>0</v>
      </c>
      <c r="K77" s="18">
        <v>0</v>
      </c>
      <c r="L77" s="18">
        <v>0</v>
      </c>
      <c r="M77" s="3">
        <v>0</v>
      </c>
    </row>
    <row r="78" spans="1:13" x14ac:dyDescent="0.25">
      <c r="A78">
        <f t="shared" si="2"/>
        <v>13056</v>
      </c>
      <c r="B78" s="18">
        <v>0</v>
      </c>
      <c r="C78" s="18">
        <v>0</v>
      </c>
      <c r="D78" s="18">
        <v>0</v>
      </c>
      <c r="E78" s="18">
        <v>0</v>
      </c>
      <c r="F78" s="3">
        <v>0</v>
      </c>
      <c r="H78">
        <f t="shared" si="3"/>
        <v>13056</v>
      </c>
      <c r="I78" s="18">
        <v>0</v>
      </c>
      <c r="J78" s="18">
        <v>0</v>
      </c>
      <c r="K78" s="18">
        <v>0</v>
      </c>
      <c r="L78" s="18">
        <v>0</v>
      </c>
      <c r="M78" s="3">
        <v>0</v>
      </c>
    </row>
    <row r="79" spans="1:13" x14ac:dyDescent="0.25">
      <c r="A79">
        <f t="shared" si="2"/>
        <v>13056</v>
      </c>
      <c r="B79" s="18">
        <v>0</v>
      </c>
      <c r="C79" s="18">
        <v>0</v>
      </c>
      <c r="D79" s="18">
        <v>0</v>
      </c>
      <c r="E79" s="18">
        <v>0</v>
      </c>
      <c r="F79" s="3">
        <v>0</v>
      </c>
      <c r="H79">
        <f t="shared" si="3"/>
        <v>13056</v>
      </c>
      <c r="I79" s="18">
        <v>0</v>
      </c>
      <c r="J79" s="18">
        <v>0</v>
      </c>
      <c r="K79" s="18">
        <v>0</v>
      </c>
      <c r="L79" s="18">
        <v>0</v>
      </c>
      <c r="M79" s="3">
        <v>0</v>
      </c>
    </row>
    <row r="80" spans="1:13" x14ac:dyDescent="0.25">
      <c r="A80">
        <f t="shared" si="2"/>
        <v>13056</v>
      </c>
      <c r="B80" s="18">
        <v>0</v>
      </c>
      <c r="C80" s="18">
        <v>0</v>
      </c>
      <c r="D80" s="18">
        <v>0</v>
      </c>
      <c r="E80" s="18">
        <v>0</v>
      </c>
      <c r="F80" s="3">
        <v>0</v>
      </c>
      <c r="H80">
        <f t="shared" si="3"/>
        <v>13056</v>
      </c>
      <c r="I80" s="18">
        <v>0</v>
      </c>
      <c r="J80" s="18">
        <v>0</v>
      </c>
      <c r="K80" s="18">
        <v>0</v>
      </c>
      <c r="L80" s="18">
        <v>0</v>
      </c>
      <c r="M80" s="3">
        <v>0</v>
      </c>
    </row>
    <row r="81" spans="1:13" x14ac:dyDescent="0.25">
      <c r="A81">
        <f t="shared" si="2"/>
        <v>13056</v>
      </c>
      <c r="B81" s="18">
        <v>0</v>
      </c>
      <c r="C81" s="18">
        <v>0</v>
      </c>
      <c r="D81" s="18">
        <v>0</v>
      </c>
      <c r="E81" s="18">
        <v>0</v>
      </c>
      <c r="F81" s="3">
        <v>0</v>
      </c>
      <c r="H81">
        <f t="shared" si="3"/>
        <v>13056</v>
      </c>
      <c r="I81" s="18">
        <v>0</v>
      </c>
      <c r="J81" s="18">
        <v>0</v>
      </c>
      <c r="K81" s="18">
        <v>0</v>
      </c>
      <c r="L81" s="18">
        <v>0</v>
      </c>
      <c r="M81" s="3">
        <v>0</v>
      </c>
    </row>
    <row r="82" spans="1:13" x14ac:dyDescent="0.25">
      <c r="A82">
        <f t="shared" si="2"/>
        <v>13056</v>
      </c>
      <c r="B82" s="18">
        <v>0</v>
      </c>
      <c r="C82" s="18">
        <v>0</v>
      </c>
      <c r="D82" s="18">
        <v>0</v>
      </c>
      <c r="E82" s="18">
        <v>0</v>
      </c>
      <c r="F82" s="3">
        <v>0</v>
      </c>
      <c r="H82">
        <f t="shared" si="3"/>
        <v>13056</v>
      </c>
      <c r="I82" s="18">
        <v>0</v>
      </c>
      <c r="J82" s="18">
        <v>0</v>
      </c>
      <c r="K82" s="18">
        <v>0</v>
      </c>
      <c r="L82" s="18">
        <v>0</v>
      </c>
      <c r="M82" s="3">
        <v>0</v>
      </c>
    </row>
    <row r="83" spans="1:13" x14ac:dyDescent="0.25">
      <c r="A83">
        <f t="shared" si="2"/>
        <v>13056</v>
      </c>
      <c r="B83" s="18">
        <v>0</v>
      </c>
      <c r="C83" s="18">
        <v>0</v>
      </c>
      <c r="D83" s="18">
        <v>0</v>
      </c>
      <c r="E83" s="18">
        <v>0</v>
      </c>
      <c r="F83" s="3">
        <v>0</v>
      </c>
      <c r="H83">
        <f t="shared" si="3"/>
        <v>13056</v>
      </c>
      <c r="I83" s="18">
        <v>0</v>
      </c>
      <c r="J83" s="18">
        <v>0</v>
      </c>
      <c r="K83" s="18">
        <v>0</v>
      </c>
      <c r="L83" s="18">
        <v>0</v>
      </c>
      <c r="M83" s="3">
        <v>0</v>
      </c>
    </row>
    <row r="84" spans="1:13" x14ac:dyDescent="0.25">
      <c r="A84">
        <f t="shared" si="2"/>
        <v>13056</v>
      </c>
      <c r="B84" s="18">
        <v>0</v>
      </c>
      <c r="C84" s="18">
        <v>0</v>
      </c>
      <c r="D84" s="18">
        <v>0</v>
      </c>
      <c r="E84" s="18">
        <v>0</v>
      </c>
      <c r="F84" s="3">
        <v>0</v>
      </c>
      <c r="H84">
        <f t="shared" si="3"/>
        <v>13056</v>
      </c>
      <c r="I84" s="18">
        <v>0</v>
      </c>
      <c r="J84" s="18">
        <v>0</v>
      </c>
      <c r="K84" s="18">
        <v>0</v>
      </c>
      <c r="L84" s="18">
        <v>0</v>
      </c>
      <c r="M84" s="3">
        <v>0</v>
      </c>
    </row>
    <row r="85" spans="1:13" x14ac:dyDescent="0.25">
      <c r="A85">
        <f t="shared" si="2"/>
        <v>13056</v>
      </c>
      <c r="B85" s="18">
        <v>0</v>
      </c>
      <c r="C85" s="18">
        <v>0</v>
      </c>
      <c r="D85" s="18">
        <v>0</v>
      </c>
      <c r="E85" s="18">
        <v>0</v>
      </c>
      <c r="F85" s="3">
        <v>0</v>
      </c>
      <c r="H85">
        <f t="shared" si="3"/>
        <v>13056</v>
      </c>
      <c r="I85" s="18">
        <v>0</v>
      </c>
      <c r="J85" s="18">
        <v>0</v>
      </c>
      <c r="K85" s="18">
        <v>0</v>
      </c>
      <c r="L85" s="18">
        <v>0</v>
      </c>
      <c r="M85" s="3">
        <v>0</v>
      </c>
    </row>
    <row r="86" spans="1:13" x14ac:dyDescent="0.25">
      <c r="A86">
        <f t="shared" si="2"/>
        <v>13056</v>
      </c>
      <c r="B86" s="18">
        <v>0</v>
      </c>
      <c r="C86" s="18">
        <v>0</v>
      </c>
      <c r="D86" s="18">
        <v>0</v>
      </c>
      <c r="E86" s="18">
        <v>0</v>
      </c>
      <c r="F86" s="3">
        <v>0</v>
      </c>
      <c r="H86">
        <f t="shared" si="3"/>
        <v>13056</v>
      </c>
      <c r="I86" s="18">
        <v>0</v>
      </c>
      <c r="J86" s="18">
        <v>0</v>
      </c>
      <c r="K86" s="18">
        <v>0</v>
      </c>
      <c r="L86" s="18">
        <v>0</v>
      </c>
      <c r="M86" s="3">
        <v>0</v>
      </c>
    </row>
    <row r="87" spans="1:13" x14ac:dyDescent="0.25">
      <c r="A87">
        <f t="shared" si="2"/>
        <v>13056</v>
      </c>
      <c r="B87" s="18">
        <v>0</v>
      </c>
      <c r="C87" s="18">
        <v>0</v>
      </c>
      <c r="D87" s="18">
        <v>0</v>
      </c>
      <c r="E87" s="18">
        <v>0</v>
      </c>
      <c r="F87" s="3">
        <v>0</v>
      </c>
      <c r="H87">
        <f t="shared" si="3"/>
        <v>13056</v>
      </c>
      <c r="I87" s="18">
        <v>0</v>
      </c>
      <c r="J87" s="18">
        <v>0</v>
      </c>
      <c r="K87" s="18">
        <v>0</v>
      </c>
      <c r="L87" s="18">
        <v>0</v>
      </c>
      <c r="M87" s="3">
        <v>0</v>
      </c>
    </row>
    <row r="88" spans="1:13" x14ac:dyDescent="0.25">
      <c r="A88">
        <f t="shared" si="2"/>
        <v>13056</v>
      </c>
      <c r="B88" s="18">
        <v>0</v>
      </c>
      <c r="C88" s="18">
        <v>0</v>
      </c>
      <c r="D88" s="18">
        <v>0</v>
      </c>
      <c r="E88" s="18">
        <v>0</v>
      </c>
      <c r="F88" s="3">
        <v>0</v>
      </c>
      <c r="H88">
        <f t="shared" si="3"/>
        <v>13056</v>
      </c>
      <c r="I88" s="18">
        <v>0</v>
      </c>
      <c r="J88" s="18">
        <v>0</v>
      </c>
      <c r="K88" s="18">
        <v>0</v>
      </c>
      <c r="L88" s="18">
        <v>0</v>
      </c>
      <c r="M88" s="3">
        <v>0</v>
      </c>
    </row>
    <row r="89" spans="1:13" x14ac:dyDescent="0.25">
      <c r="A89">
        <f t="shared" si="2"/>
        <v>13056</v>
      </c>
      <c r="B89" s="18">
        <v>0</v>
      </c>
      <c r="C89" s="18">
        <v>0</v>
      </c>
      <c r="D89" s="18">
        <v>0</v>
      </c>
      <c r="E89" s="18">
        <v>0</v>
      </c>
      <c r="F89" s="3">
        <v>0</v>
      </c>
      <c r="H89">
        <f t="shared" si="3"/>
        <v>13056</v>
      </c>
      <c r="I89" s="18">
        <v>0</v>
      </c>
      <c r="J89" s="18">
        <v>0</v>
      </c>
      <c r="K89" s="18">
        <v>0</v>
      </c>
      <c r="L89" s="18">
        <v>0</v>
      </c>
      <c r="M89" s="3">
        <v>0</v>
      </c>
    </row>
    <row r="90" spans="1:13" x14ac:dyDescent="0.25">
      <c r="A90">
        <f t="shared" si="2"/>
        <v>13056</v>
      </c>
      <c r="B90" s="18">
        <v>0</v>
      </c>
      <c r="C90" s="18">
        <v>0</v>
      </c>
      <c r="D90" s="18">
        <v>0</v>
      </c>
      <c r="E90" s="18">
        <v>0</v>
      </c>
      <c r="F90" s="3">
        <v>0</v>
      </c>
      <c r="H90">
        <f t="shared" si="3"/>
        <v>13056</v>
      </c>
      <c r="I90" s="18">
        <v>0</v>
      </c>
      <c r="J90" s="18">
        <v>0</v>
      </c>
      <c r="K90" s="18">
        <v>0</v>
      </c>
      <c r="L90" s="18">
        <v>0</v>
      </c>
      <c r="M90" s="3">
        <v>0</v>
      </c>
    </row>
    <row r="91" spans="1:13" x14ac:dyDescent="0.25">
      <c r="A91">
        <f t="shared" si="2"/>
        <v>13056</v>
      </c>
      <c r="B91" s="18">
        <v>0</v>
      </c>
      <c r="C91" s="18">
        <v>0</v>
      </c>
      <c r="D91" s="18">
        <v>0</v>
      </c>
      <c r="E91" s="18">
        <v>0</v>
      </c>
      <c r="F91" s="3">
        <v>0</v>
      </c>
      <c r="H91">
        <f t="shared" si="3"/>
        <v>13056</v>
      </c>
      <c r="I91" s="18">
        <v>0</v>
      </c>
      <c r="J91" s="18">
        <v>0</v>
      </c>
      <c r="K91" s="18">
        <v>0</v>
      </c>
      <c r="L91" s="18">
        <v>0</v>
      </c>
      <c r="M91" s="3">
        <v>0</v>
      </c>
    </row>
    <row r="92" spans="1:13" x14ac:dyDescent="0.25">
      <c r="A92">
        <f t="shared" si="2"/>
        <v>13056</v>
      </c>
      <c r="B92" s="18">
        <v>0</v>
      </c>
      <c r="C92" s="18">
        <v>0</v>
      </c>
      <c r="D92" s="18">
        <v>0</v>
      </c>
      <c r="E92" s="18">
        <v>0</v>
      </c>
      <c r="F92" s="3">
        <v>0</v>
      </c>
      <c r="H92">
        <f t="shared" si="3"/>
        <v>13056</v>
      </c>
      <c r="I92" s="18">
        <v>0</v>
      </c>
      <c r="J92" s="18">
        <v>0</v>
      </c>
      <c r="K92" s="18">
        <v>0</v>
      </c>
      <c r="L92" s="18">
        <v>0</v>
      </c>
      <c r="M92" s="3">
        <v>0</v>
      </c>
    </row>
    <row r="93" spans="1:13" x14ac:dyDescent="0.25">
      <c r="A93">
        <f t="shared" si="2"/>
        <v>13056</v>
      </c>
      <c r="B93" s="18">
        <v>0</v>
      </c>
      <c r="C93" s="18">
        <v>0</v>
      </c>
      <c r="D93" s="18">
        <v>0</v>
      </c>
      <c r="E93" s="18">
        <v>0</v>
      </c>
      <c r="F93" s="3">
        <v>0</v>
      </c>
      <c r="H93">
        <f t="shared" si="3"/>
        <v>13056</v>
      </c>
      <c r="I93" s="18">
        <v>0</v>
      </c>
      <c r="J93" s="18">
        <v>0</v>
      </c>
      <c r="K93" s="18">
        <v>0</v>
      </c>
      <c r="L93" s="18">
        <v>0</v>
      </c>
      <c r="M93" s="3">
        <v>0</v>
      </c>
    </row>
    <row r="94" spans="1:13" x14ac:dyDescent="0.25">
      <c r="A94">
        <f t="shared" si="2"/>
        <v>13056</v>
      </c>
      <c r="B94" s="18">
        <v>0</v>
      </c>
      <c r="C94" s="18">
        <v>0</v>
      </c>
      <c r="D94" s="18">
        <v>0</v>
      </c>
      <c r="E94" s="18">
        <v>0</v>
      </c>
      <c r="F94" s="3">
        <v>0</v>
      </c>
      <c r="H94">
        <f t="shared" si="3"/>
        <v>13056</v>
      </c>
      <c r="I94" s="18">
        <v>0</v>
      </c>
      <c r="J94" s="18">
        <v>0</v>
      </c>
      <c r="K94" s="18">
        <v>0</v>
      </c>
      <c r="L94" s="18">
        <v>0</v>
      </c>
      <c r="M94" s="3">
        <v>0</v>
      </c>
    </row>
    <row r="95" spans="1:13" x14ac:dyDescent="0.25">
      <c r="A95">
        <f t="shared" si="2"/>
        <v>13056</v>
      </c>
      <c r="B95" s="18">
        <v>0</v>
      </c>
      <c r="C95" s="18">
        <v>0</v>
      </c>
      <c r="D95" s="18">
        <v>0</v>
      </c>
      <c r="E95" s="18">
        <v>0</v>
      </c>
      <c r="F95" s="3">
        <v>0</v>
      </c>
      <c r="H95">
        <f t="shared" si="3"/>
        <v>13056</v>
      </c>
      <c r="I95" s="18">
        <v>0</v>
      </c>
      <c r="J95" s="18">
        <v>0</v>
      </c>
      <c r="K95" s="18">
        <v>0</v>
      </c>
      <c r="L95" s="18">
        <v>0</v>
      </c>
      <c r="M95" s="3">
        <v>0</v>
      </c>
    </row>
    <row r="96" spans="1:13" x14ac:dyDescent="0.25">
      <c r="A96">
        <f t="shared" si="2"/>
        <v>13056</v>
      </c>
      <c r="B96" s="18">
        <v>0</v>
      </c>
      <c r="C96" s="18">
        <v>0</v>
      </c>
      <c r="D96" s="18">
        <v>0</v>
      </c>
      <c r="E96" s="18">
        <v>0</v>
      </c>
      <c r="F96" s="3">
        <v>0</v>
      </c>
      <c r="H96">
        <f t="shared" si="3"/>
        <v>13056</v>
      </c>
      <c r="I96" s="18">
        <v>0</v>
      </c>
      <c r="J96" s="18">
        <v>0</v>
      </c>
      <c r="K96" s="18">
        <v>0</v>
      </c>
      <c r="L96" s="18">
        <v>0</v>
      </c>
      <c r="M96" s="3">
        <v>0</v>
      </c>
    </row>
    <row r="97" spans="1:13" x14ac:dyDescent="0.25">
      <c r="A97">
        <f t="shared" si="2"/>
        <v>13056</v>
      </c>
      <c r="B97" s="18">
        <v>0</v>
      </c>
      <c r="C97" s="18">
        <v>0</v>
      </c>
      <c r="D97" s="18">
        <v>0</v>
      </c>
      <c r="E97" s="18">
        <v>0</v>
      </c>
      <c r="F97" s="3">
        <v>0</v>
      </c>
      <c r="H97">
        <f t="shared" si="3"/>
        <v>13056</v>
      </c>
      <c r="I97" s="18">
        <v>0</v>
      </c>
      <c r="J97" s="18">
        <v>0</v>
      </c>
      <c r="K97" s="18">
        <v>0</v>
      </c>
      <c r="L97" s="18">
        <v>0</v>
      </c>
      <c r="M97" s="3">
        <v>0</v>
      </c>
    </row>
    <row r="98" spans="1:13" x14ac:dyDescent="0.25">
      <c r="A98">
        <f t="shared" si="2"/>
        <v>13056</v>
      </c>
      <c r="B98" s="18">
        <v>0</v>
      </c>
      <c r="C98" s="18">
        <v>0</v>
      </c>
      <c r="D98" s="18">
        <v>0</v>
      </c>
      <c r="E98" s="18">
        <v>0</v>
      </c>
      <c r="F98" s="3">
        <v>0</v>
      </c>
      <c r="H98">
        <f t="shared" si="3"/>
        <v>13056</v>
      </c>
      <c r="I98" s="18">
        <v>0</v>
      </c>
      <c r="J98" s="18">
        <v>0</v>
      </c>
      <c r="K98" s="18">
        <v>0</v>
      </c>
      <c r="L98" s="18">
        <v>0</v>
      </c>
      <c r="M98" s="3">
        <v>0</v>
      </c>
    </row>
    <row r="99" spans="1:13" x14ac:dyDescent="0.25">
      <c r="A99">
        <f t="shared" si="2"/>
        <v>13056</v>
      </c>
      <c r="B99" s="18">
        <v>0</v>
      </c>
      <c r="C99" s="18">
        <v>0</v>
      </c>
      <c r="D99" s="18">
        <v>0</v>
      </c>
      <c r="E99" s="18">
        <v>0</v>
      </c>
      <c r="F99" s="3">
        <v>0</v>
      </c>
      <c r="H99">
        <f t="shared" si="3"/>
        <v>13056</v>
      </c>
      <c r="I99" s="18">
        <v>0</v>
      </c>
      <c r="J99" s="18">
        <v>0</v>
      </c>
      <c r="K99" s="18">
        <v>0</v>
      </c>
      <c r="L99" s="18">
        <v>0</v>
      </c>
      <c r="M99" s="3">
        <v>0</v>
      </c>
    </row>
    <row r="100" spans="1:13" x14ac:dyDescent="0.25">
      <c r="A100">
        <f t="shared" si="2"/>
        <v>13056</v>
      </c>
      <c r="B100" s="18">
        <v>0</v>
      </c>
      <c r="C100" s="18">
        <v>0</v>
      </c>
      <c r="D100" s="18">
        <v>0</v>
      </c>
      <c r="E100" s="18">
        <v>0</v>
      </c>
      <c r="F100" s="3">
        <v>0</v>
      </c>
      <c r="H100">
        <f t="shared" si="3"/>
        <v>13056</v>
      </c>
      <c r="I100" s="18">
        <v>0</v>
      </c>
      <c r="J100" s="18">
        <v>0</v>
      </c>
      <c r="K100" s="18">
        <v>0</v>
      </c>
      <c r="L100" s="18">
        <v>0</v>
      </c>
      <c r="M100" s="3">
        <v>0</v>
      </c>
    </row>
    <row r="101" spans="1:13" x14ac:dyDescent="0.25">
      <c r="A101">
        <f t="shared" si="2"/>
        <v>13056</v>
      </c>
      <c r="B101" s="18">
        <v>0</v>
      </c>
      <c r="C101" s="18">
        <v>0</v>
      </c>
      <c r="D101" s="18">
        <v>0</v>
      </c>
      <c r="E101" s="18">
        <v>0</v>
      </c>
      <c r="F101" s="3">
        <v>0</v>
      </c>
      <c r="H101">
        <f t="shared" si="3"/>
        <v>13056</v>
      </c>
      <c r="I101" s="18">
        <v>0</v>
      </c>
      <c r="J101" s="18">
        <v>0</v>
      </c>
      <c r="K101" s="18">
        <v>0</v>
      </c>
      <c r="L101" s="18">
        <v>0</v>
      </c>
      <c r="M101" s="3">
        <v>0</v>
      </c>
    </row>
    <row r="102" spans="1:13" x14ac:dyDescent="0.25">
      <c r="A102">
        <f t="shared" si="2"/>
        <v>13056</v>
      </c>
      <c r="B102" s="18">
        <v>0</v>
      </c>
      <c r="C102" s="18">
        <v>0</v>
      </c>
      <c r="D102" s="18">
        <v>0</v>
      </c>
      <c r="E102" s="18">
        <v>0</v>
      </c>
      <c r="F102" s="3">
        <v>0</v>
      </c>
      <c r="H102">
        <f t="shared" si="3"/>
        <v>13056</v>
      </c>
      <c r="I102" s="18">
        <v>0</v>
      </c>
      <c r="J102" s="18">
        <v>0</v>
      </c>
      <c r="K102" s="18">
        <v>0</v>
      </c>
      <c r="L102" s="18">
        <v>0</v>
      </c>
      <c r="M102" s="3">
        <v>0</v>
      </c>
    </row>
    <row r="103" spans="1:13" x14ac:dyDescent="0.25">
      <c r="A103">
        <f t="shared" si="2"/>
        <v>13056</v>
      </c>
      <c r="B103" s="18">
        <v>0</v>
      </c>
      <c r="C103" s="18">
        <v>0</v>
      </c>
      <c r="D103" s="18">
        <v>0</v>
      </c>
      <c r="E103" s="18">
        <v>0</v>
      </c>
      <c r="F103" s="3">
        <v>0</v>
      </c>
      <c r="H103">
        <f t="shared" si="3"/>
        <v>13056</v>
      </c>
      <c r="I103" s="18">
        <v>0</v>
      </c>
      <c r="J103" s="18">
        <v>0</v>
      </c>
      <c r="K103" s="18">
        <v>0</v>
      </c>
      <c r="L103" s="18">
        <v>0</v>
      </c>
      <c r="M103" s="3">
        <v>0</v>
      </c>
    </row>
    <row r="104" spans="1:13" x14ac:dyDescent="0.25">
      <c r="A104">
        <f t="shared" si="2"/>
        <v>13056</v>
      </c>
      <c r="B104" s="18">
        <v>0</v>
      </c>
      <c r="C104" s="18">
        <v>0</v>
      </c>
      <c r="D104" s="18">
        <v>0</v>
      </c>
      <c r="E104" s="18">
        <v>0</v>
      </c>
      <c r="F104" s="3">
        <v>0</v>
      </c>
      <c r="H104">
        <f t="shared" si="3"/>
        <v>13056</v>
      </c>
      <c r="I104" s="18">
        <v>0</v>
      </c>
      <c r="J104" s="18">
        <v>0</v>
      </c>
      <c r="K104" s="18">
        <v>0</v>
      </c>
      <c r="L104" s="18">
        <v>0</v>
      </c>
      <c r="M104" s="3">
        <v>0</v>
      </c>
    </row>
    <row r="105" spans="1:13" x14ac:dyDescent="0.25">
      <c r="A105">
        <f t="shared" si="2"/>
        <v>13056</v>
      </c>
      <c r="B105" s="18">
        <v>0</v>
      </c>
      <c r="C105" s="18">
        <v>0</v>
      </c>
      <c r="D105" s="18">
        <v>0</v>
      </c>
      <c r="E105" s="18">
        <v>0</v>
      </c>
      <c r="F105" s="3">
        <v>0</v>
      </c>
      <c r="H105">
        <f t="shared" si="3"/>
        <v>13056</v>
      </c>
      <c r="I105" s="18">
        <v>0</v>
      </c>
      <c r="J105" s="18">
        <v>0</v>
      </c>
      <c r="K105" s="18">
        <v>0</v>
      </c>
      <c r="L105" s="18">
        <v>0</v>
      </c>
      <c r="M105" s="3">
        <v>0</v>
      </c>
    </row>
    <row r="106" spans="1:13" x14ac:dyDescent="0.25">
      <c r="A106">
        <f t="shared" si="2"/>
        <v>13056</v>
      </c>
      <c r="B106" s="18">
        <v>0</v>
      </c>
      <c r="C106" s="18">
        <v>0</v>
      </c>
      <c r="D106" s="18">
        <v>0</v>
      </c>
      <c r="E106" s="18">
        <v>0</v>
      </c>
      <c r="F106" s="3">
        <v>0</v>
      </c>
      <c r="H106">
        <f t="shared" si="3"/>
        <v>13056</v>
      </c>
      <c r="I106" s="18">
        <v>0</v>
      </c>
      <c r="J106" s="18">
        <v>0</v>
      </c>
      <c r="K106" s="18">
        <v>0</v>
      </c>
      <c r="L106" s="18">
        <v>0</v>
      </c>
      <c r="M106" s="3">
        <v>0</v>
      </c>
    </row>
    <row r="107" spans="1:13" x14ac:dyDescent="0.25">
      <c r="A107">
        <f t="shared" si="2"/>
        <v>13056</v>
      </c>
      <c r="B107" s="18">
        <v>0</v>
      </c>
      <c r="C107" s="18">
        <v>0</v>
      </c>
      <c r="D107" s="18">
        <v>0</v>
      </c>
      <c r="E107" s="18">
        <v>0</v>
      </c>
      <c r="F107" s="3">
        <v>0</v>
      </c>
      <c r="H107">
        <f t="shared" si="3"/>
        <v>13056</v>
      </c>
      <c r="I107" s="18">
        <v>0</v>
      </c>
      <c r="J107" s="18">
        <v>0</v>
      </c>
      <c r="K107" s="18">
        <v>0</v>
      </c>
      <c r="L107" s="18">
        <v>0</v>
      </c>
      <c r="M107" s="3">
        <v>0</v>
      </c>
    </row>
    <row r="108" spans="1:13" x14ac:dyDescent="0.25">
      <c r="A108">
        <f t="shared" si="2"/>
        <v>13056</v>
      </c>
      <c r="B108" s="18">
        <v>0</v>
      </c>
      <c r="C108" s="18">
        <v>0</v>
      </c>
      <c r="D108" s="18">
        <v>0</v>
      </c>
      <c r="E108" s="18">
        <v>0</v>
      </c>
      <c r="F108" s="3">
        <v>0</v>
      </c>
      <c r="H108">
        <f t="shared" si="3"/>
        <v>13056</v>
      </c>
      <c r="I108" s="18">
        <v>0</v>
      </c>
      <c r="J108" s="18">
        <v>0</v>
      </c>
      <c r="K108" s="18">
        <v>0</v>
      </c>
      <c r="L108" s="18">
        <v>0</v>
      </c>
      <c r="M108" s="3">
        <v>0</v>
      </c>
    </row>
    <row r="109" spans="1:13" x14ac:dyDescent="0.25">
      <c r="A109">
        <f t="shared" si="2"/>
        <v>13056</v>
      </c>
      <c r="B109" s="18">
        <v>0</v>
      </c>
      <c r="C109" s="18">
        <v>0</v>
      </c>
      <c r="D109" s="18">
        <v>0</v>
      </c>
      <c r="E109" s="18">
        <v>0</v>
      </c>
      <c r="F109" s="3">
        <v>0</v>
      </c>
      <c r="H109">
        <f t="shared" si="3"/>
        <v>13056</v>
      </c>
      <c r="I109" s="18">
        <v>0</v>
      </c>
      <c r="J109" s="18">
        <v>0</v>
      </c>
      <c r="K109" s="18">
        <v>0</v>
      </c>
      <c r="L109" s="18">
        <v>0</v>
      </c>
      <c r="M109" s="3">
        <v>0</v>
      </c>
    </row>
    <row r="110" spans="1:13" x14ac:dyDescent="0.25">
      <c r="A110">
        <f t="shared" si="2"/>
        <v>13056</v>
      </c>
      <c r="B110" s="18">
        <v>0</v>
      </c>
      <c r="C110" s="18">
        <v>0</v>
      </c>
      <c r="D110" s="18">
        <v>0</v>
      </c>
      <c r="E110" s="18">
        <v>0</v>
      </c>
      <c r="F110" s="3">
        <v>0</v>
      </c>
      <c r="H110">
        <f t="shared" si="3"/>
        <v>13056</v>
      </c>
      <c r="I110" s="18">
        <v>0</v>
      </c>
      <c r="J110" s="18">
        <v>0</v>
      </c>
      <c r="K110" s="18">
        <v>0</v>
      </c>
      <c r="L110" s="18">
        <v>0</v>
      </c>
      <c r="M110" s="3">
        <v>0</v>
      </c>
    </row>
    <row r="111" spans="1:13" x14ac:dyDescent="0.25">
      <c r="A111">
        <f t="shared" si="2"/>
        <v>13056</v>
      </c>
      <c r="B111" s="18">
        <v>0</v>
      </c>
      <c r="C111" s="18">
        <v>0</v>
      </c>
      <c r="D111" s="18">
        <v>0</v>
      </c>
      <c r="E111" s="18">
        <v>0</v>
      </c>
      <c r="F111" s="3">
        <v>0</v>
      </c>
      <c r="H111">
        <f t="shared" si="3"/>
        <v>13056</v>
      </c>
      <c r="I111" s="18">
        <v>0</v>
      </c>
      <c r="J111" s="18">
        <v>0</v>
      </c>
      <c r="K111" s="18">
        <v>0</v>
      </c>
      <c r="L111" s="18">
        <v>0</v>
      </c>
      <c r="M111" s="3">
        <v>0</v>
      </c>
    </row>
    <row r="112" spans="1:13" x14ac:dyDescent="0.25">
      <c r="A112">
        <f t="shared" si="2"/>
        <v>13056</v>
      </c>
      <c r="B112" s="18">
        <v>0</v>
      </c>
      <c r="C112" s="18">
        <v>0</v>
      </c>
      <c r="D112" s="18">
        <v>0</v>
      </c>
      <c r="E112" s="18">
        <v>0</v>
      </c>
      <c r="F112" s="3">
        <v>0</v>
      </c>
      <c r="H112">
        <f t="shared" si="3"/>
        <v>13056</v>
      </c>
      <c r="I112" s="18">
        <v>0</v>
      </c>
      <c r="J112" s="18">
        <v>0</v>
      </c>
      <c r="K112" s="18">
        <v>0</v>
      </c>
      <c r="L112" s="18">
        <v>0</v>
      </c>
      <c r="M112" s="3">
        <v>0</v>
      </c>
    </row>
    <row r="113" spans="1:13" x14ac:dyDescent="0.25">
      <c r="A113">
        <f t="shared" si="2"/>
        <v>13056</v>
      </c>
      <c r="B113" s="18">
        <v>0</v>
      </c>
      <c r="C113" s="18">
        <v>0</v>
      </c>
      <c r="D113" s="18">
        <v>0</v>
      </c>
      <c r="E113" s="18">
        <v>0</v>
      </c>
      <c r="F113" s="3">
        <v>0</v>
      </c>
      <c r="H113">
        <f t="shared" si="3"/>
        <v>13056</v>
      </c>
      <c r="I113" s="18">
        <v>0</v>
      </c>
      <c r="J113" s="18">
        <v>0</v>
      </c>
      <c r="K113" s="18">
        <v>0</v>
      </c>
      <c r="L113" s="18">
        <v>0</v>
      </c>
      <c r="M113" s="3">
        <v>0</v>
      </c>
    </row>
    <row r="114" spans="1:13" x14ac:dyDescent="0.25">
      <c r="A114">
        <f t="shared" si="2"/>
        <v>13056</v>
      </c>
      <c r="B114" s="18">
        <v>0</v>
      </c>
      <c r="C114" s="18">
        <v>0</v>
      </c>
      <c r="D114" s="18">
        <v>0</v>
      </c>
      <c r="E114" s="18">
        <v>0</v>
      </c>
      <c r="F114" s="3">
        <v>0</v>
      </c>
      <c r="H114">
        <f t="shared" si="3"/>
        <v>13056</v>
      </c>
      <c r="I114" s="18">
        <v>0</v>
      </c>
      <c r="J114" s="18">
        <v>0</v>
      </c>
      <c r="K114" s="18">
        <v>0</v>
      </c>
      <c r="L114" s="18">
        <v>0</v>
      </c>
      <c r="M114" s="3">
        <v>0</v>
      </c>
    </row>
    <row r="115" spans="1:13" x14ac:dyDescent="0.25">
      <c r="A115">
        <f t="shared" si="2"/>
        <v>13056</v>
      </c>
      <c r="B115" s="18">
        <v>0</v>
      </c>
      <c r="C115" s="18">
        <v>0</v>
      </c>
      <c r="D115" s="18">
        <v>0</v>
      </c>
      <c r="E115" s="18">
        <v>0</v>
      </c>
      <c r="F115" s="3">
        <v>0</v>
      </c>
      <c r="H115">
        <f t="shared" si="3"/>
        <v>13056</v>
      </c>
      <c r="I115" s="18">
        <v>0</v>
      </c>
      <c r="J115" s="18">
        <v>0</v>
      </c>
      <c r="K115" s="18">
        <v>0</v>
      </c>
      <c r="L115" s="18">
        <v>0</v>
      </c>
      <c r="M115" s="3">
        <v>0</v>
      </c>
    </row>
    <row r="116" spans="1:13" x14ac:dyDescent="0.25">
      <c r="A116">
        <f t="shared" si="2"/>
        <v>13056</v>
      </c>
      <c r="B116" s="18">
        <v>0</v>
      </c>
      <c r="C116" s="18">
        <v>0</v>
      </c>
      <c r="D116" s="18">
        <v>0</v>
      </c>
      <c r="E116" s="18">
        <v>0</v>
      </c>
      <c r="F116" s="3">
        <v>0</v>
      </c>
      <c r="H116">
        <f t="shared" si="3"/>
        <v>13056</v>
      </c>
      <c r="I116" s="18">
        <v>0</v>
      </c>
      <c r="J116" s="18">
        <v>0</v>
      </c>
      <c r="K116" s="18">
        <v>0</v>
      </c>
      <c r="L116" s="18">
        <v>0</v>
      </c>
      <c r="M116" s="3">
        <v>0</v>
      </c>
    </row>
    <row r="117" spans="1:13" x14ac:dyDescent="0.25">
      <c r="A117">
        <f t="shared" si="2"/>
        <v>13056</v>
      </c>
      <c r="B117" s="18">
        <v>0</v>
      </c>
      <c r="C117" s="18">
        <v>0</v>
      </c>
      <c r="D117" s="18">
        <v>0</v>
      </c>
      <c r="E117" s="18">
        <v>0</v>
      </c>
      <c r="F117" s="3">
        <v>0</v>
      </c>
      <c r="H117">
        <f t="shared" si="3"/>
        <v>13056</v>
      </c>
      <c r="I117" s="18">
        <v>0</v>
      </c>
      <c r="J117" s="18">
        <v>0</v>
      </c>
      <c r="K117" s="18">
        <v>0</v>
      </c>
      <c r="L117" s="18">
        <v>0</v>
      </c>
      <c r="M117" s="3">
        <v>0</v>
      </c>
    </row>
    <row r="118" spans="1:13" x14ac:dyDescent="0.25">
      <c r="A118">
        <f t="shared" si="2"/>
        <v>13056</v>
      </c>
      <c r="B118" s="18">
        <v>0</v>
      </c>
      <c r="C118" s="18">
        <v>0</v>
      </c>
      <c r="D118" s="18">
        <v>0</v>
      </c>
      <c r="E118" s="18">
        <v>0</v>
      </c>
      <c r="F118" s="3">
        <v>0</v>
      </c>
      <c r="H118">
        <f t="shared" si="3"/>
        <v>13056</v>
      </c>
      <c r="I118" s="18">
        <v>0</v>
      </c>
      <c r="J118" s="18">
        <v>0</v>
      </c>
      <c r="K118" s="18">
        <v>0</v>
      </c>
      <c r="L118" s="18">
        <v>0</v>
      </c>
      <c r="M118" s="3">
        <v>0</v>
      </c>
    </row>
    <row r="119" spans="1:13" x14ac:dyDescent="0.25">
      <c r="A119">
        <f t="shared" si="2"/>
        <v>13056</v>
      </c>
      <c r="B119" s="18">
        <v>0</v>
      </c>
      <c r="C119" s="18">
        <v>0</v>
      </c>
      <c r="D119" s="18">
        <v>0</v>
      </c>
      <c r="E119" s="18">
        <v>0</v>
      </c>
      <c r="F119" s="3">
        <v>0</v>
      </c>
      <c r="H119">
        <f t="shared" si="3"/>
        <v>13056</v>
      </c>
      <c r="I119" s="18">
        <v>0</v>
      </c>
      <c r="J119" s="18">
        <v>0</v>
      </c>
      <c r="K119" s="18">
        <v>0</v>
      </c>
      <c r="L119" s="18">
        <v>0</v>
      </c>
      <c r="M119" s="3">
        <v>0</v>
      </c>
    </row>
    <row r="120" spans="1:13" x14ac:dyDescent="0.25">
      <c r="A120">
        <f t="shared" si="2"/>
        <v>13056</v>
      </c>
      <c r="B120" s="18">
        <v>0</v>
      </c>
      <c r="C120" s="18">
        <v>0</v>
      </c>
      <c r="D120" s="18">
        <v>0</v>
      </c>
      <c r="E120" s="18">
        <v>0</v>
      </c>
      <c r="F120" s="3">
        <v>0</v>
      </c>
      <c r="H120">
        <f t="shared" si="3"/>
        <v>13056</v>
      </c>
      <c r="I120" s="18">
        <v>0</v>
      </c>
      <c r="J120" s="18">
        <v>0</v>
      </c>
      <c r="K120" s="18">
        <v>0</v>
      </c>
      <c r="L120" s="18">
        <v>0</v>
      </c>
      <c r="M120" s="3">
        <v>0</v>
      </c>
    </row>
    <row r="121" spans="1:13" x14ac:dyDescent="0.25">
      <c r="A121">
        <f t="shared" si="2"/>
        <v>13056</v>
      </c>
      <c r="B121" s="18">
        <v>0</v>
      </c>
      <c r="C121" s="18">
        <v>0</v>
      </c>
      <c r="D121" s="18">
        <v>0</v>
      </c>
      <c r="E121" s="18">
        <v>0</v>
      </c>
      <c r="F121" s="3">
        <v>0</v>
      </c>
      <c r="H121">
        <f t="shared" si="3"/>
        <v>13056</v>
      </c>
      <c r="I121" s="18">
        <v>0</v>
      </c>
      <c r="J121" s="18">
        <v>0</v>
      </c>
      <c r="K121" s="18">
        <v>0</v>
      </c>
      <c r="L121" s="18">
        <v>0</v>
      </c>
      <c r="M121" s="3">
        <v>0</v>
      </c>
    </row>
    <row r="122" spans="1:13" x14ac:dyDescent="0.25">
      <c r="A122">
        <f t="shared" si="2"/>
        <v>13056</v>
      </c>
      <c r="B122" s="18">
        <v>0</v>
      </c>
      <c r="C122" s="18">
        <v>0</v>
      </c>
      <c r="D122" s="18">
        <v>0</v>
      </c>
      <c r="E122" s="18">
        <v>0</v>
      </c>
      <c r="F122" s="3">
        <v>0</v>
      </c>
      <c r="H122">
        <f t="shared" si="3"/>
        <v>13056</v>
      </c>
      <c r="I122" s="18">
        <v>0</v>
      </c>
      <c r="J122" s="18">
        <v>0</v>
      </c>
      <c r="K122" s="18">
        <v>0</v>
      </c>
      <c r="L122" s="18">
        <v>0</v>
      </c>
      <c r="M122" s="3">
        <v>0</v>
      </c>
    </row>
    <row r="123" spans="1:13" x14ac:dyDescent="0.25">
      <c r="A123">
        <f t="shared" si="2"/>
        <v>13056</v>
      </c>
      <c r="B123" s="18">
        <v>0</v>
      </c>
      <c r="C123" s="18">
        <v>0</v>
      </c>
      <c r="D123" s="18">
        <v>0</v>
      </c>
      <c r="E123" s="18">
        <v>0</v>
      </c>
      <c r="F123" s="3">
        <v>0</v>
      </c>
      <c r="H123">
        <f t="shared" si="3"/>
        <v>13056</v>
      </c>
      <c r="I123" s="18">
        <v>0</v>
      </c>
      <c r="J123" s="18">
        <v>0</v>
      </c>
      <c r="K123" s="18">
        <v>0</v>
      </c>
      <c r="L123" s="18">
        <v>0</v>
      </c>
      <c r="M123" s="3">
        <v>0</v>
      </c>
    </row>
    <row r="124" spans="1:13" x14ac:dyDescent="0.25">
      <c r="A124">
        <f t="shared" si="2"/>
        <v>13056</v>
      </c>
      <c r="B124" s="18">
        <v>0</v>
      </c>
      <c r="C124" s="18">
        <v>0</v>
      </c>
      <c r="D124" s="18">
        <v>0</v>
      </c>
      <c r="E124" s="18">
        <v>0</v>
      </c>
      <c r="F124" s="3">
        <v>0</v>
      </c>
      <c r="H124">
        <f t="shared" si="3"/>
        <v>13056</v>
      </c>
      <c r="I124" s="18">
        <v>0</v>
      </c>
      <c r="J124" s="18">
        <v>0</v>
      </c>
      <c r="K124" s="18">
        <v>0</v>
      </c>
      <c r="L124" s="18">
        <v>0</v>
      </c>
      <c r="M124" s="3">
        <v>0</v>
      </c>
    </row>
    <row r="125" spans="1:13" x14ac:dyDescent="0.25">
      <c r="A125">
        <f t="shared" si="2"/>
        <v>13056</v>
      </c>
      <c r="B125" s="18">
        <v>0</v>
      </c>
      <c r="C125" s="18">
        <v>0</v>
      </c>
      <c r="D125" s="18">
        <v>0</v>
      </c>
      <c r="E125" s="18">
        <v>0</v>
      </c>
      <c r="F125" s="3">
        <v>0</v>
      </c>
      <c r="H125">
        <f t="shared" si="3"/>
        <v>13056</v>
      </c>
      <c r="I125" s="18">
        <v>0</v>
      </c>
      <c r="J125" s="18">
        <v>0</v>
      </c>
      <c r="K125" s="18">
        <v>0</v>
      </c>
      <c r="L125" s="18">
        <v>0</v>
      </c>
      <c r="M125" s="3">
        <v>0</v>
      </c>
    </row>
    <row r="126" spans="1:13" x14ac:dyDescent="0.25">
      <c r="A126">
        <f t="shared" si="2"/>
        <v>13056</v>
      </c>
      <c r="B126" s="18">
        <v>0</v>
      </c>
      <c r="C126" s="18">
        <v>0</v>
      </c>
      <c r="D126" s="18">
        <v>0</v>
      </c>
      <c r="E126" s="18">
        <v>0</v>
      </c>
      <c r="F126" s="3">
        <v>0</v>
      </c>
      <c r="H126">
        <f t="shared" si="3"/>
        <v>13056</v>
      </c>
      <c r="I126" s="18">
        <v>0</v>
      </c>
      <c r="J126" s="18">
        <v>0</v>
      </c>
      <c r="K126" s="18">
        <v>0</v>
      </c>
      <c r="L126" s="18">
        <v>0</v>
      </c>
      <c r="M126" s="3">
        <v>0</v>
      </c>
    </row>
    <row r="127" spans="1:13" x14ac:dyDescent="0.25">
      <c r="A127">
        <f t="shared" si="2"/>
        <v>13056</v>
      </c>
      <c r="B127" s="18">
        <v>0</v>
      </c>
      <c r="C127" s="18">
        <v>0</v>
      </c>
      <c r="D127" s="18">
        <v>0</v>
      </c>
      <c r="E127" s="18">
        <v>0</v>
      </c>
      <c r="F127" s="3">
        <v>0</v>
      </c>
      <c r="H127">
        <f t="shared" si="3"/>
        <v>13056</v>
      </c>
      <c r="I127" s="18">
        <v>0</v>
      </c>
      <c r="J127" s="18">
        <v>0</v>
      </c>
      <c r="K127" s="18">
        <v>0</v>
      </c>
      <c r="L127" s="18">
        <v>0</v>
      </c>
      <c r="M127" s="3">
        <v>0</v>
      </c>
    </row>
    <row r="128" spans="1:13" x14ac:dyDescent="0.25">
      <c r="A128">
        <f t="shared" si="2"/>
        <v>13056</v>
      </c>
      <c r="B128" s="18">
        <v>0</v>
      </c>
      <c r="C128" s="18">
        <v>0</v>
      </c>
      <c r="D128" s="18">
        <v>0</v>
      </c>
      <c r="E128" s="18">
        <v>0</v>
      </c>
      <c r="F128" s="3">
        <v>0</v>
      </c>
      <c r="H128">
        <f t="shared" si="3"/>
        <v>13056</v>
      </c>
      <c r="I128" s="18">
        <v>0</v>
      </c>
      <c r="J128" s="18">
        <v>0</v>
      </c>
      <c r="K128" s="18">
        <v>0</v>
      </c>
      <c r="L128" s="18">
        <v>0</v>
      </c>
      <c r="M128" s="3">
        <v>0</v>
      </c>
    </row>
    <row r="129" spans="1:13" x14ac:dyDescent="0.25">
      <c r="A129">
        <f t="shared" si="2"/>
        <v>13056</v>
      </c>
      <c r="B129" s="18">
        <v>0</v>
      </c>
      <c r="C129" s="18">
        <v>0</v>
      </c>
      <c r="D129" s="18">
        <v>0</v>
      </c>
      <c r="E129" s="18">
        <v>0</v>
      </c>
      <c r="F129" s="3">
        <v>0</v>
      </c>
      <c r="H129">
        <f t="shared" si="3"/>
        <v>13056</v>
      </c>
      <c r="I129" s="18">
        <v>0</v>
      </c>
      <c r="J129" s="18">
        <v>0</v>
      </c>
      <c r="K129" s="18">
        <v>0</v>
      </c>
      <c r="L129" s="18">
        <v>0</v>
      </c>
      <c r="M129" s="3">
        <v>0</v>
      </c>
    </row>
    <row r="130" spans="1:13" x14ac:dyDescent="0.25">
      <c r="A130">
        <f t="shared" si="2"/>
        <v>13056</v>
      </c>
      <c r="B130" s="18">
        <v>0</v>
      </c>
      <c r="C130" s="18">
        <v>0</v>
      </c>
      <c r="D130" s="18">
        <v>0</v>
      </c>
      <c r="E130" s="18">
        <v>0</v>
      </c>
      <c r="F130" s="3">
        <v>0</v>
      </c>
      <c r="H130">
        <f t="shared" si="3"/>
        <v>13056</v>
      </c>
      <c r="I130" s="18">
        <v>0</v>
      </c>
      <c r="J130" s="18">
        <v>0</v>
      </c>
      <c r="K130" s="18">
        <v>0</v>
      </c>
      <c r="L130" s="18">
        <v>0</v>
      </c>
      <c r="M130" s="3">
        <v>0</v>
      </c>
    </row>
    <row r="131" spans="1:13" x14ac:dyDescent="0.25">
      <c r="A131">
        <f t="shared" si="2"/>
        <v>13056</v>
      </c>
      <c r="B131" s="18">
        <v>0</v>
      </c>
      <c r="C131" s="18">
        <v>0</v>
      </c>
      <c r="D131" s="18">
        <v>0</v>
      </c>
      <c r="E131" s="18">
        <v>0</v>
      </c>
      <c r="F131" s="3">
        <v>0</v>
      </c>
      <c r="H131">
        <f t="shared" si="3"/>
        <v>13056</v>
      </c>
      <c r="I131" s="18">
        <v>0</v>
      </c>
      <c r="J131" s="18">
        <v>0</v>
      </c>
      <c r="K131" s="18">
        <v>0</v>
      </c>
      <c r="L131" s="18">
        <v>0</v>
      </c>
      <c r="M131" s="3">
        <v>0</v>
      </c>
    </row>
    <row r="132" spans="1:13" x14ac:dyDescent="0.25">
      <c r="A132">
        <f t="shared" si="2"/>
        <v>13056</v>
      </c>
      <c r="B132" s="18">
        <v>0</v>
      </c>
      <c r="C132" s="18">
        <v>0</v>
      </c>
      <c r="D132" s="18">
        <v>0</v>
      </c>
      <c r="E132" s="18">
        <v>0</v>
      </c>
      <c r="F132" s="3">
        <v>0</v>
      </c>
      <c r="H132">
        <f t="shared" si="3"/>
        <v>13056</v>
      </c>
      <c r="I132" s="18">
        <v>0</v>
      </c>
      <c r="J132" s="18">
        <v>0</v>
      </c>
      <c r="K132" s="18">
        <v>0</v>
      </c>
      <c r="L132" s="18">
        <v>0</v>
      </c>
      <c r="M132" s="3">
        <v>0</v>
      </c>
    </row>
    <row r="133" spans="1:13" x14ac:dyDescent="0.25">
      <c r="A133">
        <f t="shared" ref="A133:A196" si="4">CHOOSE(IF(ABS(B133-13056)&lt;=ABS(B133-13824),IF(ABS(B133-13056)&lt;=ABS(B133-14592),1,3),IF(ABS(B133-13824)&lt;=ABS(B133-14592),2,3)),13056,13824,14592)</f>
        <v>13056</v>
      </c>
      <c r="B133" s="18">
        <v>0</v>
      </c>
      <c r="C133" s="18">
        <v>0</v>
      </c>
      <c r="D133" s="18">
        <v>0</v>
      </c>
      <c r="E133" s="18">
        <v>0</v>
      </c>
      <c r="F133" s="3">
        <v>0</v>
      </c>
      <c r="H133">
        <f t="shared" ref="H133:H196" si="5">CHOOSE(IF(ABS(I133-13056)&lt;=ABS(I133-13824),IF(ABS(I133-13056)&lt;=ABS(I133-14592),1,3),IF(ABS(I133-13824)&lt;=ABS(I133-14592),2,3)),13056,13824,14592)</f>
        <v>13056</v>
      </c>
      <c r="I133" s="18">
        <v>0</v>
      </c>
      <c r="J133" s="18">
        <v>0</v>
      </c>
      <c r="K133" s="18">
        <v>0</v>
      </c>
      <c r="L133" s="18">
        <v>0</v>
      </c>
      <c r="M133" s="3">
        <v>0</v>
      </c>
    </row>
    <row r="134" spans="1:13" x14ac:dyDescent="0.25">
      <c r="A134">
        <f t="shared" si="4"/>
        <v>13056</v>
      </c>
      <c r="B134" s="18">
        <v>0</v>
      </c>
      <c r="C134" s="18">
        <v>0</v>
      </c>
      <c r="D134" s="18">
        <v>0</v>
      </c>
      <c r="E134" s="18">
        <v>0</v>
      </c>
      <c r="F134" s="3">
        <v>0</v>
      </c>
      <c r="H134">
        <f t="shared" si="5"/>
        <v>13056</v>
      </c>
      <c r="I134" s="18">
        <v>0</v>
      </c>
      <c r="J134" s="18">
        <v>0</v>
      </c>
      <c r="K134" s="18">
        <v>0</v>
      </c>
      <c r="L134" s="18">
        <v>0</v>
      </c>
      <c r="M134" s="3">
        <v>0</v>
      </c>
    </row>
    <row r="135" spans="1:13" x14ac:dyDescent="0.25">
      <c r="A135">
        <f t="shared" si="4"/>
        <v>13056</v>
      </c>
      <c r="B135" s="18">
        <v>0</v>
      </c>
      <c r="C135" s="18">
        <v>0</v>
      </c>
      <c r="D135" s="18">
        <v>0</v>
      </c>
      <c r="E135" s="18">
        <v>0</v>
      </c>
      <c r="F135" s="3">
        <v>0</v>
      </c>
      <c r="H135">
        <f t="shared" si="5"/>
        <v>13056</v>
      </c>
      <c r="I135" s="18">
        <v>0</v>
      </c>
      <c r="J135" s="18">
        <v>0</v>
      </c>
      <c r="K135" s="18">
        <v>0</v>
      </c>
      <c r="L135" s="18">
        <v>0</v>
      </c>
      <c r="M135" s="3">
        <v>0</v>
      </c>
    </row>
    <row r="136" spans="1:13" x14ac:dyDescent="0.25">
      <c r="A136">
        <f t="shared" si="4"/>
        <v>13056</v>
      </c>
      <c r="B136" s="18">
        <v>0</v>
      </c>
      <c r="C136" s="18">
        <v>0</v>
      </c>
      <c r="D136" s="18">
        <v>0</v>
      </c>
      <c r="E136" s="18">
        <v>0</v>
      </c>
      <c r="F136" s="3">
        <v>0</v>
      </c>
      <c r="H136">
        <f t="shared" si="5"/>
        <v>13056</v>
      </c>
      <c r="I136" s="18">
        <v>0</v>
      </c>
      <c r="J136" s="18">
        <v>0</v>
      </c>
      <c r="K136" s="18">
        <v>0</v>
      </c>
      <c r="L136" s="18">
        <v>0</v>
      </c>
      <c r="M136" s="3">
        <v>0</v>
      </c>
    </row>
    <row r="137" spans="1:13" x14ac:dyDescent="0.25">
      <c r="A137">
        <f t="shared" si="4"/>
        <v>13056</v>
      </c>
      <c r="B137" s="18">
        <v>0</v>
      </c>
      <c r="C137" s="18">
        <v>0</v>
      </c>
      <c r="D137" s="18">
        <v>0</v>
      </c>
      <c r="E137" s="18">
        <v>0</v>
      </c>
      <c r="F137" s="3">
        <v>0</v>
      </c>
      <c r="H137">
        <f t="shared" si="5"/>
        <v>13056</v>
      </c>
      <c r="I137" s="18">
        <v>0</v>
      </c>
      <c r="J137" s="18">
        <v>0</v>
      </c>
      <c r="K137" s="18">
        <v>0</v>
      </c>
      <c r="L137" s="18">
        <v>0</v>
      </c>
      <c r="M137" s="3">
        <v>0</v>
      </c>
    </row>
    <row r="138" spans="1:13" x14ac:dyDescent="0.25">
      <c r="A138">
        <f t="shared" si="4"/>
        <v>13056</v>
      </c>
      <c r="B138" s="18">
        <v>0</v>
      </c>
      <c r="C138" s="18">
        <v>0</v>
      </c>
      <c r="D138" s="18">
        <v>0</v>
      </c>
      <c r="E138" s="18">
        <v>0</v>
      </c>
      <c r="F138" s="3">
        <v>0</v>
      </c>
      <c r="H138">
        <f t="shared" si="5"/>
        <v>13056</v>
      </c>
      <c r="I138" s="18">
        <v>0</v>
      </c>
      <c r="J138" s="18">
        <v>0</v>
      </c>
      <c r="K138" s="18">
        <v>0</v>
      </c>
      <c r="L138" s="18">
        <v>0</v>
      </c>
      <c r="M138" s="3">
        <v>0</v>
      </c>
    </row>
    <row r="139" spans="1:13" x14ac:dyDescent="0.25">
      <c r="A139">
        <f t="shared" si="4"/>
        <v>13056</v>
      </c>
      <c r="B139" s="18">
        <v>0</v>
      </c>
      <c r="C139" s="18">
        <v>0</v>
      </c>
      <c r="D139" s="18">
        <v>0</v>
      </c>
      <c r="E139" s="18">
        <v>0</v>
      </c>
      <c r="F139" s="3">
        <v>0</v>
      </c>
      <c r="H139">
        <f t="shared" si="5"/>
        <v>13056</v>
      </c>
      <c r="I139" s="18">
        <v>0</v>
      </c>
      <c r="J139" s="18">
        <v>0</v>
      </c>
      <c r="K139" s="18">
        <v>0</v>
      </c>
      <c r="L139" s="18">
        <v>0</v>
      </c>
      <c r="M139" s="3">
        <v>0</v>
      </c>
    </row>
    <row r="140" spans="1:13" x14ac:dyDescent="0.25">
      <c r="A140">
        <f t="shared" si="4"/>
        <v>13056</v>
      </c>
      <c r="B140" s="18">
        <v>0</v>
      </c>
      <c r="C140" s="18">
        <v>0</v>
      </c>
      <c r="D140" s="18">
        <v>0</v>
      </c>
      <c r="E140" s="18">
        <v>0</v>
      </c>
      <c r="F140" s="3">
        <v>0</v>
      </c>
      <c r="H140">
        <f t="shared" si="5"/>
        <v>13056</v>
      </c>
      <c r="I140" s="18">
        <v>0</v>
      </c>
      <c r="J140" s="18">
        <v>0</v>
      </c>
      <c r="K140" s="18">
        <v>0</v>
      </c>
      <c r="L140" s="18">
        <v>0</v>
      </c>
      <c r="M140" s="3">
        <v>0</v>
      </c>
    </row>
    <row r="141" spans="1:13" x14ac:dyDescent="0.25">
      <c r="A141">
        <f t="shared" si="4"/>
        <v>13056</v>
      </c>
      <c r="B141" s="18">
        <v>0</v>
      </c>
      <c r="C141" s="18">
        <v>0</v>
      </c>
      <c r="D141" s="18">
        <v>0</v>
      </c>
      <c r="E141" s="18">
        <v>0</v>
      </c>
      <c r="F141" s="3">
        <v>0</v>
      </c>
      <c r="H141">
        <f t="shared" si="5"/>
        <v>13056</v>
      </c>
      <c r="I141" s="18">
        <v>0</v>
      </c>
      <c r="J141" s="18">
        <v>0</v>
      </c>
      <c r="K141" s="18">
        <v>0</v>
      </c>
      <c r="L141" s="18">
        <v>0</v>
      </c>
      <c r="M141" s="3">
        <v>0</v>
      </c>
    </row>
    <row r="142" spans="1:13" x14ac:dyDescent="0.25">
      <c r="A142">
        <f t="shared" si="4"/>
        <v>13056</v>
      </c>
      <c r="B142" s="18">
        <v>0</v>
      </c>
      <c r="C142" s="18">
        <v>0</v>
      </c>
      <c r="D142" s="18">
        <v>0</v>
      </c>
      <c r="E142" s="18">
        <v>0</v>
      </c>
      <c r="F142" s="3">
        <v>0</v>
      </c>
      <c r="H142">
        <f t="shared" si="5"/>
        <v>13056</v>
      </c>
      <c r="I142" s="18">
        <v>0</v>
      </c>
      <c r="J142" s="18">
        <v>0</v>
      </c>
      <c r="K142" s="18">
        <v>0</v>
      </c>
      <c r="L142" s="18">
        <v>0</v>
      </c>
      <c r="M142" s="3">
        <v>0</v>
      </c>
    </row>
    <row r="143" spans="1:13" x14ac:dyDescent="0.25">
      <c r="A143">
        <f t="shared" si="4"/>
        <v>13056</v>
      </c>
      <c r="B143" s="18">
        <v>0</v>
      </c>
      <c r="C143" s="18">
        <v>0</v>
      </c>
      <c r="D143" s="18">
        <v>0</v>
      </c>
      <c r="E143" s="18">
        <v>0</v>
      </c>
      <c r="F143" s="3">
        <v>0</v>
      </c>
      <c r="H143">
        <f t="shared" si="5"/>
        <v>13056</v>
      </c>
      <c r="I143" s="18">
        <v>0</v>
      </c>
      <c r="J143" s="18">
        <v>0</v>
      </c>
      <c r="K143" s="18">
        <v>0</v>
      </c>
      <c r="L143" s="18">
        <v>0</v>
      </c>
      <c r="M143" s="3">
        <v>0</v>
      </c>
    </row>
    <row r="144" spans="1:13" x14ac:dyDescent="0.25">
      <c r="A144">
        <f t="shared" si="4"/>
        <v>13056</v>
      </c>
      <c r="B144" s="18">
        <v>0</v>
      </c>
      <c r="C144" s="18">
        <v>0</v>
      </c>
      <c r="D144" s="18">
        <v>0</v>
      </c>
      <c r="E144" s="18">
        <v>0</v>
      </c>
      <c r="F144" s="3">
        <v>0</v>
      </c>
      <c r="H144">
        <f t="shared" si="5"/>
        <v>13056</v>
      </c>
      <c r="I144" s="18">
        <v>0</v>
      </c>
      <c r="J144" s="18">
        <v>0</v>
      </c>
      <c r="K144" s="18">
        <v>0</v>
      </c>
      <c r="L144" s="18">
        <v>0</v>
      </c>
      <c r="M144" s="3">
        <v>0</v>
      </c>
    </row>
    <row r="145" spans="1:13" x14ac:dyDescent="0.25">
      <c r="A145">
        <f t="shared" si="4"/>
        <v>13056</v>
      </c>
      <c r="B145" s="18">
        <v>0</v>
      </c>
      <c r="C145" s="18">
        <v>0</v>
      </c>
      <c r="D145" s="18">
        <v>0</v>
      </c>
      <c r="E145" s="18">
        <v>0</v>
      </c>
      <c r="F145" s="3">
        <v>0</v>
      </c>
      <c r="H145">
        <f t="shared" si="5"/>
        <v>13056</v>
      </c>
      <c r="I145" s="18">
        <v>0</v>
      </c>
      <c r="J145" s="18">
        <v>0</v>
      </c>
      <c r="K145" s="18">
        <v>0</v>
      </c>
      <c r="L145" s="18">
        <v>0</v>
      </c>
      <c r="M145" s="3">
        <v>0</v>
      </c>
    </row>
    <row r="146" spans="1:13" x14ac:dyDescent="0.25">
      <c r="A146">
        <f t="shared" si="4"/>
        <v>13056</v>
      </c>
      <c r="B146" s="18">
        <v>0</v>
      </c>
      <c r="C146" s="18">
        <v>0</v>
      </c>
      <c r="D146" s="18">
        <v>0</v>
      </c>
      <c r="E146" s="18">
        <v>0</v>
      </c>
      <c r="F146" s="3">
        <v>0</v>
      </c>
      <c r="H146">
        <f t="shared" si="5"/>
        <v>13056</v>
      </c>
      <c r="I146" s="18">
        <v>0</v>
      </c>
      <c r="J146" s="18">
        <v>0</v>
      </c>
      <c r="K146" s="18">
        <v>0</v>
      </c>
      <c r="L146" s="18">
        <v>0</v>
      </c>
      <c r="M146" s="3">
        <v>0</v>
      </c>
    </row>
    <row r="147" spans="1:13" x14ac:dyDescent="0.25">
      <c r="A147">
        <f t="shared" si="4"/>
        <v>13056</v>
      </c>
      <c r="B147" s="18">
        <v>0</v>
      </c>
      <c r="C147" s="18">
        <v>0</v>
      </c>
      <c r="D147" s="18">
        <v>0</v>
      </c>
      <c r="E147" s="18">
        <v>0</v>
      </c>
      <c r="F147" s="3">
        <v>0</v>
      </c>
      <c r="H147">
        <f t="shared" si="5"/>
        <v>13056</v>
      </c>
      <c r="I147" s="18">
        <v>0</v>
      </c>
      <c r="J147" s="18">
        <v>0</v>
      </c>
      <c r="K147" s="18">
        <v>0</v>
      </c>
      <c r="L147" s="18">
        <v>0</v>
      </c>
      <c r="M147" s="3">
        <v>0</v>
      </c>
    </row>
    <row r="148" spans="1:13" x14ac:dyDescent="0.25">
      <c r="A148">
        <f t="shared" si="4"/>
        <v>13056</v>
      </c>
      <c r="B148" s="18">
        <v>0</v>
      </c>
      <c r="C148" s="18">
        <v>0</v>
      </c>
      <c r="D148" s="18">
        <v>0</v>
      </c>
      <c r="E148" s="18">
        <v>0</v>
      </c>
      <c r="F148" s="3">
        <v>0</v>
      </c>
      <c r="H148">
        <f t="shared" si="5"/>
        <v>13056</v>
      </c>
      <c r="I148" s="18">
        <v>0</v>
      </c>
      <c r="J148" s="18">
        <v>0</v>
      </c>
      <c r="K148" s="18">
        <v>0</v>
      </c>
      <c r="L148" s="18">
        <v>0</v>
      </c>
      <c r="M148" s="3">
        <v>0</v>
      </c>
    </row>
    <row r="149" spans="1:13" x14ac:dyDescent="0.25">
      <c r="A149">
        <f t="shared" si="4"/>
        <v>13056</v>
      </c>
      <c r="B149" s="18">
        <v>0</v>
      </c>
      <c r="C149" s="18">
        <v>0</v>
      </c>
      <c r="D149" s="18">
        <v>0</v>
      </c>
      <c r="E149" s="18">
        <v>0</v>
      </c>
      <c r="F149" s="3">
        <v>0</v>
      </c>
      <c r="H149">
        <f t="shared" si="5"/>
        <v>13056</v>
      </c>
      <c r="I149" s="18">
        <v>0</v>
      </c>
      <c r="J149" s="18">
        <v>0</v>
      </c>
      <c r="K149" s="18">
        <v>0</v>
      </c>
      <c r="L149" s="18">
        <v>0</v>
      </c>
      <c r="M149" s="3">
        <v>0</v>
      </c>
    </row>
    <row r="150" spans="1:13" x14ac:dyDescent="0.25">
      <c r="A150">
        <f t="shared" si="4"/>
        <v>13056</v>
      </c>
      <c r="B150" s="18">
        <v>0</v>
      </c>
      <c r="C150" s="18">
        <v>0</v>
      </c>
      <c r="D150" s="18">
        <v>0</v>
      </c>
      <c r="E150" s="18">
        <v>0</v>
      </c>
      <c r="F150" s="3">
        <v>0</v>
      </c>
      <c r="H150">
        <f t="shared" si="5"/>
        <v>13056</v>
      </c>
      <c r="I150" s="18">
        <v>0</v>
      </c>
      <c r="J150" s="18">
        <v>0</v>
      </c>
      <c r="K150" s="18">
        <v>0</v>
      </c>
      <c r="L150" s="18">
        <v>0</v>
      </c>
      <c r="M150" s="3">
        <v>0</v>
      </c>
    </row>
    <row r="151" spans="1:13" x14ac:dyDescent="0.25">
      <c r="A151">
        <f t="shared" si="4"/>
        <v>13056</v>
      </c>
      <c r="B151" s="18">
        <v>0</v>
      </c>
      <c r="C151" s="18">
        <v>0</v>
      </c>
      <c r="D151" s="18">
        <v>0</v>
      </c>
      <c r="E151" s="18">
        <v>0</v>
      </c>
      <c r="F151" s="3">
        <v>0</v>
      </c>
      <c r="H151">
        <f t="shared" si="5"/>
        <v>13056</v>
      </c>
      <c r="I151" s="18">
        <v>0</v>
      </c>
      <c r="J151" s="18">
        <v>0</v>
      </c>
      <c r="K151" s="18">
        <v>0</v>
      </c>
      <c r="L151" s="18">
        <v>0</v>
      </c>
      <c r="M151" s="3">
        <v>0</v>
      </c>
    </row>
    <row r="152" spans="1:13" x14ac:dyDescent="0.25">
      <c r="A152">
        <f t="shared" si="4"/>
        <v>13056</v>
      </c>
      <c r="B152" s="18">
        <v>0</v>
      </c>
      <c r="C152" s="18">
        <v>0</v>
      </c>
      <c r="D152" s="18">
        <v>0</v>
      </c>
      <c r="E152" s="18">
        <v>0</v>
      </c>
      <c r="F152" s="3">
        <v>0</v>
      </c>
      <c r="H152">
        <f t="shared" si="5"/>
        <v>13056</v>
      </c>
      <c r="I152" s="18">
        <v>0</v>
      </c>
      <c r="J152" s="18">
        <v>0</v>
      </c>
      <c r="K152" s="18">
        <v>0</v>
      </c>
      <c r="L152" s="18">
        <v>0</v>
      </c>
      <c r="M152" s="3">
        <v>0</v>
      </c>
    </row>
    <row r="153" spans="1:13" x14ac:dyDescent="0.25">
      <c r="A153">
        <f t="shared" si="4"/>
        <v>13056</v>
      </c>
      <c r="B153" s="18">
        <v>0</v>
      </c>
      <c r="C153" s="18">
        <v>0</v>
      </c>
      <c r="D153" s="18">
        <v>0</v>
      </c>
      <c r="E153" s="18">
        <v>0</v>
      </c>
      <c r="F153" s="3">
        <v>0</v>
      </c>
      <c r="H153">
        <f t="shared" si="5"/>
        <v>13056</v>
      </c>
      <c r="I153" s="18">
        <v>0</v>
      </c>
      <c r="J153" s="18">
        <v>0</v>
      </c>
      <c r="K153" s="18">
        <v>0</v>
      </c>
      <c r="L153" s="18">
        <v>0</v>
      </c>
      <c r="M153" s="3">
        <v>0</v>
      </c>
    </row>
    <row r="154" spans="1:13" x14ac:dyDescent="0.25">
      <c r="A154">
        <f t="shared" si="4"/>
        <v>13056</v>
      </c>
      <c r="B154" s="18">
        <v>0</v>
      </c>
      <c r="C154" s="18">
        <v>0</v>
      </c>
      <c r="D154" s="18">
        <v>0</v>
      </c>
      <c r="E154" s="18">
        <v>0</v>
      </c>
      <c r="F154" s="3">
        <v>0</v>
      </c>
      <c r="H154">
        <f t="shared" si="5"/>
        <v>13056</v>
      </c>
      <c r="I154" s="18">
        <v>0</v>
      </c>
      <c r="J154" s="18">
        <v>0</v>
      </c>
      <c r="K154" s="18">
        <v>0</v>
      </c>
      <c r="L154" s="18">
        <v>0</v>
      </c>
      <c r="M154" s="3">
        <v>0</v>
      </c>
    </row>
    <row r="155" spans="1:13" x14ac:dyDescent="0.25">
      <c r="A155">
        <f t="shared" si="4"/>
        <v>13056</v>
      </c>
      <c r="B155" s="18">
        <v>0</v>
      </c>
      <c r="C155" s="18">
        <v>0</v>
      </c>
      <c r="D155" s="18">
        <v>0</v>
      </c>
      <c r="E155" s="18">
        <v>0</v>
      </c>
      <c r="F155" s="3">
        <v>0</v>
      </c>
      <c r="H155">
        <f t="shared" si="5"/>
        <v>13056</v>
      </c>
      <c r="I155" s="18">
        <v>0</v>
      </c>
      <c r="J155" s="18">
        <v>0</v>
      </c>
      <c r="K155" s="18">
        <v>0</v>
      </c>
      <c r="L155" s="18">
        <v>0</v>
      </c>
      <c r="M155" s="3">
        <v>0</v>
      </c>
    </row>
    <row r="156" spans="1:13" x14ac:dyDescent="0.25">
      <c r="A156">
        <f t="shared" si="4"/>
        <v>13056</v>
      </c>
      <c r="B156" s="18">
        <v>0</v>
      </c>
      <c r="C156" s="18">
        <v>0</v>
      </c>
      <c r="D156" s="18">
        <v>0</v>
      </c>
      <c r="E156" s="18">
        <v>0</v>
      </c>
      <c r="F156" s="3">
        <v>0</v>
      </c>
      <c r="H156">
        <f t="shared" si="5"/>
        <v>13056</v>
      </c>
      <c r="I156" s="18">
        <v>0</v>
      </c>
      <c r="J156" s="18">
        <v>0</v>
      </c>
      <c r="K156" s="18">
        <v>0</v>
      </c>
      <c r="L156" s="18">
        <v>0</v>
      </c>
      <c r="M156" s="3">
        <v>0</v>
      </c>
    </row>
    <row r="157" spans="1:13" x14ac:dyDescent="0.25">
      <c r="A157">
        <f t="shared" si="4"/>
        <v>13056</v>
      </c>
      <c r="B157" s="18">
        <v>0</v>
      </c>
      <c r="C157" s="18">
        <v>0</v>
      </c>
      <c r="D157" s="18">
        <v>0</v>
      </c>
      <c r="E157" s="18">
        <v>0</v>
      </c>
      <c r="F157" s="3">
        <v>0</v>
      </c>
      <c r="H157">
        <f t="shared" si="5"/>
        <v>13056</v>
      </c>
      <c r="I157" s="18">
        <v>0</v>
      </c>
      <c r="J157" s="18">
        <v>0</v>
      </c>
      <c r="K157" s="18">
        <v>0</v>
      </c>
      <c r="L157" s="18">
        <v>0</v>
      </c>
      <c r="M157" s="3">
        <v>0</v>
      </c>
    </row>
    <row r="158" spans="1:13" x14ac:dyDescent="0.25">
      <c r="A158">
        <f t="shared" si="4"/>
        <v>13056</v>
      </c>
      <c r="B158" s="18">
        <v>0</v>
      </c>
      <c r="C158" s="18">
        <v>0</v>
      </c>
      <c r="D158" s="18">
        <v>0</v>
      </c>
      <c r="E158" s="18">
        <v>0</v>
      </c>
      <c r="F158" s="3">
        <v>0</v>
      </c>
      <c r="H158">
        <f t="shared" si="5"/>
        <v>13056</v>
      </c>
      <c r="I158" s="18">
        <v>0</v>
      </c>
      <c r="J158" s="18">
        <v>0</v>
      </c>
      <c r="K158" s="18">
        <v>0</v>
      </c>
      <c r="L158" s="18">
        <v>0</v>
      </c>
      <c r="M158" s="3">
        <v>0</v>
      </c>
    </row>
    <row r="159" spans="1:13" x14ac:dyDescent="0.25">
      <c r="A159">
        <f t="shared" si="4"/>
        <v>13056</v>
      </c>
      <c r="B159" s="18">
        <v>0</v>
      </c>
      <c r="C159" s="18">
        <v>0</v>
      </c>
      <c r="D159" s="18">
        <v>0</v>
      </c>
      <c r="E159" s="18">
        <v>0</v>
      </c>
      <c r="F159" s="3">
        <v>0</v>
      </c>
      <c r="H159">
        <f t="shared" si="5"/>
        <v>13056</v>
      </c>
      <c r="I159" s="18">
        <v>0</v>
      </c>
      <c r="J159" s="18">
        <v>0</v>
      </c>
      <c r="K159" s="18">
        <v>0</v>
      </c>
      <c r="L159" s="18">
        <v>0</v>
      </c>
      <c r="M159" s="3">
        <v>0</v>
      </c>
    </row>
    <row r="160" spans="1:13" x14ac:dyDescent="0.25">
      <c r="A160">
        <f t="shared" si="4"/>
        <v>13056</v>
      </c>
      <c r="B160" s="18">
        <v>0</v>
      </c>
      <c r="C160" s="18">
        <v>0</v>
      </c>
      <c r="D160" s="18">
        <v>0</v>
      </c>
      <c r="E160" s="18">
        <v>0</v>
      </c>
      <c r="F160" s="3">
        <v>0</v>
      </c>
      <c r="H160">
        <f t="shared" si="5"/>
        <v>13056</v>
      </c>
      <c r="I160" s="18">
        <v>0</v>
      </c>
      <c r="J160" s="18">
        <v>0</v>
      </c>
      <c r="K160" s="18">
        <v>0</v>
      </c>
      <c r="L160" s="18">
        <v>0</v>
      </c>
      <c r="M160" s="3">
        <v>0</v>
      </c>
    </row>
    <row r="161" spans="1:13" x14ac:dyDescent="0.25">
      <c r="A161">
        <f t="shared" si="4"/>
        <v>13056</v>
      </c>
      <c r="B161" s="18">
        <v>0</v>
      </c>
      <c r="C161" s="18">
        <v>0</v>
      </c>
      <c r="D161" s="18">
        <v>0</v>
      </c>
      <c r="E161" s="18">
        <v>0</v>
      </c>
      <c r="F161" s="3">
        <v>0</v>
      </c>
      <c r="H161">
        <f t="shared" si="5"/>
        <v>13056</v>
      </c>
      <c r="I161" s="18">
        <v>0</v>
      </c>
      <c r="J161" s="18">
        <v>0</v>
      </c>
      <c r="K161" s="18">
        <v>0</v>
      </c>
      <c r="L161" s="18">
        <v>0</v>
      </c>
      <c r="M161" s="3">
        <v>0</v>
      </c>
    </row>
    <row r="162" spans="1:13" x14ac:dyDescent="0.25">
      <c r="A162">
        <f t="shared" si="4"/>
        <v>13056</v>
      </c>
      <c r="B162" s="18">
        <v>0</v>
      </c>
      <c r="C162" s="18">
        <v>0</v>
      </c>
      <c r="D162" s="18">
        <v>0</v>
      </c>
      <c r="E162" s="18">
        <v>0</v>
      </c>
      <c r="F162" s="3">
        <v>0</v>
      </c>
      <c r="H162">
        <f t="shared" si="5"/>
        <v>13056</v>
      </c>
      <c r="I162" s="18">
        <v>0</v>
      </c>
      <c r="J162" s="18">
        <v>0</v>
      </c>
      <c r="K162" s="18">
        <v>0</v>
      </c>
      <c r="L162" s="18">
        <v>0</v>
      </c>
      <c r="M162" s="3">
        <v>0</v>
      </c>
    </row>
    <row r="163" spans="1:13" x14ac:dyDescent="0.25">
      <c r="A163">
        <f t="shared" si="4"/>
        <v>13056</v>
      </c>
      <c r="B163" s="18">
        <v>0</v>
      </c>
      <c r="C163" s="18">
        <v>0</v>
      </c>
      <c r="D163" s="18">
        <v>0</v>
      </c>
      <c r="E163" s="18">
        <v>0</v>
      </c>
      <c r="F163" s="3">
        <v>0</v>
      </c>
      <c r="H163">
        <f t="shared" si="5"/>
        <v>13056</v>
      </c>
      <c r="I163" s="18">
        <v>0</v>
      </c>
      <c r="J163" s="18">
        <v>0</v>
      </c>
      <c r="K163" s="18">
        <v>0</v>
      </c>
      <c r="L163" s="18">
        <v>0</v>
      </c>
      <c r="M163" s="3">
        <v>0</v>
      </c>
    </row>
    <row r="164" spans="1:13" x14ac:dyDescent="0.25">
      <c r="A164">
        <f t="shared" si="4"/>
        <v>13056</v>
      </c>
      <c r="B164" s="18">
        <v>0</v>
      </c>
      <c r="C164" s="18">
        <v>0</v>
      </c>
      <c r="D164" s="18">
        <v>0</v>
      </c>
      <c r="E164" s="18">
        <v>0</v>
      </c>
      <c r="F164" s="3">
        <v>0</v>
      </c>
      <c r="H164">
        <f t="shared" si="5"/>
        <v>13056</v>
      </c>
      <c r="I164" s="18">
        <v>0</v>
      </c>
      <c r="J164" s="18">
        <v>0</v>
      </c>
      <c r="K164" s="18">
        <v>0</v>
      </c>
      <c r="L164" s="18">
        <v>0</v>
      </c>
      <c r="M164" s="3">
        <v>0</v>
      </c>
    </row>
    <row r="165" spans="1:13" x14ac:dyDescent="0.25">
      <c r="A165">
        <f t="shared" si="4"/>
        <v>13056</v>
      </c>
      <c r="B165" s="18">
        <v>0</v>
      </c>
      <c r="C165" s="18">
        <v>0</v>
      </c>
      <c r="D165" s="18">
        <v>0</v>
      </c>
      <c r="E165" s="18">
        <v>0</v>
      </c>
      <c r="F165" s="3">
        <v>0</v>
      </c>
      <c r="H165">
        <f t="shared" si="5"/>
        <v>13056</v>
      </c>
      <c r="I165" s="18">
        <v>0</v>
      </c>
      <c r="J165" s="18">
        <v>0</v>
      </c>
      <c r="K165" s="18">
        <v>0</v>
      </c>
      <c r="L165" s="18">
        <v>0</v>
      </c>
      <c r="M165" s="3">
        <v>0</v>
      </c>
    </row>
    <row r="166" spans="1:13" x14ac:dyDescent="0.25">
      <c r="A166">
        <f t="shared" si="4"/>
        <v>13056</v>
      </c>
      <c r="B166" s="18">
        <v>0</v>
      </c>
      <c r="C166" s="18">
        <v>0</v>
      </c>
      <c r="D166" s="18">
        <v>0</v>
      </c>
      <c r="E166" s="18">
        <v>0</v>
      </c>
      <c r="F166" s="3">
        <v>0</v>
      </c>
      <c r="H166">
        <f t="shared" si="5"/>
        <v>13056</v>
      </c>
      <c r="I166" s="18">
        <v>0</v>
      </c>
      <c r="J166" s="18">
        <v>0</v>
      </c>
      <c r="K166" s="18">
        <v>0</v>
      </c>
      <c r="L166" s="18">
        <v>0</v>
      </c>
      <c r="M166" s="3">
        <v>0</v>
      </c>
    </row>
    <row r="167" spans="1:13" x14ac:dyDescent="0.25">
      <c r="A167">
        <f t="shared" si="4"/>
        <v>13056</v>
      </c>
      <c r="B167" s="18">
        <v>0</v>
      </c>
      <c r="C167" s="18">
        <v>0</v>
      </c>
      <c r="D167" s="18">
        <v>0</v>
      </c>
      <c r="E167" s="18">
        <v>0</v>
      </c>
      <c r="F167" s="3">
        <v>0</v>
      </c>
      <c r="H167">
        <f t="shared" si="5"/>
        <v>13056</v>
      </c>
      <c r="I167" s="18">
        <v>0</v>
      </c>
      <c r="J167" s="18">
        <v>0</v>
      </c>
      <c r="K167" s="18">
        <v>0</v>
      </c>
      <c r="L167" s="18">
        <v>0</v>
      </c>
      <c r="M167" s="3">
        <v>0</v>
      </c>
    </row>
    <row r="168" spans="1:13" x14ac:dyDescent="0.25">
      <c r="A168">
        <f t="shared" si="4"/>
        <v>13056</v>
      </c>
      <c r="B168" s="18">
        <v>0</v>
      </c>
      <c r="C168" s="18">
        <v>0</v>
      </c>
      <c r="D168" s="18">
        <v>0</v>
      </c>
      <c r="E168" s="18">
        <v>0</v>
      </c>
      <c r="F168" s="3">
        <v>0</v>
      </c>
      <c r="H168">
        <f t="shared" si="5"/>
        <v>13056</v>
      </c>
      <c r="I168" s="18">
        <v>0</v>
      </c>
      <c r="J168" s="18">
        <v>0</v>
      </c>
      <c r="K168" s="18">
        <v>0</v>
      </c>
      <c r="L168" s="18">
        <v>0</v>
      </c>
      <c r="M168" s="3">
        <v>0</v>
      </c>
    </row>
    <row r="169" spans="1:13" x14ac:dyDescent="0.25">
      <c r="A169">
        <f t="shared" si="4"/>
        <v>13056</v>
      </c>
      <c r="B169" s="18">
        <v>0</v>
      </c>
      <c r="C169" s="18">
        <v>0</v>
      </c>
      <c r="D169" s="18">
        <v>0</v>
      </c>
      <c r="E169" s="18">
        <v>0</v>
      </c>
      <c r="F169" s="3">
        <v>0</v>
      </c>
      <c r="H169">
        <f t="shared" si="5"/>
        <v>13056</v>
      </c>
      <c r="I169" s="18">
        <v>0</v>
      </c>
      <c r="J169" s="18">
        <v>0</v>
      </c>
      <c r="K169" s="18">
        <v>0</v>
      </c>
      <c r="L169" s="18">
        <v>0</v>
      </c>
      <c r="M169" s="3">
        <v>0</v>
      </c>
    </row>
    <row r="170" spans="1:13" x14ac:dyDescent="0.25">
      <c r="A170">
        <f t="shared" si="4"/>
        <v>13056</v>
      </c>
      <c r="B170" s="18">
        <v>0</v>
      </c>
      <c r="C170" s="18">
        <v>0</v>
      </c>
      <c r="D170" s="18">
        <v>0</v>
      </c>
      <c r="E170" s="18">
        <v>0</v>
      </c>
      <c r="F170" s="3">
        <v>0</v>
      </c>
      <c r="H170">
        <f t="shared" si="5"/>
        <v>13056</v>
      </c>
      <c r="I170" s="18">
        <v>0</v>
      </c>
      <c r="J170" s="18">
        <v>0</v>
      </c>
      <c r="K170" s="18">
        <v>0</v>
      </c>
      <c r="L170" s="18">
        <v>0</v>
      </c>
      <c r="M170" s="3">
        <v>0</v>
      </c>
    </row>
    <row r="171" spans="1:13" x14ac:dyDescent="0.25">
      <c r="A171">
        <f t="shared" si="4"/>
        <v>13056</v>
      </c>
      <c r="B171" s="18">
        <v>0</v>
      </c>
      <c r="C171" s="18">
        <v>0</v>
      </c>
      <c r="D171" s="18">
        <v>0</v>
      </c>
      <c r="E171" s="18">
        <v>0</v>
      </c>
      <c r="F171" s="3">
        <v>0</v>
      </c>
      <c r="H171">
        <f t="shared" si="5"/>
        <v>13056</v>
      </c>
      <c r="I171" s="18">
        <v>0</v>
      </c>
      <c r="J171" s="18">
        <v>0</v>
      </c>
      <c r="K171" s="18">
        <v>0</v>
      </c>
      <c r="L171" s="18">
        <v>0</v>
      </c>
      <c r="M171" s="3">
        <v>0</v>
      </c>
    </row>
    <row r="172" spans="1:13" x14ac:dyDescent="0.25">
      <c r="A172">
        <f t="shared" si="4"/>
        <v>13056</v>
      </c>
      <c r="B172" s="18">
        <v>0</v>
      </c>
      <c r="C172" s="18">
        <v>0</v>
      </c>
      <c r="D172" s="18">
        <v>0</v>
      </c>
      <c r="E172" s="18">
        <v>0</v>
      </c>
      <c r="F172" s="3">
        <v>0</v>
      </c>
      <c r="H172">
        <f t="shared" si="5"/>
        <v>13056</v>
      </c>
      <c r="I172" s="18">
        <v>0</v>
      </c>
      <c r="J172" s="18">
        <v>0</v>
      </c>
      <c r="K172" s="18">
        <v>0</v>
      </c>
      <c r="L172" s="18">
        <v>0</v>
      </c>
      <c r="M172" s="3">
        <v>0</v>
      </c>
    </row>
    <row r="173" spans="1:13" x14ac:dyDescent="0.25">
      <c r="A173">
        <f t="shared" si="4"/>
        <v>13056</v>
      </c>
      <c r="B173" s="18">
        <v>0</v>
      </c>
      <c r="C173" s="18">
        <v>0</v>
      </c>
      <c r="D173" s="18">
        <v>0</v>
      </c>
      <c r="E173" s="18">
        <v>0</v>
      </c>
      <c r="F173" s="3">
        <v>0</v>
      </c>
      <c r="H173">
        <f t="shared" si="5"/>
        <v>13056</v>
      </c>
      <c r="I173" s="18">
        <v>0</v>
      </c>
      <c r="J173" s="18">
        <v>0</v>
      </c>
      <c r="K173" s="18">
        <v>0</v>
      </c>
      <c r="L173" s="18">
        <v>0</v>
      </c>
      <c r="M173" s="3">
        <v>0</v>
      </c>
    </row>
    <row r="174" spans="1:13" x14ac:dyDescent="0.25">
      <c r="A174">
        <f t="shared" si="4"/>
        <v>13056</v>
      </c>
      <c r="B174" s="18">
        <v>0</v>
      </c>
      <c r="C174" s="18">
        <v>0</v>
      </c>
      <c r="D174" s="18">
        <v>0</v>
      </c>
      <c r="E174" s="18">
        <v>0</v>
      </c>
      <c r="F174" s="3">
        <v>0</v>
      </c>
      <c r="H174">
        <f t="shared" si="5"/>
        <v>13056</v>
      </c>
      <c r="I174" s="18">
        <v>0</v>
      </c>
      <c r="J174" s="18">
        <v>0</v>
      </c>
      <c r="K174" s="18">
        <v>0</v>
      </c>
      <c r="L174" s="18">
        <v>0</v>
      </c>
      <c r="M174" s="3">
        <v>0</v>
      </c>
    </row>
    <row r="175" spans="1:13" x14ac:dyDescent="0.25">
      <c r="A175">
        <f t="shared" si="4"/>
        <v>13056</v>
      </c>
      <c r="B175" s="18">
        <v>0</v>
      </c>
      <c r="C175" s="18">
        <v>0</v>
      </c>
      <c r="D175" s="18">
        <v>0</v>
      </c>
      <c r="E175" s="18">
        <v>0</v>
      </c>
      <c r="F175" s="3">
        <v>0</v>
      </c>
      <c r="H175">
        <f t="shared" si="5"/>
        <v>13056</v>
      </c>
      <c r="I175" s="18">
        <v>0</v>
      </c>
      <c r="J175" s="18">
        <v>0</v>
      </c>
      <c r="K175" s="18">
        <v>0</v>
      </c>
      <c r="L175" s="18">
        <v>0</v>
      </c>
      <c r="M175" s="3">
        <v>0</v>
      </c>
    </row>
    <row r="176" spans="1:13" x14ac:dyDescent="0.25">
      <c r="A176">
        <f t="shared" si="4"/>
        <v>13056</v>
      </c>
      <c r="B176" s="18">
        <v>0</v>
      </c>
      <c r="C176" s="18">
        <v>0</v>
      </c>
      <c r="D176" s="18">
        <v>0</v>
      </c>
      <c r="E176" s="18">
        <v>0</v>
      </c>
      <c r="F176" s="3">
        <v>0</v>
      </c>
      <c r="H176">
        <f t="shared" si="5"/>
        <v>13056</v>
      </c>
      <c r="I176" s="18">
        <v>0</v>
      </c>
      <c r="J176" s="18">
        <v>0</v>
      </c>
      <c r="K176" s="18">
        <v>0</v>
      </c>
      <c r="L176" s="18">
        <v>0</v>
      </c>
      <c r="M176" s="3">
        <v>0</v>
      </c>
    </row>
    <row r="177" spans="1:13" x14ac:dyDescent="0.25">
      <c r="A177">
        <f t="shared" si="4"/>
        <v>13056</v>
      </c>
      <c r="B177" s="18">
        <v>0</v>
      </c>
      <c r="C177" s="18">
        <v>0</v>
      </c>
      <c r="D177" s="18">
        <v>0</v>
      </c>
      <c r="E177" s="18">
        <v>0</v>
      </c>
      <c r="F177" s="3">
        <v>0</v>
      </c>
      <c r="H177">
        <f t="shared" si="5"/>
        <v>13056</v>
      </c>
      <c r="I177" s="18">
        <v>0</v>
      </c>
      <c r="J177" s="18">
        <v>0</v>
      </c>
      <c r="K177" s="18">
        <v>0</v>
      </c>
      <c r="L177" s="18">
        <v>0</v>
      </c>
      <c r="M177" s="3">
        <v>0</v>
      </c>
    </row>
    <row r="178" spans="1:13" x14ac:dyDescent="0.25">
      <c r="A178">
        <f t="shared" si="4"/>
        <v>13056</v>
      </c>
      <c r="B178" s="18">
        <v>0</v>
      </c>
      <c r="C178" s="18">
        <v>0</v>
      </c>
      <c r="D178" s="18">
        <v>0</v>
      </c>
      <c r="E178" s="18">
        <v>0</v>
      </c>
      <c r="F178" s="3">
        <v>0</v>
      </c>
      <c r="H178">
        <f t="shared" si="5"/>
        <v>13056</v>
      </c>
      <c r="I178" s="18">
        <v>0</v>
      </c>
      <c r="J178" s="18">
        <v>0</v>
      </c>
      <c r="K178" s="18">
        <v>0</v>
      </c>
      <c r="L178" s="18">
        <v>0</v>
      </c>
      <c r="M178" s="3">
        <v>0</v>
      </c>
    </row>
    <row r="179" spans="1:13" x14ac:dyDescent="0.25">
      <c r="A179">
        <f t="shared" si="4"/>
        <v>13056</v>
      </c>
      <c r="B179" s="18">
        <v>0</v>
      </c>
      <c r="C179" s="18">
        <v>0</v>
      </c>
      <c r="D179" s="18">
        <v>0</v>
      </c>
      <c r="E179" s="18">
        <v>0</v>
      </c>
      <c r="F179" s="3">
        <v>0</v>
      </c>
      <c r="H179">
        <f t="shared" si="5"/>
        <v>13056</v>
      </c>
      <c r="I179" s="18">
        <v>0</v>
      </c>
      <c r="J179" s="18">
        <v>0</v>
      </c>
      <c r="K179" s="18">
        <v>0</v>
      </c>
      <c r="L179" s="18">
        <v>0</v>
      </c>
      <c r="M179" s="3">
        <v>0</v>
      </c>
    </row>
    <row r="180" spans="1:13" x14ac:dyDescent="0.25">
      <c r="A180">
        <f t="shared" si="4"/>
        <v>13056</v>
      </c>
      <c r="B180" s="18">
        <v>0</v>
      </c>
      <c r="C180" s="18">
        <v>0</v>
      </c>
      <c r="D180" s="18">
        <v>0</v>
      </c>
      <c r="E180" s="18">
        <v>0</v>
      </c>
      <c r="F180" s="3">
        <v>0</v>
      </c>
      <c r="H180">
        <f t="shared" si="5"/>
        <v>13056</v>
      </c>
      <c r="I180" s="18">
        <v>0</v>
      </c>
      <c r="J180" s="18">
        <v>0</v>
      </c>
      <c r="K180" s="18">
        <v>0</v>
      </c>
      <c r="L180" s="18">
        <v>0</v>
      </c>
      <c r="M180" s="3">
        <v>0</v>
      </c>
    </row>
    <row r="181" spans="1:13" x14ac:dyDescent="0.25">
      <c r="A181">
        <f t="shared" si="4"/>
        <v>13056</v>
      </c>
      <c r="B181" s="18">
        <v>0</v>
      </c>
      <c r="C181" s="18">
        <v>0</v>
      </c>
      <c r="D181" s="18">
        <v>0</v>
      </c>
      <c r="E181" s="18">
        <v>0</v>
      </c>
      <c r="F181" s="3">
        <v>0</v>
      </c>
      <c r="H181">
        <f t="shared" si="5"/>
        <v>13056</v>
      </c>
      <c r="I181" s="18">
        <v>0</v>
      </c>
      <c r="J181" s="18">
        <v>0</v>
      </c>
      <c r="K181" s="18">
        <v>0</v>
      </c>
      <c r="L181" s="18">
        <v>0</v>
      </c>
      <c r="M181" s="3">
        <v>0</v>
      </c>
    </row>
    <row r="182" spans="1:13" x14ac:dyDescent="0.25">
      <c r="A182">
        <f t="shared" si="4"/>
        <v>13056</v>
      </c>
      <c r="B182" s="18">
        <v>0</v>
      </c>
      <c r="C182" s="18">
        <v>0</v>
      </c>
      <c r="D182" s="18">
        <v>0</v>
      </c>
      <c r="E182" s="18">
        <v>0</v>
      </c>
      <c r="F182" s="3">
        <v>0</v>
      </c>
      <c r="H182">
        <f t="shared" si="5"/>
        <v>13056</v>
      </c>
      <c r="I182" s="18">
        <v>0</v>
      </c>
      <c r="J182" s="18">
        <v>0</v>
      </c>
      <c r="K182" s="18">
        <v>0</v>
      </c>
      <c r="L182" s="18">
        <v>0</v>
      </c>
      <c r="M182" s="3">
        <v>0</v>
      </c>
    </row>
    <row r="183" spans="1:13" x14ac:dyDescent="0.25">
      <c r="A183">
        <f t="shared" si="4"/>
        <v>13056</v>
      </c>
      <c r="B183" s="18">
        <v>0</v>
      </c>
      <c r="C183" s="18">
        <v>0</v>
      </c>
      <c r="D183" s="18">
        <v>0</v>
      </c>
      <c r="E183" s="18">
        <v>0</v>
      </c>
      <c r="F183" s="3">
        <v>0</v>
      </c>
      <c r="H183">
        <f t="shared" si="5"/>
        <v>13056</v>
      </c>
      <c r="I183" s="18">
        <v>0</v>
      </c>
      <c r="J183" s="18">
        <v>0</v>
      </c>
      <c r="K183" s="18">
        <v>0</v>
      </c>
      <c r="L183" s="18">
        <v>0</v>
      </c>
      <c r="M183" s="3">
        <v>0</v>
      </c>
    </row>
    <row r="184" spans="1:13" x14ac:dyDescent="0.25">
      <c r="A184">
        <f t="shared" si="4"/>
        <v>13056</v>
      </c>
      <c r="B184" s="18">
        <v>0</v>
      </c>
      <c r="C184" s="18">
        <v>0</v>
      </c>
      <c r="D184" s="18">
        <v>0</v>
      </c>
      <c r="E184" s="18">
        <v>0</v>
      </c>
      <c r="F184" s="3">
        <v>0</v>
      </c>
      <c r="H184">
        <f t="shared" si="5"/>
        <v>13056</v>
      </c>
      <c r="I184" s="18">
        <v>0</v>
      </c>
      <c r="J184" s="18">
        <v>0</v>
      </c>
      <c r="K184" s="18">
        <v>0</v>
      </c>
      <c r="L184" s="18">
        <v>0</v>
      </c>
      <c r="M184" s="3">
        <v>0</v>
      </c>
    </row>
    <row r="185" spans="1:13" x14ac:dyDescent="0.25">
      <c r="A185">
        <f t="shared" si="4"/>
        <v>13056</v>
      </c>
      <c r="B185" s="18">
        <v>0</v>
      </c>
      <c r="C185" s="18">
        <v>0</v>
      </c>
      <c r="D185" s="18">
        <v>0</v>
      </c>
      <c r="E185" s="18">
        <v>0</v>
      </c>
      <c r="F185" s="3">
        <v>0</v>
      </c>
      <c r="H185">
        <f t="shared" si="5"/>
        <v>13056</v>
      </c>
      <c r="I185" s="18">
        <v>0</v>
      </c>
      <c r="J185" s="18">
        <v>0</v>
      </c>
      <c r="K185" s="18">
        <v>0</v>
      </c>
      <c r="L185" s="18">
        <v>0</v>
      </c>
      <c r="M185" s="3">
        <v>0</v>
      </c>
    </row>
    <row r="186" spans="1:13" x14ac:dyDescent="0.25">
      <c r="A186">
        <f t="shared" si="4"/>
        <v>13056</v>
      </c>
      <c r="B186" s="18">
        <v>0</v>
      </c>
      <c r="C186" s="18">
        <v>0</v>
      </c>
      <c r="D186" s="18">
        <v>0</v>
      </c>
      <c r="E186" s="18">
        <v>0</v>
      </c>
      <c r="F186" s="3">
        <v>0</v>
      </c>
      <c r="H186">
        <f t="shared" si="5"/>
        <v>13056</v>
      </c>
      <c r="I186" s="18">
        <v>0</v>
      </c>
      <c r="J186" s="18">
        <v>0</v>
      </c>
      <c r="K186" s="18">
        <v>0</v>
      </c>
      <c r="L186" s="18">
        <v>0</v>
      </c>
      <c r="M186" s="3">
        <v>0</v>
      </c>
    </row>
    <row r="187" spans="1:13" x14ac:dyDescent="0.25">
      <c r="A187">
        <f t="shared" si="4"/>
        <v>13056</v>
      </c>
      <c r="B187" s="18">
        <v>0</v>
      </c>
      <c r="C187" s="18">
        <v>0</v>
      </c>
      <c r="D187" s="18">
        <v>0</v>
      </c>
      <c r="E187" s="18">
        <v>0</v>
      </c>
      <c r="F187" s="3">
        <v>0</v>
      </c>
      <c r="H187">
        <f t="shared" si="5"/>
        <v>13056</v>
      </c>
      <c r="I187" s="18">
        <v>0</v>
      </c>
      <c r="J187" s="18">
        <v>0</v>
      </c>
      <c r="K187" s="18">
        <v>0</v>
      </c>
      <c r="L187" s="18">
        <v>0</v>
      </c>
      <c r="M187" s="3">
        <v>0</v>
      </c>
    </row>
    <row r="188" spans="1:13" x14ac:dyDescent="0.25">
      <c r="A188">
        <f t="shared" si="4"/>
        <v>13056</v>
      </c>
      <c r="B188" s="18">
        <v>0</v>
      </c>
      <c r="C188" s="18">
        <v>0</v>
      </c>
      <c r="D188" s="18">
        <v>0</v>
      </c>
      <c r="E188" s="18">
        <v>0</v>
      </c>
      <c r="F188" s="3">
        <v>0</v>
      </c>
      <c r="H188">
        <f t="shared" si="5"/>
        <v>13056</v>
      </c>
      <c r="I188" s="18">
        <v>0</v>
      </c>
      <c r="J188" s="18">
        <v>0</v>
      </c>
      <c r="K188" s="18">
        <v>0</v>
      </c>
      <c r="L188" s="18">
        <v>0</v>
      </c>
      <c r="M188" s="3">
        <v>0</v>
      </c>
    </row>
    <row r="189" spans="1:13" x14ac:dyDescent="0.25">
      <c r="A189">
        <f t="shared" si="4"/>
        <v>13056</v>
      </c>
      <c r="B189" s="18">
        <v>0</v>
      </c>
      <c r="C189" s="18">
        <v>0</v>
      </c>
      <c r="D189" s="18">
        <v>0</v>
      </c>
      <c r="E189" s="18">
        <v>0</v>
      </c>
      <c r="F189" s="3">
        <v>0</v>
      </c>
      <c r="H189">
        <f t="shared" si="5"/>
        <v>13056</v>
      </c>
      <c r="I189" s="18">
        <v>0</v>
      </c>
      <c r="J189" s="18">
        <v>0</v>
      </c>
      <c r="K189" s="18">
        <v>0</v>
      </c>
      <c r="L189" s="18">
        <v>0</v>
      </c>
      <c r="M189" s="3">
        <v>0</v>
      </c>
    </row>
    <row r="190" spans="1:13" x14ac:dyDescent="0.25">
      <c r="A190">
        <f t="shared" si="4"/>
        <v>13056</v>
      </c>
      <c r="B190" s="18">
        <v>0</v>
      </c>
      <c r="C190" s="18">
        <v>0</v>
      </c>
      <c r="D190" s="18">
        <v>0</v>
      </c>
      <c r="E190" s="18">
        <v>0</v>
      </c>
      <c r="F190" s="3">
        <v>0</v>
      </c>
      <c r="H190">
        <f t="shared" si="5"/>
        <v>13056</v>
      </c>
      <c r="I190" s="18">
        <v>0</v>
      </c>
      <c r="J190" s="18">
        <v>0</v>
      </c>
      <c r="K190" s="18">
        <v>0</v>
      </c>
      <c r="L190" s="18">
        <v>0</v>
      </c>
      <c r="M190" s="3">
        <v>0</v>
      </c>
    </row>
    <row r="191" spans="1:13" x14ac:dyDescent="0.25">
      <c r="A191">
        <f t="shared" si="4"/>
        <v>13056</v>
      </c>
      <c r="B191" s="18">
        <v>0</v>
      </c>
      <c r="C191" s="18">
        <v>0</v>
      </c>
      <c r="D191" s="18">
        <v>0</v>
      </c>
      <c r="E191" s="18">
        <v>0</v>
      </c>
      <c r="F191" s="3">
        <v>0</v>
      </c>
      <c r="H191">
        <f t="shared" si="5"/>
        <v>13056</v>
      </c>
      <c r="I191" s="18">
        <v>0</v>
      </c>
      <c r="J191" s="18">
        <v>0</v>
      </c>
      <c r="K191" s="18">
        <v>0</v>
      </c>
      <c r="L191" s="18">
        <v>0</v>
      </c>
      <c r="M191" s="3">
        <v>0</v>
      </c>
    </row>
    <row r="192" spans="1:13" x14ac:dyDescent="0.25">
      <c r="A192">
        <f t="shared" si="4"/>
        <v>13056</v>
      </c>
      <c r="B192" s="18">
        <v>0</v>
      </c>
      <c r="C192" s="18">
        <v>0</v>
      </c>
      <c r="D192" s="18">
        <v>0</v>
      </c>
      <c r="E192" s="18">
        <v>0</v>
      </c>
      <c r="F192" s="3">
        <v>0</v>
      </c>
      <c r="H192">
        <f t="shared" si="5"/>
        <v>13056</v>
      </c>
      <c r="I192" s="18">
        <v>0</v>
      </c>
      <c r="J192" s="18">
        <v>0</v>
      </c>
      <c r="K192" s="18">
        <v>0</v>
      </c>
      <c r="L192" s="18">
        <v>0</v>
      </c>
      <c r="M192" s="3">
        <v>0</v>
      </c>
    </row>
    <row r="193" spans="1:13" x14ac:dyDescent="0.25">
      <c r="A193">
        <f t="shared" si="4"/>
        <v>13056</v>
      </c>
      <c r="B193" s="18">
        <v>0</v>
      </c>
      <c r="C193" s="18">
        <v>0</v>
      </c>
      <c r="D193" s="18">
        <v>0</v>
      </c>
      <c r="E193" s="18">
        <v>0</v>
      </c>
      <c r="F193" s="3">
        <v>0</v>
      </c>
      <c r="H193">
        <f t="shared" si="5"/>
        <v>13056</v>
      </c>
      <c r="I193" s="18">
        <v>0</v>
      </c>
      <c r="J193" s="18">
        <v>0</v>
      </c>
      <c r="K193" s="18">
        <v>0</v>
      </c>
      <c r="L193" s="18">
        <v>0</v>
      </c>
      <c r="M193" s="3">
        <v>0</v>
      </c>
    </row>
    <row r="194" spans="1:13" x14ac:dyDescent="0.25">
      <c r="A194">
        <f t="shared" si="4"/>
        <v>13056</v>
      </c>
      <c r="B194" s="18">
        <v>0</v>
      </c>
      <c r="C194" s="18">
        <v>0</v>
      </c>
      <c r="D194" s="18">
        <v>0</v>
      </c>
      <c r="E194" s="18">
        <v>0</v>
      </c>
      <c r="F194" s="3">
        <v>0</v>
      </c>
      <c r="H194">
        <f t="shared" si="5"/>
        <v>13056</v>
      </c>
      <c r="I194" s="18">
        <v>0</v>
      </c>
      <c r="J194" s="18">
        <v>0</v>
      </c>
      <c r="K194" s="18">
        <v>0</v>
      </c>
      <c r="L194" s="18">
        <v>0</v>
      </c>
      <c r="M194" s="3">
        <v>0</v>
      </c>
    </row>
    <row r="195" spans="1:13" x14ac:dyDescent="0.25">
      <c r="A195">
        <f t="shared" si="4"/>
        <v>13056</v>
      </c>
      <c r="B195" s="18">
        <v>0</v>
      </c>
      <c r="C195" s="18">
        <v>0</v>
      </c>
      <c r="D195" s="18">
        <v>0</v>
      </c>
      <c r="E195" s="18">
        <v>0</v>
      </c>
      <c r="F195" s="3">
        <v>0</v>
      </c>
      <c r="H195">
        <f t="shared" si="5"/>
        <v>13056</v>
      </c>
      <c r="I195" s="18">
        <v>0</v>
      </c>
      <c r="J195" s="18">
        <v>0</v>
      </c>
      <c r="K195" s="18">
        <v>0</v>
      </c>
      <c r="L195" s="18">
        <v>0</v>
      </c>
      <c r="M195" s="3">
        <v>0</v>
      </c>
    </row>
    <row r="196" spans="1:13" x14ac:dyDescent="0.25">
      <c r="A196">
        <f t="shared" si="4"/>
        <v>13056</v>
      </c>
      <c r="B196" s="18">
        <v>0</v>
      </c>
      <c r="C196" s="18">
        <v>0</v>
      </c>
      <c r="D196" s="18">
        <v>0</v>
      </c>
      <c r="E196" s="18">
        <v>0</v>
      </c>
      <c r="F196" s="3">
        <v>0</v>
      </c>
      <c r="H196">
        <f t="shared" si="5"/>
        <v>13056</v>
      </c>
      <c r="I196" s="18">
        <v>0</v>
      </c>
      <c r="J196" s="18">
        <v>0</v>
      </c>
      <c r="K196" s="18">
        <v>0</v>
      </c>
      <c r="L196" s="18">
        <v>0</v>
      </c>
      <c r="M196" s="3">
        <v>0</v>
      </c>
    </row>
    <row r="197" spans="1:13" x14ac:dyDescent="0.25">
      <c r="A197">
        <f t="shared" ref="A197:A260" si="6">CHOOSE(IF(ABS(B197-13056)&lt;=ABS(B197-13824),IF(ABS(B197-13056)&lt;=ABS(B197-14592),1,3),IF(ABS(B197-13824)&lt;=ABS(B197-14592),2,3)),13056,13824,14592)</f>
        <v>13056</v>
      </c>
      <c r="B197" s="18">
        <v>0</v>
      </c>
      <c r="C197" s="18">
        <v>0</v>
      </c>
      <c r="D197" s="18">
        <v>0</v>
      </c>
      <c r="E197" s="18">
        <v>0</v>
      </c>
      <c r="F197" s="3">
        <v>0</v>
      </c>
      <c r="H197">
        <f t="shared" ref="H197:H260" si="7">CHOOSE(IF(ABS(I197-13056)&lt;=ABS(I197-13824),IF(ABS(I197-13056)&lt;=ABS(I197-14592),1,3),IF(ABS(I197-13824)&lt;=ABS(I197-14592),2,3)),13056,13824,14592)</f>
        <v>13056</v>
      </c>
      <c r="I197" s="18">
        <v>0</v>
      </c>
      <c r="J197" s="18">
        <v>0</v>
      </c>
      <c r="K197" s="18">
        <v>0</v>
      </c>
      <c r="L197" s="18">
        <v>0</v>
      </c>
      <c r="M197" s="3">
        <v>0</v>
      </c>
    </row>
    <row r="198" spans="1:13" x14ac:dyDescent="0.25">
      <c r="A198">
        <f t="shared" si="6"/>
        <v>13056</v>
      </c>
      <c r="B198" s="18">
        <v>0</v>
      </c>
      <c r="C198" s="18">
        <v>0</v>
      </c>
      <c r="D198" s="18">
        <v>0</v>
      </c>
      <c r="E198" s="18">
        <v>0</v>
      </c>
      <c r="F198" s="3">
        <v>0</v>
      </c>
      <c r="H198">
        <f t="shared" si="7"/>
        <v>13056</v>
      </c>
      <c r="I198" s="18">
        <v>0</v>
      </c>
      <c r="J198" s="18">
        <v>0</v>
      </c>
      <c r="K198" s="18">
        <v>0</v>
      </c>
      <c r="L198" s="18">
        <v>0</v>
      </c>
      <c r="M198" s="3">
        <v>0</v>
      </c>
    </row>
    <row r="199" spans="1:13" x14ac:dyDescent="0.25">
      <c r="A199">
        <f t="shared" si="6"/>
        <v>13056</v>
      </c>
      <c r="B199" s="18">
        <v>0</v>
      </c>
      <c r="C199" s="18">
        <v>0</v>
      </c>
      <c r="D199" s="18">
        <v>0</v>
      </c>
      <c r="E199" s="18">
        <v>0</v>
      </c>
      <c r="F199" s="3">
        <v>0</v>
      </c>
      <c r="H199">
        <f t="shared" si="7"/>
        <v>13056</v>
      </c>
      <c r="I199" s="18">
        <v>0</v>
      </c>
      <c r="J199" s="18">
        <v>0</v>
      </c>
      <c r="K199" s="18">
        <v>0</v>
      </c>
      <c r="L199" s="18">
        <v>0</v>
      </c>
      <c r="M199" s="3">
        <v>0</v>
      </c>
    </row>
    <row r="200" spans="1:13" x14ac:dyDescent="0.25">
      <c r="A200">
        <f t="shared" si="6"/>
        <v>13056</v>
      </c>
      <c r="B200" s="18">
        <v>0</v>
      </c>
      <c r="C200" s="18">
        <v>0</v>
      </c>
      <c r="D200" s="18">
        <v>0</v>
      </c>
      <c r="E200" s="18">
        <v>0</v>
      </c>
      <c r="F200" s="3">
        <v>0</v>
      </c>
      <c r="H200">
        <f t="shared" si="7"/>
        <v>13056</v>
      </c>
      <c r="I200" s="18">
        <v>0</v>
      </c>
      <c r="J200" s="18">
        <v>0</v>
      </c>
      <c r="K200" s="18">
        <v>0</v>
      </c>
      <c r="L200" s="18">
        <v>0</v>
      </c>
      <c r="M200" s="3">
        <v>0</v>
      </c>
    </row>
    <row r="201" spans="1:13" x14ac:dyDescent="0.25">
      <c r="A201">
        <f t="shared" si="6"/>
        <v>13056</v>
      </c>
      <c r="B201" s="18">
        <v>0</v>
      </c>
      <c r="C201" s="18">
        <v>0</v>
      </c>
      <c r="D201" s="18">
        <v>0</v>
      </c>
      <c r="E201" s="18">
        <v>0</v>
      </c>
      <c r="F201" s="3">
        <v>0</v>
      </c>
      <c r="H201">
        <f t="shared" si="7"/>
        <v>13056</v>
      </c>
      <c r="I201" s="18">
        <v>0</v>
      </c>
      <c r="J201" s="18">
        <v>0</v>
      </c>
      <c r="K201" s="18">
        <v>0</v>
      </c>
      <c r="L201" s="18">
        <v>0</v>
      </c>
      <c r="M201" s="3">
        <v>0</v>
      </c>
    </row>
    <row r="202" spans="1:13" x14ac:dyDescent="0.25">
      <c r="A202">
        <f t="shared" si="6"/>
        <v>13056</v>
      </c>
      <c r="B202" s="18">
        <v>0</v>
      </c>
      <c r="C202" s="18">
        <v>0</v>
      </c>
      <c r="D202" s="18">
        <v>0</v>
      </c>
      <c r="E202" s="18">
        <v>0</v>
      </c>
      <c r="F202" s="3">
        <v>0</v>
      </c>
      <c r="H202">
        <f t="shared" si="7"/>
        <v>13056</v>
      </c>
      <c r="I202" s="18">
        <v>0</v>
      </c>
      <c r="J202" s="18">
        <v>0</v>
      </c>
      <c r="K202" s="18">
        <v>0</v>
      </c>
      <c r="L202" s="18">
        <v>0</v>
      </c>
      <c r="M202" s="3">
        <v>0</v>
      </c>
    </row>
    <row r="203" spans="1:13" x14ac:dyDescent="0.25">
      <c r="A203">
        <f t="shared" si="6"/>
        <v>13056</v>
      </c>
      <c r="B203" s="18">
        <v>0</v>
      </c>
      <c r="C203" s="18">
        <v>0</v>
      </c>
      <c r="D203" s="18">
        <v>0</v>
      </c>
      <c r="E203" s="18">
        <v>0</v>
      </c>
      <c r="F203" s="3">
        <v>0</v>
      </c>
      <c r="H203">
        <f t="shared" si="7"/>
        <v>13056</v>
      </c>
      <c r="I203" s="18">
        <v>0</v>
      </c>
      <c r="J203" s="18">
        <v>0</v>
      </c>
      <c r="K203" s="18">
        <v>0</v>
      </c>
      <c r="L203" s="18">
        <v>0</v>
      </c>
      <c r="M203" s="3">
        <v>0</v>
      </c>
    </row>
    <row r="204" spans="1:13" x14ac:dyDescent="0.25">
      <c r="A204">
        <f t="shared" si="6"/>
        <v>13056</v>
      </c>
      <c r="B204" s="18">
        <v>0</v>
      </c>
      <c r="C204" s="18">
        <v>0</v>
      </c>
      <c r="D204" s="18">
        <v>0</v>
      </c>
      <c r="E204" s="18">
        <v>0</v>
      </c>
      <c r="F204" s="3">
        <v>0</v>
      </c>
      <c r="H204">
        <f t="shared" si="7"/>
        <v>13056</v>
      </c>
      <c r="I204" s="18">
        <v>0</v>
      </c>
      <c r="J204" s="18">
        <v>0</v>
      </c>
      <c r="K204" s="18">
        <v>0</v>
      </c>
      <c r="L204" s="18">
        <v>0</v>
      </c>
      <c r="M204" s="3">
        <v>0</v>
      </c>
    </row>
    <row r="205" spans="1:13" x14ac:dyDescent="0.25">
      <c r="A205">
        <f t="shared" si="6"/>
        <v>13056</v>
      </c>
      <c r="B205" s="18">
        <v>0</v>
      </c>
      <c r="C205" s="18">
        <v>0</v>
      </c>
      <c r="D205" s="18">
        <v>0</v>
      </c>
      <c r="E205" s="18">
        <v>0</v>
      </c>
      <c r="F205" s="3">
        <v>0</v>
      </c>
      <c r="H205">
        <f t="shared" si="7"/>
        <v>13056</v>
      </c>
      <c r="I205" s="18">
        <v>0</v>
      </c>
      <c r="J205" s="18">
        <v>0</v>
      </c>
      <c r="K205" s="18">
        <v>0</v>
      </c>
      <c r="L205" s="18">
        <v>0</v>
      </c>
      <c r="M205" s="3">
        <v>0</v>
      </c>
    </row>
    <row r="206" spans="1:13" x14ac:dyDescent="0.25">
      <c r="A206">
        <f t="shared" si="6"/>
        <v>13056</v>
      </c>
      <c r="B206" s="18">
        <v>0</v>
      </c>
      <c r="C206" s="18">
        <v>0</v>
      </c>
      <c r="D206" s="18">
        <v>0</v>
      </c>
      <c r="E206" s="18">
        <v>0</v>
      </c>
      <c r="F206" s="3">
        <v>0</v>
      </c>
      <c r="H206">
        <f t="shared" si="7"/>
        <v>13056</v>
      </c>
      <c r="I206" s="18">
        <v>0</v>
      </c>
      <c r="J206" s="18">
        <v>0</v>
      </c>
      <c r="K206" s="18">
        <v>0</v>
      </c>
      <c r="L206" s="18">
        <v>0</v>
      </c>
      <c r="M206" s="3">
        <v>0</v>
      </c>
    </row>
    <row r="207" spans="1:13" x14ac:dyDescent="0.25">
      <c r="A207">
        <f t="shared" si="6"/>
        <v>13056</v>
      </c>
      <c r="B207" s="18">
        <v>0</v>
      </c>
      <c r="C207" s="18">
        <v>0</v>
      </c>
      <c r="D207" s="18">
        <v>0</v>
      </c>
      <c r="E207" s="18">
        <v>0</v>
      </c>
      <c r="F207" s="3">
        <v>0</v>
      </c>
      <c r="H207">
        <f t="shared" si="7"/>
        <v>13056</v>
      </c>
      <c r="I207" s="18">
        <v>0</v>
      </c>
      <c r="J207" s="18">
        <v>0</v>
      </c>
      <c r="K207" s="18">
        <v>0</v>
      </c>
      <c r="L207" s="18">
        <v>0</v>
      </c>
      <c r="M207" s="3">
        <v>0</v>
      </c>
    </row>
    <row r="208" spans="1:13" x14ac:dyDescent="0.25">
      <c r="A208">
        <f t="shared" si="6"/>
        <v>13056</v>
      </c>
      <c r="B208" s="18">
        <v>0</v>
      </c>
      <c r="C208" s="18">
        <v>0</v>
      </c>
      <c r="D208" s="18">
        <v>0</v>
      </c>
      <c r="E208" s="18">
        <v>0</v>
      </c>
      <c r="F208" s="3">
        <v>0</v>
      </c>
      <c r="H208">
        <f t="shared" si="7"/>
        <v>13056</v>
      </c>
      <c r="I208" s="18">
        <v>0</v>
      </c>
      <c r="J208" s="18">
        <v>0</v>
      </c>
      <c r="K208" s="18">
        <v>0</v>
      </c>
      <c r="L208" s="18">
        <v>0</v>
      </c>
      <c r="M208" s="3">
        <v>0</v>
      </c>
    </row>
    <row r="209" spans="1:13" x14ac:dyDescent="0.25">
      <c r="A209">
        <f t="shared" si="6"/>
        <v>13056</v>
      </c>
      <c r="B209" s="18">
        <v>0</v>
      </c>
      <c r="C209" s="18">
        <v>0</v>
      </c>
      <c r="D209" s="18">
        <v>0</v>
      </c>
      <c r="E209" s="18">
        <v>0</v>
      </c>
      <c r="F209" s="3">
        <v>0</v>
      </c>
      <c r="H209">
        <f t="shared" si="7"/>
        <v>13056</v>
      </c>
      <c r="I209" s="18">
        <v>0</v>
      </c>
      <c r="J209" s="18">
        <v>0</v>
      </c>
      <c r="K209" s="18">
        <v>0</v>
      </c>
      <c r="L209" s="18">
        <v>0</v>
      </c>
      <c r="M209" s="3">
        <v>0</v>
      </c>
    </row>
    <row r="210" spans="1:13" x14ac:dyDescent="0.25">
      <c r="A210">
        <f t="shared" si="6"/>
        <v>13056</v>
      </c>
      <c r="B210" s="18">
        <v>0</v>
      </c>
      <c r="C210" s="18">
        <v>0</v>
      </c>
      <c r="D210" s="18">
        <v>0</v>
      </c>
      <c r="E210" s="18">
        <v>0</v>
      </c>
      <c r="F210" s="3">
        <v>0</v>
      </c>
      <c r="H210">
        <f t="shared" si="7"/>
        <v>13056</v>
      </c>
      <c r="I210" s="18">
        <v>0</v>
      </c>
      <c r="J210" s="18">
        <v>0</v>
      </c>
      <c r="K210" s="18">
        <v>0</v>
      </c>
      <c r="L210" s="18">
        <v>0</v>
      </c>
      <c r="M210" s="3">
        <v>0</v>
      </c>
    </row>
    <row r="211" spans="1:13" x14ac:dyDescent="0.25">
      <c r="A211">
        <f t="shared" si="6"/>
        <v>13056</v>
      </c>
      <c r="B211" s="18">
        <v>0</v>
      </c>
      <c r="C211" s="18">
        <v>0</v>
      </c>
      <c r="D211" s="18">
        <v>0</v>
      </c>
      <c r="E211" s="18">
        <v>0</v>
      </c>
      <c r="F211" s="3">
        <v>0</v>
      </c>
      <c r="H211">
        <f t="shared" si="7"/>
        <v>13056</v>
      </c>
      <c r="I211" s="18">
        <v>0</v>
      </c>
      <c r="J211" s="18">
        <v>0</v>
      </c>
      <c r="K211" s="18">
        <v>0</v>
      </c>
      <c r="L211" s="18">
        <v>0</v>
      </c>
      <c r="M211" s="3">
        <v>0</v>
      </c>
    </row>
    <row r="212" spans="1:13" x14ac:dyDescent="0.25">
      <c r="A212">
        <f t="shared" si="6"/>
        <v>13056</v>
      </c>
      <c r="B212" s="18">
        <v>0</v>
      </c>
      <c r="C212" s="18">
        <v>0</v>
      </c>
      <c r="D212" s="18">
        <v>0</v>
      </c>
      <c r="E212" s="18">
        <v>0</v>
      </c>
      <c r="F212" s="3">
        <v>0</v>
      </c>
      <c r="H212">
        <f t="shared" si="7"/>
        <v>13056</v>
      </c>
      <c r="I212" s="18">
        <v>0</v>
      </c>
      <c r="J212" s="18">
        <v>0</v>
      </c>
      <c r="K212" s="18">
        <v>0</v>
      </c>
      <c r="L212" s="18">
        <v>0</v>
      </c>
      <c r="M212" s="3">
        <v>0</v>
      </c>
    </row>
    <row r="213" spans="1:13" x14ac:dyDescent="0.25">
      <c r="A213">
        <f t="shared" si="6"/>
        <v>13056</v>
      </c>
      <c r="B213" s="18">
        <v>0</v>
      </c>
      <c r="C213" s="18">
        <v>0</v>
      </c>
      <c r="D213" s="18">
        <v>0</v>
      </c>
      <c r="E213" s="18">
        <v>0</v>
      </c>
      <c r="F213" s="3">
        <v>0</v>
      </c>
      <c r="H213">
        <f t="shared" si="7"/>
        <v>13056</v>
      </c>
      <c r="I213" s="18">
        <v>0</v>
      </c>
      <c r="J213" s="18">
        <v>0</v>
      </c>
      <c r="K213" s="18">
        <v>0</v>
      </c>
      <c r="L213" s="18">
        <v>0</v>
      </c>
      <c r="M213" s="3">
        <v>0</v>
      </c>
    </row>
    <row r="214" spans="1:13" x14ac:dyDescent="0.25">
      <c r="A214">
        <f t="shared" si="6"/>
        <v>13056</v>
      </c>
      <c r="B214" s="18">
        <v>0</v>
      </c>
      <c r="C214" s="18">
        <v>0</v>
      </c>
      <c r="D214" s="18">
        <v>0</v>
      </c>
      <c r="E214" s="18">
        <v>0</v>
      </c>
      <c r="F214" s="3">
        <v>0</v>
      </c>
      <c r="H214">
        <f t="shared" si="7"/>
        <v>13056</v>
      </c>
      <c r="I214" s="18">
        <v>0</v>
      </c>
      <c r="J214" s="18">
        <v>0</v>
      </c>
      <c r="K214" s="18">
        <v>0</v>
      </c>
      <c r="L214" s="18">
        <v>0</v>
      </c>
      <c r="M214" s="3">
        <v>0</v>
      </c>
    </row>
    <row r="215" spans="1:13" x14ac:dyDescent="0.25">
      <c r="A215">
        <f t="shared" si="6"/>
        <v>13056</v>
      </c>
      <c r="B215" s="18">
        <v>0</v>
      </c>
      <c r="C215" s="18">
        <v>0</v>
      </c>
      <c r="D215" s="18">
        <v>0</v>
      </c>
      <c r="E215" s="18">
        <v>0</v>
      </c>
      <c r="F215" s="3">
        <v>0</v>
      </c>
      <c r="H215">
        <f t="shared" si="7"/>
        <v>13056</v>
      </c>
      <c r="I215" s="18">
        <v>0</v>
      </c>
      <c r="J215" s="18">
        <v>0</v>
      </c>
      <c r="K215" s="18">
        <v>0</v>
      </c>
      <c r="L215" s="18">
        <v>0</v>
      </c>
      <c r="M215" s="3">
        <v>0</v>
      </c>
    </row>
    <row r="216" spans="1:13" x14ac:dyDescent="0.25">
      <c r="A216">
        <f t="shared" si="6"/>
        <v>13056</v>
      </c>
      <c r="B216" s="18">
        <v>0</v>
      </c>
      <c r="C216" s="18">
        <v>0</v>
      </c>
      <c r="D216" s="18">
        <v>0</v>
      </c>
      <c r="E216" s="18">
        <v>0</v>
      </c>
      <c r="F216" s="3">
        <v>0</v>
      </c>
      <c r="H216">
        <f t="shared" si="7"/>
        <v>13056</v>
      </c>
      <c r="I216" s="18">
        <v>0</v>
      </c>
      <c r="J216" s="18">
        <v>0</v>
      </c>
      <c r="K216" s="18">
        <v>0</v>
      </c>
      <c r="L216" s="18">
        <v>0</v>
      </c>
      <c r="M216" s="3">
        <v>0</v>
      </c>
    </row>
    <row r="217" spans="1:13" x14ac:dyDescent="0.25">
      <c r="A217">
        <f t="shared" si="6"/>
        <v>13056</v>
      </c>
      <c r="B217" s="18">
        <v>0</v>
      </c>
      <c r="C217" s="18">
        <v>0</v>
      </c>
      <c r="D217" s="18">
        <v>0</v>
      </c>
      <c r="E217" s="18">
        <v>0</v>
      </c>
      <c r="F217" s="3">
        <v>0</v>
      </c>
      <c r="H217">
        <f t="shared" si="7"/>
        <v>13056</v>
      </c>
      <c r="I217" s="18">
        <v>0</v>
      </c>
      <c r="J217" s="18">
        <v>0</v>
      </c>
      <c r="K217" s="18">
        <v>0</v>
      </c>
      <c r="L217" s="18">
        <v>0</v>
      </c>
      <c r="M217" s="3">
        <v>0</v>
      </c>
    </row>
    <row r="218" spans="1:13" x14ac:dyDescent="0.25">
      <c r="A218">
        <f t="shared" si="6"/>
        <v>13056</v>
      </c>
      <c r="B218" s="18">
        <v>0</v>
      </c>
      <c r="C218" s="18">
        <v>0</v>
      </c>
      <c r="D218" s="18">
        <v>0</v>
      </c>
      <c r="E218" s="18">
        <v>0</v>
      </c>
      <c r="F218" s="3">
        <v>0</v>
      </c>
      <c r="H218">
        <f t="shared" si="7"/>
        <v>13056</v>
      </c>
      <c r="I218" s="18">
        <v>0</v>
      </c>
      <c r="J218" s="18">
        <v>0</v>
      </c>
      <c r="K218" s="18">
        <v>0</v>
      </c>
      <c r="L218" s="18">
        <v>0</v>
      </c>
      <c r="M218" s="3">
        <v>0</v>
      </c>
    </row>
    <row r="219" spans="1:13" x14ac:dyDescent="0.25">
      <c r="A219">
        <f t="shared" si="6"/>
        <v>13056</v>
      </c>
      <c r="B219" s="18">
        <v>0</v>
      </c>
      <c r="C219" s="18">
        <v>0</v>
      </c>
      <c r="D219" s="18">
        <v>0</v>
      </c>
      <c r="E219" s="18">
        <v>0</v>
      </c>
      <c r="F219" s="3">
        <v>0</v>
      </c>
      <c r="H219">
        <f t="shared" si="7"/>
        <v>13056</v>
      </c>
      <c r="I219" s="18">
        <v>0</v>
      </c>
      <c r="J219" s="18">
        <v>0</v>
      </c>
      <c r="K219" s="18">
        <v>0</v>
      </c>
      <c r="L219" s="18">
        <v>0</v>
      </c>
      <c r="M219" s="3">
        <v>0</v>
      </c>
    </row>
    <row r="220" spans="1:13" x14ac:dyDescent="0.25">
      <c r="A220">
        <f t="shared" si="6"/>
        <v>13056</v>
      </c>
      <c r="B220" s="18">
        <v>0</v>
      </c>
      <c r="C220" s="18">
        <v>0</v>
      </c>
      <c r="D220" s="18">
        <v>0</v>
      </c>
      <c r="E220" s="18">
        <v>0</v>
      </c>
      <c r="F220" s="3">
        <v>0</v>
      </c>
      <c r="H220">
        <f t="shared" si="7"/>
        <v>13056</v>
      </c>
      <c r="I220" s="18">
        <v>0</v>
      </c>
      <c r="J220" s="18">
        <v>0</v>
      </c>
      <c r="K220" s="18">
        <v>0</v>
      </c>
      <c r="L220" s="18">
        <v>0</v>
      </c>
      <c r="M220" s="3">
        <v>0</v>
      </c>
    </row>
    <row r="221" spans="1:13" x14ac:dyDescent="0.25">
      <c r="A221">
        <f t="shared" si="6"/>
        <v>13056</v>
      </c>
      <c r="B221" s="18">
        <v>0</v>
      </c>
      <c r="C221" s="18">
        <v>0</v>
      </c>
      <c r="D221" s="18">
        <v>0</v>
      </c>
      <c r="E221" s="18">
        <v>0</v>
      </c>
      <c r="F221" s="3">
        <v>0</v>
      </c>
      <c r="H221">
        <f t="shared" si="7"/>
        <v>13056</v>
      </c>
      <c r="I221" s="18">
        <v>0</v>
      </c>
      <c r="J221" s="18">
        <v>0</v>
      </c>
      <c r="K221" s="18">
        <v>0</v>
      </c>
      <c r="L221" s="18">
        <v>0</v>
      </c>
      <c r="M221" s="3">
        <v>0</v>
      </c>
    </row>
    <row r="222" spans="1:13" x14ac:dyDescent="0.25">
      <c r="A222">
        <f t="shared" si="6"/>
        <v>13056</v>
      </c>
      <c r="B222" s="18">
        <v>0</v>
      </c>
      <c r="C222" s="18">
        <v>0</v>
      </c>
      <c r="D222" s="18">
        <v>0</v>
      </c>
      <c r="E222" s="18">
        <v>0</v>
      </c>
      <c r="F222" s="3">
        <v>0</v>
      </c>
      <c r="H222">
        <f t="shared" si="7"/>
        <v>13056</v>
      </c>
      <c r="I222" s="18">
        <v>0</v>
      </c>
      <c r="J222" s="18">
        <v>0</v>
      </c>
      <c r="K222" s="18">
        <v>0</v>
      </c>
      <c r="L222" s="18">
        <v>0</v>
      </c>
      <c r="M222" s="3">
        <v>0</v>
      </c>
    </row>
    <row r="223" spans="1:13" x14ac:dyDescent="0.25">
      <c r="A223">
        <f t="shared" si="6"/>
        <v>13056</v>
      </c>
      <c r="B223" s="18">
        <v>0</v>
      </c>
      <c r="C223" s="18">
        <v>0</v>
      </c>
      <c r="D223" s="18">
        <v>0</v>
      </c>
      <c r="E223" s="18">
        <v>0</v>
      </c>
      <c r="F223" s="3">
        <v>0</v>
      </c>
      <c r="H223">
        <f t="shared" si="7"/>
        <v>13056</v>
      </c>
      <c r="I223" s="18">
        <v>0</v>
      </c>
      <c r="J223" s="18">
        <v>0</v>
      </c>
      <c r="K223" s="18">
        <v>0</v>
      </c>
      <c r="L223" s="18">
        <v>0</v>
      </c>
      <c r="M223" s="3">
        <v>0</v>
      </c>
    </row>
    <row r="224" spans="1:13" x14ac:dyDescent="0.25">
      <c r="A224">
        <f t="shared" si="6"/>
        <v>13056</v>
      </c>
      <c r="B224" s="18">
        <v>0</v>
      </c>
      <c r="C224" s="18">
        <v>0</v>
      </c>
      <c r="D224" s="18">
        <v>0</v>
      </c>
      <c r="E224" s="18">
        <v>0</v>
      </c>
      <c r="F224" s="3">
        <v>0</v>
      </c>
      <c r="H224">
        <f t="shared" si="7"/>
        <v>13056</v>
      </c>
      <c r="I224" s="18">
        <v>0</v>
      </c>
      <c r="J224" s="18">
        <v>0</v>
      </c>
      <c r="K224" s="18">
        <v>0</v>
      </c>
      <c r="L224" s="18">
        <v>0</v>
      </c>
      <c r="M224" s="3">
        <v>0</v>
      </c>
    </row>
    <row r="225" spans="1:13" x14ac:dyDescent="0.25">
      <c r="A225">
        <f t="shared" si="6"/>
        <v>13056</v>
      </c>
      <c r="B225" s="18">
        <v>0</v>
      </c>
      <c r="C225" s="18">
        <v>0</v>
      </c>
      <c r="D225" s="18">
        <v>0</v>
      </c>
      <c r="E225" s="18">
        <v>0</v>
      </c>
      <c r="F225" s="3">
        <v>0</v>
      </c>
      <c r="H225">
        <f t="shared" si="7"/>
        <v>13056</v>
      </c>
      <c r="I225" s="18">
        <v>0</v>
      </c>
      <c r="J225" s="18">
        <v>0</v>
      </c>
      <c r="K225" s="18">
        <v>0</v>
      </c>
      <c r="L225" s="18">
        <v>0</v>
      </c>
      <c r="M225" s="3">
        <v>0</v>
      </c>
    </row>
    <row r="226" spans="1:13" x14ac:dyDescent="0.25">
      <c r="A226">
        <f t="shared" si="6"/>
        <v>13056</v>
      </c>
      <c r="B226" s="18">
        <v>0</v>
      </c>
      <c r="C226" s="18">
        <v>0</v>
      </c>
      <c r="D226" s="18">
        <v>0</v>
      </c>
      <c r="E226" s="18">
        <v>0</v>
      </c>
      <c r="F226" s="3">
        <v>0</v>
      </c>
      <c r="H226">
        <f t="shared" si="7"/>
        <v>13056</v>
      </c>
      <c r="I226" s="18">
        <v>0</v>
      </c>
      <c r="J226" s="18">
        <v>0</v>
      </c>
      <c r="K226" s="18">
        <v>0</v>
      </c>
      <c r="L226" s="18">
        <v>0</v>
      </c>
      <c r="M226" s="3">
        <v>0</v>
      </c>
    </row>
    <row r="227" spans="1:13" x14ac:dyDescent="0.25">
      <c r="A227">
        <f t="shared" si="6"/>
        <v>13056</v>
      </c>
      <c r="B227" s="18">
        <v>0</v>
      </c>
      <c r="C227" s="18">
        <v>0</v>
      </c>
      <c r="D227" s="18">
        <v>0</v>
      </c>
      <c r="E227" s="18">
        <v>0</v>
      </c>
      <c r="F227" s="3">
        <v>0</v>
      </c>
      <c r="H227">
        <f t="shared" si="7"/>
        <v>13056</v>
      </c>
      <c r="I227" s="18">
        <v>0</v>
      </c>
      <c r="J227" s="18">
        <v>0</v>
      </c>
      <c r="K227" s="18">
        <v>0</v>
      </c>
      <c r="L227" s="18">
        <v>0</v>
      </c>
      <c r="M227" s="3">
        <v>0</v>
      </c>
    </row>
    <row r="228" spans="1:13" x14ac:dyDescent="0.25">
      <c r="A228">
        <f t="shared" si="6"/>
        <v>13056</v>
      </c>
      <c r="B228" s="18">
        <v>0</v>
      </c>
      <c r="C228" s="18">
        <v>0</v>
      </c>
      <c r="D228" s="18">
        <v>0</v>
      </c>
      <c r="E228" s="18">
        <v>0</v>
      </c>
      <c r="F228" s="3">
        <v>0</v>
      </c>
      <c r="H228">
        <f t="shared" si="7"/>
        <v>13056</v>
      </c>
      <c r="I228" s="18">
        <v>0</v>
      </c>
      <c r="J228" s="18">
        <v>0</v>
      </c>
      <c r="K228" s="18">
        <v>0</v>
      </c>
      <c r="L228" s="18">
        <v>0</v>
      </c>
      <c r="M228" s="3">
        <v>0</v>
      </c>
    </row>
    <row r="229" spans="1:13" x14ac:dyDescent="0.25">
      <c r="A229">
        <f t="shared" si="6"/>
        <v>13056</v>
      </c>
      <c r="B229" s="18">
        <v>0</v>
      </c>
      <c r="C229" s="18">
        <v>0</v>
      </c>
      <c r="D229" s="18">
        <v>0</v>
      </c>
      <c r="E229" s="18">
        <v>0</v>
      </c>
      <c r="F229" s="3">
        <v>0</v>
      </c>
      <c r="H229">
        <f t="shared" si="7"/>
        <v>13056</v>
      </c>
      <c r="I229" s="18">
        <v>0</v>
      </c>
      <c r="J229" s="18">
        <v>0</v>
      </c>
      <c r="K229" s="18">
        <v>0</v>
      </c>
      <c r="L229" s="18">
        <v>0</v>
      </c>
      <c r="M229" s="3">
        <v>0</v>
      </c>
    </row>
    <row r="230" spans="1:13" x14ac:dyDescent="0.25">
      <c r="A230">
        <f t="shared" si="6"/>
        <v>13056</v>
      </c>
      <c r="B230" s="18">
        <v>0</v>
      </c>
      <c r="C230" s="18">
        <v>0</v>
      </c>
      <c r="D230" s="18">
        <v>0</v>
      </c>
      <c r="E230" s="18">
        <v>0</v>
      </c>
      <c r="F230" s="3">
        <v>0</v>
      </c>
      <c r="H230">
        <f t="shared" si="7"/>
        <v>13056</v>
      </c>
      <c r="I230" s="18">
        <v>0</v>
      </c>
      <c r="J230" s="18">
        <v>0</v>
      </c>
      <c r="K230" s="18">
        <v>0</v>
      </c>
      <c r="L230" s="18">
        <v>0</v>
      </c>
      <c r="M230" s="3">
        <v>0</v>
      </c>
    </row>
    <row r="231" spans="1:13" x14ac:dyDescent="0.25">
      <c r="A231">
        <f t="shared" si="6"/>
        <v>13056</v>
      </c>
      <c r="B231" s="18">
        <v>0</v>
      </c>
      <c r="C231" s="18">
        <v>0</v>
      </c>
      <c r="D231" s="18">
        <v>0</v>
      </c>
      <c r="E231" s="18">
        <v>0</v>
      </c>
      <c r="F231" s="3">
        <v>0</v>
      </c>
      <c r="H231">
        <f t="shared" si="7"/>
        <v>13056</v>
      </c>
      <c r="I231" s="18">
        <v>0</v>
      </c>
      <c r="J231" s="18">
        <v>0</v>
      </c>
      <c r="K231" s="18">
        <v>0</v>
      </c>
      <c r="L231" s="18">
        <v>0</v>
      </c>
      <c r="M231" s="3">
        <v>0</v>
      </c>
    </row>
    <row r="232" spans="1:13" x14ac:dyDescent="0.25">
      <c r="A232">
        <f t="shared" si="6"/>
        <v>13056</v>
      </c>
      <c r="B232" s="18">
        <v>0</v>
      </c>
      <c r="C232" s="18">
        <v>0</v>
      </c>
      <c r="D232" s="18">
        <v>0</v>
      </c>
      <c r="E232" s="18">
        <v>0</v>
      </c>
      <c r="F232" s="3">
        <v>0</v>
      </c>
      <c r="H232">
        <f t="shared" si="7"/>
        <v>13056</v>
      </c>
      <c r="I232" s="18">
        <v>0</v>
      </c>
      <c r="J232" s="18">
        <v>0</v>
      </c>
      <c r="K232" s="18">
        <v>0</v>
      </c>
      <c r="L232" s="18">
        <v>0</v>
      </c>
      <c r="M232" s="3">
        <v>0</v>
      </c>
    </row>
    <row r="233" spans="1:13" x14ac:dyDescent="0.25">
      <c r="A233">
        <f t="shared" si="6"/>
        <v>13056</v>
      </c>
      <c r="B233" s="18">
        <v>0</v>
      </c>
      <c r="C233" s="18">
        <v>0</v>
      </c>
      <c r="D233" s="18">
        <v>0</v>
      </c>
      <c r="E233" s="18">
        <v>0</v>
      </c>
      <c r="F233" s="3">
        <v>0</v>
      </c>
      <c r="H233">
        <f t="shared" si="7"/>
        <v>13056</v>
      </c>
      <c r="I233" s="18">
        <v>0</v>
      </c>
      <c r="J233" s="18">
        <v>0</v>
      </c>
      <c r="K233" s="18">
        <v>0</v>
      </c>
      <c r="L233" s="18">
        <v>0</v>
      </c>
      <c r="M233" s="3">
        <v>0</v>
      </c>
    </row>
    <row r="234" spans="1:13" x14ac:dyDescent="0.25">
      <c r="A234">
        <f t="shared" si="6"/>
        <v>13056</v>
      </c>
      <c r="B234" s="18">
        <v>0</v>
      </c>
      <c r="C234" s="18">
        <v>0</v>
      </c>
      <c r="D234" s="18">
        <v>0</v>
      </c>
      <c r="E234" s="18">
        <v>0</v>
      </c>
      <c r="F234" s="3">
        <v>0</v>
      </c>
      <c r="H234">
        <f t="shared" si="7"/>
        <v>13056</v>
      </c>
      <c r="I234" s="18">
        <v>0</v>
      </c>
      <c r="J234" s="18">
        <v>0</v>
      </c>
      <c r="K234" s="18">
        <v>0</v>
      </c>
      <c r="L234" s="18">
        <v>0</v>
      </c>
      <c r="M234" s="3">
        <v>0</v>
      </c>
    </row>
    <row r="235" spans="1:13" x14ac:dyDescent="0.25">
      <c r="A235">
        <f t="shared" si="6"/>
        <v>13056</v>
      </c>
      <c r="B235" s="18">
        <v>0</v>
      </c>
      <c r="C235" s="18">
        <v>0</v>
      </c>
      <c r="D235" s="18">
        <v>0</v>
      </c>
      <c r="E235" s="18">
        <v>0</v>
      </c>
      <c r="F235" s="3">
        <v>0</v>
      </c>
      <c r="H235">
        <f t="shared" si="7"/>
        <v>13056</v>
      </c>
      <c r="I235" s="18">
        <v>0</v>
      </c>
      <c r="J235" s="18">
        <v>0</v>
      </c>
      <c r="K235" s="18">
        <v>0</v>
      </c>
      <c r="L235" s="18">
        <v>0</v>
      </c>
      <c r="M235" s="3">
        <v>0</v>
      </c>
    </row>
    <row r="236" spans="1:13" x14ac:dyDescent="0.25">
      <c r="A236">
        <f t="shared" si="6"/>
        <v>13056</v>
      </c>
      <c r="B236" s="18">
        <v>0</v>
      </c>
      <c r="C236" s="18">
        <v>0</v>
      </c>
      <c r="D236" s="18">
        <v>0</v>
      </c>
      <c r="E236" s="18">
        <v>0</v>
      </c>
      <c r="F236" s="3">
        <v>0</v>
      </c>
      <c r="H236">
        <f t="shared" si="7"/>
        <v>13056</v>
      </c>
      <c r="I236" s="18">
        <v>0</v>
      </c>
      <c r="J236" s="18">
        <v>0</v>
      </c>
      <c r="K236" s="18">
        <v>0</v>
      </c>
      <c r="L236" s="18">
        <v>0</v>
      </c>
      <c r="M236" s="3">
        <v>0</v>
      </c>
    </row>
    <row r="237" spans="1:13" x14ac:dyDescent="0.25">
      <c r="A237">
        <f t="shared" si="6"/>
        <v>13056</v>
      </c>
      <c r="B237" s="18">
        <v>0</v>
      </c>
      <c r="C237" s="18">
        <v>0</v>
      </c>
      <c r="D237" s="18">
        <v>0</v>
      </c>
      <c r="E237" s="18">
        <v>0</v>
      </c>
      <c r="F237" s="3">
        <v>0</v>
      </c>
      <c r="H237">
        <f t="shared" si="7"/>
        <v>13056</v>
      </c>
      <c r="I237" s="18">
        <v>0</v>
      </c>
      <c r="J237" s="18">
        <v>0</v>
      </c>
      <c r="K237" s="18">
        <v>0</v>
      </c>
      <c r="L237" s="18">
        <v>0</v>
      </c>
      <c r="M237" s="3">
        <v>0</v>
      </c>
    </row>
    <row r="238" spans="1:13" x14ac:dyDescent="0.25">
      <c r="A238">
        <f t="shared" si="6"/>
        <v>13056</v>
      </c>
      <c r="B238" s="18">
        <v>0</v>
      </c>
      <c r="C238" s="18">
        <v>0</v>
      </c>
      <c r="D238" s="18">
        <v>0</v>
      </c>
      <c r="E238" s="18">
        <v>0</v>
      </c>
      <c r="F238" s="3">
        <v>0</v>
      </c>
      <c r="H238">
        <f t="shared" si="7"/>
        <v>13056</v>
      </c>
      <c r="I238" s="18">
        <v>0</v>
      </c>
      <c r="J238" s="18">
        <v>0</v>
      </c>
      <c r="K238" s="18">
        <v>0</v>
      </c>
      <c r="L238" s="18">
        <v>0</v>
      </c>
      <c r="M238" s="3">
        <v>0</v>
      </c>
    </row>
    <row r="239" spans="1:13" x14ac:dyDescent="0.25">
      <c r="A239">
        <f t="shared" si="6"/>
        <v>13056</v>
      </c>
      <c r="B239" s="18">
        <v>0</v>
      </c>
      <c r="C239" s="18">
        <v>0</v>
      </c>
      <c r="D239" s="18">
        <v>0</v>
      </c>
      <c r="E239" s="18">
        <v>0</v>
      </c>
      <c r="F239" s="3">
        <v>0</v>
      </c>
      <c r="H239">
        <f t="shared" si="7"/>
        <v>13056</v>
      </c>
      <c r="I239" s="18">
        <v>0</v>
      </c>
      <c r="J239" s="18">
        <v>0</v>
      </c>
      <c r="K239" s="18">
        <v>0</v>
      </c>
      <c r="L239" s="18">
        <v>0</v>
      </c>
      <c r="M239" s="3">
        <v>0</v>
      </c>
    </row>
    <row r="240" spans="1:13" x14ac:dyDescent="0.25">
      <c r="A240">
        <f t="shared" si="6"/>
        <v>13056</v>
      </c>
      <c r="B240" s="18">
        <v>0</v>
      </c>
      <c r="C240" s="18">
        <v>0</v>
      </c>
      <c r="D240" s="18">
        <v>0</v>
      </c>
      <c r="E240" s="18">
        <v>0</v>
      </c>
      <c r="F240" s="3">
        <v>0</v>
      </c>
      <c r="H240">
        <f t="shared" si="7"/>
        <v>13056</v>
      </c>
      <c r="I240" s="18">
        <v>0</v>
      </c>
      <c r="J240" s="18">
        <v>0</v>
      </c>
      <c r="K240" s="18">
        <v>0</v>
      </c>
      <c r="L240" s="18">
        <v>0</v>
      </c>
      <c r="M240" s="3">
        <v>0</v>
      </c>
    </row>
    <row r="241" spans="1:13" x14ac:dyDescent="0.25">
      <c r="A241">
        <f t="shared" si="6"/>
        <v>13056</v>
      </c>
      <c r="B241" s="18">
        <v>0</v>
      </c>
      <c r="C241" s="18">
        <v>0</v>
      </c>
      <c r="D241" s="18">
        <v>0</v>
      </c>
      <c r="E241" s="18">
        <v>0</v>
      </c>
      <c r="F241" s="3">
        <v>0</v>
      </c>
      <c r="H241">
        <f t="shared" si="7"/>
        <v>13056</v>
      </c>
      <c r="I241" s="18">
        <v>0</v>
      </c>
      <c r="J241" s="18">
        <v>0</v>
      </c>
      <c r="K241" s="18">
        <v>0</v>
      </c>
      <c r="L241" s="18">
        <v>0</v>
      </c>
      <c r="M241" s="3">
        <v>0</v>
      </c>
    </row>
    <row r="242" spans="1:13" x14ac:dyDescent="0.25">
      <c r="A242">
        <f t="shared" si="6"/>
        <v>13056</v>
      </c>
      <c r="B242" s="18">
        <v>0</v>
      </c>
      <c r="C242" s="18">
        <v>0</v>
      </c>
      <c r="D242" s="18">
        <v>0</v>
      </c>
      <c r="E242" s="18">
        <v>0</v>
      </c>
      <c r="F242" s="3">
        <v>0</v>
      </c>
      <c r="H242">
        <f t="shared" si="7"/>
        <v>13056</v>
      </c>
      <c r="I242" s="18">
        <v>0</v>
      </c>
      <c r="J242" s="18">
        <v>0</v>
      </c>
      <c r="K242" s="18">
        <v>0</v>
      </c>
      <c r="L242" s="18">
        <v>0</v>
      </c>
      <c r="M242" s="3">
        <v>0</v>
      </c>
    </row>
    <row r="243" spans="1:13" x14ac:dyDescent="0.25">
      <c r="A243">
        <f t="shared" si="6"/>
        <v>13056</v>
      </c>
      <c r="B243" s="18">
        <v>0</v>
      </c>
      <c r="C243" s="18">
        <v>0</v>
      </c>
      <c r="D243" s="18">
        <v>0</v>
      </c>
      <c r="E243" s="18">
        <v>0</v>
      </c>
      <c r="F243" s="3">
        <v>0</v>
      </c>
      <c r="H243">
        <f t="shared" si="7"/>
        <v>13056</v>
      </c>
      <c r="I243" s="18">
        <v>0</v>
      </c>
      <c r="J243" s="18">
        <v>0</v>
      </c>
      <c r="K243" s="18">
        <v>0</v>
      </c>
      <c r="L243" s="18">
        <v>0</v>
      </c>
      <c r="M243" s="3">
        <v>0</v>
      </c>
    </row>
    <row r="244" spans="1:13" x14ac:dyDescent="0.25">
      <c r="A244">
        <f t="shared" si="6"/>
        <v>13056</v>
      </c>
      <c r="B244" s="18">
        <v>0</v>
      </c>
      <c r="C244" s="18">
        <v>0</v>
      </c>
      <c r="D244" s="18">
        <v>0</v>
      </c>
      <c r="E244" s="18">
        <v>0</v>
      </c>
      <c r="F244" s="3">
        <v>0</v>
      </c>
      <c r="H244">
        <f t="shared" si="7"/>
        <v>13056</v>
      </c>
      <c r="I244" s="18">
        <v>0</v>
      </c>
      <c r="J244" s="18">
        <v>0</v>
      </c>
      <c r="K244" s="18">
        <v>0</v>
      </c>
      <c r="L244" s="18">
        <v>0</v>
      </c>
      <c r="M244" s="3">
        <v>0</v>
      </c>
    </row>
    <row r="245" spans="1:13" x14ac:dyDescent="0.25">
      <c r="A245">
        <f t="shared" si="6"/>
        <v>13056</v>
      </c>
      <c r="B245" s="18">
        <v>0</v>
      </c>
      <c r="C245" s="18">
        <v>0</v>
      </c>
      <c r="D245" s="18">
        <v>0</v>
      </c>
      <c r="E245" s="18">
        <v>0</v>
      </c>
      <c r="F245" s="3">
        <v>0</v>
      </c>
      <c r="H245">
        <f t="shared" si="7"/>
        <v>13056</v>
      </c>
      <c r="I245" s="18">
        <v>0</v>
      </c>
      <c r="J245" s="18">
        <v>0</v>
      </c>
      <c r="K245" s="18">
        <v>0</v>
      </c>
      <c r="L245" s="18">
        <v>0</v>
      </c>
      <c r="M245" s="3">
        <v>0</v>
      </c>
    </row>
    <row r="246" spans="1:13" x14ac:dyDescent="0.25">
      <c r="A246">
        <f t="shared" si="6"/>
        <v>13056</v>
      </c>
      <c r="B246" s="18">
        <v>0</v>
      </c>
      <c r="C246" s="18">
        <v>0</v>
      </c>
      <c r="D246" s="18">
        <v>0</v>
      </c>
      <c r="E246" s="18">
        <v>0</v>
      </c>
      <c r="F246" s="3">
        <v>0</v>
      </c>
      <c r="H246">
        <f t="shared" si="7"/>
        <v>13056</v>
      </c>
      <c r="I246" s="18">
        <v>0</v>
      </c>
      <c r="J246" s="18">
        <v>0</v>
      </c>
      <c r="K246" s="18">
        <v>0</v>
      </c>
      <c r="L246" s="18">
        <v>0</v>
      </c>
      <c r="M246" s="3">
        <v>0</v>
      </c>
    </row>
    <row r="247" spans="1:13" x14ac:dyDescent="0.25">
      <c r="A247">
        <f t="shared" si="6"/>
        <v>13056</v>
      </c>
      <c r="B247" s="18">
        <v>0</v>
      </c>
      <c r="C247" s="18">
        <v>0</v>
      </c>
      <c r="D247" s="18">
        <v>0</v>
      </c>
      <c r="E247" s="18">
        <v>0</v>
      </c>
      <c r="F247" s="3">
        <v>0</v>
      </c>
      <c r="H247">
        <f t="shared" si="7"/>
        <v>13056</v>
      </c>
      <c r="I247" s="18">
        <v>0</v>
      </c>
      <c r="J247" s="18">
        <v>0</v>
      </c>
      <c r="K247" s="18">
        <v>0</v>
      </c>
      <c r="L247" s="18">
        <v>0</v>
      </c>
      <c r="M247" s="3">
        <v>0</v>
      </c>
    </row>
    <row r="248" spans="1:13" x14ac:dyDescent="0.25">
      <c r="A248">
        <f t="shared" si="6"/>
        <v>13056</v>
      </c>
      <c r="B248" s="18">
        <v>0</v>
      </c>
      <c r="C248" s="18">
        <v>0</v>
      </c>
      <c r="D248" s="18">
        <v>0</v>
      </c>
      <c r="E248" s="18">
        <v>0</v>
      </c>
      <c r="F248" s="3">
        <v>0</v>
      </c>
      <c r="H248">
        <f t="shared" si="7"/>
        <v>13056</v>
      </c>
      <c r="I248" s="18">
        <v>0</v>
      </c>
      <c r="J248" s="18">
        <v>0</v>
      </c>
      <c r="K248" s="18">
        <v>0</v>
      </c>
      <c r="L248" s="18">
        <v>0</v>
      </c>
      <c r="M248" s="3">
        <v>0</v>
      </c>
    </row>
    <row r="249" spans="1:13" x14ac:dyDescent="0.25">
      <c r="A249">
        <f t="shared" si="6"/>
        <v>13056</v>
      </c>
      <c r="B249" s="18">
        <v>0</v>
      </c>
      <c r="C249" s="18">
        <v>0</v>
      </c>
      <c r="D249" s="18">
        <v>0</v>
      </c>
      <c r="E249" s="18">
        <v>0</v>
      </c>
      <c r="F249" s="3">
        <v>0</v>
      </c>
      <c r="H249">
        <f t="shared" si="7"/>
        <v>13056</v>
      </c>
      <c r="I249" s="18">
        <v>0</v>
      </c>
      <c r="J249" s="18">
        <v>0</v>
      </c>
      <c r="K249" s="18">
        <v>0</v>
      </c>
      <c r="L249" s="18">
        <v>0</v>
      </c>
      <c r="M249" s="3">
        <v>0</v>
      </c>
    </row>
    <row r="250" spans="1:13" x14ac:dyDescent="0.25">
      <c r="A250">
        <f t="shared" si="6"/>
        <v>13056</v>
      </c>
      <c r="B250" s="18">
        <v>0</v>
      </c>
      <c r="C250" s="18">
        <v>0</v>
      </c>
      <c r="D250" s="18">
        <v>0</v>
      </c>
      <c r="E250" s="18">
        <v>0</v>
      </c>
      <c r="F250" s="3">
        <v>0</v>
      </c>
      <c r="H250">
        <f t="shared" si="7"/>
        <v>13056</v>
      </c>
      <c r="I250" s="18">
        <v>0</v>
      </c>
      <c r="J250" s="18">
        <v>0</v>
      </c>
      <c r="K250" s="18">
        <v>0</v>
      </c>
      <c r="L250" s="18">
        <v>0</v>
      </c>
      <c r="M250" s="3">
        <v>0</v>
      </c>
    </row>
    <row r="251" spans="1:13" x14ac:dyDescent="0.25">
      <c r="A251">
        <f t="shared" si="6"/>
        <v>13056</v>
      </c>
      <c r="B251" s="18">
        <v>0</v>
      </c>
      <c r="C251" s="18">
        <v>0</v>
      </c>
      <c r="D251" s="18">
        <v>0</v>
      </c>
      <c r="E251" s="18">
        <v>0</v>
      </c>
      <c r="F251" s="3">
        <v>0</v>
      </c>
      <c r="H251">
        <f t="shared" si="7"/>
        <v>13056</v>
      </c>
      <c r="I251" s="18">
        <v>0</v>
      </c>
      <c r="J251" s="18">
        <v>0</v>
      </c>
      <c r="K251" s="18">
        <v>0</v>
      </c>
      <c r="L251" s="18">
        <v>0</v>
      </c>
      <c r="M251" s="3">
        <v>0</v>
      </c>
    </row>
    <row r="252" spans="1:13" x14ac:dyDescent="0.25">
      <c r="A252">
        <f t="shared" si="6"/>
        <v>13056</v>
      </c>
      <c r="B252" s="18">
        <v>0</v>
      </c>
      <c r="C252" s="18">
        <v>0</v>
      </c>
      <c r="D252" s="18">
        <v>0</v>
      </c>
      <c r="E252" s="18">
        <v>0</v>
      </c>
      <c r="F252" s="3">
        <v>0</v>
      </c>
      <c r="H252">
        <f t="shared" si="7"/>
        <v>13056</v>
      </c>
      <c r="I252" s="18">
        <v>0</v>
      </c>
      <c r="J252" s="18">
        <v>0</v>
      </c>
      <c r="K252" s="18">
        <v>0</v>
      </c>
      <c r="L252" s="18">
        <v>0</v>
      </c>
      <c r="M252" s="3">
        <v>0</v>
      </c>
    </row>
    <row r="253" spans="1:13" x14ac:dyDescent="0.25">
      <c r="A253">
        <f t="shared" si="6"/>
        <v>13056</v>
      </c>
      <c r="B253" s="18">
        <v>0</v>
      </c>
      <c r="C253" s="18">
        <v>0</v>
      </c>
      <c r="D253" s="18">
        <v>0</v>
      </c>
      <c r="E253" s="18">
        <v>0</v>
      </c>
      <c r="F253" s="3">
        <v>0</v>
      </c>
      <c r="H253">
        <f t="shared" si="7"/>
        <v>13056</v>
      </c>
      <c r="I253" s="18">
        <v>0</v>
      </c>
      <c r="J253" s="18">
        <v>0</v>
      </c>
      <c r="K253" s="18">
        <v>0</v>
      </c>
      <c r="L253" s="18">
        <v>0</v>
      </c>
      <c r="M253" s="3">
        <v>0</v>
      </c>
    </row>
    <row r="254" spans="1:13" x14ac:dyDescent="0.25">
      <c r="A254">
        <f t="shared" si="6"/>
        <v>13056</v>
      </c>
      <c r="B254" s="18">
        <v>0</v>
      </c>
      <c r="C254" s="18">
        <v>0</v>
      </c>
      <c r="D254" s="18">
        <v>0</v>
      </c>
      <c r="E254" s="18">
        <v>0</v>
      </c>
      <c r="F254" s="3">
        <v>0</v>
      </c>
      <c r="H254">
        <f t="shared" si="7"/>
        <v>13056</v>
      </c>
      <c r="I254" s="18">
        <v>0</v>
      </c>
      <c r="J254" s="18">
        <v>0</v>
      </c>
      <c r="K254" s="18">
        <v>0</v>
      </c>
      <c r="L254" s="18">
        <v>0</v>
      </c>
      <c r="M254" s="3">
        <v>0</v>
      </c>
    </row>
    <row r="255" spans="1:13" x14ac:dyDescent="0.25">
      <c r="A255">
        <f t="shared" si="6"/>
        <v>13056</v>
      </c>
      <c r="B255" s="18">
        <v>0</v>
      </c>
      <c r="C255" s="18">
        <v>0</v>
      </c>
      <c r="D255" s="18">
        <v>0</v>
      </c>
      <c r="E255" s="18">
        <v>0</v>
      </c>
      <c r="F255" s="3">
        <v>0</v>
      </c>
      <c r="H255">
        <f t="shared" si="7"/>
        <v>13056</v>
      </c>
      <c r="I255" s="18">
        <v>0</v>
      </c>
      <c r="J255" s="18">
        <v>0</v>
      </c>
      <c r="K255" s="18">
        <v>0</v>
      </c>
      <c r="L255" s="18">
        <v>0</v>
      </c>
      <c r="M255" s="3">
        <v>0</v>
      </c>
    </row>
    <row r="256" spans="1:13" x14ac:dyDescent="0.25">
      <c r="A256">
        <f t="shared" si="6"/>
        <v>13056</v>
      </c>
      <c r="B256" s="18">
        <v>0</v>
      </c>
      <c r="C256" s="18">
        <v>0</v>
      </c>
      <c r="D256" s="18">
        <v>0</v>
      </c>
      <c r="E256" s="18">
        <v>0</v>
      </c>
      <c r="F256" s="3">
        <v>0</v>
      </c>
      <c r="H256">
        <f t="shared" si="7"/>
        <v>13056</v>
      </c>
      <c r="I256" s="18">
        <v>0</v>
      </c>
      <c r="J256" s="18">
        <v>0</v>
      </c>
      <c r="K256" s="18">
        <v>0</v>
      </c>
      <c r="L256" s="18">
        <v>0</v>
      </c>
      <c r="M256" s="3">
        <v>0</v>
      </c>
    </row>
    <row r="257" spans="1:13" x14ac:dyDescent="0.25">
      <c r="A257">
        <f t="shared" si="6"/>
        <v>13056</v>
      </c>
      <c r="B257" s="18">
        <v>0</v>
      </c>
      <c r="C257" s="18">
        <v>0</v>
      </c>
      <c r="D257" s="18">
        <v>0</v>
      </c>
      <c r="E257" s="18">
        <v>0</v>
      </c>
      <c r="F257" s="3">
        <v>0</v>
      </c>
      <c r="H257">
        <f t="shared" si="7"/>
        <v>13056</v>
      </c>
      <c r="I257" s="18">
        <v>0</v>
      </c>
      <c r="J257" s="18">
        <v>0</v>
      </c>
      <c r="K257" s="18">
        <v>0</v>
      </c>
      <c r="L257" s="18">
        <v>0</v>
      </c>
      <c r="M257" s="3">
        <v>0</v>
      </c>
    </row>
    <row r="258" spans="1:13" x14ac:dyDescent="0.25">
      <c r="A258">
        <f t="shared" si="6"/>
        <v>13056</v>
      </c>
      <c r="B258" s="18">
        <v>0</v>
      </c>
      <c r="C258" s="18">
        <v>0</v>
      </c>
      <c r="D258" s="18">
        <v>0</v>
      </c>
      <c r="E258" s="18">
        <v>0</v>
      </c>
      <c r="F258" s="3">
        <v>0</v>
      </c>
      <c r="H258">
        <f t="shared" si="7"/>
        <v>13056</v>
      </c>
      <c r="I258" s="18">
        <v>0</v>
      </c>
      <c r="J258" s="18">
        <v>0</v>
      </c>
      <c r="K258" s="18">
        <v>0</v>
      </c>
      <c r="L258" s="18">
        <v>0</v>
      </c>
      <c r="M258" s="3">
        <v>0</v>
      </c>
    </row>
    <row r="259" spans="1:13" x14ac:dyDescent="0.25">
      <c r="A259">
        <f t="shared" si="6"/>
        <v>13056</v>
      </c>
      <c r="B259" s="18">
        <v>0</v>
      </c>
      <c r="C259" s="18">
        <v>0</v>
      </c>
      <c r="D259" s="18">
        <v>0</v>
      </c>
      <c r="E259" s="18">
        <v>0</v>
      </c>
      <c r="F259" s="3">
        <v>0</v>
      </c>
      <c r="H259">
        <f t="shared" si="7"/>
        <v>13056</v>
      </c>
      <c r="I259" s="18">
        <v>0</v>
      </c>
      <c r="J259" s="18">
        <v>0</v>
      </c>
      <c r="K259" s="18">
        <v>0</v>
      </c>
      <c r="L259" s="18">
        <v>0</v>
      </c>
      <c r="M259" s="3">
        <v>0</v>
      </c>
    </row>
    <row r="260" spans="1:13" x14ac:dyDescent="0.25">
      <c r="A260">
        <f t="shared" si="6"/>
        <v>13056</v>
      </c>
      <c r="B260" s="18">
        <v>0</v>
      </c>
      <c r="C260" s="18">
        <v>0</v>
      </c>
      <c r="D260" s="18">
        <v>0</v>
      </c>
      <c r="E260" s="18">
        <v>0</v>
      </c>
      <c r="F260" s="3">
        <v>0</v>
      </c>
      <c r="H260">
        <f t="shared" si="7"/>
        <v>13056</v>
      </c>
      <c r="I260" s="18">
        <v>0</v>
      </c>
      <c r="J260" s="18">
        <v>0</v>
      </c>
      <c r="K260" s="18">
        <v>0</v>
      </c>
      <c r="L260" s="18">
        <v>0</v>
      </c>
      <c r="M260" s="3">
        <v>0</v>
      </c>
    </row>
  </sheetData>
  <mergeCells count="2">
    <mergeCell ref="B1:F1"/>
    <mergeCell ref="I1:M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1B83-D285-4EF9-9346-8F0B6EA311C9}">
  <dimension ref="A1:AD372"/>
  <sheetViews>
    <sheetView zoomScale="85" zoomScaleNormal="85" workbookViewId="0">
      <selection activeCell="O20" sqref="O20"/>
    </sheetView>
  </sheetViews>
  <sheetFormatPr defaultColWidth="8.85546875" defaultRowHeight="15" x14ac:dyDescent="0.25"/>
  <cols>
    <col min="8" max="8" width="9.140625" style="3"/>
    <col min="9" max="9" width="9.7109375" bestFit="1" customWidth="1"/>
    <col min="15" max="15" width="9.42578125" customWidth="1"/>
    <col min="23" max="23" width="9.140625" style="3"/>
    <col min="24" max="24" width="10.7109375" style="41" bestFit="1" customWidth="1"/>
    <col min="25" max="25" width="9.140625" style="44"/>
    <col min="29" max="29" width="9.140625" style="4"/>
  </cols>
  <sheetData>
    <row r="1" spans="1:30" x14ac:dyDescent="0.25">
      <c r="A1" s="83" t="s">
        <v>27</v>
      </c>
      <c r="B1" s="83"/>
      <c r="C1" s="83"/>
      <c r="D1" s="83"/>
      <c r="E1" s="28">
        <f>MAX(N:N)</f>
        <v>2.3064799999999996</v>
      </c>
      <c r="F1" s="20">
        <f>INDEX(C:C,MATCH(MAX($N:$N),$N:$N,0))</f>
        <v>13776</v>
      </c>
      <c r="G1" s="20">
        <f>INDEX(D:D,MATCH(MAX($N:$N),$N:$N,0))</f>
        <v>112</v>
      </c>
      <c r="H1" s="20">
        <f>INDEX(E:E,MATCH(MAX($N:$N),$N:$N,0))</f>
        <v>2</v>
      </c>
      <c r="I1" s="20">
        <f>INDEX(F:F,MATCH(MAX($N:$N),$N:$N,0))</f>
        <v>2</v>
      </c>
      <c r="J1" s="6"/>
      <c r="K1" s="84" t="s">
        <v>28</v>
      </c>
      <c r="L1" s="84"/>
      <c r="M1" s="84"/>
      <c r="P1" s="83" t="s">
        <v>27</v>
      </c>
      <c r="Q1" s="83"/>
      <c r="R1" s="83"/>
      <c r="S1" s="83"/>
      <c r="T1" s="28">
        <f>MAX(AC:AC)</f>
        <v>2.56</v>
      </c>
      <c r="U1" s="20">
        <f>INDEX(R:R,MATCH(MAX($AC:$AC),$AC:$AC,0))</f>
        <v>14592</v>
      </c>
      <c r="V1" s="20">
        <f t="shared" ref="V1:X1" si="0">INDEX(S:S,MATCH(MAX($AC:$AC),$AC:$AC,0))</f>
        <v>64</v>
      </c>
      <c r="W1" s="20">
        <f t="shared" si="0"/>
        <v>1</v>
      </c>
      <c r="X1" s="20">
        <f t="shared" si="0"/>
        <v>4</v>
      </c>
      <c r="Y1" s="42"/>
      <c r="Z1" s="84" t="s">
        <v>32</v>
      </c>
      <c r="AA1" s="84"/>
      <c r="AB1" s="84"/>
      <c r="AC1" s="31"/>
    </row>
    <row r="2" spans="1:30" x14ac:dyDescent="0.25">
      <c r="A2" s="80" t="s">
        <v>22</v>
      </c>
      <c r="B2" s="80"/>
      <c r="C2" s="29">
        <f>MAX(H4:H840)</f>
        <v>2.3083999999999998</v>
      </c>
      <c r="D2" s="6"/>
      <c r="E2" s="6"/>
      <c r="F2" s="6"/>
      <c r="G2" s="6"/>
      <c r="H2" s="7"/>
      <c r="I2" s="6"/>
      <c r="J2" s="6"/>
      <c r="K2" s="90" t="s">
        <v>23</v>
      </c>
      <c r="L2" s="90"/>
      <c r="M2" s="90"/>
      <c r="P2" s="80" t="s">
        <v>22</v>
      </c>
      <c r="Q2" s="80"/>
      <c r="R2" s="29">
        <f>MAX(W4:W861)</f>
        <v>2.57</v>
      </c>
      <c r="S2" s="6"/>
      <c r="T2" s="6"/>
      <c r="U2" s="6"/>
      <c r="V2" s="6"/>
      <c r="W2" s="7"/>
      <c r="X2" s="39"/>
      <c r="Y2" s="42"/>
      <c r="Z2" s="90" t="s">
        <v>23</v>
      </c>
      <c r="AA2" s="90"/>
      <c r="AB2" s="90"/>
      <c r="AC2" s="32"/>
    </row>
    <row r="3" spans="1:30" x14ac:dyDescent="0.25">
      <c r="A3" s="8" t="s">
        <v>11</v>
      </c>
      <c r="B3" s="8"/>
      <c r="C3" s="8" t="s">
        <v>12</v>
      </c>
      <c r="D3" s="8" t="s">
        <v>13</v>
      </c>
      <c r="E3" s="8" t="s">
        <v>14</v>
      </c>
      <c r="F3" s="8" t="s">
        <v>15</v>
      </c>
      <c r="G3" s="8" t="s">
        <v>16</v>
      </c>
      <c r="H3" s="10" t="s">
        <v>17</v>
      </c>
      <c r="I3" s="10" t="s">
        <v>18</v>
      </c>
      <c r="J3" s="8" t="s">
        <v>16</v>
      </c>
      <c r="K3" s="11" t="s">
        <v>19</v>
      </c>
      <c r="L3" s="11" t="s">
        <v>20</v>
      </c>
      <c r="M3" s="11" t="s">
        <v>21</v>
      </c>
      <c r="P3" s="8" t="s">
        <v>11</v>
      </c>
      <c r="Q3" s="8"/>
      <c r="R3" s="8" t="s">
        <v>12</v>
      </c>
      <c r="S3" s="8" t="s">
        <v>13</v>
      </c>
      <c r="T3" s="8" t="s">
        <v>14</v>
      </c>
      <c r="U3" s="8" t="s">
        <v>15</v>
      </c>
      <c r="V3" s="8" t="s">
        <v>16</v>
      </c>
      <c r="W3" s="10" t="s">
        <v>17</v>
      </c>
      <c r="X3" s="40" t="s">
        <v>18</v>
      </c>
      <c r="Y3" s="43" t="s">
        <v>16</v>
      </c>
      <c r="Z3" s="11" t="s">
        <v>19</v>
      </c>
      <c r="AA3" s="11" t="s">
        <v>20</v>
      </c>
      <c r="AB3" s="11" t="s">
        <v>21</v>
      </c>
      <c r="AC3" s="32"/>
    </row>
    <row r="4" spans="1:30" x14ac:dyDescent="0.25">
      <c r="A4">
        <v>0</v>
      </c>
      <c r="B4" t="s">
        <v>1</v>
      </c>
      <c r="C4">
        <v>13056</v>
      </c>
      <c r="D4">
        <v>32</v>
      </c>
      <c r="E4">
        <v>1</v>
      </c>
      <c r="F4">
        <v>4</v>
      </c>
      <c r="G4">
        <v>679.37</v>
      </c>
      <c r="H4" s="24">
        <v>2.1842999999999999</v>
      </c>
      <c r="I4" s="1">
        <v>45480</v>
      </c>
      <c r="J4" s="2">
        <v>0.93505787037037036</v>
      </c>
      <c r="K4">
        <v>0</v>
      </c>
      <c r="L4">
        <v>0</v>
      </c>
      <c r="M4">
        <v>0</v>
      </c>
      <c r="N4" s="3">
        <f>AVERAGE(H4:H8)</f>
        <v>2.1846999999999999</v>
      </c>
      <c r="P4" s="50">
        <v>0</v>
      </c>
      <c r="Q4" s="50" t="s">
        <v>1</v>
      </c>
      <c r="R4" s="50">
        <v>13056</v>
      </c>
      <c r="S4" s="50">
        <v>32</v>
      </c>
      <c r="T4" s="50">
        <v>1</v>
      </c>
      <c r="U4" s="50">
        <v>4</v>
      </c>
      <c r="V4" s="50">
        <v>606.13</v>
      </c>
      <c r="W4" s="63">
        <v>2.4481999999999999</v>
      </c>
      <c r="X4" s="51">
        <v>45480</v>
      </c>
      <c r="Y4" s="52">
        <v>0.93531249999999999</v>
      </c>
      <c r="Z4" s="50">
        <v>0</v>
      </c>
      <c r="AA4" s="50">
        <v>0</v>
      </c>
      <c r="AB4" s="50">
        <v>0</v>
      </c>
      <c r="AC4" s="4">
        <f>AVERAGE(W4:W8)</f>
        <v>2.4468000000000001</v>
      </c>
      <c r="AD4" s="3"/>
    </row>
    <row r="5" spans="1:30" x14ac:dyDescent="0.25">
      <c r="A5">
        <v>1</v>
      </c>
      <c r="B5" t="s">
        <v>1</v>
      </c>
      <c r="C5">
        <v>13056</v>
      </c>
      <c r="D5">
        <v>32</v>
      </c>
      <c r="E5">
        <v>1</v>
      </c>
      <c r="F5">
        <v>4</v>
      </c>
      <c r="G5">
        <v>678.96</v>
      </c>
      <c r="H5" s="24">
        <v>2.1856</v>
      </c>
      <c r="I5" s="1">
        <v>45481</v>
      </c>
      <c r="J5" s="2">
        <v>5.212962962962963E-2</v>
      </c>
      <c r="K5">
        <v>0</v>
      </c>
      <c r="L5">
        <v>0</v>
      </c>
      <c r="M5">
        <v>0</v>
      </c>
      <c r="N5" s="3">
        <f>N4</f>
        <v>2.1846999999999999</v>
      </c>
      <c r="P5" s="50">
        <v>1</v>
      </c>
      <c r="Q5" s="50" t="s">
        <v>1</v>
      </c>
      <c r="R5" s="50">
        <v>13056</v>
      </c>
      <c r="S5" s="50">
        <v>32</v>
      </c>
      <c r="T5" s="50">
        <v>1</v>
      </c>
      <c r="U5" s="50">
        <v>4</v>
      </c>
      <c r="V5" s="50">
        <v>606.51</v>
      </c>
      <c r="W5" s="63">
        <v>2.4466999999999999</v>
      </c>
      <c r="X5" s="51">
        <v>45481</v>
      </c>
      <c r="Y5" s="52">
        <v>5.4756944444444441E-2</v>
      </c>
      <c r="Z5" s="50">
        <v>0</v>
      </c>
      <c r="AA5" s="50">
        <v>0</v>
      </c>
      <c r="AB5" s="50">
        <v>0</v>
      </c>
      <c r="AC5" s="4">
        <f>AC4</f>
        <v>2.4468000000000001</v>
      </c>
      <c r="AD5" s="3"/>
    </row>
    <row r="6" spans="1:30" x14ac:dyDescent="0.25">
      <c r="A6">
        <v>2</v>
      </c>
      <c r="B6" t="s">
        <v>1</v>
      </c>
      <c r="C6">
        <v>13056</v>
      </c>
      <c r="D6">
        <v>32</v>
      </c>
      <c r="E6">
        <v>1</v>
      </c>
      <c r="F6">
        <v>4</v>
      </c>
      <c r="G6">
        <v>679.04</v>
      </c>
      <c r="H6" s="24">
        <v>2.1852999999999998</v>
      </c>
      <c r="I6" s="1">
        <v>45481</v>
      </c>
      <c r="J6" s="2">
        <v>0.16916666666666666</v>
      </c>
      <c r="K6">
        <v>0</v>
      </c>
      <c r="L6">
        <v>0</v>
      </c>
      <c r="M6">
        <v>0</v>
      </c>
      <c r="N6" s="3">
        <f t="shared" ref="N6:N8" si="1">N5</f>
        <v>2.1846999999999999</v>
      </c>
      <c r="P6" s="50">
        <v>2</v>
      </c>
      <c r="Q6" s="50" t="s">
        <v>1</v>
      </c>
      <c r="R6" s="50">
        <v>13056</v>
      </c>
      <c r="S6" s="50">
        <v>32</v>
      </c>
      <c r="T6" s="50">
        <v>1</v>
      </c>
      <c r="U6" s="50">
        <v>4</v>
      </c>
      <c r="V6" s="50">
        <v>606.21</v>
      </c>
      <c r="W6" s="63">
        <v>2.4479000000000002</v>
      </c>
      <c r="X6" s="51">
        <v>45481</v>
      </c>
      <c r="Y6" s="52">
        <v>0.1741550925925926</v>
      </c>
      <c r="Z6" s="50">
        <v>0</v>
      </c>
      <c r="AA6" s="50">
        <v>0</v>
      </c>
      <c r="AB6" s="50">
        <v>0</v>
      </c>
      <c r="AC6" s="4">
        <f>AC5</f>
        <v>2.4468000000000001</v>
      </c>
      <c r="AD6" s="3"/>
    </row>
    <row r="7" spans="1:30" x14ac:dyDescent="0.25">
      <c r="A7">
        <v>3</v>
      </c>
      <c r="B7" t="s">
        <v>1</v>
      </c>
      <c r="C7">
        <v>13056</v>
      </c>
      <c r="D7">
        <v>32</v>
      </c>
      <c r="E7">
        <v>1</v>
      </c>
      <c r="F7">
        <v>4</v>
      </c>
      <c r="G7">
        <v>679.48</v>
      </c>
      <c r="H7" s="24">
        <v>2.1839</v>
      </c>
      <c r="I7" s="1">
        <v>45481</v>
      </c>
      <c r="J7" s="2">
        <v>0.28623842592592591</v>
      </c>
      <c r="K7">
        <v>0</v>
      </c>
      <c r="L7">
        <v>0</v>
      </c>
      <c r="M7">
        <v>0</v>
      </c>
      <c r="N7" s="3">
        <f t="shared" si="1"/>
        <v>2.1846999999999999</v>
      </c>
      <c r="P7" s="50">
        <v>3</v>
      </c>
      <c r="Q7" s="50" t="s">
        <v>1</v>
      </c>
      <c r="R7" s="50">
        <v>13056</v>
      </c>
      <c r="S7" s="50">
        <v>32</v>
      </c>
      <c r="T7" s="50">
        <v>1</v>
      </c>
      <c r="U7" s="50">
        <v>4</v>
      </c>
      <c r="V7" s="50">
        <v>606.47</v>
      </c>
      <c r="W7" s="63">
        <v>2.4468000000000001</v>
      </c>
      <c r="X7" s="51">
        <v>45481</v>
      </c>
      <c r="Y7" s="52">
        <v>0.29353009259259261</v>
      </c>
      <c r="Z7" s="50">
        <v>0</v>
      </c>
      <c r="AA7" s="50">
        <v>0</v>
      </c>
      <c r="AB7" s="50">
        <v>0</v>
      </c>
      <c r="AC7" s="4">
        <f>AC6</f>
        <v>2.4468000000000001</v>
      </c>
      <c r="AD7" s="3"/>
    </row>
    <row r="8" spans="1:30" x14ac:dyDescent="0.25">
      <c r="A8">
        <v>4</v>
      </c>
      <c r="B8" t="s">
        <v>1</v>
      </c>
      <c r="C8">
        <v>13056</v>
      </c>
      <c r="D8">
        <v>32</v>
      </c>
      <c r="E8">
        <v>1</v>
      </c>
      <c r="F8">
        <v>4</v>
      </c>
      <c r="G8">
        <v>679.33</v>
      </c>
      <c r="H8" s="24">
        <v>2.1844000000000001</v>
      </c>
      <c r="I8" s="1">
        <v>45481</v>
      </c>
      <c r="J8" s="2">
        <v>0.40332175925925928</v>
      </c>
      <c r="K8">
        <v>0</v>
      </c>
      <c r="L8">
        <v>0</v>
      </c>
      <c r="M8">
        <v>0</v>
      </c>
      <c r="N8" s="3">
        <f t="shared" si="1"/>
        <v>2.1846999999999999</v>
      </c>
      <c r="P8" s="50">
        <v>4</v>
      </c>
      <c r="Q8" s="50" t="s">
        <v>1</v>
      </c>
      <c r="R8" s="50">
        <v>13056</v>
      </c>
      <c r="S8" s="50">
        <v>32</v>
      </c>
      <c r="T8" s="50">
        <v>1</v>
      </c>
      <c r="U8" s="50">
        <v>4</v>
      </c>
      <c r="V8" s="50">
        <v>607.08000000000004</v>
      </c>
      <c r="W8" s="63">
        <v>2.4443999999999999</v>
      </c>
      <c r="X8" s="51">
        <v>45481</v>
      </c>
      <c r="Y8" s="52">
        <v>0.41295138888888888</v>
      </c>
      <c r="Z8" s="50">
        <v>0</v>
      </c>
      <c r="AA8" s="50">
        <v>0</v>
      </c>
      <c r="AB8" s="50">
        <v>0</v>
      </c>
      <c r="AC8" s="4">
        <f>AC7</f>
        <v>2.4468000000000001</v>
      </c>
      <c r="AD8" s="3"/>
    </row>
    <row r="9" spans="1:30" x14ac:dyDescent="0.25">
      <c r="A9">
        <v>0</v>
      </c>
      <c r="B9" t="s">
        <v>1</v>
      </c>
      <c r="C9">
        <v>13824</v>
      </c>
      <c r="D9">
        <v>32</v>
      </c>
      <c r="E9">
        <v>1</v>
      </c>
      <c r="F9">
        <v>4</v>
      </c>
      <c r="G9">
        <v>818.4</v>
      </c>
      <c r="H9" s="24">
        <v>2.1524000000000001</v>
      </c>
      <c r="I9" s="1">
        <v>45480</v>
      </c>
      <c r="J9" s="2">
        <v>0.96950231481481486</v>
      </c>
      <c r="K9">
        <v>0</v>
      </c>
      <c r="L9">
        <v>0</v>
      </c>
      <c r="M9">
        <v>0</v>
      </c>
      <c r="N9" s="3">
        <f>AVERAGE(H9:H13)</f>
        <v>2.1521800000000004</v>
      </c>
      <c r="P9" s="50">
        <v>0</v>
      </c>
      <c r="Q9" s="50" t="s">
        <v>1</v>
      </c>
      <c r="R9" s="50">
        <v>13824</v>
      </c>
      <c r="S9" s="50">
        <v>32</v>
      </c>
      <c r="T9" s="50">
        <v>1</v>
      </c>
      <c r="U9" s="50">
        <v>4</v>
      </c>
      <c r="V9" s="50">
        <v>723.86</v>
      </c>
      <c r="W9" s="63">
        <v>2.4335</v>
      </c>
      <c r="X9" s="51">
        <v>45480</v>
      </c>
      <c r="Y9" s="52">
        <v>0.97059027777777773</v>
      </c>
      <c r="Z9" s="50">
        <v>0</v>
      </c>
      <c r="AA9" s="50">
        <v>0</v>
      </c>
      <c r="AB9" s="50">
        <v>0</v>
      </c>
      <c r="AC9" s="4">
        <f>AVERAGE(W9:W13)</f>
        <v>2.4348399999999999</v>
      </c>
      <c r="AD9" s="3"/>
    </row>
    <row r="10" spans="1:30" x14ac:dyDescent="0.25">
      <c r="A10">
        <v>1</v>
      </c>
      <c r="B10" t="s">
        <v>1</v>
      </c>
      <c r="C10">
        <v>13824</v>
      </c>
      <c r="D10">
        <v>32</v>
      </c>
      <c r="E10">
        <v>1</v>
      </c>
      <c r="F10">
        <v>4</v>
      </c>
      <c r="G10">
        <v>818.17</v>
      </c>
      <c r="H10" s="24">
        <v>2.153</v>
      </c>
      <c r="I10" s="1">
        <v>45481</v>
      </c>
      <c r="J10" s="2">
        <v>8.6562500000000001E-2</v>
      </c>
      <c r="K10">
        <v>0</v>
      </c>
      <c r="L10">
        <v>0</v>
      </c>
      <c r="M10">
        <v>0</v>
      </c>
      <c r="N10" s="3">
        <f>N9</f>
        <v>2.1521800000000004</v>
      </c>
      <c r="P10" s="50">
        <v>1</v>
      </c>
      <c r="Q10" s="50" t="s">
        <v>1</v>
      </c>
      <c r="R10" s="50">
        <v>13824</v>
      </c>
      <c r="S10" s="50">
        <v>32</v>
      </c>
      <c r="T10" s="50">
        <v>1</v>
      </c>
      <c r="U10" s="50">
        <v>4</v>
      </c>
      <c r="V10" s="50">
        <v>723.47</v>
      </c>
      <c r="W10" s="63">
        <v>2.4348000000000001</v>
      </c>
      <c r="X10" s="51">
        <v>45481</v>
      </c>
      <c r="Y10" s="52">
        <v>9.0023148148148144E-2</v>
      </c>
      <c r="Z10" s="50">
        <v>0</v>
      </c>
      <c r="AA10" s="50">
        <v>0</v>
      </c>
      <c r="AB10" s="50">
        <v>0</v>
      </c>
      <c r="AC10" s="4">
        <f>AC9</f>
        <v>2.4348399999999999</v>
      </c>
      <c r="AD10" s="3"/>
    </row>
    <row r="11" spans="1:30" x14ac:dyDescent="0.25">
      <c r="A11">
        <v>2</v>
      </c>
      <c r="B11" t="s">
        <v>1</v>
      </c>
      <c r="C11">
        <v>13824</v>
      </c>
      <c r="D11">
        <v>32</v>
      </c>
      <c r="E11">
        <v>1</v>
      </c>
      <c r="F11">
        <v>4</v>
      </c>
      <c r="G11">
        <v>818.22</v>
      </c>
      <c r="H11" s="24">
        <v>2.1528</v>
      </c>
      <c r="I11" s="1">
        <v>45481</v>
      </c>
      <c r="J11" s="2">
        <v>0.2036111111111111</v>
      </c>
      <c r="K11">
        <v>0</v>
      </c>
      <c r="L11">
        <v>0</v>
      </c>
      <c r="M11">
        <v>0</v>
      </c>
      <c r="N11" s="3">
        <f t="shared" ref="N11:N13" si="2">N10</f>
        <v>2.1521800000000004</v>
      </c>
      <c r="P11" s="50">
        <v>2</v>
      </c>
      <c r="Q11" s="50" t="s">
        <v>1</v>
      </c>
      <c r="R11" s="50">
        <v>13824</v>
      </c>
      <c r="S11" s="50">
        <v>32</v>
      </c>
      <c r="T11" s="50">
        <v>1</v>
      </c>
      <c r="U11" s="50">
        <v>4</v>
      </c>
      <c r="V11" s="50">
        <v>723.29</v>
      </c>
      <c r="W11" s="63">
        <v>2.4354</v>
      </c>
      <c r="X11" s="51">
        <v>45481</v>
      </c>
      <c r="Y11" s="52">
        <v>0.20939814814814814</v>
      </c>
      <c r="Z11" s="50">
        <v>0</v>
      </c>
      <c r="AA11" s="50">
        <v>0</v>
      </c>
      <c r="AB11" s="50">
        <v>0</v>
      </c>
      <c r="AC11" s="4">
        <f>AC10</f>
        <v>2.4348399999999999</v>
      </c>
      <c r="AD11" s="3"/>
    </row>
    <row r="12" spans="1:30" x14ac:dyDescent="0.25">
      <c r="A12">
        <v>3</v>
      </c>
      <c r="B12" t="s">
        <v>1</v>
      </c>
      <c r="C12">
        <v>13824</v>
      </c>
      <c r="D12">
        <v>32</v>
      </c>
      <c r="E12">
        <v>1</v>
      </c>
      <c r="F12">
        <v>4</v>
      </c>
      <c r="G12">
        <v>818.62</v>
      </c>
      <c r="H12" s="24">
        <v>2.1518000000000002</v>
      </c>
      <c r="I12" s="1">
        <v>45481</v>
      </c>
      <c r="J12" s="2">
        <v>0.32068287037037035</v>
      </c>
      <c r="K12">
        <v>0</v>
      </c>
      <c r="L12">
        <v>0</v>
      </c>
      <c r="M12">
        <v>0</v>
      </c>
      <c r="N12" s="3">
        <f t="shared" si="2"/>
        <v>2.1521800000000004</v>
      </c>
      <c r="P12" s="50">
        <v>3</v>
      </c>
      <c r="Q12" s="50" t="s">
        <v>1</v>
      </c>
      <c r="R12" s="50">
        <v>13824</v>
      </c>
      <c r="S12" s="50">
        <v>32</v>
      </c>
      <c r="T12" s="50">
        <v>1</v>
      </c>
      <c r="U12" s="50">
        <v>4</v>
      </c>
      <c r="V12" s="50">
        <v>723.32</v>
      </c>
      <c r="W12" s="63">
        <v>2.4352999999999998</v>
      </c>
      <c r="X12" s="51">
        <v>45481</v>
      </c>
      <c r="Y12" s="52">
        <v>0.32880787037037035</v>
      </c>
      <c r="Z12" s="50">
        <v>0</v>
      </c>
      <c r="AA12" s="50">
        <v>0</v>
      </c>
      <c r="AB12" s="50">
        <v>0</v>
      </c>
      <c r="AC12" s="4">
        <f>AC11</f>
        <v>2.4348399999999999</v>
      </c>
      <c r="AD12" s="3"/>
    </row>
    <row r="13" spans="1:30" x14ac:dyDescent="0.25">
      <c r="A13">
        <v>4</v>
      </c>
      <c r="B13" t="s">
        <v>1</v>
      </c>
      <c r="C13">
        <v>13824</v>
      </c>
      <c r="D13">
        <v>32</v>
      </c>
      <c r="E13">
        <v>1</v>
      </c>
      <c r="F13">
        <v>4</v>
      </c>
      <c r="G13">
        <v>818.95</v>
      </c>
      <c r="H13" s="24">
        <v>2.1509</v>
      </c>
      <c r="I13" s="1">
        <v>45481</v>
      </c>
      <c r="J13" s="2">
        <v>0.43777777777777777</v>
      </c>
      <c r="K13">
        <v>0</v>
      </c>
      <c r="L13">
        <v>0</v>
      </c>
      <c r="M13">
        <v>0</v>
      </c>
      <c r="N13" s="3">
        <f t="shared" si="2"/>
        <v>2.1521800000000004</v>
      </c>
      <c r="P13" s="50">
        <v>4</v>
      </c>
      <c r="Q13" s="50" t="s">
        <v>1</v>
      </c>
      <c r="R13" s="50">
        <v>13824</v>
      </c>
      <c r="S13" s="50">
        <v>32</v>
      </c>
      <c r="T13" s="50">
        <v>1</v>
      </c>
      <c r="U13" s="50">
        <v>4</v>
      </c>
      <c r="V13" s="50">
        <v>723.33</v>
      </c>
      <c r="W13" s="63">
        <v>2.4352</v>
      </c>
      <c r="X13" s="51">
        <v>45481</v>
      </c>
      <c r="Y13" s="52">
        <v>0.44824074074074072</v>
      </c>
      <c r="Z13" s="50">
        <v>0</v>
      </c>
      <c r="AA13" s="50">
        <v>0</v>
      </c>
      <c r="AB13" s="50">
        <v>0</v>
      </c>
      <c r="AC13" s="4">
        <f>AC12</f>
        <v>2.4348399999999999</v>
      </c>
      <c r="AD13" s="3"/>
    </row>
    <row r="14" spans="1:30" x14ac:dyDescent="0.25">
      <c r="A14">
        <v>0</v>
      </c>
      <c r="B14" t="s">
        <v>1</v>
      </c>
      <c r="C14">
        <v>14592</v>
      </c>
      <c r="D14">
        <v>32</v>
      </c>
      <c r="E14">
        <v>1</v>
      </c>
      <c r="F14">
        <v>4</v>
      </c>
      <c r="G14">
        <v>944.81</v>
      </c>
      <c r="H14" s="24">
        <v>2.1926999999999999</v>
      </c>
      <c r="I14" s="1">
        <v>45481</v>
      </c>
      <c r="J14" s="2">
        <v>1.005787037037037E-2</v>
      </c>
      <c r="K14">
        <v>0</v>
      </c>
      <c r="L14">
        <v>0</v>
      </c>
      <c r="M14">
        <v>0</v>
      </c>
      <c r="N14" s="3">
        <f t="shared" ref="N14" si="3">AVERAGE(H14:H18)</f>
        <v>2.1974800000000001</v>
      </c>
      <c r="P14" s="50">
        <v>0</v>
      </c>
      <c r="Q14" s="50" t="s">
        <v>1</v>
      </c>
      <c r="R14" s="50">
        <v>14592</v>
      </c>
      <c r="S14" s="50">
        <v>32</v>
      </c>
      <c r="T14" s="50">
        <v>1</v>
      </c>
      <c r="U14" s="50">
        <v>4</v>
      </c>
      <c r="V14" s="50">
        <v>842.99</v>
      </c>
      <c r="W14" s="63">
        <v>2.4575</v>
      </c>
      <c r="X14" s="51">
        <v>45481</v>
      </c>
      <c r="Y14" s="52">
        <v>1.1782407407407408E-2</v>
      </c>
      <c r="Z14" s="50">
        <v>0</v>
      </c>
      <c r="AA14" s="50">
        <v>0</v>
      </c>
      <c r="AB14" s="50">
        <v>0</v>
      </c>
      <c r="AC14" s="4">
        <f t="shared" ref="AC14" si="4">AVERAGE(W14:W18)</f>
        <v>2.4591400000000001</v>
      </c>
      <c r="AD14" s="3"/>
    </row>
    <row r="15" spans="1:30" x14ac:dyDescent="0.25">
      <c r="A15">
        <v>1</v>
      </c>
      <c r="B15" t="s">
        <v>1</v>
      </c>
      <c r="C15">
        <v>14592</v>
      </c>
      <c r="D15">
        <v>32</v>
      </c>
      <c r="E15">
        <v>1</v>
      </c>
      <c r="F15">
        <v>4</v>
      </c>
      <c r="G15">
        <v>941.91</v>
      </c>
      <c r="H15" s="24">
        <v>2.1993999999999998</v>
      </c>
      <c r="I15" s="1">
        <v>45481</v>
      </c>
      <c r="J15" s="2">
        <v>0.12709490740740742</v>
      </c>
      <c r="K15">
        <v>0</v>
      </c>
      <c r="L15">
        <v>0</v>
      </c>
      <c r="M15">
        <v>0</v>
      </c>
      <c r="N15" s="3">
        <f t="shared" ref="N15:N78" si="5">N14</f>
        <v>2.1974800000000001</v>
      </c>
      <c r="P15" s="50">
        <v>1</v>
      </c>
      <c r="Q15" s="50" t="s">
        <v>1</v>
      </c>
      <c r="R15" s="50">
        <v>14592</v>
      </c>
      <c r="S15" s="50">
        <v>32</v>
      </c>
      <c r="T15" s="50">
        <v>1</v>
      </c>
      <c r="U15" s="50">
        <v>4</v>
      </c>
      <c r="V15" s="50">
        <v>843.12</v>
      </c>
      <c r="W15" s="63">
        <v>2.4571999999999998</v>
      </c>
      <c r="X15" s="51">
        <v>45481</v>
      </c>
      <c r="Y15" s="52">
        <v>0.13120370370370371</v>
      </c>
      <c r="Z15" s="50">
        <v>0</v>
      </c>
      <c r="AA15" s="50">
        <v>0</v>
      </c>
      <c r="AB15" s="50">
        <v>0</v>
      </c>
      <c r="AC15" s="4">
        <f t="shared" ref="AC15:AC18" si="6">AC14</f>
        <v>2.4591400000000001</v>
      </c>
      <c r="AD15" s="3"/>
    </row>
    <row r="16" spans="1:30" x14ac:dyDescent="0.25">
      <c r="A16">
        <v>2</v>
      </c>
      <c r="B16" t="s">
        <v>1</v>
      </c>
      <c r="C16">
        <v>14592</v>
      </c>
      <c r="D16">
        <v>32</v>
      </c>
      <c r="E16">
        <v>1</v>
      </c>
      <c r="F16">
        <v>4</v>
      </c>
      <c r="G16">
        <v>942.16</v>
      </c>
      <c r="H16" s="24">
        <v>2.1987999999999999</v>
      </c>
      <c r="I16" s="1">
        <v>45481</v>
      </c>
      <c r="J16" s="2">
        <v>0.24414351851851851</v>
      </c>
      <c r="K16">
        <v>0</v>
      </c>
      <c r="L16">
        <v>0</v>
      </c>
      <c r="M16">
        <v>0</v>
      </c>
      <c r="N16" s="3">
        <f t="shared" si="5"/>
        <v>2.1974800000000001</v>
      </c>
      <c r="P16" s="50">
        <v>2</v>
      </c>
      <c r="Q16" s="50" t="s">
        <v>1</v>
      </c>
      <c r="R16" s="50">
        <v>14592</v>
      </c>
      <c r="S16" s="50">
        <v>32</v>
      </c>
      <c r="T16" s="50">
        <v>1</v>
      </c>
      <c r="U16" s="50">
        <v>4</v>
      </c>
      <c r="V16" s="50">
        <v>841.75</v>
      </c>
      <c r="W16" s="63">
        <v>2.4611000000000001</v>
      </c>
      <c r="X16" s="51">
        <v>45481</v>
      </c>
      <c r="Y16" s="52">
        <v>0.25055555555555553</v>
      </c>
      <c r="Z16" s="50">
        <v>0</v>
      </c>
      <c r="AA16" s="50">
        <v>0</v>
      </c>
      <c r="AB16" s="50">
        <v>0</v>
      </c>
      <c r="AC16" s="4">
        <f t="shared" si="6"/>
        <v>2.4591400000000001</v>
      </c>
      <c r="AD16" s="3"/>
    </row>
    <row r="17" spans="1:30" x14ac:dyDescent="0.25">
      <c r="A17">
        <v>3</v>
      </c>
      <c r="B17" t="s">
        <v>1</v>
      </c>
      <c r="C17">
        <v>14592</v>
      </c>
      <c r="D17">
        <v>32</v>
      </c>
      <c r="E17">
        <v>1</v>
      </c>
      <c r="F17">
        <v>4</v>
      </c>
      <c r="G17">
        <v>942.23</v>
      </c>
      <c r="H17" s="24">
        <v>2.1987000000000001</v>
      </c>
      <c r="I17" s="1">
        <v>45481</v>
      </c>
      <c r="J17" s="2">
        <v>0.36122685185185183</v>
      </c>
      <c r="K17">
        <v>0</v>
      </c>
      <c r="L17">
        <v>0</v>
      </c>
      <c r="M17">
        <v>0</v>
      </c>
      <c r="N17" s="3">
        <f t="shared" si="5"/>
        <v>2.1974800000000001</v>
      </c>
      <c r="P17" s="50">
        <v>3</v>
      </c>
      <c r="Q17" s="50" t="s">
        <v>1</v>
      </c>
      <c r="R17" s="50">
        <v>14592</v>
      </c>
      <c r="S17" s="50">
        <v>32</v>
      </c>
      <c r="T17" s="50">
        <v>1</v>
      </c>
      <c r="U17" s="50">
        <v>4</v>
      </c>
      <c r="V17" s="50">
        <v>842.05</v>
      </c>
      <c r="W17" s="63">
        <v>2.4603000000000002</v>
      </c>
      <c r="X17" s="51">
        <v>45481</v>
      </c>
      <c r="Y17" s="52">
        <v>0.36996527777777777</v>
      </c>
      <c r="Z17" s="50">
        <v>0</v>
      </c>
      <c r="AA17" s="50">
        <v>0</v>
      </c>
      <c r="AB17" s="50">
        <v>0</v>
      </c>
      <c r="AC17" s="4">
        <f t="shared" si="6"/>
        <v>2.4591400000000001</v>
      </c>
      <c r="AD17" s="3"/>
    </row>
    <row r="18" spans="1:30" x14ac:dyDescent="0.25">
      <c r="A18">
        <v>4</v>
      </c>
      <c r="B18" t="s">
        <v>1</v>
      </c>
      <c r="C18">
        <v>14592</v>
      </c>
      <c r="D18">
        <v>32</v>
      </c>
      <c r="E18">
        <v>1</v>
      </c>
      <c r="F18">
        <v>4</v>
      </c>
      <c r="G18">
        <v>942.61</v>
      </c>
      <c r="H18" s="24">
        <v>2.1978</v>
      </c>
      <c r="I18" s="1">
        <v>45481</v>
      </c>
      <c r="J18" s="2">
        <v>0.4783101851851852</v>
      </c>
      <c r="K18">
        <v>0</v>
      </c>
      <c r="L18">
        <v>0</v>
      </c>
      <c r="M18">
        <v>0</v>
      </c>
      <c r="N18" s="3">
        <f t="shared" si="5"/>
        <v>2.1974800000000001</v>
      </c>
      <c r="P18" s="50">
        <v>4</v>
      </c>
      <c r="Q18" s="50" t="s">
        <v>1</v>
      </c>
      <c r="R18" s="50">
        <v>14592</v>
      </c>
      <c r="S18" s="50">
        <v>32</v>
      </c>
      <c r="T18" s="50">
        <v>1</v>
      </c>
      <c r="U18" s="50">
        <v>4</v>
      </c>
      <c r="V18" s="50">
        <v>842.26</v>
      </c>
      <c r="W18" s="63">
        <v>2.4596</v>
      </c>
      <c r="X18" s="51">
        <v>45481</v>
      </c>
      <c r="Y18" s="52">
        <v>0.48943287037037037</v>
      </c>
      <c r="Z18" s="50">
        <v>0</v>
      </c>
      <c r="AA18" s="50">
        <v>0</v>
      </c>
      <c r="AB18" s="50">
        <v>0</v>
      </c>
      <c r="AC18" s="4">
        <f t="shared" si="6"/>
        <v>2.4591400000000001</v>
      </c>
      <c r="AD18" s="3"/>
    </row>
    <row r="19" spans="1:30" x14ac:dyDescent="0.25">
      <c r="A19">
        <v>0</v>
      </c>
      <c r="B19" t="s">
        <v>1</v>
      </c>
      <c r="C19">
        <v>13056</v>
      </c>
      <c r="D19">
        <v>32</v>
      </c>
      <c r="E19">
        <v>2</v>
      </c>
      <c r="F19">
        <v>2</v>
      </c>
      <c r="G19">
        <v>675.07</v>
      </c>
      <c r="H19" s="24">
        <v>2.1981999999999999</v>
      </c>
      <c r="I19" s="1">
        <v>45480</v>
      </c>
      <c r="J19" s="2">
        <v>0.94314814814814818</v>
      </c>
      <c r="K19">
        <v>0</v>
      </c>
      <c r="L19">
        <v>0</v>
      </c>
      <c r="M19">
        <v>0</v>
      </c>
      <c r="N19" s="3">
        <f t="shared" ref="N19" si="7">AVERAGE(H19:H23)</f>
        <v>2.1979800000000003</v>
      </c>
      <c r="P19" s="50">
        <v>0</v>
      </c>
      <c r="Q19" s="50" t="s">
        <v>1</v>
      </c>
      <c r="R19" s="50">
        <v>13056</v>
      </c>
      <c r="S19" s="50">
        <v>32</v>
      </c>
      <c r="T19" s="50">
        <v>2</v>
      </c>
      <c r="U19" s="50">
        <v>2</v>
      </c>
      <c r="V19" s="50">
        <v>610.83000000000004</v>
      </c>
      <c r="W19" s="63">
        <v>2.4293999999999998</v>
      </c>
      <c r="X19" s="51">
        <v>45480</v>
      </c>
      <c r="Y19" s="52">
        <v>0.94370370370370371</v>
      </c>
      <c r="Z19" s="50">
        <v>0</v>
      </c>
      <c r="AA19" s="50">
        <v>0</v>
      </c>
      <c r="AB19" s="50">
        <v>0</v>
      </c>
      <c r="AC19" s="4">
        <f t="shared" ref="AC19" si="8">AVERAGE(W19:W23)</f>
        <v>2.4295</v>
      </c>
      <c r="AD19" s="3"/>
    </row>
    <row r="20" spans="1:30" x14ac:dyDescent="0.25">
      <c r="A20">
        <v>1</v>
      </c>
      <c r="B20" t="s">
        <v>1</v>
      </c>
      <c r="C20">
        <v>13056</v>
      </c>
      <c r="D20">
        <v>32</v>
      </c>
      <c r="E20">
        <v>2</v>
      </c>
      <c r="F20">
        <v>2</v>
      </c>
      <c r="G20">
        <v>674.9</v>
      </c>
      <c r="H20" s="24">
        <v>2.1987000000000001</v>
      </c>
      <c r="I20" s="1">
        <v>45481</v>
      </c>
      <c r="J20" s="2">
        <v>6.0219907407407409E-2</v>
      </c>
      <c r="K20">
        <v>0</v>
      </c>
      <c r="L20">
        <v>0</v>
      </c>
      <c r="M20">
        <v>0</v>
      </c>
      <c r="N20" s="3">
        <f t="shared" ref="N20:N83" si="9">N19</f>
        <v>2.1979800000000003</v>
      </c>
      <c r="P20" s="50">
        <v>1</v>
      </c>
      <c r="Q20" s="50" t="s">
        <v>1</v>
      </c>
      <c r="R20" s="50">
        <v>13056</v>
      </c>
      <c r="S20" s="50">
        <v>32</v>
      </c>
      <c r="T20" s="50">
        <v>2</v>
      </c>
      <c r="U20" s="50">
        <v>2</v>
      </c>
      <c r="V20" s="50">
        <v>610.9</v>
      </c>
      <c r="W20" s="63">
        <v>2.4291</v>
      </c>
      <c r="X20" s="51">
        <v>45481</v>
      </c>
      <c r="Y20" s="52">
        <v>6.3159722222222228E-2</v>
      </c>
      <c r="Z20" s="50">
        <v>0</v>
      </c>
      <c r="AA20" s="50">
        <v>0</v>
      </c>
      <c r="AB20" s="50">
        <v>0</v>
      </c>
      <c r="AC20" s="4">
        <f t="shared" ref="AC20:AC23" si="10">AC19</f>
        <v>2.4295</v>
      </c>
      <c r="AD20" s="3"/>
    </row>
    <row r="21" spans="1:30" x14ac:dyDescent="0.25">
      <c r="A21">
        <v>2</v>
      </c>
      <c r="B21" t="s">
        <v>1</v>
      </c>
      <c r="C21">
        <v>13056</v>
      </c>
      <c r="D21">
        <v>32</v>
      </c>
      <c r="E21">
        <v>2</v>
      </c>
      <c r="F21">
        <v>2</v>
      </c>
      <c r="G21">
        <v>675.21</v>
      </c>
      <c r="H21" s="24">
        <v>2.1977000000000002</v>
      </c>
      <c r="I21" s="1">
        <v>45481</v>
      </c>
      <c r="J21" s="2">
        <v>0.17725694444444445</v>
      </c>
      <c r="K21">
        <v>0</v>
      </c>
      <c r="L21">
        <v>0</v>
      </c>
      <c r="M21">
        <v>0</v>
      </c>
      <c r="N21" s="3">
        <f t="shared" si="9"/>
        <v>2.1979800000000003</v>
      </c>
      <c r="P21" s="50">
        <v>2</v>
      </c>
      <c r="Q21" s="50" t="s">
        <v>1</v>
      </c>
      <c r="R21" s="50">
        <v>13056</v>
      </c>
      <c r="S21" s="50">
        <v>32</v>
      </c>
      <c r="T21" s="50">
        <v>2</v>
      </c>
      <c r="U21" s="50">
        <v>2</v>
      </c>
      <c r="V21" s="50">
        <v>610.99</v>
      </c>
      <c r="W21" s="63">
        <v>2.4287000000000001</v>
      </c>
      <c r="X21" s="51">
        <v>45481</v>
      </c>
      <c r="Y21" s="52">
        <v>0.18255787037037038</v>
      </c>
      <c r="Z21" s="50">
        <v>0</v>
      </c>
      <c r="AA21" s="50">
        <v>0</v>
      </c>
      <c r="AB21" s="50">
        <v>0</v>
      </c>
      <c r="AC21" s="4">
        <f t="shared" si="10"/>
        <v>2.4295</v>
      </c>
      <c r="AD21" s="3"/>
    </row>
    <row r="22" spans="1:30" x14ac:dyDescent="0.25">
      <c r="A22">
        <v>3</v>
      </c>
      <c r="B22" t="s">
        <v>1</v>
      </c>
      <c r="C22">
        <v>13056</v>
      </c>
      <c r="D22">
        <v>32</v>
      </c>
      <c r="E22">
        <v>2</v>
      </c>
      <c r="F22">
        <v>2</v>
      </c>
      <c r="G22">
        <v>675.34</v>
      </c>
      <c r="H22" s="24">
        <v>2.1972999999999998</v>
      </c>
      <c r="I22" s="1">
        <v>45481</v>
      </c>
      <c r="J22" s="2">
        <v>0.29432870370370373</v>
      </c>
      <c r="K22">
        <v>0</v>
      </c>
      <c r="L22">
        <v>0</v>
      </c>
      <c r="M22">
        <v>0</v>
      </c>
      <c r="N22" s="3">
        <f t="shared" si="9"/>
        <v>2.1979800000000003</v>
      </c>
      <c r="P22" s="50">
        <v>3</v>
      </c>
      <c r="Q22" s="50" t="s">
        <v>1</v>
      </c>
      <c r="R22" s="50">
        <v>13056</v>
      </c>
      <c r="S22" s="50">
        <v>32</v>
      </c>
      <c r="T22" s="50">
        <v>2</v>
      </c>
      <c r="U22" s="50">
        <v>2</v>
      </c>
      <c r="V22" s="50">
        <v>610.54</v>
      </c>
      <c r="W22" s="63">
        <v>2.4304999999999999</v>
      </c>
      <c r="X22" s="51">
        <v>45481</v>
      </c>
      <c r="Y22" s="52">
        <v>0.30192129629629627</v>
      </c>
      <c r="Z22" s="50">
        <v>0</v>
      </c>
      <c r="AA22" s="50">
        <v>0</v>
      </c>
      <c r="AB22" s="50">
        <v>0</v>
      </c>
      <c r="AC22" s="4">
        <f t="shared" si="10"/>
        <v>2.4295</v>
      </c>
      <c r="AD22" s="3"/>
    </row>
    <row r="23" spans="1:30" x14ac:dyDescent="0.25">
      <c r="A23">
        <v>4</v>
      </c>
      <c r="B23" t="s">
        <v>1</v>
      </c>
      <c r="C23">
        <v>13056</v>
      </c>
      <c r="D23">
        <v>32</v>
      </c>
      <c r="E23">
        <v>2</v>
      </c>
      <c r="F23">
        <v>2</v>
      </c>
      <c r="G23">
        <v>675.12</v>
      </c>
      <c r="H23" s="24">
        <v>2.198</v>
      </c>
      <c r="I23" s="1">
        <v>45481</v>
      </c>
      <c r="J23" s="2">
        <v>0.41141203703703705</v>
      </c>
      <c r="K23">
        <v>0</v>
      </c>
      <c r="L23">
        <v>0</v>
      </c>
      <c r="M23">
        <v>0</v>
      </c>
      <c r="N23" s="3">
        <f t="shared" si="9"/>
        <v>2.1979800000000003</v>
      </c>
      <c r="P23" s="50">
        <v>4</v>
      </c>
      <c r="Q23" s="50" t="s">
        <v>1</v>
      </c>
      <c r="R23" s="50">
        <v>13056</v>
      </c>
      <c r="S23" s="50">
        <v>32</v>
      </c>
      <c r="T23" s="50">
        <v>2</v>
      </c>
      <c r="U23" s="50">
        <v>2</v>
      </c>
      <c r="V23" s="50">
        <v>610.73</v>
      </c>
      <c r="W23" s="63">
        <v>2.4298000000000002</v>
      </c>
      <c r="X23" s="51">
        <v>45481</v>
      </c>
      <c r="Y23" s="52">
        <v>0.42135416666666664</v>
      </c>
      <c r="Z23" s="50">
        <v>0</v>
      </c>
      <c r="AA23" s="50">
        <v>0</v>
      </c>
      <c r="AB23" s="50">
        <v>0</v>
      </c>
      <c r="AC23" s="4">
        <f t="shared" si="10"/>
        <v>2.4295</v>
      </c>
      <c r="AD23" s="3"/>
    </row>
    <row r="24" spans="1:30" x14ac:dyDescent="0.25">
      <c r="A24">
        <v>0</v>
      </c>
      <c r="B24" t="s">
        <v>1</v>
      </c>
      <c r="C24">
        <v>13824</v>
      </c>
      <c r="D24">
        <v>32</v>
      </c>
      <c r="E24">
        <v>2</v>
      </c>
      <c r="F24">
        <v>2</v>
      </c>
      <c r="G24">
        <v>809.83</v>
      </c>
      <c r="H24" s="24">
        <v>2.1751</v>
      </c>
      <c r="I24" s="1">
        <v>45480</v>
      </c>
      <c r="J24" s="2">
        <v>0.97917824074074078</v>
      </c>
      <c r="K24">
        <v>0</v>
      </c>
      <c r="L24">
        <v>0</v>
      </c>
      <c r="M24">
        <v>0</v>
      </c>
      <c r="N24" s="3">
        <f t="shared" ref="N24" si="11">AVERAGE(H24:H28)</f>
        <v>2.1744399999999997</v>
      </c>
      <c r="P24" s="50">
        <v>0</v>
      </c>
      <c r="Q24" s="50" t="s">
        <v>1</v>
      </c>
      <c r="R24" s="50">
        <v>13824</v>
      </c>
      <c r="S24" s="50">
        <v>32</v>
      </c>
      <c r="T24" s="50">
        <v>2</v>
      </c>
      <c r="U24" s="50">
        <v>2</v>
      </c>
      <c r="V24" s="50">
        <v>723.22</v>
      </c>
      <c r="W24" s="63">
        <v>2.4356</v>
      </c>
      <c r="X24" s="51">
        <v>45480</v>
      </c>
      <c r="Y24" s="52">
        <v>0.98045138888888894</v>
      </c>
      <c r="Z24" s="50">
        <v>0</v>
      </c>
      <c r="AA24" s="50">
        <v>0</v>
      </c>
      <c r="AB24" s="50">
        <v>0</v>
      </c>
      <c r="AC24" s="4">
        <f t="shared" ref="AC24" si="12">AVERAGE(W24:W28)</f>
        <v>2.4365600000000001</v>
      </c>
      <c r="AD24" s="3"/>
    </row>
    <row r="25" spans="1:30" x14ac:dyDescent="0.25">
      <c r="A25">
        <v>1</v>
      </c>
      <c r="B25" t="s">
        <v>1</v>
      </c>
      <c r="C25">
        <v>13824</v>
      </c>
      <c r="D25">
        <v>32</v>
      </c>
      <c r="E25">
        <v>2</v>
      </c>
      <c r="F25">
        <v>2</v>
      </c>
      <c r="G25">
        <v>810.26</v>
      </c>
      <c r="H25" s="24">
        <v>2.1739999999999999</v>
      </c>
      <c r="I25" s="1">
        <v>45481</v>
      </c>
      <c r="J25" s="2">
        <v>9.6250000000000002E-2</v>
      </c>
      <c r="K25">
        <v>0</v>
      </c>
      <c r="L25">
        <v>0</v>
      </c>
      <c r="M25">
        <v>0</v>
      </c>
      <c r="N25" s="3">
        <f t="shared" ref="N25" si="13">N24</f>
        <v>2.1744399999999997</v>
      </c>
      <c r="P25" s="50">
        <v>1</v>
      </c>
      <c r="Q25" s="50" t="s">
        <v>1</v>
      </c>
      <c r="R25" s="50">
        <v>13824</v>
      </c>
      <c r="S25" s="50">
        <v>32</v>
      </c>
      <c r="T25" s="50">
        <v>2</v>
      </c>
      <c r="U25" s="50">
        <v>2</v>
      </c>
      <c r="V25" s="50">
        <v>723.02</v>
      </c>
      <c r="W25" s="63">
        <v>2.4363000000000001</v>
      </c>
      <c r="X25" s="51">
        <v>45481</v>
      </c>
      <c r="Y25" s="52">
        <v>9.9884259259259256E-2</v>
      </c>
      <c r="Z25" s="50">
        <v>0</v>
      </c>
      <c r="AA25" s="50">
        <v>0</v>
      </c>
      <c r="AB25" s="50">
        <v>0</v>
      </c>
      <c r="AC25" s="4">
        <f t="shared" ref="AC25:AC28" si="14">AC24</f>
        <v>2.4365600000000001</v>
      </c>
      <c r="AD25" s="3"/>
    </row>
    <row r="26" spans="1:30" x14ac:dyDescent="0.25">
      <c r="A26">
        <v>2</v>
      </c>
      <c r="B26" t="s">
        <v>1</v>
      </c>
      <c r="C26">
        <v>13824</v>
      </c>
      <c r="D26">
        <v>32</v>
      </c>
      <c r="E26">
        <v>2</v>
      </c>
      <c r="F26">
        <v>2</v>
      </c>
      <c r="G26">
        <v>809.87</v>
      </c>
      <c r="H26" s="24">
        <v>2.1749999999999998</v>
      </c>
      <c r="I26" s="1">
        <v>45481</v>
      </c>
      <c r="J26" s="2">
        <v>0.21328703703703702</v>
      </c>
      <c r="K26">
        <v>0</v>
      </c>
      <c r="L26">
        <v>0</v>
      </c>
      <c r="M26">
        <v>0</v>
      </c>
      <c r="N26" s="3">
        <f t="shared" si="5"/>
        <v>2.1744399999999997</v>
      </c>
      <c r="P26" s="50">
        <v>2</v>
      </c>
      <c r="Q26" s="50" t="s">
        <v>1</v>
      </c>
      <c r="R26" s="50">
        <v>13824</v>
      </c>
      <c r="S26" s="50">
        <v>32</v>
      </c>
      <c r="T26" s="50">
        <v>2</v>
      </c>
      <c r="U26" s="50">
        <v>2</v>
      </c>
      <c r="V26" s="50">
        <v>722.86</v>
      </c>
      <c r="W26" s="63">
        <v>2.4367999999999999</v>
      </c>
      <c r="X26" s="51">
        <v>45481</v>
      </c>
      <c r="Y26" s="52">
        <v>0.21925925925925926</v>
      </c>
      <c r="Z26" s="50">
        <v>0</v>
      </c>
      <c r="AA26" s="50">
        <v>0</v>
      </c>
      <c r="AB26" s="50">
        <v>0</v>
      </c>
      <c r="AC26" s="4">
        <f t="shared" si="14"/>
        <v>2.4365600000000001</v>
      </c>
      <c r="AD26" s="3"/>
    </row>
    <row r="27" spans="1:30" x14ac:dyDescent="0.25">
      <c r="A27">
        <v>3</v>
      </c>
      <c r="B27" t="s">
        <v>1</v>
      </c>
      <c r="C27">
        <v>13824</v>
      </c>
      <c r="D27">
        <v>32</v>
      </c>
      <c r="E27">
        <v>2</v>
      </c>
      <c r="F27">
        <v>2</v>
      </c>
      <c r="G27">
        <v>810.09</v>
      </c>
      <c r="H27" s="24">
        <v>2.1743999999999999</v>
      </c>
      <c r="I27" s="1">
        <v>45481</v>
      </c>
      <c r="J27" s="2">
        <v>0.33037037037037037</v>
      </c>
      <c r="K27">
        <v>0</v>
      </c>
      <c r="L27">
        <v>0</v>
      </c>
      <c r="M27">
        <v>0</v>
      </c>
      <c r="N27" s="3">
        <f t="shared" si="5"/>
        <v>2.1744399999999997</v>
      </c>
      <c r="P27" s="50">
        <v>3</v>
      </c>
      <c r="Q27" s="50" t="s">
        <v>1</v>
      </c>
      <c r="R27" s="50">
        <v>13824</v>
      </c>
      <c r="S27" s="50">
        <v>32</v>
      </c>
      <c r="T27" s="50">
        <v>2</v>
      </c>
      <c r="U27" s="50">
        <v>2</v>
      </c>
      <c r="V27" s="50">
        <v>722.94</v>
      </c>
      <c r="W27" s="63">
        <v>2.4365999999999999</v>
      </c>
      <c r="X27" s="51">
        <v>45481</v>
      </c>
      <c r="Y27" s="52">
        <v>0.33865740740740741</v>
      </c>
      <c r="Z27" s="50">
        <v>0</v>
      </c>
      <c r="AA27" s="50">
        <v>0</v>
      </c>
      <c r="AB27" s="50">
        <v>0</v>
      </c>
      <c r="AC27" s="4">
        <f t="shared" si="14"/>
        <v>2.4365600000000001</v>
      </c>
      <c r="AD27" s="3"/>
    </row>
    <row r="28" spans="1:30" x14ac:dyDescent="0.25">
      <c r="A28">
        <v>4</v>
      </c>
      <c r="B28" t="s">
        <v>1</v>
      </c>
      <c r="C28">
        <v>13824</v>
      </c>
      <c r="D28">
        <v>32</v>
      </c>
      <c r="E28">
        <v>2</v>
      </c>
      <c r="F28">
        <v>2</v>
      </c>
      <c r="G28">
        <v>810.38</v>
      </c>
      <c r="H28" s="24">
        <v>2.1737000000000002</v>
      </c>
      <c r="I28" s="1">
        <v>45481</v>
      </c>
      <c r="J28" s="2">
        <v>0.44745370370370369</v>
      </c>
      <c r="K28">
        <v>0</v>
      </c>
      <c r="L28">
        <v>0</v>
      </c>
      <c r="M28">
        <v>0</v>
      </c>
      <c r="N28" s="3">
        <f t="shared" si="5"/>
        <v>2.1744399999999997</v>
      </c>
      <c r="P28" s="50">
        <v>4</v>
      </c>
      <c r="Q28" s="50" t="s">
        <v>1</v>
      </c>
      <c r="R28" s="50">
        <v>13824</v>
      </c>
      <c r="S28" s="50">
        <v>32</v>
      </c>
      <c r="T28" s="50">
        <v>2</v>
      </c>
      <c r="U28" s="50">
        <v>2</v>
      </c>
      <c r="V28" s="50">
        <v>722.65</v>
      </c>
      <c r="W28" s="63">
        <v>2.4375</v>
      </c>
      <c r="X28" s="51">
        <v>45481</v>
      </c>
      <c r="Y28" s="52">
        <v>0.45809027777777778</v>
      </c>
      <c r="Z28" s="50">
        <v>0</v>
      </c>
      <c r="AA28" s="50">
        <v>0</v>
      </c>
      <c r="AB28" s="50">
        <v>0</v>
      </c>
      <c r="AC28" s="4">
        <f t="shared" si="14"/>
        <v>2.4365600000000001</v>
      </c>
      <c r="AD28" s="3"/>
    </row>
    <row r="29" spans="1:30" x14ac:dyDescent="0.25">
      <c r="A29">
        <v>0</v>
      </c>
      <c r="B29" t="s">
        <v>1</v>
      </c>
      <c r="C29">
        <v>14592</v>
      </c>
      <c r="D29">
        <v>32</v>
      </c>
      <c r="E29">
        <v>2</v>
      </c>
      <c r="F29">
        <v>2</v>
      </c>
      <c r="G29">
        <v>936.91</v>
      </c>
      <c r="H29" s="24">
        <v>2.2111999999999998</v>
      </c>
      <c r="I29" s="1">
        <v>45481</v>
      </c>
      <c r="J29" s="2">
        <v>2.1238425925925924E-2</v>
      </c>
      <c r="K29">
        <v>0</v>
      </c>
      <c r="L29">
        <v>0</v>
      </c>
      <c r="M29">
        <v>0</v>
      </c>
      <c r="N29" s="3">
        <f t="shared" ref="N29" si="15">AVERAGE(H29:H33)</f>
        <v>2.2109800000000002</v>
      </c>
      <c r="P29" s="50">
        <v>0</v>
      </c>
      <c r="Q29" s="50" t="s">
        <v>1</v>
      </c>
      <c r="R29" s="50">
        <v>14592</v>
      </c>
      <c r="S29" s="50">
        <v>32</v>
      </c>
      <c r="T29" s="50">
        <v>2</v>
      </c>
      <c r="U29" s="50">
        <v>2</v>
      </c>
      <c r="V29" s="50">
        <v>849.19</v>
      </c>
      <c r="W29" s="63">
        <v>2.4396</v>
      </c>
      <c r="X29" s="51">
        <v>45481</v>
      </c>
      <c r="Y29" s="52">
        <v>2.3275462962962963E-2</v>
      </c>
      <c r="Z29" s="50">
        <v>0</v>
      </c>
      <c r="AA29" s="50">
        <v>0</v>
      </c>
      <c r="AB29" s="50">
        <v>0</v>
      </c>
      <c r="AC29" s="4">
        <f t="shared" ref="AC29" si="16">AVERAGE(W29:W33)</f>
        <v>2.4411399999999999</v>
      </c>
      <c r="AD29" s="3"/>
    </row>
    <row r="30" spans="1:30" x14ac:dyDescent="0.25">
      <c r="A30">
        <v>1</v>
      </c>
      <c r="B30" t="s">
        <v>1</v>
      </c>
      <c r="C30">
        <v>14592</v>
      </c>
      <c r="D30">
        <v>32</v>
      </c>
      <c r="E30">
        <v>2</v>
      </c>
      <c r="F30">
        <v>2</v>
      </c>
      <c r="G30">
        <v>937.03</v>
      </c>
      <c r="H30" s="24">
        <v>2.2109000000000001</v>
      </c>
      <c r="I30" s="1">
        <v>45481</v>
      </c>
      <c r="J30" s="2">
        <v>0.13828703703703704</v>
      </c>
      <c r="K30">
        <v>0</v>
      </c>
      <c r="L30">
        <v>0</v>
      </c>
      <c r="M30">
        <v>0</v>
      </c>
      <c r="N30" s="3">
        <f t="shared" ref="N30" si="17">N29</f>
        <v>2.2109800000000002</v>
      </c>
      <c r="P30" s="50">
        <v>1</v>
      </c>
      <c r="Q30" s="50" t="s">
        <v>1</v>
      </c>
      <c r="R30" s="50">
        <v>14592</v>
      </c>
      <c r="S30" s="50">
        <v>32</v>
      </c>
      <c r="T30" s="50">
        <v>2</v>
      </c>
      <c r="U30" s="50">
        <v>2</v>
      </c>
      <c r="V30" s="50">
        <v>848.65</v>
      </c>
      <c r="W30" s="63">
        <v>2.4411</v>
      </c>
      <c r="X30" s="51">
        <v>45481</v>
      </c>
      <c r="Y30" s="52">
        <v>0.14268518518518519</v>
      </c>
      <c r="Z30" s="50">
        <v>0</v>
      </c>
      <c r="AA30" s="50">
        <v>0</v>
      </c>
      <c r="AB30" s="50">
        <v>0</v>
      </c>
      <c r="AC30" s="4">
        <f t="shared" ref="AC30:AC33" si="18">AC29</f>
        <v>2.4411399999999999</v>
      </c>
      <c r="AD30" s="3"/>
    </row>
    <row r="31" spans="1:30" x14ac:dyDescent="0.25">
      <c r="A31">
        <v>2</v>
      </c>
      <c r="B31" t="s">
        <v>1</v>
      </c>
      <c r="C31">
        <v>14592</v>
      </c>
      <c r="D31">
        <v>32</v>
      </c>
      <c r="E31">
        <v>2</v>
      </c>
      <c r="F31">
        <v>2</v>
      </c>
      <c r="G31">
        <v>936.78</v>
      </c>
      <c r="H31" s="24">
        <v>2.2115</v>
      </c>
      <c r="I31" s="1">
        <v>45481</v>
      </c>
      <c r="J31" s="2">
        <v>0.25533564814814813</v>
      </c>
      <c r="K31">
        <v>0</v>
      </c>
      <c r="L31">
        <v>0</v>
      </c>
      <c r="M31">
        <v>0</v>
      </c>
      <c r="N31" s="3">
        <f t="shared" si="9"/>
        <v>2.2109800000000002</v>
      </c>
      <c r="P31" s="50">
        <v>2</v>
      </c>
      <c r="Q31" s="50" t="s">
        <v>1</v>
      </c>
      <c r="R31" s="50">
        <v>14592</v>
      </c>
      <c r="S31" s="50">
        <v>32</v>
      </c>
      <c r="T31" s="50">
        <v>2</v>
      </c>
      <c r="U31" s="50">
        <v>2</v>
      </c>
      <c r="V31" s="50">
        <v>848.73</v>
      </c>
      <c r="W31" s="63">
        <v>2.4409000000000001</v>
      </c>
      <c r="X31" s="51">
        <v>45481</v>
      </c>
      <c r="Y31" s="52">
        <v>0.26203703703703701</v>
      </c>
      <c r="Z31" s="50">
        <v>0</v>
      </c>
      <c r="AA31" s="50">
        <v>0</v>
      </c>
      <c r="AB31" s="50">
        <v>0</v>
      </c>
      <c r="AC31" s="4">
        <f t="shared" si="18"/>
        <v>2.4411399999999999</v>
      </c>
      <c r="AD31" s="3"/>
    </row>
    <row r="32" spans="1:30" x14ac:dyDescent="0.25">
      <c r="A32">
        <v>3</v>
      </c>
      <c r="B32" t="s">
        <v>1</v>
      </c>
      <c r="C32">
        <v>14592</v>
      </c>
      <c r="D32">
        <v>32</v>
      </c>
      <c r="E32">
        <v>2</v>
      </c>
      <c r="F32">
        <v>2</v>
      </c>
      <c r="G32">
        <v>937.21</v>
      </c>
      <c r="H32" s="24">
        <v>2.2105000000000001</v>
      </c>
      <c r="I32" s="1">
        <v>45481</v>
      </c>
      <c r="J32" s="2">
        <v>0.3724189814814815</v>
      </c>
      <c r="K32">
        <v>0</v>
      </c>
      <c r="L32">
        <v>0</v>
      </c>
      <c r="M32">
        <v>0</v>
      </c>
      <c r="N32" s="3">
        <f t="shared" si="9"/>
        <v>2.2109800000000002</v>
      </c>
      <c r="P32" s="50">
        <v>3</v>
      </c>
      <c r="Q32" s="50" t="s">
        <v>1</v>
      </c>
      <c r="R32" s="50">
        <v>14592</v>
      </c>
      <c r="S32" s="50">
        <v>32</v>
      </c>
      <c r="T32" s="50">
        <v>2</v>
      </c>
      <c r="U32" s="50">
        <v>2</v>
      </c>
      <c r="V32" s="50">
        <v>848.13</v>
      </c>
      <c r="W32" s="63">
        <v>2.4426000000000001</v>
      </c>
      <c r="X32" s="51">
        <v>45481</v>
      </c>
      <c r="Y32" s="52">
        <v>0.38143518518518521</v>
      </c>
      <c r="Z32" s="50">
        <v>0</v>
      </c>
      <c r="AA32" s="50">
        <v>0</v>
      </c>
      <c r="AB32" s="50">
        <v>0</v>
      </c>
      <c r="AC32" s="4">
        <f t="shared" si="18"/>
        <v>2.4411399999999999</v>
      </c>
      <c r="AD32" s="3"/>
    </row>
    <row r="33" spans="1:30" x14ac:dyDescent="0.25">
      <c r="A33">
        <v>4</v>
      </c>
      <c r="B33" t="s">
        <v>1</v>
      </c>
      <c r="C33">
        <v>14592</v>
      </c>
      <c r="D33">
        <v>32</v>
      </c>
      <c r="E33">
        <v>2</v>
      </c>
      <c r="F33">
        <v>2</v>
      </c>
      <c r="G33">
        <v>937.06</v>
      </c>
      <c r="H33" s="24">
        <v>2.2107999999999999</v>
      </c>
      <c r="I33" s="1">
        <v>45481</v>
      </c>
      <c r="J33" s="2">
        <v>0.48950231481481482</v>
      </c>
      <c r="K33">
        <v>0</v>
      </c>
      <c r="L33">
        <v>0</v>
      </c>
      <c r="M33">
        <v>0</v>
      </c>
      <c r="N33" s="3">
        <f t="shared" si="9"/>
        <v>2.2109800000000002</v>
      </c>
      <c r="P33" s="50">
        <v>4</v>
      </c>
      <c r="Q33" s="50" t="s">
        <v>1</v>
      </c>
      <c r="R33" s="50">
        <v>14592</v>
      </c>
      <c r="S33" s="50">
        <v>32</v>
      </c>
      <c r="T33" s="50">
        <v>2</v>
      </c>
      <c r="U33" s="50">
        <v>2</v>
      </c>
      <c r="V33" s="50">
        <v>848.53</v>
      </c>
      <c r="W33" s="63">
        <v>2.4415</v>
      </c>
      <c r="X33" s="51">
        <v>45481</v>
      </c>
      <c r="Y33" s="52">
        <v>0.50090277777777781</v>
      </c>
      <c r="Z33" s="50">
        <v>0</v>
      </c>
      <c r="AA33" s="50">
        <v>0</v>
      </c>
      <c r="AB33" s="50">
        <v>0</v>
      </c>
      <c r="AC33" s="4">
        <f t="shared" si="18"/>
        <v>2.4411399999999999</v>
      </c>
      <c r="AD33" s="3"/>
    </row>
    <row r="34" spans="1:30" x14ac:dyDescent="0.25">
      <c r="A34">
        <v>0</v>
      </c>
      <c r="B34" t="s">
        <v>1</v>
      </c>
      <c r="C34">
        <v>13056</v>
      </c>
      <c r="D34">
        <v>64</v>
      </c>
      <c r="E34">
        <v>1</v>
      </c>
      <c r="F34">
        <v>4</v>
      </c>
      <c r="G34">
        <v>682.35</v>
      </c>
      <c r="H34" s="24">
        <v>2.1747000000000001</v>
      </c>
      <c r="I34" s="1">
        <v>45318</v>
      </c>
      <c r="J34" s="2">
        <v>0.20601851851851852</v>
      </c>
      <c r="K34">
        <v>0</v>
      </c>
      <c r="L34">
        <v>0</v>
      </c>
      <c r="M34">
        <v>0</v>
      </c>
      <c r="N34" s="3">
        <f t="shared" ref="N34" si="19">AVERAGE(H34:H38)</f>
        <v>2.1722399999999999</v>
      </c>
      <c r="P34" s="50">
        <v>0</v>
      </c>
      <c r="Q34" s="50" t="s">
        <v>1</v>
      </c>
      <c r="R34" s="50">
        <v>13056</v>
      </c>
      <c r="S34" s="50">
        <v>64</v>
      </c>
      <c r="T34" s="50">
        <v>1</v>
      </c>
      <c r="U34" s="50">
        <v>4</v>
      </c>
      <c r="V34" s="50">
        <v>582.33000000000004</v>
      </c>
      <c r="W34" s="63">
        <v>2.5499999999999998</v>
      </c>
      <c r="X34" s="51">
        <v>45321</v>
      </c>
      <c r="Y34" s="52">
        <v>0.97521990740740738</v>
      </c>
      <c r="Z34" s="50">
        <v>0</v>
      </c>
      <c r="AA34" s="50">
        <v>0</v>
      </c>
      <c r="AB34" s="50">
        <v>0</v>
      </c>
      <c r="AC34" s="4">
        <f t="shared" ref="AC34" si="20">AVERAGE(W34:W38)</f>
        <v>2.5428199999999999</v>
      </c>
      <c r="AD34" s="3"/>
    </row>
    <row r="35" spans="1:30" x14ac:dyDescent="0.25">
      <c r="A35">
        <v>1</v>
      </c>
      <c r="B35" t="s">
        <v>1</v>
      </c>
      <c r="C35">
        <v>13056</v>
      </c>
      <c r="D35">
        <v>64</v>
      </c>
      <c r="E35">
        <v>1</v>
      </c>
      <c r="F35">
        <v>4</v>
      </c>
      <c r="G35">
        <v>683.84</v>
      </c>
      <c r="H35" s="24">
        <v>2.17</v>
      </c>
      <c r="I35" s="1">
        <v>45320</v>
      </c>
      <c r="J35" s="2">
        <v>0.59099537037037042</v>
      </c>
      <c r="K35">
        <v>0</v>
      </c>
      <c r="L35">
        <v>0</v>
      </c>
      <c r="M35">
        <v>0</v>
      </c>
      <c r="N35" s="3">
        <f t="shared" ref="N35" si="21">N34</f>
        <v>2.1722399999999999</v>
      </c>
      <c r="P35" s="50">
        <v>1</v>
      </c>
      <c r="Q35" s="50" t="s">
        <v>1</v>
      </c>
      <c r="R35" s="50">
        <v>13056</v>
      </c>
      <c r="S35" s="50">
        <v>64</v>
      </c>
      <c r="T35" s="50">
        <v>1</v>
      </c>
      <c r="U35" s="50">
        <v>4</v>
      </c>
      <c r="V35" s="50">
        <v>581.80999999999995</v>
      </c>
      <c r="W35" s="63">
        <v>2.5499999999999998</v>
      </c>
      <c r="X35" s="51">
        <v>45322</v>
      </c>
      <c r="Y35" s="52">
        <v>0.49358796296296298</v>
      </c>
      <c r="Z35" s="50">
        <v>0</v>
      </c>
      <c r="AA35" s="50">
        <v>0</v>
      </c>
      <c r="AB35" s="50">
        <v>0</v>
      </c>
      <c r="AC35" s="4">
        <f t="shared" ref="AC35:AC38" si="22">AC34</f>
        <v>2.5428199999999999</v>
      </c>
      <c r="AD35" s="3"/>
    </row>
    <row r="36" spans="1:30" x14ac:dyDescent="0.25">
      <c r="A36">
        <v>2</v>
      </c>
      <c r="B36" t="s">
        <v>1</v>
      </c>
      <c r="C36">
        <v>13056</v>
      </c>
      <c r="D36">
        <v>64</v>
      </c>
      <c r="E36">
        <v>1</v>
      </c>
      <c r="F36">
        <v>4</v>
      </c>
      <c r="G36">
        <v>683.13</v>
      </c>
      <c r="H36" s="24">
        <v>2.1722999999999999</v>
      </c>
      <c r="I36" s="1">
        <v>45321</v>
      </c>
      <c r="J36" s="2">
        <v>9.9537037037037035E-2</v>
      </c>
      <c r="K36">
        <v>0</v>
      </c>
      <c r="L36">
        <v>0</v>
      </c>
      <c r="M36">
        <v>0</v>
      </c>
      <c r="N36" s="3">
        <f t="shared" si="5"/>
        <v>2.1722399999999999</v>
      </c>
      <c r="P36" s="50">
        <v>2</v>
      </c>
      <c r="Q36" s="50" t="s">
        <v>1</v>
      </c>
      <c r="R36" s="50">
        <v>13056</v>
      </c>
      <c r="S36" s="50">
        <v>64</v>
      </c>
      <c r="T36" s="50">
        <v>1</v>
      </c>
      <c r="U36" s="50">
        <v>4</v>
      </c>
      <c r="V36" s="50">
        <v>585.48</v>
      </c>
      <c r="W36" s="63">
        <v>2.5299999999999998</v>
      </c>
      <c r="X36" s="51">
        <v>45323</v>
      </c>
      <c r="Y36" s="52">
        <v>1.1793981481481482E-2</v>
      </c>
      <c r="Z36" s="50">
        <v>0</v>
      </c>
      <c r="AA36" s="50">
        <v>0</v>
      </c>
      <c r="AB36" s="50">
        <v>0</v>
      </c>
      <c r="AC36" s="4">
        <f t="shared" si="22"/>
        <v>2.5428199999999999</v>
      </c>
      <c r="AD36" s="3"/>
    </row>
    <row r="37" spans="1:30" x14ac:dyDescent="0.25">
      <c r="A37">
        <v>3</v>
      </c>
      <c r="B37" t="s">
        <v>1</v>
      </c>
      <c r="C37">
        <v>13056</v>
      </c>
      <c r="D37">
        <v>64</v>
      </c>
      <c r="E37">
        <v>1</v>
      </c>
      <c r="F37">
        <v>4</v>
      </c>
      <c r="G37">
        <v>683.08</v>
      </c>
      <c r="H37" s="24">
        <v>2.1724000000000001</v>
      </c>
      <c r="I37" s="1">
        <v>45321</v>
      </c>
      <c r="J37" s="2">
        <v>0.60819444444444448</v>
      </c>
      <c r="K37">
        <v>0</v>
      </c>
      <c r="L37">
        <v>0</v>
      </c>
      <c r="M37">
        <v>0</v>
      </c>
      <c r="N37" s="3">
        <f t="shared" si="5"/>
        <v>2.1722399999999999</v>
      </c>
      <c r="P37" s="50">
        <v>3</v>
      </c>
      <c r="Q37" s="50" t="s">
        <v>1</v>
      </c>
      <c r="R37" s="50">
        <v>13056</v>
      </c>
      <c r="S37" s="50">
        <v>64</v>
      </c>
      <c r="T37" s="50">
        <v>1</v>
      </c>
      <c r="U37" s="50">
        <v>4</v>
      </c>
      <c r="V37" s="50">
        <v>585.09</v>
      </c>
      <c r="W37" s="63">
        <v>2.54</v>
      </c>
      <c r="X37" s="51">
        <v>45323</v>
      </c>
      <c r="Y37" s="52">
        <v>0.53033564814814815</v>
      </c>
      <c r="Z37" s="50">
        <v>0</v>
      </c>
      <c r="AA37" s="50">
        <v>0</v>
      </c>
      <c r="AB37" s="50">
        <v>0</v>
      </c>
      <c r="AC37" s="4">
        <f t="shared" si="22"/>
        <v>2.5428199999999999</v>
      </c>
      <c r="AD37" s="3"/>
    </row>
    <row r="38" spans="1:30" x14ac:dyDescent="0.25">
      <c r="A38">
        <v>4</v>
      </c>
      <c r="B38" t="s">
        <v>1</v>
      </c>
      <c r="C38">
        <v>13056</v>
      </c>
      <c r="D38">
        <v>64</v>
      </c>
      <c r="E38">
        <v>1</v>
      </c>
      <c r="F38">
        <v>4</v>
      </c>
      <c r="G38">
        <v>683.27</v>
      </c>
      <c r="H38" s="3">
        <v>2.1718000000000002</v>
      </c>
      <c r="I38" s="1">
        <v>45322</v>
      </c>
      <c r="J38" s="2">
        <v>0.11673611111111111</v>
      </c>
      <c r="K38">
        <v>0</v>
      </c>
      <c r="L38">
        <v>0</v>
      </c>
      <c r="M38">
        <v>0</v>
      </c>
      <c r="N38" s="3">
        <f t="shared" si="5"/>
        <v>2.1722399999999999</v>
      </c>
      <c r="P38" s="50">
        <v>4</v>
      </c>
      <c r="Q38" s="50" t="s">
        <v>1</v>
      </c>
      <c r="R38" s="50">
        <v>13056</v>
      </c>
      <c r="S38" s="50">
        <v>64</v>
      </c>
      <c r="T38" s="50">
        <v>1</v>
      </c>
      <c r="U38" s="50">
        <v>4</v>
      </c>
      <c r="V38" s="50">
        <v>583.29</v>
      </c>
      <c r="W38" s="64">
        <v>2.5440999999999998</v>
      </c>
      <c r="X38" s="51">
        <v>45481</v>
      </c>
      <c r="Y38" s="52">
        <v>0.8119791666666667</v>
      </c>
      <c r="Z38" s="50">
        <v>0</v>
      </c>
      <c r="AA38" s="50">
        <v>0</v>
      </c>
      <c r="AB38" s="50">
        <v>0</v>
      </c>
      <c r="AC38" s="4">
        <f t="shared" si="22"/>
        <v>2.5428199999999999</v>
      </c>
      <c r="AD38" s="3"/>
    </row>
    <row r="39" spans="1:30" x14ac:dyDescent="0.25">
      <c r="A39">
        <v>0</v>
      </c>
      <c r="B39" t="s">
        <v>1</v>
      </c>
      <c r="C39">
        <v>13824</v>
      </c>
      <c r="D39">
        <v>64</v>
      </c>
      <c r="E39">
        <v>1</v>
      </c>
      <c r="F39">
        <v>4</v>
      </c>
      <c r="G39">
        <v>818.95</v>
      </c>
      <c r="H39" s="24">
        <v>2.1509</v>
      </c>
      <c r="I39" s="1">
        <v>45318</v>
      </c>
      <c r="J39" s="2">
        <v>0.1230787037037037</v>
      </c>
      <c r="K39">
        <v>0</v>
      </c>
      <c r="L39">
        <v>0</v>
      </c>
      <c r="M39">
        <v>0</v>
      </c>
      <c r="N39" s="3">
        <f t="shared" ref="N39" si="23">AVERAGE(H39:H43)</f>
        <v>2.1502400000000002</v>
      </c>
      <c r="P39" s="50">
        <v>0</v>
      </c>
      <c r="Q39" s="50" t="s">
        <v>1</v>
      </c>
      <c r="R39" s="50">
        <v>13824</v>
      </c>
      <c r="S39" s="50">
        <v>64</v>
      </c>
      <c r="T39" s="50">
        <v>1</v>
      </c>
      <c r="U39" s="50">
        <v>4</v>
      </c>
      <c r="V39" s="50">
        <v>692.55</v>
      </c>
      <c r="W39" s="63">
        <v>2.54</v>
      </c>
      <c r="X39" s="51">
        <v>45321</v>
      </c>
      <c r="Y39" s="52">
        <v>0.80501157407407409</v>
      </c>
      <c r="Z39" s="50">
        <v>0</v>
      </c>
      <c r="AA39" s="50">
        <v>0</v>
      </c>
      <c r="AB39" s="50">
        <v>0</v>
      </c>
      <c r="AC39" s="4">
        <f t="shared" ref="AC39" si="24">AVERAGE(W39:W43)</f>
        <v>2.5362399999999998</v>
      </c>
      <c r="AD39" s="3"/>
    </row>
    <row r="40" spans="1:30" x14ac:dyDescent="0.25">
      <c r="A40">
        <v>1</v>
      </c>
      <c r="B40" t="s">
        <v>1</v>
      </c>
      <c r="C40">
        <v>13824</v>
      </c>
      <c r="D40">
        <v>64</v>
      </c>
      <c r="E40">
        <v>1</v>
      </c>
      <c r="F40">
        <v>4</v>
      </c>
      <c r="G40">
        <v>819.34</v>
      </c>
      <c r="H40" s="24">
        <v>2.1499000000000001</v>
      </c>
      <c r="I40" s="1">
        <v>45320</v>
      </c>
      <c r="J40" s="2">
        <v>0.42358796296296297</v>
      </c>
      <c r="K40">
        <v>0</v>
      </c>
      <c r="L40">
        <v>0</v>
      </c>
      <c r="M40">
        <v>0</v>
      </c>
      <c r="N40" s="3">
        <f t="shared" ref="N40" si="25">N39</f>
        <v>2.1502400000000002</v>
      </c>
      <c r="P40" s="50">
        <v>1</v>
      </c>
      <c r="Q40" s="50" t="s">
        <v>1</v>
      </c>
      <c r="R40" s="50">
        <v>13824</v>
      </c>
      <c r="S40" s="50">
        <v>64</v>
      </c>
      <c r="T40" s="50">
        <v>1</v>
      </c>
      <c r="U40" s="50">
        <v>4</v>
      </c>
      <c r="V40" s="50">
        <v>693.66</v>
      </c>
      <c r="W40" s="63">
        <v>2.54</v>
      </c>
      <c r="X40" s="51">
        <v>45322</v>
      </c>
      <c r="Y40" s="52">
        <v>0.3233449074074074</v>
      </c>
      <c r="Z40" s="50">
        <v>0</v>
      </c>
      <c r="AA40" s="50">
        <v>0</v>
      </c>
      <c r="AB40" s="50">
        <v>0</v>
      </c>
      <c r="AC40" s="4">
        <f t="shared" ref="AC40:AC43" si="26">AC39</f>
        <v>2.5362399999999998</v>
      </c>
      <c r="AD40" s="3"/>
    </row>
    <row r="41" spans="1:30" x14ac:dyDescent="0.25">
      <c r="A41">
        <v>2</v>
      </c>
      <c r="B41" t="s">
        <v>1</v>
      </c>
      <c r="C41">
        <v>13824</v>
      </c>
      <c r="D41">
        <v>64</v>
      </c>
      <c r="E41">
        <v>1</v>
      </c>
      <c r="F41">
        <v>4</v>
      </c>
      <c r="G41">
        <v>819.3</v>
      </c>
      <c r="H41" s="24">
        <v>2.15</v>
      </c>
      <c r="I41" s="1">
        <v>45320</v>
      </c>
      <c r="J41" s="2">
        <v>0.93215277777777783</v>
      </c>
      <c r="K41">
        <v>0</v>
      </c>
      <c r="L41">
        <v>0</v>
      </c>
      <c r="M41">
        <v>0</v>
      </c>
      <c r="N41" s="3">
        <f t="shared" si="9"/>
        <v>2.1502400000000002</v>
      </c>
      <c r="P41" s="50">
        <v>2</v>
      </c>
      <c r="Q41" s="50" t="s">
        <v>1</v>
      </c>
      <c r="R41" s="50">
        <v>13824</v>
      </c>
      <c r="S41" s="50">
        <v>64</v>
      </c>
      <c r="T41" s="50">
        <v>1</v>
      </c>
      <c r="U41" s="50">
        <v>4</v>
      </c>
      <c r="V41" s="50">
        <v>696.55</v>
      </c>
      <c r="W41" s="63">
        <v>2.5299999999999998</v>
      </c>
      <c r="X41" s="51">
        <v>45322</v>
      </c>
      <c r="Y41" s="52">
        <v>0.8414814814814815</v>
      </c>
      <c r="Z41" s="50">
        <v>0</v>
      </c>
      <c r="AA41" s="50">
        <v>0</v>
      </c>
      <c r="AB41" s="50">
        <v>0</v>
      </c>
      <c r="AC41" s="4">
        <f t="shared" si="26"/>
        <v>2.5362399999999998</v>
      </c>
      <c r="AD41" s="3"/>
    </row>
    <row r="42" spans="1:30" x14ac:dyDescent="0.25">
      <c r="A42">
        <v>3</v>
      </c>
      <c r="B42" t="s">
        <v>1</v>
      </c>
      <c r="C42">
        <v>13824</v>
      </c>
      <c r="D42">
        <v>64</v>
      </c>
      <c r="E42">
        <v>1</v>
      </c>
      <c r="F42">
        <v>4</v>
      </c>
      <c r="G42">
        <v>819.23</v>
      </c>
      <c r="H42" s="24">
        <v>2.1501999999999999</v>
      </c>
      <c r="I42" s="1">
        <v>45321</v>
      </c>
      <c r="J42" s="2">
        <v>0.44077546296296294</v>
      </c>
      <c r="K42">
        <v>0</v>
      </c>
      <c r="L42">
        <v>0</v>
      </c>
      <c r="M42">
        <v>0</v>
      </c>
      <c r="N42" s="3">
        <f t="shared" si="9"/>
        <v>2.1502400000000002</v>
      </c>
      <c r="P42" s="50">
        <v>3</v>
      </c>
      <c r="Q42" s="50" t="s">
        <v>1</v>
      </c>
      <c r="R42" s="50">
        <v>13824</v>
      </c>
      <c r="S42" s="50">
        <v>64</v>
      </c>
      <c r="T42" s="50">
        <v>1</v>
      </c>
      <c r="U42" s="50">
        <v>4</v>
      </c>
      <c r="V42" s="50">
        <v>692.66</v>
      </c>
      <c r="W42" s="63">
        <v>2.54</v>
      </c>
      <c r="X42" s="51">
        <v>45323</v>
      </c>
      <c r="Y42" s="52">
        <v>0.36021990740740739</v>
      </c>
      <c r="Z42" s="50">
        <v>0</v>
      </c>
      <c r="AA42" s="50">
        <v>0</v>
      </c>
      <c r="AB42" s="50">
        <v>0</v>
      </c>
      <c r="AC42" s="4">
        <f t="shared" si="26"/>
        <v>2.5362399999999998</v>
      </c>
      <c r="AD42" s="3"/>
    </row>
    <row r="43" spans="1:30" x14ac:dyDescent="0.25">
      <c r="A43">
        <v>4</v>
      </c>
      <c r="B43" t="s">
        <v>1</v>
      </c>
      <c r="C43">
        <v>13824</v>
      </c>
      <c r="D43">
        <v>64</v>
      </c>
      <c r="E43">
        <v>1</v>
      </c>
      <c r="F43">
        <v>4</v>
      </c>
      <c r="G43">
        <v>819.22</v>
      </c>
      <c r="H43" s="3">
        <v>2.1501999999999999</v>
      </c>
      <c r="I43" s="1">
        <v>45321</v>
      </c>
      <c r="J43" s="2">
        <v>0.94936342592592593</v>
      </c>
      <c r="K43">
        <v>0</v>
      </c>
      <c r="L43">
        <v>0</v>
      </c>
      <c r="M43">
        <v>0</v>
      </c>
      <c r="N43" s="3">
        <f t="shared" si="9"/>
        <v>2.1502400000000002</v>
      </c>
      <c r="P43" s="50">
        <v>4</v>
      </c>
      <c r="Q43" s="50" t="s">
        <v>1</v>
      </c>
      <c r="R43" s="50">
        <v>13824</v>
      </c>
      <c r="S43" s="50">
        <v>64</v>
      </c>
      <c r="T43" s="50">
        <v>1</v>
      </c>
      <c r="U43" s="50">
        <v>4</v>
      </c>
      <c r="V43" s="50">
        <v>695.91</v>
      </c>
      <c r="W43" s="64">
        <v>2.5312000000000001</v>
      </c>
      <c r="X43" s="51">
        <v>45481</v>
      </c>
      <c r="Y43" s="52">
        <v>0.91156250000000005</v>
      </c>
      <c r="Z43" s="50">
        <v>0</v>
      </c>
      <c r="AA43" s="50">
        <v>0</v>
      </c>
      <c r="AB43" s="50">
        <v>0</v>
      </c>
      <c r="AC43" s="4">
        <f t="shared" si="26"/>
        <v>2.5362399999999998</v>
      </c>
      <c r="AD43" s="3"/>
    </row>
    <row r="44" spans="1:30" x14ac:dyDescent="0.25">
      <c r="A44">
        <v>0</v>
      </c>
      <c r="B44" t="s">
        <v>1</v>
      </c>
      <c r="C44">
        <v>14592</v>
      </c>
      <c r="D44">
        <v>64</v>
      </c>
      <c r="E44">
        <v>1</v>
      </c>
      <c r="F44">
        <v>4</v>
      </c>
      <c r="G44">
        <v>945.29</v>
      </c>
      <c r="H44" s="24">
        <v>2.1916000000000002</v>
      </c>
      <c r="I44" s="1">
        <v>45318</v>
      </c>
      <c r="J44" s="2">
        <v>4.4212962962962964E-3</v>
      </c>
      <c r="K44">
        <v>0</v>
      </c>
      <c r="L44">
        <v>0</v>
      </c>
      <c r="M44">
        <v>0</v>
      </c>
      <c r="N44" s="3">
        <f t="shared" ref="N44" si="27">AVERAGE(H44:H48)</f>
        <v>2.1899199999999999</v>
      </c>
      <c r="P44" s="50">
        <v>0</v>
      </c>
      <c r="Q44" s="50" t="s">
        <v>1</v>
      </c>
      <c r="R44" s="50">
        <v>14592</v>
      </c>
      <c r="S44" s="50">
        <v>64</v>
      </c>
      <c r="T44" s="50">
        <v>1</v>
      </c>
      <c r="U44" s="50">
        <v>4</v>
      </c>
      <c r="V44" s="50">
        <v>809.78</v>
      </c>
      <c r="W44" s="63">
        <v>2.56</v>
      </c>
      <c r="X44" s="51">
        <v>45321</v>
      </c>
      <c r="Y44" s="52">
        <v>0.58905092592592589</v>
      </c>
      <c r="Z44" s="50">
        <v>0</v>
      </c>
      <c r="AA44" s="50">
        <v>0</v>
      </c>
      <c r="AB44" s="50">
        <v>0</v>
      </c>
      <c r="AC44" s="4">
        <f t="shared" ref="AC44" si="28">AVERAGE(W44:W48)</f>
        <v>2.56</v>
      </c>
      <c r="AD44" s="3"/>
    </row>
    <row r="45" spans="1:30" x14ac:dyDescent="0.25">
      <c r="A45">
        <v>1</v>
      </c>
      <c r="B45" t="s">
        <v>1</v>
      </c>
      <c r="C45">
        <v>14592</v>
      </c>
      <c r="D45">
        <v>64</v>
      </c>
      <c r="E45">
        <v>1</v>
      </c>
      <c r="F45">
        <v>4</v>
      </c>
      <c r="G45">
        <v>945.89</v>
      </c>
      <c r="H45" s="24">
        <v>2.1901999999999999</v>
      </c>
      <c r="I45" s="1">
        <v>45320</v>
      </c>
      <c r="J45" s="2">
        <v>0.22763888888888889</v>
      </c>
      <c r="K45">
        <v>0</v>
      </c>
      <c r="L45">
        <v>0</v>
      </c>
      <c r="M45">
        <v>0</v>
      </c>
      <c r="N45" s="3">
        <f t="shared" ref="N45" si="29">N44</f>
        <v>2.1899199999999999</v>
      </c>
      <c r="P45" s="50">
        <v>1</v>
      </c>
      <c r="Q45" s="50" t="s">
        <v>1</v>
      </c>
      <c r="R45" s="50">
        <v>14592</v>
      </c>
      <c r="S45" s="50">
        <v>64</v>
      </c>
      <c r="T45" s="50">
        <v>1</v>
      </c>
      <c r="U45" s="50">
        <v>4</v>
      </c>
      <c r="V45" s="50">
        <v>809.73</v>
      </c>
      <c r="W45" s="63">
        <v>2.56</v>
      </c>
      <c r="X45" s="51">
        <v>45322</v>
      </c>
      <c r="Y45" s="52">
        <v>0.12439814814814815</v>
      </c>
      <c r="Z45" s="50">
        <v>0</v>
      </c>
      <c r="AA45" s="50">
        <v>0</v>
      </c>
      <c r="AB45" s="50">
        <v>0</v>
      </c>
      <c r="AC45" s="4">
        <f t="shared" ref="AC45:AC48" si="30">AC44</f>
        <v>2.56</v>
      </c>
      <c r="AD45" s="3"/>
    </row>
    <row r="46" spans="1:30" x14ac:dyDescent="0.25">
      <c r="A46">
        <v>2</v>
      </c>
      <c r="B46" t="s">
        <v>1</v>
      </c>
      <c r="C46">
        <v>14592</v>
      </c>
      <c r="D46">
        <v>64</v>
      </c>
      <c r="E46">
        <v>1</v>
      </c>
      <c r="F46">
        <v>4</v>
      </c>
      <c r="G46">
        <v>946.44</v>
      </c>
      <c r="H46" s="24">
        <v>2.1888999999999998</v>
      </c>
      <c r="I46" s="1">
        <v>45320</v>
      </c>
      <c r="J46" s="2">
        <v>0.73622685185185188</v>
      </c>
      <c r="K46">
        <v>0</v>
      </c>
      <c r="L46">
        <v>0</v>
      </c>
      <c r="M46">
        <v>0</v>
      </c>
      <c r="N46" s="3">
        <f t="shared" si="5"/>
        <v>2.1899199999999999</v>
      </c>
      <c r="P46" s="50">
        <v>2</v>
      </c>
      <c r="Q46" s="50" t="s">
        <v>1</v>
      </c>
      <c r="R46" s="50">
        <v>14592</v>
      </c>
      <c r="S46" s="50">
        <v>64</v>
      </c>
      <c r="T46" s="50">
        <v>1</v>
      </c>
      <c r="U46" s="50">
        <v>4</v>
      </c>
      <c r="V46" s="50">
        <v>808.08</v>
      </c>
      <c r="W46" s="63">
        <v>2.56</v>
      </c>
      <c r="X46" s="51">
        <v>45322</v>
      </c>
      <c r="Y46" s="52">
        <v>0.64266203703703706</v>
      </c>
      <c r="Z46" s="50">
        <v>0</v>
      </c>
      <c r="AA46" s="50">
        <v>0</v>
      </c>
      <c r="AB46" s="50">
        <v>0</v>
      </c>
      <c r="AC46" s="4">
        <f t="shared" si="30"/>
        <v>2.56</v>
      </c>
      <c r="AD46" s="3"/>
    </row>
    <row r="47" spans="1:30" x14ac:dyDescent="0.25">
      <c r="A47">
        <v>3</v>
      </c>
      <c r="B47" t="s">
        <v>1</v>
      </c>
      <c r="C47">
        <v>14592</v>
      </c>
      <c r="D47">
        <v>64</v>
      </c>
      <c r="E47">
        <v>1</v>
      </c>
      <c r="F47">
        <v>4</v>
      </c>
      <c r="G47">
        <v>946.14</v>
      </c>
      <c r="H47" s="24">
        <v>2.1896</v>
      </c>
      <c r="I47" s="1">
        <v>45321</v>
      </c>
      <c r="J47" s="2">
        <v>0.24480324074074075</v>
      </c>
      <c r="K47">
        <v>0</v>
      </c>
      <c r="L47">
        <v>0</v>
      </c>
      <c r="M47">
        <v>0</v>
      </c>
      <c r="N47" s="3">
        <f t="shared" si="5"/>
        <v>2.1899199999999999</v>
      </c>
      <c r="P47" s="50">
        <v>3</v>
      </c>
      <c r="Q47" s="50" t="s">
        <v>1</v>
      </c>
      <c r="R47" s="50">
        <v>14592</v>
      </c>
      <c r="S47" s="50">
        <v>64</v>
      </c>
      <c r="T47" s="50">
        <v>1</v>
      </c>
      <c r="U47" s="50">
        <v>4</v>
      </c>
      <c r="V47" s="50">
        <v>807.76</v>
      </c>
      <c r="W47" s="63">
        <v>2.56</v>
      </c>
      <c r="X47" s="51">
        <v>45323</v>
      </c>
      <c r="Y47" s="52">
        <v>0.16127314814814814</v>
      </c>
      <c r="Z47" s="50">
        <v>0</v>
      </c>
      <c r="AA47" s="50">
        <v>0</v>
      </c>
      <c r="AB47" s="50">
        <v>0</v>
      </c>
      <c r="AC47" s="4">
        <f t="shared" si="30"/>
        <v>2.56</v>
      </c>
      <c r="AD47" s="3"/>
    </row>
    <row r="48" spans="1:30" x14ac:dyDescent="0.25">
      <c r="A48">
        <v>4</v>
      </c>
      <c r="B48" t="s">
        <v>1</v>
      </c>
      <c r="C48">
        <v>14592</v>
      </c>
      <c r="D48">
        <v>64</v>
      </c>
      <c r="E48">
        <v>1</v>
      </c>
      <c r="F48">
        <v>4</v>
      </c>
      <c r="G48">
        <v>946.26</v>
      </c>
      <c r="H48" s="3">
        <v>2.1892999999999998</v>
      </c>
      <c r="I48" s="1">
        <v>45321</v>
      </c>
      <c r="J48" s="2">
        <v>0.75343749999999998</v>
      </c>
      <c r="K48">
        <v>0</v>
      </c>
      <c r="L48">
        <v>0</v>
      </c>
      <c r="M48">
        <v>0</v>
      </c>
      <c r="N48" s="3">
        <f t="shared" si="5"/>
        <v>2.1899199999999999</v>
      </c>
      <c r="P48" s="50">
        <v>4</v>
      </c>
      <c r="Q48" s="50" t="s">
        <v>1</v>
      </c>
      <c r="R48" s="50">
        <v>14592</v>
      </c>
      <c r="S48" s="50">
        <v>64</v>
      </c>
      <c r="T48" s="50">
        <v>1</v>
      </c>
      <c r="U48" s="50">
        <v>4</v>
      </c>
      <c r="V48" s="50">
        <v>808.37</v>
      </c>
      <c r="W48" s="63">
        <v>2.56</v>
      </c>
      <c r="X48" s="51">
        <v>45323</v>
      </c>
      <c r="Y48" s="52">
        <v>0.67956018518518524</v>
      </c>
      <c r="Z48" s="50">
        <v>0</v>
      </c>
      <c r="AA48" s="50">
        <v>0</v>
      </c>
      <c r="AB48" s="50">
        <v>0</v>
      </c>
      <c r="AC48" s="4">
        <f t="shared" si="30"/>
        <v>2.56</v>
      </c>
      <c r="AD48" s="3"/>
    </row>
    <row r="49" spans="1:30" x14ac:dyDescent="0.25">
      <c r="A49">
        <v>0</v>
      </c>
      <c r="B49" t="s">
        <v>1</v>
      </c>
      <c r="C49">
        <v>13056</v>
      </c>
      <c r="D49">
        <v>64</v>
      </c>
      <c r="E49">
        <v>2</v>
      </c>
      <c r="F49">
        <v>2</v>
      </c>
      <c r="G49">
        <v>653.82000000000005</v>
      </c>
      <c r="H49" s="24">
        <v>2.2696000000000001</v>
      </c>
      <c r="I49" s="1">
        <v>45318</v>
      </c>
      <c r="J49" s="2">
        <v>0.21385416666666668</v>
      </c>
      <c r="K49">
        <v>0</v>
      </c>
      <c r="L49">
        <v>0</v>
      </c>
      <c r="M49">
        <v>0</v>
      </c>
      <c r="N49" s="3">
        <f t="shared" ref="N49" si="31">AVERAGE(H49:H53)</f>
        <v>2.26796</v>
      </c>
      <c r="P49" s="50">
        <v>0</v>
      </c>
      <c r="Q49" s="50" t="s">
        <v>1</v>
      </c>
      <c r="R49" s="50">
        <v>13056</v>
      </c>
      <c r="S49" s="50">
        <v>64</v>
      </c>
      <c r="T49" s="50">
        <v>2</v>
      </c>
      <c r="U49" s="50">
        <v>2</v>
      </c>
      <c r="V49" s="50">
        <v>584.64</v>
      </c>
      <c r="W49" s="63">
        <v>2.54</v>
      </c>
      <c r="X49" s="51">
        <v>45321</v>
      </c>
      <c r="Y49" s="52">
        <v>0.98328703703703701</v>
      </c>
      <c r="Z49" s="50">
        <v>0</v>
      </c>
      <c r="AA49" s="50">
        <v>0</v>
      </c>
      <c r="AB49" s="50">
        <v>0</v>
      </c>
      <c r="AC49" s="4">
        <f t="shared" ref="AC49" si="32">AVERAGE(W49:W53)</f>
        <v>2.5380600000000002</v>
      </c>
      <c r="AD49" s="3"/>
    </row>
    <row r="50" spans="1:30" x14ac:dyDescent="0.25">
      <c r="A50">
        <v>1</v>
      </c>
      <c r="B50" t="s">
        <v>1</v>
      </c>
      <c r="C50">
        <v>13056</v>
      </c>
      <c r="D50">
        <v>64</v>
      </c>
      <c r="E50">
        <v>2</v>
      </c>
      <c r="F50">
        <v>2</v>
      </c>
      <c r="G50">
        <v>654.26</v>
      </c>
      <c r="H50" s="24">
        <v>2.2681</v>
      </c>
      <c r="I50" s="1">
        <v>45320</v>
      </c>
      <c r="J50" s="2">
        <v>0.5988310185185185</v>
      </c>
      <c r="K50">
        <v>0</v>
      </c>
      <c r="L50">
        <v>0</v>
      </c>
      <c r="M50">
        <v>0</v>
      </c>
      <c r="N50" s="3">
        <f t="shared" ref="N50" si="33">N49</f>
        <v>2.26796</v>
      </c>
      <c r="P50" s="50">
        <v>1</v>
      </c>
      <c r="Q50" s="50" t="s">
        <v>1</v>
      </c>
      <c r="R50" s="50">
        <v>13056</v>
      </c>
      <c r="S50" s="50">
        <v>64</v>
      </c>
      <c r="T50" s="50">
        <v>2</v>
      </c>
      <c r="U50" s="50">
        <v>2</v>
      </c>
      <c r="V50" s="50">
        <v>585.05999999999995</v>
      </c>
      <c r="W50" s="63">
        <v>2.54</v>
      </c>
      <c r="X50" s="51">
        <v>45322</v>
      </c>
      <c r="Y50" s="52">
        <v>0.50166666666666671</v>
      </c>
      <c r="Z50" s="50">
        <v>0</v>
      </c>
      <c r="AA50" s="50">
        <v>0</v>
      </c>
      <c r="AB50" s="50">
        <v>0</v>
      </c>
      <c r="AC50" s="4">
        <f t="shared" ref="AC50:AC53" si="34">AC49</f>
        <v>2.5380600000000002</v>
      </c>
      <c r="AD50" s="3"/>
    </row>
    <row r="51" spans="1:30" x14ac:dyDescent="0.25">
      <c r="A51">
        <v>2</v>
      </c>
      <c r="B51" t="s">
        <v>1</v>
      </c>
      <c r="C51">
        <v>13056</v>
      </c>
      <c r="D51">
        <v>64</v>
      </c>
      <c r="E51">
        <v>2</v>
      </c>
      <c r="F51">
        <v>2</v>
      </c>
      <c r="G51">
        <v>654.36</v>
      </c>
      <c r="H51" s="24">
        <v>2.2677999999999998</v>
      </c>
      <c r="I51" s="1">
        <v>45321</v>
      </c>
      <c r="J51" s="2">
        <v>0.10738425925925926</v>
      </c>
      <c r="K51">
        <v>0</v>
      </c>
      <c r="L51">
        <v>0</v>
      </c>
      <c r="M51">
        <v>0</v>
      </c>
      <c r="N51" s="3">
        <f t="shared" si="9"/>
        <v>2.26796</v>
      </c>
      <c r="P51" s="50">
        <v>2</v>
      </c>
      <c r="Q51" s="50" t="s">
        <v>1</v>
      </c>
      <c r="R51" s="50">
        <v>13056</v>
      </c>
      <c r="S51" s="50">
        <v>64</v>
      </c>
      <c r="T51" s="50">
        <v>2</v>
      </c>
      <c r="U51" s="50">
        <v>2</v>
      </c>
      <c r="V51" s="50">
        <v>585.11</v>
      </c>
      <c r="W51" s="63">
        <v>2.54</v>
      </c>
      <c r="X51" s="51">
        <v>45323</v>
      </c>
      <c r="Y51" s="52">
        <v>1.9872685185185184E-2</v>
      </c>
      <c r="Z51" s="50">
        <v>0</v>
      </c>
      <c r="AA51" s="50">
        <v>0</v>
      </c>
      <c r="AB51" s="50">
        <v>0</v>
      </c>
      <c r="AC51" s="4">
        <f t="shared" si="34"/>
        <v>2.5380600000000002</v>
      </c>
      <c r="AD51" s="3"/>
    </row>
    <row r="52" spans="1:30" x14ac:dyDescent="0.25">
      <c r="A52">
        <v>3</v>
      </c>
      <c r="B52" t="s">
        <v>1</v>
      </c>
      <c r="C52">
        <v>13056</v>
      </c>
      <c r="D52">
        <v>64</v>
      </c>
      <c r="E52">
        <v>2</v>
      </c>
      <c r="F52">
        <v>2</v>
      </c>
      <c r="G52">
        <v>654.34</v>
      </c>
      <c r="H52" s="24">
        <v>2.2677999999999998</v>
      </c>
      <c r="I52" s="1">
        <v>45321</v>
      </c>
      <c r="J52" s="2">
        <v>0.61604166666666671</v>
      </c>
      <c r="K52">
        <v>0</v>
      </c>
      <c r="L52">
        <v>0</v>
      </c>
      <c r="M52">
        <v>0</v>
      </c>
      <c r="N52" s="3">
        <f t="shared" si="9"/>
        <v>2.26796</v>
      </c>
      <c r="P52" s="50">
        <v>3</v>
      </c>
      <c r="Q52" s="50" t="s">
        <v>1</v>
      </c>
      <c r="R52" s="50">
        <v>13056</v>
      </c>
      <c r="S52" s="50">
        <v>64</v>
      </c>
      <c r="T52" s="50">
        <v>2</v>
      </c>
      <c r="U52" s="50">
        <v>2</v>
      </c>
      <c r="V52" s="50">
        <v>584.64</v>
      </c>
      <c r="W52" s="63">
        <v>2.54</v>
      </c>
      <c r="X52" s="51">
        <v>45323</v>
      </c>
      <c r="Y52" s="52">
        <v>0.53841435185185182</v>
      </c>
      <c r="Z52" s="50">
        <v>0</v>
      </c>
      <c r="AA52" s="50">
        <v>0</v>
      </c>
      <c r="AB52" s="50">
        <v>0</v>
      </c>
      <c r="AC52" s="4">
        <f t="shared" si="34"/>
        <v>2.5380600000000002</v>
      </c>
      <c r="AD52" s="3"/>
    </row>
    <row r="53" spans="1:30" x14ac:dyDescent="0.25">
      <c r="A53">
        <v>4</v>
      </c>
      <c r="B53" t="s">
        <v>1</v>
      </c>
      <c r="C53">
        <v>13056</v>
      </c>
      <c r="D53">
        <v>64</v>
      </c>
      <c r="E53">
        <v>2</v>
      </c>
      <c r="F53">
        <v>2</v>
      </c>
      <c r="G53">
        <v>654.73</v>
      </c>
      <c r="H53" s="3">
        <v>2.2665000000000002</v>
      </c>
      <c r="I53" s="1">
        <v>45322</v>
      </c>
      <c r="J53" s="2">
        <v>0.12458333333333334</v>
      </c>
      <c r="K53">
        <v>0</v>
      </c>
      <c r="L53">
        <v>0</v>
      </c>
      <c r="M53">
        <v>0</v>
      </c>
      <c r="N53" s="3">
        <f t="shared" si="9"/>
        <v>2.26796</v>
      </c>
      <c r="P53" s="50">
        <v>4</v>
      </c>
      <c r="Q53" s="50" t="s">
        <v>1</v>
      </c>
      <c r="R53" s="50">
        <v>13056</v>
      </c>
      <c r="S53" s="50">
        <v>64</v>
      </c>
      <c r="T53" s="50">
        <v>2</v>
      </c>
      <c r="U53" s="50">
        <v>2</v>
      </c>
      <c r="V53" s="50">
        <v>586.47</v>
      </c>
      <c r="W53" s="64">
        <v>2.5303</v>
      </c>
      <c r="X53" s="51">
        <v>45481</v>
      </c>
      <c r="Y53" s="52">
        <v>0.82008101851851856</v>
      </c>
      <c r="Z53" s="50">
        <v>0</v>
      </c>
      <c r="AA53" s="50">
        <v>0</v>
      </c>
      <c r="AB53" s="50">
        <v>0</v>
      </c>
      <c r="AC53" s="4">
        <f t="shared" si="34"/>
        <v>2.5380600000000002</v>
      </c>
      <c r="AD53" s="3"/>
    </row>
    <row r="54" spans="1:30" x14ac:dyDescent="0.25">
      <c r="A54">
        <v>0</v>
      </c>
      <c r="B54" t="s">
        <v>1</v>
      </c>
      <c r="C54">
        <v>13824</v>
      </c>
      <c r="D54">
        <v>64</v>
      </c>
      <c r="E54">
        <v>2</v>
      </c>
      <c r="F54">
        <v>2</v>
      </c>
      <c r="G54">
        <v>782.42</v>
      </c>
      <c r="H54" s="24">
        <v>2.2513000000000001</v>
      </c>
      <c r="I54" s="1">
        <v>45318</v>
      </c>
      <c r="J54" s="2">
        <v>0.13244212962962962</v>
      </c>
      <c r="K54">
        <v>0</v>
      </c>
      <c r="L54">
        <v>0</v>
      </c>
      <c r="M54">
        <v>0</v>
      </c>
      <c r="N54" s="3">
        <f t="shared" ref="N54" si="35">AVERAGE(H54:H58)</f>
        <v>2.2498399999999998</v>
      </c>
      <c r="P54" s="50">
        <v>0</v>
      </c>
      <c r="Q54" s="50" t="s">
        <v>1</v>
      </c>
      <c r="R54" s="50">
        <v>13824</v>
      </c>
      <c r="S54" s="50">
        <v>64</v>
      </c>
      <c r="T54" s="50">
        <v>2</v>
      </c>
      <c r="U54" s="50">
        <v>2</v>
      </c>
      <c r="V54" s="50">
        <v>693.15</v>
      </c>
      <c r="W54" s="63">
        <v>2.54</v>
      </c>
      <c r="X54" s="51">
        <v>45321</v>
      </c>
      <c r="Y54" s="52">
        <v>0.81450231481481483</v>
      </c>
      <c r="Z54" s="50">
        <v>0</v>
      </c>
      <c r="AA54" s="50">
        <v>0</v>
      </c>
      <c r="AB54" s="50">
        <v>0</v>
      </c>
      <c r="AC54" s="4">
        <f t="shared" ref="AC54" si="36">AVERAGE(W54:W58)</f>
        <v>2.54054</v>
      </c>
      <c r="AD54" s="3"/>
    </row>
    <row r="55" spans="1:30" x14ac:dyDescent="0.25">
      <c r="A55">
        <v>1</v>
      </c>
      <c r="B55" t="s">
        <v>1</v>
      </c>
      <c r="C55">
        <v>13824</v>
      </c>
      <c r="D55">
        <v>64</v>
      </c>
      <c r="E55">
        <v>2</v>
      </c>
      <c r="F55">
        <v>2</v>
      </c>
      <c r="G55">
        <v>782.84</v>
      </c>
      <c r="H55" s="24">
        <v>2.2501000000000002</v>
      </c>
      <c r="I55" s="1">
        <v>45320</v>
      </c>
      <c r="J55" s="2">
        <v>0.4329513888888889</v>
      </c>
      <c r="K55">
        <v>0</v>
      </c>
      <c r="L55">
        <v>0</v>
      </c>
      <c r="M55">
        <v>0</v>
      </c>
      <c r="N55" s="3">
        <f t="shared" ref="N55" si="37">N54</f>
        <v>2.2498399999999998</v>
      </c>
      <c r="P55" s="50">
        <v>1</v>
      </c>
      <c r="Q55" s="50" t="s">
        <v>1</v>
      </c>
      <c r="R55" s="50">
        <v>13824</v>
      </c>
      <c r="S55" s="50">
        <v>64</v>
      </c>
      <c r="T55" s="50">
        <v>2</v>
      </c>
      <c r="U55" s="50">
        <v>2</v>
      </c>
      <c r="V55" s="50">
        <v>692.34</v>
      </c>
      <c r="W55" s="63">
        <v>2.54</v>
      </c>
      <c r="X55" s="51">
        <v>45322</v>
      </c>
      <c r="Y55" s="52">
        <v>0.33282407407407405</v>
      </c>
      <c r="Z55" s="50">
        <v>0</v>
      </c>
      <c r="AA55" s="50">
        <v>0</v>
      </c>
      <c r="AB55" s="50">
        <v>0</v>
      </c>
      <c r="AC55" s="4">
        <f t="shared" ref="AC55:AC58" si="38">AC54</f>
        <v>2.54054</v>
      </c>
      <c r="AD55" s="3"/>
    </row>
    <row r="56" spans="1:30" x14ac:dyDescent="0.25">
      <c r="A56">
        <v>2</v>
      </c>
      <c r="B56" t="s">
        <v>1</v>
      </c>
      <c r="C56">
        <v>13824</v>
      </c>
      <c r="D56">
        <v>64</v>
      </c>
      <c r="E56">
        <v>2</v>
      </c>
      <c r="F56">
        <v>2</v>
      </c>
      <c r="G56">
        <v>783.26</v>
      </c>
      <c r="H56" s="24">
        <v>2.2488999999999999</v>
      </c>
      <c r="I56" s="1">
        <v>45320</v>
      </c>
      <c r="J56" s="2">
        <v>0.94152777777777774</v>
      </c>
      <c r="K56">
        <v>0</v>
      </c>
      <c r="L56">
        <v>0</v>
      </c>
      <c r="M56">
        <v>0</v>
      </c>
      <c r="N56" s="3">
        <f t="shared" si="5"/>
        <v>2.2498399999999998</v>
      </c>
      <c r="P56" s="50">
        <v>2</v>
      </c>
      <c r="Q56" s="50" t="s">
        <v>1</v>
      </c>
      <c r="R56" s="50">
        <v>13824</v>
      </c>
      <c r="S56" s="50">
        <v>64</v>
      </c>
      <c r="T56" s="50">
        <v>2</v>
      </c>
      <c r="U56" s="50">
        <v>2</v>
      </c>
      <c r="V56" s="50">
        <v>693.39</v>
      </c>
      <c r="W56" s="63">
        <v>2.54</v>
      </c>
      <c r="X56" s="51">
        <v>45322</v>
      </c>
      <c r="Y56" s="52">
        <v>0.85097222222222224</v>
      </c>
      <c r="Z56" s="50">
        <v>0</v>
      </c>
      <c r="AA56" s="50">
        <v>0</v>
      </c>
      <c r="AB56" s="50">
        <v>0</v>
      </c>
      <c r="AC56" s="4">
        <f t="shared" si="38"/>
        <v>2.54054</v>
      </c>
      <c r="AD56" s="3"/>
    </row>
    <row r="57" spans="1:30" x14ac:dyDescent="0.25">
      <c r="A57">
        <v>3</v>
      </c>
      <c r="B57" t="s">
        <v>1</v>
      </c>
      <c r="C57">
        <v>13824</v>
      </c>
      <c r="D57">
        <v>64</v>
      </c>
      <c r="E57">
        <v>2</v>
      </c>
      <c r="F57">
        <v>2</v>
      </c>
      <c r="G57">
        <v>783.11</v>
      </c>
      <c r="H57" s="24">
        <v>2.2494000000000001</v>
      </c>
      <c r="I57" s="1">
        <v>45321</v>
      </c>
      <c r="J57" s="2">
        <v>0.45013888888888887</v>
      </c>
      <c r="K57">
        <v>0</v>
      </c>
      <c r="L57">
        <v>0</v>
      </c>
      <c r="M57">
        <v>0</v>
      </c>
      <c r="N57" s="3">
        <f t="shared" si="5"/>
        <v>2.2498399999999998</v>
      </c>
      <c r="P57" s="50">
        <v>3</v>
      </c>
      <c r="Q57" s="50" t="s">
        <v>1</v>
      </c>
      <c r="R57" s="50">
        <v>13824</v>
      </c>
      <c r="S57" s="50">
        <v>64</v>
      </c>
      <c r="T57" s="50">
        <v>2</v>
      </c>
      <c r="U57" s="50">
        <v>2</v>
      </c>
      <c r="V57" s="50">
        <v>692.37</v>
      </c>
      <c r="W57" s="63">
        <v>2.54</v>
      </c>
      <c r="X57" s="51">
        <v>45323</v>
      </c>
      <c r="Y57" s="52">
        <v>0.3696990740740741</v>
      </c>
      <c r="Z57" s="50">
        <v>0</v>
      </c>
      <c r="AA57" s="50">
        <v>0</v>
      </c>
      <c r="AB57" s="50">
        <v>0</v>
      </c>
      <c r="AC57" s="4">
        <f t="shared" si="38"/>
        <v>2.54054</v>
      </c>
      <c r="AD57" s="3"/>
    </row>
    <row r="58" spans="1:30" x14ac:dyDescent="0.25">
      <c r="A58">
        <v>4</v>
      </c>
      <c r="B58" t="s">
        <v>1</v>
      </c>
      <c r="C58">
        <v>13824</v>
      </c>
      <c r="D58">
        <v>64</v>
      </c>
      <c r="E58">
        <v>2</v>
      </c>
      <c r="F58">
        <v>2</v>
      </c>
      <c r="G58">
        <v>783.06</v>
      </c>
      <c r="H58" s="3">
        <v>2.2494999999999998</v>
      </c>
      <c r="I58" s="1">
        <v>45321</v>
      </c>
      <c r="J58" s="2">
        <v>0.9587268518518518</v>
      </c>
      <c r="K58">
        <v>0</v>
      </c>
      <c r="L58">
        <v>0</v>
      </c>
      <c r="M58">
        <v>0</v>
      </c>
      <c r="N58" s="3">
        <f t="shared" si="5"/>
        <v>2.2498399999999998</v>
      </c>
      <c r="P58" s="50">
        <v>4</v>
      </c>
      <c r="Q58" s="50" t="s">
        <v>1</v>
      </c>
      <c r="R58" s="50">
        <v>13824</v>
      </c>
      <c r="S58" s="50">
        <v>64</v>
      </c>
      <c r="T58" s="50">
        <v>2</v>
      </c>
      <c r="U58" s="50">
        <v>2</v>
      </c>
      <c r="V58" s="50">
        <v>692.76</v>
      </c>
      <c r="W58" s="64">
        <v>2.5427</v>
      </c>
      <c r="X58" s="51">
        <v>45481</v>
      </c>
      <c r="Y58" s="52">
        <v>0.92104166666666665</v>
      </c>
      <c r="Z58" s="50">
        <v>0</v>
      </c>
      <c r="AA58" s="50">
        <v>0</v>
      </c>
      <c r="AB58" s="50">
        <v>0</v>
      </c>
      <c r="AC58" s="4">
        <f t="shared" si="38"/>
        <v>2.54054</v>
      </c>
      <c r="AD58" s="3"/>
    </row>
    <row r="59" spans="1:30" x14ac:dyDescent="0.25">
      <c r="A59">
        <v>0</v>
      </c>
      <c r="B59" t="s">
        <v>1</v>
      </c>
      <c r="C59">
        <v>14592</v>
      </c>
      <c r="D59">
        <v>64</v>
      </c>
      <c r="E59">
        <v>2</v>
      </c>
      <c r="F59">
        <v>2</v>
      </c>
      <c r="G59">
        <v>908.28</v>
      </c>
      <c r="H59" s="24">
        <v>2.2808999999999999</v>
      </c>
      <c r="I59" s="1">
        <v>45318</v>
      </c>
      <c r="J59" s="2">
        <v>3.6493055555555556E-2</v>
      </c>
      <c r="K59">
        <v>0</v>
      </c>
      <c r="L59">
        <v>0</v>
      </c>
      <c r="M59">
        <v>0</v>
      </c>
      <c r="N59" s="3">
        <f t="shared" ref="N59" si="39">AVERAGE(H59:H63)</f>
        <v>2.2786999999999997</v>
      </c>
      <c r="P59" s="50">
        <v>0</v>
      </c>
      <c r="Q59" s="50" t="s">
        <v>1</v>
      </c>
      <c r="R59" s="50">
        <v>14592</v>
      </c>
      <c r="S59" s="50">
        <v>64</v>
      </c>
      <c r="T59" s="50">
        <v>2</v>
      </c>
      <c r="U59" s="50">
        <v>2</v>
      </c>
      <c r="V59" s="50">
        <v>811.41</v>
      </c>
      <c r="W59" s="63">
        <v>2.5499999999999998</v>
      </c>
      <c r="X59" s="51">
        <v>45321</v>
      </c>
      <c r="Y59" s="52">
        <v>0.61694444444444441</v>
      </c>
      <c r="Z59" s="50">
        <v>0</v>
      </c>
      <c r="AA59" s="50">
        <v>0</v>
      </c>
      <c r="AB59" s="50">
        <v>0</v>
      </c>
      <c r="AC59" s="4">
        <f t="shared" ref="AC59" si="40">AVERAGE(W59:W63)</f>
        <v>2.5499999999999998</v>
      </c>
      <c r="AD59" s="3"/>
    </row>
    <row r="60" spans="1:30" x14ac:dyDescent="0.25">
      <c r="A60">
        <v>1</v>
      </c>
      <c r="B60" t="s">
        <v>1</v>
      </c>
      <c r="C60">
        <v>14592</v>
      </c>
      <c r="D60">
        <v>64</v>
      </c>
      <c r="E60">
        <v>2</v>
      </c>
      <c r="F60">
        <v>2</v>
      </c>
      <c r="G60">
        <v>909.01</v>
      </c>
      <c r="H60" s="24">
        <v>2.2789999999999999</v>
      </c>
      <c r="I60" s="1">
        <v>45320</v>
      </c>
      <c r="J60" s="2">
        <v>0.23849537037037036</v>
      </c>
      <c r="K60">
        <v>0</v>
      </c>
      <c r="L60">
        <v>0</v>
      </c>
      <c r="M60">
        <v>0</v>
      </c>
      <c r="N60" s="3">
        <f t="shared" ref="N60" si="41">N59</f>
        <v>2.2786999999999997</v>
      </c>
      <c r="P60" s="50">
        <v>1</v>
      </c>
      <c r="Q60" s="50" t="s">
        <v>1</v>
      </c>
      <c r="R60" s="50">
        <v>14592</v>
      </c>
      <c r="S60" s="50">
        <v>64</v>
      </c>
      <c r="T60" s="50">
        <v>2</v>
      </c>
      <c r="U60" s="50">
        <v>2</v>
      </c>
      <c r="V60" s="50">
        <v>812.99</v>
      </c>
      <c r="W60" s="63">
        <v>2.5499999999999998</v>
      </c>
      <c r="X60" s="51">
        <v>45322</v>
      </c>
      <c r="Y60" s="52">
        <v>0.13545138888888889</v>
      </c>
      <c r="Z60" s="50">
        <v>0</v>
      </c>
      <c r="AA60" s="50">
        <v>0</v>
      </c>
      <c r="AB60" s="50">
        <v>0</v>
      </c>
      <c r="AC60" s="4">
        <f t="shared" ref="AC60:AC63" si="42">AC59</f>
        <v>2.5499999999999998</v>
      </c>
      <c r="AD60" s="3"/>
    </row>
    <row r="61" spans="1:30" x14ac:dyDescent="0.25">
      <c r="A61">
        <v>2</v>
      </c>
      <c r="B61" t="s">
        <v>1</v>
      </c>
      <c r="C61">
        <v>14592</v>
      </c>
      <c r="D61">
        <v>64</v>
      </c>
      <c r="E61">
        <v>2</v>
      </c>
      <c r="F61">
        <v>2</v>
      </c>
      <c r="G61">
        <v>909.08</v>
      </c>
      <c r="H61" s="24">
        <v>2.2789000000000001</v>
      </c>
      <c r="I61" s="1">
        <v>45320</v>
      </c>
      <c r="J61" s="2">
        <v>0.74708333333333332</v>
      </c>
      <c r="K61">
        <v>0</v>
      </c>
      <c r="L61">
        <v>0</v>
      </c>
      <c r="M61">
        <v>0</v>
      </c>
      <c r="N61" s="3">
        <f t="shared" si="9"/>
        <v>2.2786999999999997</v>
      </c>
      <c r="P61" s="50">
        <v>2</v>
      </c>
      <c r="Q61" s="50" t="s">
        <v>1</v>
      </c>
      <c r="R61" s="50">
        <v>14592</v>
      </c>
      <c r="S61" s="50">
        <v>64</v>
      </c>
      <c r="T61" s="50">
        <v>2</v>
      </c>
      <c r="U61" s="50">
        <v>2</v>
      </c>
      <c r="V61" s="50">
        <v>811.45</v>
      </c>
      <c r="W61" s="63">
        <v>2.5499999999999998</v>
      </c>
      <c r="X61" s="51">
        <v>45322</v>
      </c>
      <c r="Y61" s="52">
        <v>0.6536805555555556</v>
      </c>
      <c r="Z61" s="50">
        <v>0</v>
      </c>
      <c r="AA61" s="50">
        <v>0</v>
      </c>
      <c r="AB61" s="50">
        <v>0</v>
      </c>
      <c r="AC61" s="4">
        <f t="shared" si="42"/>
        <v>2.5499999999999998</v>
      </c>
      <c r="AD61" s="3"/>
    </row>
    <row r="62" spans="1:30" x14ac:dyDescent="0.25">
      <c r="A62">
        <v>3</v>
      </c>
      <c r="B62" t="s">
        <v>1</v>
      </c>
      <c r="C62">
        <v>14592</v>
      </c>
      <c r="D62">
        <v>64</v>
      </c>
      <c r="E62">
        <v>2</v>
      </c>
      <c r="F62">
        <v>2</v>
      </c>
      <c r="G62">
        <v>909.86</v>
      </c>
      <c r="H62" s="24">
        <v>2.2768999999999999</v>
      </c>
      <c r="I62" s="1">
        <v>45321</v>
      </c>
      <c r="J62" s="2">
        <v>0.25567129629629631</v>
      </c>
      <c r="K62">
        <v>0</v>
      </c>
      <c r="L62">
        <v>0</v>
      </c>
      <c r="M62">
        <v>0</v>
      </c>
      <c r="N62" s="3">
        <f t="shared" si="9"/>
        <v>2.2786999999999997</v>
      </c>
      <c r="P62" s="50">
        <v>3</v>
      </c>
      <c r="Q62" s="50" t="s">
        <v>1</v>
      </c>
      <c r="R62" s="50">
        <v>14592</v>
      </c>
      <c r="S62" s="50">
        <v>64</v>
      </c>
      <c r="T62" s="50">
        <v>2</v>
      </c>
      <c r="U62" s="50">
        <v>2</v>
      </c>
      <c r="V62" s="50">
        <v>811.22</v>
      </c>
      <c r="W62" s="63">
        <v>2.5499999999999998</v>
      </c>
      <c r="X62" s="51">
        <v>45323</v>
      </c>
      <c r="Y62" s="52">
        <v>0.17229166666666668</v>
      </c>
      <c r="Z62" s="50">
        <v>0</v>
      </c>
      <c r="AA62" s="50">
        <v>0</v>
      </c>
      <c r="AB62" s="50">
        <v>0</v>
      </c>
      <c r="AC62" s="4">
        <f t="shared" si="42"/>
        <v>2.5499999999999998</v>
      </c>
      <c r="AD62" s="3"/>
    </row>
    <row r="63" spans="1:30" x14ac:dyDescent="0.25">
      <c r="A63">
        <v>4</v>
      </c>
      <c r="B63" t="s">
        <v>1</v>
      </c>
      <c r="C63">
        <v>14592</v>
      </c>
      <c r="D63">
        <v>64</v>
      </c>
      <c r="E63">
        <v>2</v>
      </c>
      <c r="F63">
        <v>2</v>
      </c>
      <c r="G63">
        <v>909.51</v>
      </c>
      <c r="H63" s="3">
        <v>2.2778</v>
      </c>
      <c r="I63" s="1">
        <v>45321</v>
      </c>
      <c r="J63" s="2">
        <v>0.76430555555555557</v>
      </c>
      <c r="K63">
        <v>0</v>
      </c>
      <c r="L63">
        <v>0</v>
      </c>
      <c r="M63">
        <v>0</v>
      </c>
      <c r="N63" s="3">
        <f t="shared" si="9"/>
        <v>2.2786999999999997</v>
      </c>
      <c r="P63" s="50">
        <v>4</v>
      </c>
      <c r="Q63" s="50" t="s">
        <v>1</v>
      </c>
      <c r="R63" s="50">
        <v>14592</v>
      </c>
      <c r="S63" s="50">
        <v>64</v>
      </c>
      <c r="T63" s="50">
        <v>2</v>
      </c>
      <c r="U63" s="50">
        <v>2</v>
      </c>
      <c r="V63" s="50">
        <v>811.13</v>
      </c>
      <c r="W63" s="63">
        <v>2.5499999999999998</v>
      </c>
      <c r="X63" s="51">
        <v>45323</v>
      </c>
      <c r="Y63" s="52">
        <v>0.69057870370370367</v>
      </c>
      <c r="Z63" s="50">
        <v>0</v>
      </c>
      <c r="AA63" s="50">
        <v>0</v>
      </c>
      <c r="AB63" s="50">
        <v>0</v>
      </c>
      <c r="AC63" s="4">
        <f t="shared" si="42"/>
        <v>2.5499999999999998</v>
      </c>
      <c r="AD63" s="3"/>
    </row>
    <row r="64" spans="1:30" x14ac:dyDescent="0.25">
      <c r="A64">
        <v>0</v>
      </c>
      <c r="B64" t="s">
        <v>1</v>
      </c>
      <c r="C64">
        <v>13056</v>
      </c>
      <c r="D64">
        <v>96</v>
      </c>
      <c r="E64">
        <v>1</v>
      </c>
      <c r="F64">
        <v>4</v>
      </c>
      <c r="G64">
        <v>665.07</v>
      </c>
      <c r="H64" s="24">
        <v>2.2311999999999999</v>
      </c>
      <c r="I64" s="1">
        <v>45318</v>
      </c>
      <c r="J64" s="2">
        <v>0.25346064814814817</v>
      </c>
      <c r="K64">
        <v>0</v>
      </c>
      <c r="L64">
        <v>0</v>
      </c>
      <c r="M64">
        <v>0</v>
      </c>
      <c r="N64" s="3">
        <f t="shared" ref="N64" si="43">AVERAGE(H64:H68)</f>
        <v>2.23068</v>
      </c>
      <c r="P64" s="50">
        <v>0</v>
      </c>
      <c r="Q64" s="50" t="s">
        <v>1</v>
      </c>
      <c r="R64" s="50">
        <v>13056</v>
      </c>
      <c r="S64" s="50">
        <v>96</v>
      </c>
      <c r="T64" s="50">
        <v>1</v>
      </c>
      <c r="U64" s="50">
        <v>4</v>
      </c>
      <c r="V64" s="50">
        <v>588.54999999999995</v>
      </c>
      <c r="W64" s="63">
        <v>2.52</v>
      </c>
      <c r="X64" s="51">
        <v>45322</v>
      </c>
      <c r="Y64" s="52">
        <v>7.5115740740740742E-3</v>
      </c>
      <c r="Z64" s="50">
        <v>0</v>
      </c>
      <c r="AA64" s="50">
        <v>0</v>
      </c>
      <c r="AB64" s="50">
        <v>0</v>
      </c>
      <c r="AC64" s="4">
        <f t="shared" ref="AC64" si="44">AVERAGE(W64:W68)</f>
        <v>2.5272800000000002</v>
      </c>
      <c r="AD64" s="3"/>
    </row>
    <row r="65" spans="1:30" x14ac:dyDescent="0.25">
      <c r="A65">
        <v>1</v>
      </c>
      <c r="B65" t="s">
        <v>1</v>
      </c>
      <c r="C65">
        <v>13056</v>
      </c>
      <c r="D65">
        <v>96</v>
      </c>
      <c r="E65">
        <v>1</v>
      </c>
      <c r="F65">
        <v>4</v>
      </c>
      <c r="G65">
        <v>665.18</v>
      </c>
      <c r="H65" s="24">
        <v>2.2309000000000001</v>
      </c>
      <c r="I65" s="1">
        <v>45320</v>
      </c>
      <c r="J65" s="2">
        <v>0.62262731481481481</v>
      </c>
      <c r="K65">
        <v>0</v>
      </c>
      <c r="L65">
        <v>0</v>
      </c>
      <c r="M65">
        <v>0</v>
      </c>
      <c r="N65" s="3">
        <f t="shared" ref="N65" si="45">N64</f>
        <v>2.23068</v>
      </c>
      <c r="P65" s="50">
        <v>1</v>
      </c>
      <c r="Q65" s="50" t="s">
        <v>1</v>
      </c>
      <c r="R65" s="50">
        <v>13056</v>
      </c>
      <c r="S65" s="50">
        <v>96</v>
      </c>
      <c r="T65" s="50">
        <v>1</v>
      </c>
      <c r="U65" s="50">
        <v>4</v>
      </c>
      <c r="V65" s="50">
        <v>584.65</v>
      </c>
      <c r="W65" s="63">
        <v>2.54</v>
      </c>
      <c r="X65" s="51">
        <v>45322</v>
      </c>
      <c r="Y65" s="52">
        <v>0.5258680555555556</v>
      </c>
      <c r="Z65" s="50">
        <v>0</v>
      </c>
      <c r="AA65" s="50">
        <v>0</v>
      </c>
      <c r="AB65" s="50">
        <v>0</v>
      </c>
      <c r="AC65" s="4">
        <f t="shared" ref="AC65:AC68" si="46">AC64</f>
        <v>2.5272800000000002</v>
      </c>
      <c r="AD65" s="3"/>
    </row>
    <row r="66" spans="1:30" x14ac:dyDescent="0.25">
      <c r="A66">
        <v>2</v>
      </c>
      <c r="B66" t="s">
        <v>1</v>
      </c>
      <c r="C66">
        <v>13056</v>
      </c>
      <c r="D66">
        <v>96</v>
      </c>
      <c r="E66">
        <v>1</v>
      </c>
      <c r="F66">
        <v>4</v>
      </c>
      <c r="G66">
        <v>665.31</v>
      </c>
      <c r="H66" s="24">
        <v>2.2303999999999999</v>
      </c>
      <c r="I66" s="1">
        <v>45321</v>
      </c>
      <c r="J66" s="2">
        <v>0.13119212962962962</v>
      </c>
      <c r="K66">
        <v>0</v>
      </c>
      <c r="L66">
        <v>0</v>
      </c>
      <c r="M66">
        <v>0</v>
      </c>
      <c r="N66" s="3">
        <f t="shared" si="5"/>
        <v>2.23068</v>
      </c>
      <c r="P66" s="50">
        <v>2</v>
      </c>
      <c r="Q66" s="50" t="s">
        <v>1</v>
      </c>
      <c r="R66" s="50">
        <v>13056</v>
      </c>
      <c r="S66" s="50">
        <v>96</v>
      </c>
      <c r="T66" s="50">
        <v>1</v>
      </c>
      <c r="U66" s="50">
        <v>4</v>
      </c>
      <c r="V66" s="50">
        <v>589.29999999999995</v>
      </c>
      <c r="W66" s="63">
        <v>2.52</v>
      </c>
      <c r="X66" s="51">
        <v>45323</v>
      </c>
      <c r="Y66" s="52">
        <v>4.4131944444444446E-2</v>
      </c>
      <c r="Z66" s="50">
        <v>0</v>
      </c>
      <c r="AA66" s="50">
        <v>0</v>
      </c>
      <c r="AB66" s="50">
        <v>0</v>
      </c>
      <c r="AC66" s="4">
        <f t="shared" si="46"/>
        <v>2.5272800000000002</v>
      </c>
      <c r="AD66" s="3"/>
    </row>
    <row r="67" spans="1:30" x14ac:dyDescent="0.25">
      <c r="A67">
        <v>3</v>
      </c>
      <c r="B67" t="s">
        <v>1</v>
      </c>
      <c r="C67">
        <v>13056</v>
      </c>
      <c r="D67">
        <v>96</v>
      </c>
      <c r="E67">
        <v>1</v>
      </c>
      <c r="F67">
        <v>4</v>
      </c>
      <c r="G67">
        <v>665.01</v>
      </c>
      <c r="H67" s="3">
        <v>2.2315</v>
      </c>
      <c r="I67" s="1">
        <v>45321</v>
      </c>
      <c r="J67" s="2">
        <v>0.63983796296296291</v>
      </c>
      <c r="K67">
        <v>0</v>
      </c>
      <c r="L67">
        <v>0</v>
      </c>
      <c r="M67">
        <v>0</v>
      </c>
      <c r="N67" s="3">
        <f t="shared" si="5"/>
        <v>2.23068</v>
      </c>
      <c r="P67" s="50">
        <v>3</v>
      </c>
      <c r="Q67" s="50" t="s">
        <v>1</v>
      </c>
      <c r="R67" s="50">
        <v>13056</v>
      </c>
      <c r="S67" s="50">
        <v>96</v>
      </c>
      <c r="T67" s="50">
        <v>1</v>
      </c>
      <c r="U67" s="50">
        <v>4</v>
      </c>
      <c r="V67" s="50">
        <v>586.92999999999995</v>
      </c>
      <c r="W67" s="63">
        <v>2.5299999999999998</v>
      </c>
      <c r="X67" s="51">
        <v>45323</v>
      </c>
      <c r="Y67" s="52">
        <v>0.56261574074074072</v>
      </c>
      <c r="Z67" s="50">
        <v>0</v>
      </c>
      <c r="AA67" s="50">
        <v>0</v>
      </c>
      <c r="AB67" s="50">
        <v>0</v>
      </c>
      <c r="AC67" s="4">
        <f t="shared" si="46"/>
        <v>2.5272800000000002</v>
      </c>
      <c r="AD67" s="3"/>
    </row>
    <row r="68" spans="1:30" x14ac:dyDescent="0.25">
      <c r="A68">
        <v>4</v>
      </c>
      <c r="B68" t="s">
        <v>1</v>
      </c>
      <c r="C68">
        <v>13056</v>
      </c>
      <c r="D68">
        <v>96</v>
      </c>
      <c r="E68">
        <v>1</v>
      </c>
      <c r="F68">
        <v>4</v>
      </c>
      <c r="G68">
        <v>665.62</v>
      </c>
      <c r="H68" s="3">
        <v>2.2294</v>
      </c>
      <c r="I68" s="1">
        <v>45322</v>
      </c>
      <c r="J68" s="2">
        <v>0.14839120370370371</v>
      </c>
      <c r="K68">
        <v>0</v>
      </c>
      <c r="L68">
        <v>0</v>
      </c>
      <c r="M68">
        <v>0</v>
      </c>
      <c r="N68" s="3">
        <f t="shared" si="5"/>
        <v>2.23068</v>
      </c>
      <c r="P68" s="50">
        <v>4</v>
      </c>
      <c r="Q68" s="50" t="s">
        <v>1</v>
      </c>
      <c r="R68" s="50">
        <v>13056</v>
      </c>
      <c r="S68" s="50">
        <v>96</v>
      </c>
      <c r="T68" s="50">
        <v>1</v>
      </c>
      <c r="U68" s="50">
        <v>4</v>
      </c>
      <c r="V68" s="50">
        <v>587.37</v>
      </c>
      <c r="W68" s="64">
        <v>2.5264000000000002</v>
      </c>
      <c r="X68" s="51">
        <v>45481</v>
      </c>
      <c r="Y68" s="52">
        <v>0.82818287037037042</v>
      </c>
      <c r="Z68" s="50">
        <v>0</v>
      </c>
      <c r="AA68" s="50">
        <v>0</v>
      </c>
      <c r="AB68" s="50">
        <v>0</v>
      </c>
      <c r="AC68" s="4">
        <f t="shared" si="46"/>
        <v>2.5272800000000002</v>
      </c>
      <c r="AD68" s="3"/>
    </row>
    <row r="69" spans="1:30" x14ac:dyDescent="0.25">
      <c r="A69">
        <v>0</v>
      </c>
      <c r="B69" t="s">
        <v>1</v>
      </c>
      <c r="C69">
        <v>13824</v>
      </c>
      <c r="D69">
        <v>96</v>
      </c>
      <c r="E69">
        <v>1</v>
      </c>
      <c r="F69">
        <v>4</v>
      </c>
      <c r="G69">
        <v>796.8</v>
      </c>
      <c r="H69" s="24">
        <v>2.2107000000000001</v>
      </c>
      <c r="I69" s="1">
        <v>45318</v>
      </c>
      <c r="J69" s="2">
        <v>0.17909722222222221</v>
      </c>
      <c r="K69">
        <v>0</v>
      </c>
      <c r="L69">
        <v>0</v>
      </c>
      <c r="M69">
        <v>0</v>
      </c>
      <c r="N69" s="3">
        <f t="shared" ref="N69" si="47">AVERAGE(H69:H73)</f>
        <v>2.2105000000000006</v>
      </c>
      <c r="P69" s="53">
        <v>0</v>
      </c>
      <c r="Q69" s="53" t="s">
        <v>1</v>
      </c>
      <c r="R69" s="53">
        <v>13824</v>
      </c>
      <c r="S69" s="53">
        <v>96</v>
      </c>
      <c r="T69" s="53">
        <v>1</v>
      </c>
      <c r="U69" s="53">
        <v>4</v>
      </c>
      <c r="V69" s="53">
        <v>694.25</v>
      </c>
      <c r="W69" s="65">
        <v>2.54</v>
      </c>
      <c r="X69" s="54">
        <v>45321</v>
      </c>
      <c r="Y69" s="55">
        <v>0.84266203703703701</v>
      </c>
      <c r="Z69" s="53">
        <v>0</v>
      </c>
      <c r="AA69" s="53">
        <v>0</v>
      </c>
      <c r="AB69" s="53">
        <v>0</v>
      </c>
      <c r="AC69" s="4">
        <f t="shared" ref="AC69" si="48">AVERAGE(W69:W73)</f>
        <v>2.5344600000000002</v>
      </c>
      <c r="AD69" s="3"/>
    </row>
    <row r="70" spans="1:30" x14ac:dyDescent="0.25">
      <c r="A70">
        <v>1</v>
      </c>
      <c r="B70" t="s">
        <v>1</v>
      </c>
      <c r="C70">
        <v>13824</v>
      </c>
      <c r="D70">
        <v>96</v>
      </c>
      <c r="E70">
        <v>1</v>
      </c>
      <c r="F70">
        <v>4</v>
      </c>
      <c r="G70">
        <v>796.89</v>
      </c>
      <c r="H70" s="24">
        <v>2.2103999999999999</v>
      </c>
      <c r="I70" s="1">
        <v>45320</v>
      </c>
      <c r="J70" s="2">
        <v>0.46098379629629632</v>
      </c>
      <c r="K70">
        <v>0</v>
      </c>
      <c r="L70">
        <v>0</v>
      </c>
      <c r="M70">
        <v>0</v>
      </c>
      <c r="N70" s="3">
        <f t="shared" ref="N70" si="49">N69</f>
        <v>2.2105000000000006</v>
      </c>
      <c r="P70" s="50">
        <v>1</v>
      </c>
      <c r="Q70" s="50" t="s">
        <v>1</v>
      </c>
      <c r="R70" s="50">
        <v>13824</v>
      </c>
      <c r="S70" s="50">
        <v>96</v>
      </c>
      <c r="T70" s="50">
        <v>1</v>
      </c>
      <c r="U70" s="50">
        <v>4</v>
      </c>
      <c r="V70" s="50">
        <v>696.04</v>
      </c>
      <c r="W70" s="63">
        <v>2.5299999999999998</v>
      </c>
      <c r="X70" s="51">
        <v>45322</v>
      </c>
      <c r="Y70" s="52">
        <v>0.36101851851851852</v>
      </c>
      <c r="Z70" s="50">
        <v>0</v>
      </c>
      <c r="AA70" s="50">
        <v>0</v>
      </c>
      <c r="AB70" s="50">
        <v>0</v>
      </c>
      <c r="AC70" s="4">
        <f t="shared" ref="AC70:AC73" si="50">AC69</f>
        <v>2.5344600000000002</v>
      </c>
      <c r="AD70" s="3"/>
    </row>
    <row r="71" spans="1:30" x14ac:dyDescent="0.25">
      <c r="A71">
        <v>2</v>
      </c>
      <c r="B71" t="s">
        <v>1</v>
      </c>
      <c r="C71">
        <v>13824</v>
      </c>
      <c r="D71">
        <v>96</v>
      </c>
      <c r="E71">
        <v>1</v>
      </c>
      <c r="F71">
        <v>4</v>
      </c>
      <c r="G71">
        <v>796.62</v>
      </c>
      <c r="H71" s="24">
        <v>2.2111999999999998</v>
      </c>
      <c r="I71" s="1">
        <v>45320</v>
      </c>
      <c r="J71" s="2">
        <v>0.96956018518518516</v>
      </c>
      <c r="K71">
        <v>0</v>
      </c>
      <c r="L71">
        <v>0</v>
      </c>
      <c r="M71">
        <v>0</v>
      </c>
      <c r="N71" s="3">
        <f t="shared" si="9"/>
        <v>2.2105000000000006</v>
      </c>
      <c r="P71" s="50">
        <v>2</v>
      </c>
      <c r="Q71" s="50" t="s">
        <v>1</v>
      </c>
      <c r="R71" s="50">
        <v>13824</v>
      </c>
      <c r="S71" s="50">
        <v>96</v>
      </c>
      <c r="T71" s="50">
        <v>1</v>
      </c>
      <c r="U71" s="50">
        <v>4</v>
      </c>
      <c r="V71" s="50">
        <v>695.5</v>
      </c>
      <c r="W71" s="63">
        <v>2.5299999999999998</v>
      </c>
      <c r="X71" s="51">
        <v>45322</v>
      </c>
      <c r="Y71" s="52">
        <v>0.87914351851851846</v>
      </c>
      <c r="Z71" s="50">
        <v>0</v>
      </c>
      <c r="AA71" s="50">
        <v>0</v>
      </c>
      <c r="AB71" s="50">
        <v>0</v>
      </c>
      <c r="AC71" s="4">
        <f t="shared" si="50"/>
        <v>2.5344600000000002</v>
      </c>
      <c r="AD71" s="3"/>
    </row>
    <row r="72" spans="1:30" x14ac:dyDescent="0.25">
      <c r="A72">
        <v>3</v>
      </c>
      <c r="B72" t="s">
        <v>1</v>
      </c>
      <c r="C72">
        <v>13824</v>
      </c>
      <c r="D72">
        <v>96</v>
      </c>
      <c r="E72">
        <v>1</v>
      </c>
      <c r="F72">
        <v>4</v>
      </c>
      <c r="G72">
        <v>796.96</v>
      </c>
      <c r="H72" s="24">
        <v>2.2103000000000002</v>
      </c>
      <c r="I72" s="1">
        <v>45321</v>
      </c>
      <c r="J72" s="2">
        <v>0.47819444444444442</v>
      </c>
      <c r="K72">
        <v>0</v>
      </c>
      <c r="L72">
        <v>0</v>
      </c>
      <c r="M72">
        <v>0</v>
      </c>
      <c r="N72" s="3">
        <f t="shared" si="9"/>
        <v>2.2105000000000006</v>
      </c>
      <c r="P72" s="50">
        <v>3</v>
      </c>
      <c r="Q72" s="50" t="s">
        <v>1</v>
      </c>
      <c r="R72" s="50">
        <v>13824</v>
      </c>
      <c r="S72" s="50">
        <v>96</v>
      </c>
      <c r="T72" s="50">
        <v>1</v>
      </c>
      <c r="U72" s="50">
        <v>4</v>
      </c>
      <c r="V72" s="50">
        <v>694.32</v>
      </c>
      <c r="W72" s="63">
        <v>2.54</v>
      </c>
      <c r="X72" s="51">
        <v>45323</v>
      </c>
      <c r="Y72" s="52">
        <v>0.39785879629629628</v>
      </c>
      <c r="Z72" s="50">
        <v>0</v>
      </c>
      <c r="AA72" s="50">
        <v>0</v>
      </c>
      <c r="AB72" s="50">
        <v>0</v>
      </c>
      <c r="AC72" s="4">
        <f t="shared" si="50"/>
        <v>2.5344600000000002</v>
      </c>
      <c r="AD72" s="3"/>
    </row>
    <row r="73" spans="1:30" x14ac:dyDescent="0.25">
      <c r="A73">
        <v>4</v>
      </c>
      <c r="B73" t="s">
        <v>1</v>
      </c>
      <c r="C73">
        <v>13824</v>
      </c>
      <c r="D73">
        <v>96</v>
      </c>
      <c r="E73">
        <v>1</v>
      </c>
      <c r="F73">
        <v>4</v>
      </c>
      <c r="G73">
        <v>797.08</v>
      </c>
      <c r="H73" s="3">
        <v>2.2099000000000002</v>
      </c>
      <c r="I73" s="1">
        <v>45321</v>
      </c>
      <c r="J73" s="2">
        <v>0.98677083333333337</v>
      </c>
      <c r="K73">
        <v>0</v>
      </c>
      <c r="L73">
        <v>0</v>
      </c>
      <c r="M73">
        <v>0</v>
      </c>
      <c r="N73" s="3">
        <f t="shared" si="9"/>
        <v>2.2105000000000006</v>
      </c>
      <c r="P73" s="50">
        <v>4</v>
      </c>
      <c r="Q73" s="50" t="s">
        <v>1</v>
      </c>
      <c r="R73" s="50">
        <v>13824</v>
      </c>
      <c r="S73" s="50">
        <v>96</v>
      </c>
      <c r="T73" s="50">
        <v>1</v>
      </c>
      <c r="U73" s="50">
        <v>4</v>
      </c>
      <c r="V73" s="50">
        <v>695.62</v>
      </c>
      <c r="W73" s="64">
        <v>2.5323000000000002</v>
      </c>
      <c r="X73" s="51">
        <v>45481</v>
      </c>
      <c r="Y73" s="52">
        <v>0.93056712962962962</v>
      </c>
      <c r="Z73" s="50">
        <v>0</v>
      </c>
      <c r="AA73" s="50">
        <v>0</v>
      </c>
      <c r="AB73" s="50">
        <v>0</v>
      </c>
      <c r="AC73" s="4">
        <f t="shared" si="50"/>
        <v>2.5344600000000002</v>
      </c>
      <c r="AD73" s="3"/>
    </row>
    <row r="74" spans="1:30" x14ac:dyDescent="0.25">
      <c r="A74">
        <v>0</v>
      </c>
      <c r="B74" t="s">
        <v>1</v>
      </c>
      <c r="C74">
        <v>14592</v>
      </c>
      <c r="D74">
        <v>96</v>
      </c>
      <c r="E74">
        <v>1</v>
      </c>
      <c r="F74">
        <v>4</v>
      </c>
      <c r="G74">
        <v>919.98</v>
      </c>
      <c r="H74" s="24">
        <v>2.2519</v>
      </c>
      <c r="I74" s="1">
        <v>45318</v>
      </c>
      <c r="J74" s="2">
        <v>9.1562500000000005E-2</v>
      </c>
      <c r="K74">
        <v>0</v>
      </c>
      <c r="L74">
        <v>0</v>
      </c>
      <c r="M74">
        <v>0</v>
      </c>
      <c r="N74" s="3">
        <f t="shared" ref="N74" si="51">AVERAGE(H74:H78)</f>
        <v>2.2502</v>
      </c>
      <c r="P74" s="50">
        <v>0</v>
      </c>
      <c r="Q74" s="50" t="s">
        <v>1</v>
      </c>
      <c r="R74" s="50">
        <v>14592</v>
      </c>
      <c r="S74" s="50">
        <v>96</v>
      </c>
      <c r="T74" s="50">
        <v>1</v>
      </c>
      <c r="U74" s="50">
        <v>4</v>
      </c>
      <c r="V74" s="50">
        <v>819.8</v>
      </c>
      <c r="W74" s="63">
        <v>2.5299999999999998</v>
      </c>
      <c r="X74" s="51">
        <v>45321</v>
      </c>
      <c r="Y74" s="52">
        <v>0.6504050925925926</v>
      </c>
      <c r="Z74" s="50">
        <v>0</v>
      </c>
      <c r="AA74" s="50">
        <v>0</v>
      </c>
      <c r="AB74" s="50">
        <v>0</v>
      </c>
      <c r="AC74" s="4">
        <f t="shared" ref="AC74" si="52">AVERAGE(W74:W78)</f>
        <v>2.5439999999999996</v>
      </c>
      <c r="AD74" s="3"/>
    </row>
    <row r="75" spans="1:30" x14ac:dyDescent="0.25">
      <c r="A75">
        <v>1</v>
      </c>
      <c r="B75" t="s">
        <v>1</v>
      </c>
      <c r="C75">
        <v>14592</v>
      </c>
      <c r="D75">
        <v>96</v>
      </c>
      <c r="E75">
        <v>1</v>
      </c>
      <c r="F75">
        <v>4</v>
      </c>
      <c r="G75">
        <v>920.85</v>
      </c>
      <c r="H75" s="24">
        <v>2.2496999999999998</v>
      </c>
      <c r="I75" s="1">
        <v>45320</v>
      </c>
      <c r="J75" s="2">
        <v>0.27171296296296299</v>
      </c>
      <c r="K75">
        <v>0</v>
      </c>
      <c r="L75">
        <v>0</v>
      </c>
      <c r="M75">
        <v>0</v>
      </c>
      <c r="N75" s="3">
        <f t="shared" ref="N75" si="53">N74</f>
        <v>2.2502</v>
      </c>
      <c r="P75" s="50">
        <v>1</v>
      </c>
      <c r="Q75" s="50" t="s">
        <v>1</v>
      </c>
      <c r="R75" s="50">
        <v>14592</v>
      </c>
      <c r="S75" s="50">
        <v>96</v>
      </c>
      <c r="T75" s="50">
        <v>1</v>
      </c>
      <c r="U75" s="50">
        <v>4</v>
      </c>
      <c r="V75" s="50">
        <v>811.19</v>
      </c>
      <c r="W75" s="63">
        <v>2.5499999999999998</v>
      </c>
      <c r="X75" s="51">
        <v>45322</v>
      </c>
      <c r="Y75" s="52">
        <v>0.16872685185185185</v>
      </c>
      <c r="Z75" s="50">
        <v>0</v>
      </c>
      <c r="AA75" s="50">
        <v>0</v>
      </c>
      <c r="AB75" s="50">
        <v>0</v>
      </c>
      <c r="AC75" s="4">
        <f t="shared" ref="AC75:AC78" si="54">AC74</f>
        <v>2.5439999999999996</v>
      </c>
      <c r="AD75" s="3"/>
    </row>
    <row r="76" spans="1:30" x14ac:dyDescent="0.25">
      <c r="A76">
        <v>2</v>
      </c>
      <c r="B76" t="s">
        <v>1</v>
      </c>
      <c r="C76">
        <v>14592</v>
      </c>
      <c r="D76">
        <v>96</v>
      </c>
      <c r="E76">
        <v>1</v>
      </c>
      <c r="F76">
        <v>4</v>
      </c>
      <c r="G76">
        <v>920.98</v>
      </c>
      <c r="H76" s="24">
        <v>2.2494000000000001</v>
      </c>
      <c r="I76" s="1">
        <v>45320</v>
      </c>
      <c r="J76" s="2">
        <v>0.7802662037037037</v>
      </c>
      <c r="K76">
        <v>0</v>
      </c>
      <c r="L76">
        <v>0</v>
      </c>
      <c r="M76">
        <v>0</v>
      </c>
      <c r="N76" s="3">
        <f t="shared" si="5"/>
        <v>2.2502</v>
      </c>
      <c r="P76" s="50">
        <v>2</v>
      </c>
      <c r="Q76" s="50" t="s">
        <v>1</v>
      </c>
      <c r="R76" s="50">
        <v>14592</v>
      </c>
      <c r="S76" s="50">
        <v>96</v>
      </c>
      <c r="T76" s="50">
        <v>1</v>
      </c>
      <c r="U76" s="50">
        <v>4</v>
      </c>
      <c r="V76" s="50">
        <v>814.94</v>
      </c>
      <c r="W76" s="63">
        <v>2.54</v>
      </c>
      <c r="X76" s="51">
        <v>45322</v>
      </c>
      <c r="Y76" s="52">
        <v>0.68690972222222224</v>
      </c>
      <c r="Z76" s="50">
        <v>0</v>
      </c>
      <c r="AA76" s="50">
        <v>0</v>
      </c>
      <c r="AB76" s="50">
        <v>0</v>
      </c>
      <c r="AC76" s="4">
        <f t="shared" si="54"/>
        <v>2.5439999999999996</v>
      </c>
      <c r="AD76" s="3"/>
    </row>
    <row r="77" spans="1:30" x14ac:dyDescent="0.25">
      <c r="A77">
        <v>3</v>
      </c>
      <c r="B77" t="s">
        <v>1</v>
      </c>
      <c r="C77">
        <v>14592</v>
      </c>
      <c r="D77">
        <v>96</v>
      </c>
      <c r="E77">
        <v>1</v>
      </c>
      <c r="F77">
        <v>4</v>
      </c>
      <c r="G77">
        <v>920.78</v>
      </c>
      <c r="H77" s="24">
        <v>2.2498999999999998</v>
      </c>
      <c r="I77" s="1">
        <v>45321</v>
      </c>
      <c r="J77" s="2">
        <v>0.2888425925925926</v>
      </c>
      <c r="K77">
        <v>0</v>
      </c>
      <c r="L77">
        <v>0</v>
      </c>
      <c r="M77">
        <v>0</v>
      </c>
      <c r="N77" s="3">
        <f t="shared" si="5"/>
        <v>2.2502</v>
      </c>
      <c r="P77" s="50">
        <v>3</v>
      </c>
      <c r="Q77" s="50" t="s">
        <v>1</v>
      </c>
      <c r="R77" s="50">
        <v>14592</v>
      </c>
      <c r="S77" s="50">
        <v>96</v>
      </c>
      <c r="T77" s="50">
        <v>1</v>
      </c>
      <c r="U77" s="50">
        <v>4</v>
      </c>
      <c r="V77" s="50">
        <v>812.02</v>
      </c>
      <c r="W77" s="63">
        <v>2.5499999999999998</v>
      </c>
      <c r="X77" s="51">
        <v>45323</v>
      </c>
      <c r="Y77" s="52">
        <v>0.20549768518518519</v>
      </c>
      <c r="Z77" s="50">
        <v>0</v>
      </c>
      <c r="AA77" s="50">
        <v>0</v>
      </c>
      <c r="AB77" s="50">
        <v>0</v>
      </c>
      <c r="AC77" s="4">
        <f t="shared" si="54"/>
        <v>2.5439999999999996</v>
      </c>
      <c r="AD77" s="3"/>
    </row>
    <row r="78" spans="1:30" x14ac:dyDescent="0.25">
      <c r="A78">
        <v>4</v>
      </c>
      <c r="B78" t="s">
        <v>1</v>
      </c>
      <c r="C78">
        <v>14592</v>
      </c>
      <c r="D78">
        <v>96</v>
      </c>
      <c r="E78">
        <v>1</v>
      </c>
      <c r="F78">
        <v>4</v>
      </c>
      <c r="G78">
        <v>920.72</v>
      </c>
      <c r="H78" s="3">
        <v>2.2501000000000002</v>
      </c>
      <c r="I78" s="1">
        <v>45321</v>
      </c>
      <c r="J78" s="2">
        <v>0.7974768518518518</v>
      </c>
      <c r="K78">
        <v>0</v>
      </c>
      <c r="L78">
        <v>0</v>
      </c>
      <c r="M78">
        <v>0</v>
      </c>
      <c r="N78" s="3">
        <f t="shared" si="5"/>
        <v>2.2502</v>
      </c>
      <c r="P78" s="50">
        <v>4</v>
      </c>
      <c r="Q78" s="50" t="s">
        <v>1</v>
      </c>
      <c r="R78" s="50">
        <v>14592</v>
      </c>
      <c r="S78" s="50">
        <v>96</v>
      </c>
      <c r="T78" s="50">
        <v>1</v>
      </c>
      <c r="U78" s="50">
        <v>4</v>
      </c>
      <c r="V78" s="50">
        <v>812.09</v>
      </c>
      <c r="W78" s="63">
        <v>2.5499999999999998</v>
      </c>
      <c r="X78" s="51">
        <v>45323</v>
      </c>
      <c r="Y78" s="52">
        <v>0.72384259259259254</v>
      </c>
      <c r="Z78" s="50">
        <v>0</v>
      </c>
      <c r="AA78" s="50">
        <v>0</v>
      </c>
      <c r="AB78" s="50">
        <v>0</v>
      </c>
      <c r="AC78" s="4">
        <f t="shared" si="54"/>
        <v>2.5439999999999996</v>
      </c>
      <c r="AD78" s="3"/>
    </row>
    <row r="79" spans="1:30" x14ac:dyDescent="0.25">
      <c r="A79">
        <v>0</v>
      </c>
      <c r="B79" t="s">
        <v>1</v>
      </c>
      <c r="C79">
        <v>13056</v>
      </c>
      <c r="D79">
        <v>96</v>
      </c>
      <c r="E79">
        <v>2</v>
      </c>
      <c r="F79">
        <v>2</v>
      </c>
      <c r="G79">
        <v>651.74</v>
      </c>
      <c r="H79" s="24">
        <v>2.2768999999999999</v>
      </c>
      <c r="I79" s="1">
        <v>45318</v>
      </c>
      <c r="J79" s="2">
        <v>0.26127314814814817</v>
      </c>
      <c r="K79">
        <v>0</v>
      </c>
      <c r="L79">
        <v>0</v>
      </c>
      <c r="M79">
        <v>0</v>
      </c>
      <c r="N79" s="3">
        <f t="shared" ref="N79" si="55">AVERAGE(H79:H83)</f>
        <v>2.2754400000000001</v>
      </c>
      <c r="P79" s="50">
        <v>0</v>
      </c>
      <c r="Q79" s="50" t="s">
        <v>1</v>
      </c>
      <c r="R79" s="50">
        <v>13056</v>
      </c>
      <c r="S79" s="50">
        <v>96</v>
      </c>
      <c r="T79" s="50">
        <v>2</v>
      </c>
      <c r="U79" s="50">
        <v>2</v>
      </c>
      <c r="V79" s="50">
        <v>588.04</v>
      </c>
      <c r="W79" s="63">
        <v>2.52</v>
      </c>
      <c r="X79" s="51">
        <v>45322</v>
      </c>
      <c r="Y79" s="52">
        <v>1.5613425925925926E-2</v>
      </c>
      <c r="Z79" s="50">
        <v>0</v>
      </c>
      <c r="AA79" s="50">
        <v>0</v>
      </c>
      <c r="AB79" s="50">
        <v>0</v>
      </c>
      <c r="AC79" s="4">
        <f t="shared" ref="AC79" si="56">AVERAGE(W79:W83)</f>
        <v>2.52372</v>
      </c>
      <c r="AD79" s="3"/>
    </row>
    <row r="80" spans="1:30" x14ac:dyDescent="0.25">
      <c r="A80">
        <v>1</v>
      </c>
      <c r="B80" t="s">
        <v>1</v>
      </c>
      <c r="C80">
        <v>13056</v>
      </c>
      <c r="D80">
        <v>96</v>
      </c>
      <c r="E80">
        <v>2</v>
      </c>
      <c r="F80">
        <v>2</v>
      </c>
      <c r="G80">
        <v>651.88</v>
      </c>
      <c r="H80" s="24">
        <v>2.2764000000000002</v>
      </c>
      <c r="I80" s="1">
        <v>45320</v>
      </c>
      <c r="J80" s="2">
        <v>0.63045138888888885</v>
      </c>
      <c r="K80">
        <v>0</v>
      </c>
      <c r="L80">
        <v>0</v>
      </c>
      <c r="M80">
        <v>0</v>
      </c>
      <c r="N80" s="3">
        <f t="shared" ref="N80" si="57">N79</f>
        <v>2.2754400000000001</v>
      </c>
      <c r="P80" s="50">
        <v>1</v>
      </c>
      <c r="Q80" s="50" t="s">
        <v>1</v>
      </c>
      <c r="R80" s="50">
        <v>13056</v>
      </c>
      <c r="S80" s="50">
        <v>96</v>
      </c>
      <c r="T80" s="50">
        <v>2</v>
      </c>
      <c r="U80" s="50">
        <v>2</v>
      </c>
      <c r="V80" s="50">
        <v>587.65</v>
      </c>
      <c r="W80" s="63">
        <v>2.5299999999999998</v>
      </c>
      <c r="X80" s="51">
        <v>45322</v>
      </c>
      <c r="Y80" s="52">
        <v>0.53396990740740746</v>
      </c>
      <c r="Z80" s="50">
        <v>0</v>
      </c>
      <c r="AA80" s="50">
        <v>0</v>
      </c>
      <c r="AB80" s="50">
        <v>0</v>
      </c>
      <c r="AC80" s="4">
        <f t="shared" ref="AC80:AC83" si="58">AC79</f>
        <v>2.52372</v>
      </c>
      <c r="AD80" s="3"/>
    </row>
    <row r="81" spans="1:30" x14ac:dyDescent="0.25">
      <c r="A81">
        <v>2</v>
      </c>
      <c r="B81" t="s">
        <v>1</v>
      </c>
      <c r="C81">
        <v>13056</v>
      </c>
      <c r="D81">
        <v>96</v>
      </c>
      <c r="E81">
        <v>2</v>
      </c>
      <c r="F81">
        <v>2</v>
      </c>
      <c r="G81">
        <v>653.29</v>
      </c>
      <c r="H81" s="24">
        <v>2.2715000000000001</v>
      </c>
      <c r="I81" s="1">
        <v>45321</v>
      </c>
      <c r="J81" s="2">
        <v>0.13902777777777778</v>
      </c>
      <c r="K81">
        <v>0</v>
      </c>
      <c r="L81">
        <v>0</v>
      </c>
      <c r="M81">
        <v>0</v>
      </c>
      <c r="N81" s="3">
        <f t="shared" si="9"/>
        <v>2.2754400000000001</v>
      </c>
      <c r="P81" s="50">
        <v>2</v>
      </c>
      <c r="Q81" s="50" t="s">
        <v>1</v>
      </c>
      <c r="R81" s="50">
        <v>13056</v>
      </c>
      <c r="S81" s="50">
        <v>96</v>
      </c>
      <c r="T81" s="50">
        <v>2</v>
      </c>
      <c r="U81" s="50">
        <v>2</v>
      </c>
      <c r="V81" s="50">
        <v>585.49</v>
      </c>
      <c r="W81" s="63">
        <v>2.5299999999999998</v>
      </c>
      <c r="X81" s="51">
        <v>45323</v>
      </c>
      <c r="Y81" s="52">
        <v>5.2210648148148145E-2</v>
      </c>
      <c r="Z81" s="50">
        <v>0</v>
      </c>
      <c r="AA81" s="50">
        <v>0</v>
      </c>
      <c r="AB81" s="50">
        <v>0</v>
      </c>
      <c r="AC81" s="4">
        <f t="shared" si="58"/>
        <v>2.52372</v>
      </c>
      <c r="AD81" s="3"/>
    </row>
    <row r="82" spans="1:30" x14ac:dyDescent="0.25">
      <c r="A82">
        <v>3</v>
      </c>
      <c r="B82" t="s">
        <v>1</v>
      </c>
      <c r="C82">
        <v>13056</v>
      </c>
      <c r="D82">
        <v>96</v>
      </c>
      <c r="E82">
        <v>2</v>
      </c>
      <c r="F82">
        <v>2</v>
      </c>
      <c r="G82">
        <v>651.78</v>
      </c>
      <c r="H82" s="3">
        <v>2.2766999999999999</v>
      </c>
      <c r="I82" s="1">
        <v>45321</v>
      </c>
      <c r="J82" s="2">
        <v>0.64766203703703706</v>
      </c>
      <c r="K82">
        <v>0</v>
      </c>
      <c r="L82">
        <v>0</v>
      </c>
      <c r="M82">
        <v>0</v>
      </c>
      <c r="N82" s="3">
        <f t="shared" si="9"/>
        <v>2.2754400000000001</v>
      </c>
      <c r="P82" s="50">
        <v>3</v>
      </c>
      <c r="Q82" s="50" t="s">
        <v>1</v>
      </c>
      <c r="R82" s="50">
        <v>13056</v>
      </c>
      <c r="S82" s="50">
        <v>96</v>
      </c>
      <c r="T82" s="50">
        <v>2</v>
      </c>
      <c r="U82" s="50">
        <v>2</v>
      </c>
      <c r="V82" s="50">
        <v>590.30999999999995</v>
      </c>
      <c r="W82" s="63">
        <v>2.5099999999999998</v>
      </c>
      <c r="X82" s="51">
        <v>45323</v>
      </c>
      <c r="Y82" s="52">
        <v>0.57075231481481481</v>
      </c>
      <c r="Z82" s="50">
        <v>0</v>
      </c>
      <c r="AA82" s="50">
        <v>0</v>
      </c>
      <c r="AB82" s="50">
        <v>0</v>
      </c>
      <c r="AC82" s="4">
        <f t="shared" si="58"/>
        <v>2.52372</v>
      </c>
      <c r="AD82" s="3"/>
    </row>
    <row r="83" spans="1:30" x14ac:dyDescent="0.25">
      <c r="A83">
        <v>4</v>
      </c>
      <c r="B83" t="s">
        <v>1</v>
      </c>
      <c r="C83">
        <v>13056</v>
      </c>
      <c r="D83">
        <v>96</v>
      </c>
      <c r="E83">
        <v>2</v>
      </c>
      <c r="F83">
        <v>2</v>
      </c>
      <c r="G83">
        <v>652.09</v>
      </c>
      <c r="H83" s="3">
        <v>2.2757000000000001</v>
      </c>
      <c r="I83" s="1">
        <v>45322</v>
      </c>
      <c r="J83" s="2">
        <v>0.15620370370370371</v>
      </c>
      <c r="K83">
        <v>0</v>
      </c>
      <c r="L83">
        <v>0</v>
      </c>
      <c r="M83">
        <v>0</v>
      </c>
      <c r="N83" s="3">
        <f t="shared" si="9"/>
        <v>2.2754400000000001</v>
      </c>
      <c r="P83" s="50">
        <v>4</v>
      </c>
      <c r="Q83" s="50" t="s">
        <v>1</v>
      </c>
      <c r="R83" s="50">
        <v>13056</v>
      </c>
      <c r="S83" s="50">
        <v>96</v>
      </c>
      <c r="T83" s="50">
        <v>2</v>
      </c>
      <c r="U83" s="50">
        <v>2</v>
      </c>
      <c r="V83" s="50">
        <v>586.86</v>
      </c>
      <c r="W83" s="64">
        <v>2.5286</v>
      </c>
      <c r="X83" s="51">
        <v>45481</v>
      </c>
      <c r="Y83" s="52">
        <v>0.83627314814814813</v>
      </c>
      <c r="Z83" s="50">
        <v>0</v>
      </c>
      <c r="AA83" s="50">
        <v>0</v>
      </c>
      <c r="AB83" s="50">
        <v>0</v>
      </c>
      <c r="AC83" s="4">
        <f t="shared" si="58"/>
        <v>2.52372</v>
      </c>
      <c r="AD83" s="3"/>
    </row>
    <row r="84" spans="1:30" x14ac:dyDescent="0.25">
      <c r="A84">
        <v>0</v>
      </c>
      <c r="B84" t="s">
        <v>1</v>
      </c>
      <c r="C84">
        <v>13824</v>
      </c>
      <c r="D84">
        <v>96</v>
      </c>
      <c r="E84">
        <v>2</v>
      </c>
      <c r="F84">
        <v>2</v>
      </c>
      <c r="G84">
        <v>778.14</v>
      </c>
      <c r="H84" s="24">
        <v>2.2637</v>
      </c>
      <c r="I84" s="1">
        <v>45318</v>
      </c>
      <c r="J84" s="2">
        <v>0.18840277777777778</v>
      </c>
      <c r="K84">
        <v>0</v>
      </c>
      <c r="L84">
        <v>0</v>
      </c>
      <c r="M84">
        <v>0</v>
      </c>
      <c r="N84" s="3">
        <f t="shared" ref="N84" si="59">AVERAGE(H84:H88)</f>
        <v>2.26356</v>
      </c>
      <c r="P84" s="53">
        <v>0</v>
      </c>
      <c r="Q84" s="53" t="s">
        <v>1</v>
      </c>
      <c r="R84" s="53">
        <v>13824</v>
      </c>
      <c r="S84" s="53">
        <v>96</v>
      </c>
      <c r="T84" s="53">
        <v>2</v>
      </c>
      <c r="U84" s="53">
        <v>2</v>
      </c>
      <c r="V84" s="53">
        <v>694.25</v>
      </c>
      <c r="W84" s="65">
        <v>2.54</v>
      </c>
      <c r="X84" s="54">
        <v>45321</v>
      </c>
      <c r="Y84" s="55">
        <v>0.85215277777777776</v>
      </c>
      <c r="Z84" s="53">
        <v>0</v>
      </c>
      <c r="AA84" s="53">
        <v>0</v>
      </c>
      <c r="AB84" s="53">
        <v>0</v>
      </c>
      <c r="AC84" s="4">
        <f t="shared" ref="AC84" si="60">AVERAGE(W84:W88)</f>
        <v>2.5355400000000001</v>
      </c>
      <c r="AD84" s="3"/>
    </row>
    <row r="85" spans="1:30" x14ac:dyDescent="0.25">
      <c r="A85">
        <v>1</v>
      </c>
      <c r="B85" t="s">
        <v>1</v>
      </c>
      <c r="C85">
        <v>13824</v>
      </c>
      <c r="D85">
        <v>96</v>
      </c>
      <c r="E85">
        <v>2</v>
      </c>
      <c r="F85">
        <v>2</v>
      </c>
      <c r="G85">
        <v>778.35</v>
      </c>
      <c r="H85" s="24">
        <v>2.2631000000000001</v>
      </c>
      <c r="I85" s="1">
        <v>45320</v>
      </c>
      <c r="J85" s="2">
        <v>0.47028935185185183</v>
      </c>
      <c r="K85">
        <v>0</v>
      </c>
      <c r="L85">
        <v>0</v>
      </c>
      <c r="M85">
        <v>0</v>
      </c>
      <c r="N85" s="3">
        <f t="shared" ref="N85:N148" si="61">N84</f>
        <v>2.26356</v>
      </c>
      <c r="P85" s="50">
        <v>1</v>
      </c>
      <c r="Q85" s="50" t="s">
        <v>1</v>
      </c>
      <c r="R85" s="50">
        <v>13824</v>
      </c>
      <c r="S85" s="50">
        <v>96</v>
      </c>
      <c r="T85" s="50">
        <v>2</v>
      </c>
      <c r="U85" s="50">
        <v>2</v>
      </c>
      <c r="V85" s="50">
        <v>697.02</v>
      </c>
      <c r="W85" s="63">
        <v>2.5299999999999998</v>
      </c>
      <c r="X85" s="51">
        <v>45322</v>
      </c>
      <c r="Y85" s="52">
        <v>0.37054398148148149</v>
      </c>
      <c r="Z85" s="50">
        <v>0</v>
      </c>
      <c r="AA85" s="50">
        <v>0</v>
      </c>
      <c r="AB85" s="50">
        <v>0</v>
      </c>
      <c r="AC85" s="4">
        <f t="shared" ref="AC85:AC88" si="62">AC84</f>
        <v>2.5355400000000001</v>
      </c>
      <c r="AD85" s="3"/>
    </row>
    <row r="86" spans="1:30" x14ac:dyDescent="0.25">
      <c r="A86">
        <v>2</v>
      </c>
      <c r="B86" t="s">
        <v>1</v>
      </c>
      <c r="C86">
        <v>13824</v>
      </c>
      <c r="D86">
        <v>96</v>
      </c>
      <c r="E86">
        <v>2</v>
      </c>
      <c r="F86">
        <v>2</v>
      </c>
      <c r="G86">
        <v>778.45</v>
      </c>
      <c r="H86" s="24">
        <v>2.2627999999999999</v>
      </c>
      <c r="I86" s="1">
        <v>45320</v>
      </c>
      <c r="J86" s="2">
        <v>0.97886574074074073</v>
      </c>
      <c r="K86">
        <v>0</v>
      </c>
      <c r="L86">
        <v>0</v>
      </c>
      <c r="M86">
        <v>0</v>
      </c>
      <c r="N86" s="3">
        <f t="shared" si="61"/>
        <v>2.26356</v>
      </c>
      <c r="P86" s="50">
        <v>2</v>
      </c>
      <c r="Q86" s="50" t="s">
        <v>1</v>
      </c>
      <c r="R86" s="50">
        <v>13824</v>
      </c>
      <c r="S86" s="50">
        <v>96</v>
      </c>
      <c r="T86" s="50">
        <v>2</v>
      </c>
      <c r="U86" s="50">
        <v>2</v>
      </c>
      <c r="V86" s="50">
        <v>694.5</v>
      </c>
      <c r="W86" s="63">
        <v>2.54</v>
      </c>
      <c r="X86" s="51">
        <v>45322</v>
      </c>
      <c r="Y86" s="52">
        <v>0.88863425925925921</v>
      </c>
      <c r="Z86" s="50">
        <v>0</v>
      </c>
      <c r="AA86" s="50">
        <v>0</v>
      </c>
      <c r="AB86" s="50">
        <v>0</v>
      </c>
      <c r="AC86" s="4">
        <f t="shared" si="62"/>
        <v>2.5355400000000001</v>
      </c>
      <c r="AD86" s="3"/>
    </row>
    <row r="87" spans="1:30" x14ac:dyDescent="0.25">
      <c r="A87">
        <v>3</v>
      </c>
      <c r="B87" t="s">
        <v>1</v>
      </c>
      <c r="C87">
        <v>13824</v>
      </c>
      <c r="D87">
        <v>96</v>
      </c>
      <c r="E87">
        <v>2</v>
      </c>
      <c r="F87">
        <v>2</v>
      </c>
      <c r="G87">
        <v>777.82</v>
      </c>
      <c r="H87" s="24">
        <v>2.2646000000000002</v>
      </c>
      <c r="I87" s="1">
        <v>45321</v>
      </c>
      <c r="J87" s="2">
        <v>0.48749999999999999</v>
      </c>
      <c r="K87">
        <v>0</v>
      </c>
      <c r="L87">
        <v>0</v>
      </c>
      <c r="M87">
        <v>0</v>
      </c>
      <c r="N87" s="3">
        <f t="shared" si="61"/>
        <v>2.26356</v>
      </c>
      <c r="P87" s="50">
        <v>3</v>
      </c>
      <c r="Q87" s="50" t="s">
        <v>1</v>
      </c>
      <c r="R87" s="50">
        <v>13824</v>
      </c>
      <c r="S87" s="50">
        <v>96</v>
      </c>
      <c r="T87" s="50">
        <v>2</v>
      </c>
      <c r="U87" s="50">
        <v>2</v>
      </c>
      <c r="V87" s="50">
        <v>693.43</v>
      </c>
      <c r="W87" s="63">
        <v>2.54</v>
      </c>
      <c r="X87" s="51">
        <v>45323</v>
      </c>
      <c r="Y87" s="52">
        <v>0.40733796296296299</v>
      </c>
      <c r="Z87" s="50">
        <v>0</v>
      </c>
      <c r="AA87" s="50">
        <v>0</v>
      </c>
      <c r="AB87" s="50">
        <v>0</v>
      </c>
      <c r="AC87" s="4">
        <f t="shared" si="62"/>
        <v>2.5355400000000001</v>
      </c>
      <c r="AD87" s="3"/>
    </row>
    <row r="88" spans="1:30" x14ac:dyDescent="0.25">
      <c r="A88">
        <v>4</v>
      </c>
      <c r="B88" t="s">
        <v>1</v>
      </c>
      <c r="C88">
        <v>13824</v>
      </c>
      <c r="D88">
        <v>96</v>
      </c>
      <c r="E88">
        <v>2</v>
      </c>
      <c r="F88">
        <v>2</v>
      </c>
      <c r="G88">
        <v>778.18</v>
      </c>
      <c r="H88" s="3">
        <v>2.2635999999999998</v>
      </c>
      <c r="I88" s="1">
        <v>45321</v>
      </c>
      <c r="J88" s="2">
        <v>0.99607638888888894</v>
      </c>
      <c r="K88">
        <v>0</v>
      </c>
      <c r="L88">
        <v>0</v>
      </c>
      <c r="M88">
        <v>0</v>
      </c>
      <c r="N88" s="3">
        <f t="shared" si="61"/>
        <v>2.26356</v>
      </c>
      <c r="P88" s="50">
        <v>4</v>
      </c>
      <c r="Q88" s="50" t="s">
        <v>1</v>
      </c>
      <c r="R88" s="50">
        <v>13824</v>
      </c>
      <c r="S88" s="50">
        <v>96</v>
      </c>
      <c r="T88" s="50">
        <v>2</v>
      </c>
      <c r="U88" s="50">
        <v>2</v>
      </c>
      <c r="V88" s="50">
        <v>696.86</v>
      </c>
      <c r="W88" s="64">
        <v>2.5276999999999998</v>
      </c>
      <c r="X88" s="51">
        <v>45481</v>
      </c>
      <c r="Y88" s="52">
        <v>0.94009259259259259</v>
      </c>
      <c r="Z88" s="50">
        <v>0</v>
      </c>
      <c r="AA88" s="50">
        <v>0</v>
      </c>
      <c r="AB88" s="50">
        <v>0</v>
      </c>
      <c r="AC88" s="4">
        <f t="shared" si="62"/>
        <v>2.5355400000000001</v>
      </c>
      <c r="AD88" s="3"/>
    </row>
    <row r="89" spans="1:30" x14ac:dyDescent="0.25">
      <c r="A89">
        <v>0</v>
      </c>
      <c r="B89" t="s">
        <v>1</v>
      </c>
      <c r="C89">
        <v>14592</v>
      </c>
      <c r="D89">
        <v>96</v>
      </c>
      <c r="E89">
        <v>2</v>
      </c>
      <c r="F89">
        <v>2</v>
      </c>
      <c r="G89">
        <v>903.01</v>
      </c>
      <c r="H89" s="24">
        <v>2.2942</v>
      </c>
      <c r="I89" s="1">
        <v>45318</v>
      </c>
      <c r="J89" s="2">
        <v>0.10234953703703703</v>
      </c>
      <c r="K89">
        <v>0</v>
      </c>
      <c r="L89">
        <v>0</v>
      </c>
      <c r="M89">
        <v>0</v>
      </c>
      <c r="N89" s="3">
        <f t="shared" ref="N89" si="63">AVERAGE(H89:H93)</f>
        <v>2.2926400000000005</v>
      </c>
      <c r="P89" s="50">
        <v>0</v>
      </c>
      <c r="Q89" s="50" t="s">
        <v>1</v>
      </c>
      <c r="R89" s="50">
        <v>14592</v>
      </c>
      <c r="S89" s="50">
        <v>96</v>
      </c>
      <c r="T89" s="50">
        <v>2</v>
      </c>
      <c r="U89" s="50">
        <v>2</v>
      </c>
      <c r="V89" s="50">
        <v>812.45</v>
      </c>
      <c r="W89" s="63">
        <v>2.5499999999999998</v>
      </c>
      <c r="X89" s="51">
        <v>45321</v>
      </c>
      <c r="Y89" s="52">
        <v>0.66143518518518518</v>
      </c>
      <c r="Z89" s="50">
        <v>0</v>
      </c>
      <c r="AA89" s="50">
        <v>0</v>
      </c>
      <c r="AB89" s="50">
        <v>0</v>
      </c>
      <c r="AC89" s="4">
        <f t="shared" ref="AC89" si="64">AVERAGE(W89:W93)</f>
        <v>2.5499999999999998</v>
      </c>
      <c r="AD89" s="3"/>
    </row>
    <row r="90" spans="1:30" x14ac:dyDescent="0.25">
      <c r="A90">
        <v>1</v>
      </c>
      <c r="B90" t="s">
        <v>1</v>
      </c>
      <c r="C90">
        <v>14592</v>
      </c>
      <c r="D90">
        <v>96</v>
      </c>
      <c r="E90">
        <v>2</v>
      </c>
      <c r="F90">
        <v>2</v>
      </c>
      <c r="G90">
        <v>903.65</v>
      </c>
      <c r="H90" s="24">
        <v>2.2925</v>
      </c>
      <c r="I90" s="1">
        <v>45320</v>
      </c>
      <c r="J90" s="2">
        <v>0.28251157407407407</v>
      </c>
      <c r="K90">
        <v>0</v>
      </c>
      <c r="L90">
        <v>0</v>
      </c>
      <c r="M90">
        <v>0</v>
      </c>
      <c r="N90" s="3">
        <f t="shared" ref="N90:N153" si="65">N89</f>
        <v>2.2926400000000005</v>
      </c>
      <c r="P90" s="50">
        <v>1</v>
      </c>
      <c r="Q90" s="50" t="s">
        <v>1</v>
      </c>
      <c r="R90" s="50">
        <v>14592</v>
      </c>
      <c r="S90" s="50">
        <v>96</v>
      </c>
      <c r="T90" s="50">
        <v>2</v>
      </c>
      <c r="U90" s="50">
        <v>2</v>
      </c>
      <c r="V90" s="50">
        <v>813.36</v>
      </c>
      <c r="W90" s="63">
        <v>2.5499999999999998</v>
      </c>
      <c r="X90" s="51">
        <v>45322</v>
      </c>
      <c r="Y90" s="52">
        <v>0.17976851851851852</v>
      </c>
      <c r="Z90" s="50">
        <v>0</v>
      </c>
      <c r="AA90" s="50">
        <v>0</v>
      </c>
      <c r="AB90" s="50">
        <v>0</v>
      </c>
      <c r="AC90" s="4">
        <f t="shared" ref="AC90:AC93" si="66">AC89</f>
        <v>2.5499999999999998</v>
      </c>
      <c r="AD90" s="3"/>
    </row>
    <row r="91" spans="1:30" x14ac:dyDescent="0.25">
      <c r="A91">
        <v>2</v>
      </c>
      <c r="B91" t="s">
        <v>1</v>
      </c>
      <c r="C91">
        <v>14592</v>
      </c>
      <c r="D91">
        <v>96</v>
      </c>
      <c r="E91">
        <v>2</v>
      </c>
      <c r="F91">
        <v>2</v>
      </c>
      <c r="G91">
        <v>904.53</v>
      </c>
      <c r="H91" s="24">
        <v>2.2902999999999998</v>
      </c>
      <c r="I91" s="1">
        <v>45320</v>
      </c>
      <c r="J91" s="2">
        <v>0.79106481481481483</v>
      </c>
      <c r="K91">
        <v>0</v>
      </c>
      <c r="L91">
        <v>0</v>
      </c>
      <c r="M91">
        <v>0</v>
      </c>
      <c r="N91" s="3">
        <f t="shared" si="65"/>
        <v>2.2926400000000005</v>
      </c>
      <c r="P91" s="50">
        <v>2</v>
      </c>
      <c r="Q91" s="50" t="s">
        <v>1</v>
      </c>
      <c r="R91" s="50">
        <v>14592</v>
      </c>
      <c r="S91" s="50">
        <v>96</v>
      </c>
      <c r="T91" s="50">
        <v>2</v>
      </c>
      <c r="U91" s="50">
        <v>2</v>
      </c>
      <c r="V91" s="50">
        <v>812.15</v>
      </c>
      <c r="W91" s="63">
        <v>2.5499999999999998</v>
      </c>
      <c r="X91" s="51">
        <v>45322</v>
      </c>
      <c r="Y91" s="52">
        <v>0.69792824074074078</v>
      </c>
      <c r="Z91" s="50">
        <v>0</v>
      </c>
      <c r="AA91" s="50">
        <v>0</v>
      </c>
      <c r="AB91" s="50">
        <v>0</v>
      </c>
      <c r="AC91" s="4">
        <f t="shared" si="66"/>
        <v>2.5499999999999998</v>
      </c>
      <c r="AD91" s="3"/>
    </row>
    <row r="92" spans="1:30" x14ac:dyDescent="0.25">
      <c r="A92">
        <v>3</v>
      </c>
      <c r="B92" t="s">
        <v>1</v>
      </c>
      <c r="C92">
        <v>14592</v>
      </c>
      <c r="D92">
        <v>96</v>
      </c>
      <c r="E92">
        <v>2</v>
      </c>
      <c r="F92">
        <v>2</v>
      </c>
      <c r="G92">
        <v>903.49</v>
      </c>
      <c r="H92" s="24">
        <v>2.2930000000000001</v>
      </c>
      <c r="I92" s="1">
        <v>45321</v>
      </c>
      <c r="J92" s="2">
        <v>0.29964120370370373</v>
      </c>
      <c r="K92">
        <v>0</v>
      </c>
      <c r="L92">
        <v>0</v>
      </c>
      <c r="M92">
        <v>0</v>
      </c>
      <c r="N92" s="3">
        <f t="shared" si="65"/>
        <v>2.2926400000000005</v>
      </c>
      <c r="P92" s="50">
        <v>3</v>
      </c>
      <c r="Q92" s="50" t="s">
        <v>1</v>
      </c>
      <c r="R92" s="50">
        <v>14592</v>
      </c>
      <c r="S92" s="50">
        <v>96</v>
      </c>
      <c r="T92" s="50">
        <v>2</v>
      </c>
      <c r="U92" s="50">
        <v>2</v>
      </c>
      <c r="V92" s="50">
        <v>812.04</v>
      </c>
      <c r="W92" s="63">
        <v>2.5499999999999998</v>
      </c>
      <c r="X92" s="51">
        <v>45323</v>
      </c>
      <c r="Y92" s="52">
        <v>0.21652777777777779</v>
      </c>
      <c r="Z92" s="50">
        <v>0</v>
      </c>
      <c r="AA92" s="50">
        <v>0</v>
      </c>
      <c r="AB92" s="50">
        <v>0</v>
      </c>
      <c r="AC92" s="4">
        <f t="shared" si="66"/>
        <v>2.5499999999999998</v>
      </c>
      <c r="AD92" s="3"/>
    </row>
    <row r="93" spans="1:30" x14ac:dyDescent="0.25">
      <c r="A93">
        <v>4</v>
      </c>
      <c r="B93" t="s">
        <v>1</v>
      </c>
      <c r="C93">
        <v>14592</v>
      </c>
      <c r="D93">
        <v>96</v>
      </c>
      <c r="E93">
        <v>2</v>
      </c>
      <c r="F93">
        <v>2</v>
      </c>
      <c r="G93">
        <v>903.4</v>
      </c>
      <c r="H93" s="3">
        <v>2.2932000000000001</v>
      </c>
      <c r="I93" s="1">
        <v>45321</v>
      </c>
      <c r="J93" s="2">
        <v>0.80827546296296293</v>
      </c>
      <c r="K93">
        <v>0</v>
      </c>
      <c r="L93">
        <v>0</v>
      </c>
      <c r="M93">
        <v>0</v>
      </c>
      <c r="N93" s="3">
        <f t="shared" si="65"/>
        <v>2.2926400000000005</v>
      </c>
      <c r="P93" s="50">
        <v>4</v>
      </c>
      <c r="Q93" s="50" t="s">
        <v>1</v>
      </c>
      <c r="R93" s="50">
        <v>14592</v>
      </c>
      <c r="S93" s="50">
        <v>96</v>
      </c>
      <c r="T93" s="50">
        <v>2</v>
      </c>
      <c r="U93" s="50">
        <v>2</v>
      </c>
      <c r="V93" s="50">
        <v>813.32</v>
      </c>
      <c r="W93" s="63">
        <v>2.5499999999999998</v>
      </c>
      <c r="X93" s="51">
        <v>45323</v>
      </c>
      <c r="Y93" s="52">
        <v>0.73488425925925926</v>
      </c>
      <c r="Z93" s="50">
        <v>0</v>
      </c>
      <c r="AA93" s="50">
        <v>0</v>
      </c>
      <c r="AB93" s="50">
        <v>0</v>
      </c>
      <c r="AC93" s="4">
        <f t="shared" si="66"/>
        <v>2.5499999999999998</v>
      </c>
      <c r="AD93" s="3"/>
    </row>
    <row r="94" spans="1:30" x14ac:dyDescent="0.25">
      <c r="A94">
        <v>0</v>
      </c>
      <c r="B94" t="s">
        <v>1</v>
      </c>
      <c r="C94">
        <v>13056</v>
      </c>
      <c r="D94">
        <v>128</v>
      </c>
      <c r="E94">
        <v>1</v>
      </c>
      <c r="F94">
        <v>4</v>
      </c>
      <c r="G94">
        <v>678.47</v>
      </c>
      <c r="H94" s="24">
        <v>2.1871999999999998</v>
      </c>
      <c r="I94" s="1">
        <v>45320</v>
      </c>
      <c r="J94" s="2">
        <v>0.14555555555555555</v>
      </c>
      <c r="K94">
        <v>0</v>
      </c>
      <c r="L94">
        <v>0</v>
      </c>
      <c r="M94">
        <v>0</v>
      </c>
      <c r="N94" s="3">
        <f t="shared" ref="N94" si="67">AVERAGE(H94:H98)</f>
        <v>2.1858399999999998</v>
      </c>
      <c r="P94" s="50">
        <v>0</v>
      </c>
      <c r="Q94" s="50" t="s">
        <v>1</v>
      </c>
      <c r="R94" s="50">
        <v>13056</v>
      </c>
      <c r="S94" s="50">
        <v>128</v>
      </c>
      <c r="T94" s="50">
        <v>1</v>
      </c>
      <c r="U94" s="50">
        <v>4</v>
      </c>
      <c r="V94" s="50">
        <v>595.76</v>
      </c>
      <c r="W94" s="63">
        <v>2.4900000000000002</v>
      </c>
      <c r="X94" s="51">
        <v>45322</v>
      </c>
      <c r="Y94" s="52">
        <v>3.9953703703703707E-2</v>
      </c>
      <c r="Z94" s="50">
        <v>0</v>
      </c>
      <c r="AA94" s="50">
        <v>0</v>
      </c>
      <c r="AB94" s="50">
        <v>0</v>
      </c>
      <c r="AC94" s="4">
        <f t="shared" ref="AC94" si="68">AVERAGE(W94:W98)</f>
        <v>2.4899399999999998</v>
      </c>
      <c r="AD94" s="3"/>
    </row>
    <row r="95" spans="1:30" x14ac:dyDescent="0.25">
      <c r="A95">
        <v>1</v>
      </c>
      <c r="B95" t="s">
        <v>1</v>
      </c>
      <c r="C95">
        <v>13056</v>
      </c>
      <c r="D95">
        <v>128</v>
      </c>
      <c r="E95">
        <v>1</v>
      </c>
      <c r="F95">
        <v>4</v>
      </c>
      <c r="G95">
        <v>678.95</v>
      </c>
      <c r="H95" s="24">
        <v>2.1856</v>
      </c>
      <c r="I95" s="1">
        <v>45320</v>
      </c>
      <c r="J95" s="2">
        <v>0.65409722222222222</v>
      </c>
      <c r="K95">
        <v>0</v>
      </c>
      <c r="L95">
        <v>0</v>
      </c>
      <c r="M95">
        <v>0</v>
      </c>
      <c r="N95" s="3">
        <f t="shared" ref="N95" si="69">N94</f>
        <v>2.1858399999999998</v>
      </c>
      <c r="P95" s="50">
        <v>1</v>
      </c>
      <c r="Q95" s="50" t="s">
        <v>1</v>
      </c>
      <c r="R95" s="50">
        <v>13056</v>
      </c>
      <c r="S95" s="50">
        <v>128</v>
      </c>
      <c r="T95" s="50">
        <v>1</v>
      </c>
      <c r="U95" s="50">
        <v>4</v>
      </c>
      <c r="V95" s="50">
        <v>595.26</v>
      </c>
      <c r="W95" s="63">
        <v>2.4900000000000002</v>
      </c>
      <c r="X95" s="51">
        <v>45322</v>
      </c>
      <c r="Y95" s="52">
        <v>0.55827546296296293</v>
      </c>
      <c r="Z95" s="50">
        <v>0</v>
      </c>
      <c r="AA95" s="50">
        <v>0</v>
      </c>
      <c r="AB95" s="50">
        <v>0</v>
      </c>
      <c r="AC95" s="4">
        <f t="shared" ref="AC95:AC98" si="70">AC94</f>
        <v>2.4899399999999998</v>
      </c>
      <c r="AD95" s="3"/>
    </row>
    <row r="96" spans="1:30" x14ac:dyDescent="0.25">
      <c r="A96">
        <v>2</v>
      </c>
      <c r="B96" t="s">
        <v>1</v>
      </c>
      <c r="C96">
        <v>13056</v>
      </c>
      <c r="D96">
        <v>128</v>
      </c>
      <c r="E96">
        <v>1</v>
      </c>
      <c r="F96">
        <v>4</v>
      </c>
      <c r="G96">
        <v>679.31</v>
      </c>
      <c r="H96" s="24">
        <v>2.1844999999999999</v>
      </c>
      <c r="I96" s="1">
        <v>45321</v>
      </c>
      <c r="J96" s="2">
        <v>0.16268518518518518</v>
      </c>
      <c r="K96">
        <v>0</v>
      </c>
      <c r="L96">
        <v>0</v>
      </c>
      <c r="M96">
        <v>0</v>
      </c>
      <c r="N96" s="3">
        <f t="shared" si="61"/>
        <v>2.1858399999999998</v>
      </c>
      <c r="P96" s="50">
        <v>2</v>
      </c>
      <c r="Q96" s="50" t="s">
        <v>1</v>
      </c>
      <c r="R96" s="50">
        <v>13056</v>
      </c>
      <c r="S96" s="50">
        <v>128</v>
      </c>
      <c r="T96" s="50">
        <v>1</v>
      </c>
      <c r="U96" s="50">
        <v>4</v>
      </c>
      <c r="V96" s="50">
        <v>595.42999999999995</v>
      </c>
      <c r="W96" s="63">
        <v>2.4900000000000002</v>
      </c>
      <c r="X96" s="51">
        <v>45323</v>
      </c>
      <c r="Y96" s="52">
        <v>7.6631944444444447E-2</v>
      </c>
      <c r="Z96" s="50">
        <v>0</v>
      </c>
      <c r="AA96" s="50">
        <v>0</v>
      </c>
      <c r="AB96" s="50">
        <v>0</v>
      </c>
      <c r="AC96" s="4">
        <f t="shared" si="70"/>
        <v>2.4899399999999998</v>
      </c>
      <c r="AD96" s="3"/>
    </row>
    <row r="97" spans="1:30" x14ac:dyDescent="0.25">
      <c r="A97">
        <v>3</v>
      </c>
      <c r="B97" t="s">
        <v>1</v>
      </c>
      <c r="C97">
        <v>13056</v>
      </c>
      <c r="D97">
        <v>128</v>
      </c>
      <c r="E97">
        <v>1</v>
      </c>
      <c r="F97">
        <v>4</v>
      </c>
      <c r="G97">
        <v>678.96</v>
      </c>
      <c r="H97" s="3">
        <v>2.1856</v>
      </c>
      <c r="I97" s="1">
        <v>45321</v>
      </c>
      <c r="J97" s="2">
        <v>0.67130787037037032</v>
      </c>
      <c r="K97">
        <v>0</v>
      </c>
      <c r="L97">
        <v>0</v>
      </c>
      <c r="M97">
        <v>0</v>
      </c>
      <c r="N97" s="3">
        <f t="shared" si="61"/>
        <v>2.1858399999999998</v>
      </c>
      <c r="P97" s="50">
        <v>3</v>
      </c>
      <c r="Q97" s="50" t="s">
        <v>1</v>
      </c>
      <c r="R97" s="50">
        <v>13056</v>
      </c>
      <c r="S97" s="50">
        <v>128</v>
      </c>
      <c r="T97" s="50">
        <v>1</v>
      </c>
      <c r="U97" s="50">
        <v>4</v>
      </c>
      <c r="V97" s="50">
        <v>595.30999999999995</v>
      </c>
      <c r="W97" s="63">
        <v>2.4900000000000002</v>
      </c>
      <c r="X97" s="51">
        <v>45323</v>
      </c>
      <c r="Y97" s="52">
        <v>0.59516203703703707</v>
      </c>
      <c r="Z97" s="50">
        <v>0</v>
      </c>
      <c r="AA97" s="50">
        <v>0</v>
      </c>
      <c r="AB97" s="50">
        <v>0</v>
      </c>
      <c r="AC97" s="4">
        <f t="shared" si="70"/>
        <v>2.4899399999999998</v>
      </c>
      <c r="AD97" s="3"/>
    </row>
    <row r="98" spans="1:30" x14ac:dyDescent="0.25">
      <c r="A98">
        <v>4</v>
      </c>
      <c r="B98" t="s">
        <v>1</v>
      </c>
      <c r="C98">
        <v>13056</v>
      </c>
      <c r="D98">
        <v>128</v>
      </c>
      <c r="E98">
        <v>1</v>
      </c>
      <c r="F98">
        <v>4</v>
      </c>
      <c r="G98">
        <v>678.75</v>
      </c>
      <c r="H98" s="3">
        <v>2.1863000000000001</v>
      </c>
      <c r="I98" s="1">
        <v>45322</v>
      </c>
      <c r="J98" s="2">
        <v>0.17986111111111111</v>
      </c>
      <c r="K98">
        <v>0</v>
      </c>
      <c r="L98">
        <v>0</v>
      </c>
      <c r="M98">
        <v>0</v>
      </c>
      <c r="N98" s="3">
        <f t="shared" si="61"/>
        <v>2.1858399999999998</v>
      </c>
      <c r="P98" s="50">
        <v>4</v>
      </c>
      <c r="Q98" s="50" t="s">
        <v>1</v>
      </c>
      <c r="R98" s="50">
        <v>13056</v>
      </c>
      <c r="S98" s="50">
        <v>128</v>
      </c>
      <c r="T98" s="50">
        <v>1</v>
      </c>
      <c r="U98" s="50">
        <v>4</v>
      </c>
      <c r="V98" s="50">
        <v>596.03</v>
      </c>
      <c r="W98" s="64">
        <v>2.4897</v>
      </c>
      <c r="X98" s="51">
        <v>45481</v>
      </c>
      <c r="Y98" s="52">
        <v>0.84450231481481486</v>
      </c>
      <c r="Z98" s="50">
        <v>0</v>
      </c>
      <c r="AA98" s="50">
        <v>0</v>
      </c>
      <c r="AB98" s="50">
        <v>0</v>
      </c>
      <c r="AC98" s="4">
        <f t="shared" si="70"/>
        <v>2.4899399999999998</v>
      </c>
      <c r="AD98" s="3"/>
    </row>
    <row r="99" spans="1:30" x14ac:dyDescent="0.25">
      <c r="A99">
        <v>0</v>
      </c>
      <c r="B99" t="s">
        <v>1</v>
      </c>
      <c r="C99">
        <v>13824</v>
      </c>
      <c r="D99">
        <v>128</v>
      </c>
      <c r="E99">
        <v>1</v>
      </c>
      <c r="F99">
        <v>4</v>
      </c>
      <c r="G99">
        <v>812.64</v>
      </c>
      <c r="H99" s="24">
        <v>2.1676000000000002</v>
      </c>
      <c r="I99" s="1">
        <v>45320</v>
      </c>
      <c r="J99" s="2">
        <v>3.7523148148148146E-2</v>
      </c>
      <c r="K99">
        <v>0</v>
      </c>
      <c r="L99">
        <v>0</v>
      </c>
      <c r="M99">
        <v>0</v>
      </c>
      <c r="N99" s="3">
        <f t="shared" ref="N99" si="71">AVERAGE(H99:H103)</f>
        <v>2.1674600000000002</v>
      </c>
      <c r="P99" s="53">
        <v>0</v>
      </c>
      <c r="Q99" s="53" t="s">
        <v>1</v>
      </c>
      <c r="R99" s="53">
        <v>13824</v>
      </c>
      <c r="S99" s="53">
        <v>128</v>
      </c>
      <c r="T99" s="53">
        <v>1</v>
      </c>
      <c r="U99" s="53">
        <v>4</v>
      </c>
      <c r="V99" s="53">
        <v>707.96</v>
      </c>
      <c r="W99" s="65">
        <v>2.4900000000000002</v>
      </c>
      <c r="X99" s="54">
        <v>45321</v>
      </c>
      <c r="Y99" s="55">
        <v>0.88075231481481486</v>
      </c>
      <c r="Z99" s="53">
        <v>0</v>
      </c>
      <c r="AA99" s="53">
        <v>0</v>
      </c>
      <c r="AB99" s="53">
        <v>0</v>
      </c>
      <c r="AC99" s="4">
        <f t="shared" ref="AC99" si="72">AVERAGE(W99:W103)</f>
        <v>2.4892000000000003</v>
      </c>
      <c r="AD99" s="3"/>
    </row>
    <row r="100" spans="1:30" x14ac:dyDescent="0.25">
      <c r="A100">
        <v>1</v>
      </c>
      <c r="B100" t="s">
        <v>1</v>
      </c>
      <c r="C100">
        <v>13824</v>
      </c>
      <c r="D100">
        <v>128</v>
      </c>
      <c r="E100">
        <v>1</v>
      </c>
      <c r="F100">
        <v>4</v>
      </c>
      <c r="G100">
        <v>813.07</v>
      </c>
      <c r="H100" s="24">
        <v>2.1665000000000001</v>
      </c>
      <c r="I100" s="1">
        <v>45320</v>
      </c>
      <c r="J100" s="2">
        <v>0.49840277777777775</v>
      </c>
      <c r="K100">
        <v>0</v>
      </c>
      <c r="L100">
        <v>0</v>
      </c>
      <c r="M100">
        <v>0</v>
      </c>
      <c r="N100" s="3">
        <f t="shared" ref="N100" si="73">N99</f>
        <v>2.1674600000000002</v>
      </c>
      <c r="P100" s="50">
        <v>1</v>
      </c>
      <c r="Q100" s="50" t="s">
        <v>1</v>
      </c>
      <c r="R100" s="50">
        <v>13824</v>
      </c>
      <c r="S100" s="50">
        <v>128</v>
      </c>
      <c r="T100" s="50">
        <v>1</v>
      </c>
      <c r="U100" s="50">
        <v>4</v>
      </c>
      <c r="V100" s="50">
        <v>707.54</v>
      </c>
      <c r="W100" s="63">
        <v>2.4900000000000002</v>
      </c>
      <c r="X100" s="51">
        <v>45322</v>
      </c>
      <c r="Y100" s="52">
        <v>0.3991898148148148</v>
      </c>
      <c r="Z100" s="50">
        <v>0</v>
      </c>
      <c r="AA100" s="50">
        <v>0</v>
      </c>
      <c r="AB100" s="50">
        <v>0</v>
      </c>
      <c r="AC100" s="4">
        <f t="shared" ref="AC100:AC103" si="74">AC99</f>
        <v>2.4892000000000003</v>
      </c>
      <c r="AD100" s="3"/>
    </row>
    <row r="101" spans="1:30" x14ac:dyDescent="0.25">
      <c r="A101">
        <v>2</v>
      </c>
      <c r="B101" t="s">
        <v>1</v>
      </c>
      <c r="C101">
        <v>13824</v>
      </c>
      <c r="D101">
        <v>128</v>
      </c>
      <c r="E101">
        <v>1</v>
      </c>
      <c r="F101">
        <v>4</v>
      </c>
      <c r="G101">
        <v>812.54</v>
      </c>
      <c r="H101" s="24">
        <v>2.1678999999999999</v>
      </c>
      <c r="I101" s="1">
        <v>45321</v>
      </c>
      <c r="J101" s="2">
        <v>6.9675925925925929E-3</v>
      </c>
      <c r="K101">
        <v>0</v>
      </c>
      <c r="L101">
        <v>0</v>
      </c>
      <c r="M101">
        <v>0</v>
      </c>
      <c r="N101" s="3">
        <f t="shared" si="65"/>
        <v>2.1674600000000002</v>
      </c>
      <c r="P101" s="50">
        <v>2</v>
      </c>
      <c r="Q101" s="50" t="s">
        <v>1</v>
      </c>
      <c r="R101" s="50">
        <v>13824</v>
      </c>
      <c r="S101" s="50">
        <v>128</v>
      </c>
      <c r="T101" s="50">
        <v>1</v>
      </c>
      <c r="U101" s="50">
        <v>4</v>
      </c>
      <c r="V101" s="50">
        <v>708.26</v>
      </c>
      <c r="W101" s="63">
        <v>2.4900000000000002</v>
      </c>
      <c r="X101" s="51">
        <v>45322</v>
      </c>
      <c r="Y101" s="52">
        <v>0.91730324074074077</v>
      </c>
      <c r="Z101" s="50">
        <v>0</v>
      </c>
      <c r="AA101" s="50">
        <v>0</v>
      </c>
      <c r="AB101" s="50">
        <v>0</v>
      </c>
      <c r="AC101" s="4">
        <f t="shared" si="74"/>
        <v>2.4892000000000003</v>
      </c>
      <c r="AD101" s="3"/>
    </row>
    <row r="102" spans="1:30" x14ac:dyDescent="0.25">
      <c r="A102">
        <v>3</v>
      </c>
      <c r="B102" t="s">
        <v>1</v>
      </c>
      <c r="C102">
        <v>13824</v>
      </c>
      <c r="D102">
        <v>128</v>
      </c>
      <c r="E102">
        <v>1</v>
      </c>
      <c r="F102">
        <v>4</v>
      </c>
      <c r="G102">
        <v>812.97</v>
      </c>
      <c r="H102" s="24">
        <v>2.1667000000000001</v>
      </c>
      <c r="I102" s="1">
        <v>45321</v>
      </c>
      <c r="J102" s="2">
        <v>0.51561342592592596</v>
      </c>
      <c r="K102">
        <v>0</v>
      </c>
      <c r="L102">
        <v>0</v>
      </c>
      <c r="M102">
        <v>0</v>
      </c>
      <c r="N102" s="3">
        <f t="shared" si="65"/>
        <v>2.1674600000000002</v>
      </c>
      <c r="P102" s="50">
        <v>3</v>
      </c>
      <c r="Q102" s="50" t="s">
        <v>1</v>
      </c>
      <c r="R102" s="50">
        <v>13824</v>
      </c>
      <c r="S102" s="50">
        <v>128</v>
      </c>
      <c r="T102" s="50">
        <v>1</v>
      </c>
      <c r="U102" s="50">
        <v>4</v>
      </c>
      <c r="V102" s="50">
        <v>707.56</v>
      </c>
      <c r="W102" s="63">
        <v>2.4900000000000002</v>
      </c>
      <c r="X102" s="51">
        <v>45323</v>
      </c>
      <c r="Y102" s="52">
        <v>0.43601851851851853</v>
      </c>
      <c r="Z102" s="50">
        <v>0</v>
      </c>
      <c r="AA102" s="50">
        <v>0</v>
      </c>
      <c r="AB102" s="50">
        <v>0</v>
      </c>
      <c r="AC102" s="4">
        <f t="shared" si="74"/>
        <v>2.4892000000000003</v>
      </c>
      <c r="AD102" s="3"/>
    </row>
    <row r="103" spans="1:30" x14ac:dyDescent="0.25">
      <c r="A103">
        <v>4</v>
      </c>
      <c r="B103" t="s">
        <v>1</v>
      </c>
      <c r="C103">
        <v>13824</v>
      </c>
      <c r="D103">
        <v>128</v>
      </c>
      <c r="E103">
        <v>1</v>
      </c>
      <c r="F103">
        <v>4</v>
      </c>
      <c r="G103">
        <v>812.28</v>
      </c>
      <c r="H103" s="3">
        <v>2.1686000000000001</v>
      </c>
      <c r="I103" s="1">
        <v>45322</v>
      </c>
      <c r="J103" s="2">
        <v>2.417824074074074E-2</v>
      </c>
      <c r="K103">
        <v>0</v>
      </c>
      <c r="L103">
        <v>0</v>
      </c>
      <c r="M103">
        <v>0</v>
      </c>
      <c r="N103" s="3">
        <f t="shared" si="65"/>
        <v>2.1674600000000002</v>
      </c>
      <c r="P103" s="50">
        <v>4</v>
      </c>
      <c r="Q103" s="50" t="s">
        <v>1</v>
      </c>
      <c r="R103" s="50">
        <v>13824</v>
      </c>
      <c r="S103" s="50">
        <v>128</v>
      </c>
      <c r="T103" s="50">
        <v>1</v>
      </c>
      <c r="U103" s="50">
        <v>4</v>
      </c>
      <c r="V103" s="50">
        <v>708.57</v>
      </c>
      <c r="W103" s="64">
        <v>2.4860000000000002</v>
      </c>
      <c r="X103" s="51">
        <v>45481</v>
      </c>
      <c r="Y103" s="52">
        <v>0.94974537037037032</v>
      </c>
      <c r="Z103" s="50">
        <v>0</v>
      </c>
      <c r="AA103" s="50">
        <v>0</v>
      </c>
      <c r="AB103" s="50">
        <v>0</v>
      </c>
      <c r="AC103" s="4">
        <f t="shared" si="74"/>
        <v>2.4892000000000003</v>
      </c>
      <c r="AD103" s="3"/>
    </row>
    <row r="104" spans="1:30" x14ac:dyDescent="0.25">
      <c r="A104">
        <v>0</v>
      </c>
      <c r="B104" t="s">
        <v>1</v>
      </c>
      <c r="C104">
        <v>14592</v>
      </c>
      <c r="D104">
        <v>128</v>
      </c>
      <c r="E104">
        <v>1</v>
      </c>
      <c r="F104">
        <v>4</v>
      </c>
      <c r="G104">
        <v>937.93</v>
      </c>
      <c r="H104" s="24">
        <v>2.2088000000000001</v>
      </c>
      <c r="I104" s="1">
        <v>45319</v>
      </c>
      <c r="J104" s="2">
        <v>0.91099537037037037</v>
      </c>
      <c r="K104">
        <v>0</v>
      </c>
      <c r="L104">
        <v>0</v>
      </c>
      <c r="M104">
        <v>0</v>
      </c>
      <c r="N104" s="3">
        <f t="shared" ref="N104" si="75">AVERAGE(H104:H108)</f>
        <v>2.2083400000000002</v>
      </c>
      <c r="P104" s="50">
        <v>0</v>
      </c>
      <c r="Q104" s="50" t="s">
        <v>1</v>
      </c>
      <c r="R104" s="50">
        <v>14592</v>
      </c>
      <c r="S104" s="50">
        <v>128</v>
      </c>
      <c r="T104" s="50">
        <v>1</v>
      </c>
      <c r="U104" s="50">
        <v>4</v>
      </c>
      <c r="V104" s="50">
        <v>824.24</v>
      </c>
      <c r="W104" s="63">
        <v>2.5099999999999998</v>
      </c>
      <c r="X104" s="51">
        <v>45321</v>
      </c>
      <c r="Y104" s="52">
        <v>0.69468750000000001</v>
      </c>
      <c r="Z104" s="50">
        <v>0</v>
      </c>
      <c r="AA104" s="50">
        <v>0</v>
      </c>
      <c r="AB104" s="50">
        <v>0</v>
      </c>
      <c r="AC104" s="4">
        <f t="shared" ref="AC104" si="76">AVERAGE(W104:W108)</f>
        <v>2.5099999999999998</v>
      </c>
      <c r="AD104" s="3"/>
    </row>
    <row r="105" spans="1:30" x14ac:dyDescent="0.25">
      <c r="A105">
        <v>1</v>
      </c>
      <c r="B105" t="s">
        <v>1</v>
      </c>
      <c r="C105">
        <v>14592</v>
      </c>
      <c r="D105">
        <v>128</v>
      </c>
      <c r="E105">
        <v>1</v>
      </c>
      <c r="F105">
        <v>4</v>
      </c>
      <c r="G105">
        <v>937.73</v>
      </c>
      <c r="H105" s="24">
        <v>2.2092000000000001</v>
      </c>
      <c r="I105" s="1">
        <v>45320</v>
      </c>
      <c r="J105" s="2">
        <v>0.31535879629629632</v>
      </c>
      <c r="K105">
        <v>0</v>
      </c>
      <c r="L105">
        <v>0</v>
      </c>
      <c r="M105">
        <v>0</v>
      </c>
      <c r="N105" s="3">
        <f t="shared" ref="N105" si="77">N104</f>
        <v>2.2083400000000002</v>
      </c>
      <c r="P105" s="50">
        <v>1</v>
      </c>
      <c r="Q105" s="50" t="s">
        <v>1</v>
      </c>
      <c r="R105" s="50">
        <v>14592</v>
      </c>
      <c r="S105" s="50">
        <v>128</v>
      </c>
      <c r="T105" s="50">
        <v>1</v>
      </c>
      <c r="U105" s="50">
        <v>4</v>
      </c>
      <c r="V105" s="50">
        <v>824.24</v>
      </c>
      <c r="W105" s="63">
        <v>2.5099999999999998</v>
      </c>
      <c r="X105" s="51">
        <v>45322</v>
      </c>
      <c r="Y105" s="52">
        <v>0.21306712962962962</v>
      </c>
      <c r="Z105" s="50">
        <v>0</v>
      </c>
      <c r="AA105" s="50">
        <v>0</v>
      </c>
      <c r="AB105" s="50">
        <v>0</v>
      </c>
      <c r="AC105" s="4">
        <f t="shared" ref="AC105:AC108" si="78">AC104</f>
        <v>2.5099999999999998</v>
      </c>
      <c r="AD105" s="3"/>
    </row>
    <row r="106" spans="1:30" x14ac:dyDescent="0.25">
      <c r="A106">
        <v>2</v>
      </c>
      <c r="B106" t="s">
        <v>1</v>
      </c>
      <c r="C106">
        <v>14592</v>
      </c>
      <c r="D106">
        <v>128</v>
      </c>
      <c r="E106">
        <v>1</v>
      </c>
      <c r="F106">
        <v>4</v>
      </c>
      <c r="G106">
        <v>938.17</v>
      </c>
      <c r="H106" s="24">
        <v>2.2082000000000002</v>
      </c>
      <c r="I106" s="1">
        <v>45320</v>
      </c>
      <c r="J106" s="2">
        <v>0.82392361111111112</v>
      </c>
      <c r="K106">
        <v>0</v>
      </c>
      <c r="L106">
        <v>0</v>
      </c>
      <c r="M106">
        <v>0</v>
      </c>
      <c r="N106" s="3">
        <f t="shared" si="61"/>
        <v>2.2083400000000002</v>
      </c>
      <c r="P106" s="50">
        <v>2</v>
      </c>
      <c r="Q106" s="50" t="s">
        <v>1</v>
      </c>
      <c r="R106" s="50">
        <v>14592</v>
      </c>
      <c r="S106" s="50">
        <v>128</v>
      </c>
      <c r="T106" s="50">
        <v>1</v>
      </c>
      <c r="U106" s="50">
        <v>4</v>
      </c>
      <c r="V106" s="50">
        <v>824.38</v>
      </c>
      <c r="W106" s="63">
        <v>2.5099999999999998</v>
      </c>
      <c r="X106" s="51">
        <v>45322</v>
      </c>
      <c r="Y106" s="52">
        <v>0.73121527777777773</v>
      </c>
      <c r="Z106" s="50">
        <v>0</v>
      </c>
      <c r="AA106" s="50">
        <v>0</v>
      </c>
      <c r="AB106" s="50">
        <v>0</v>
      </c>
      <c r="AC106" s="4">
        <f t="shared" si="78"/>
        <v>2.5099999999999998</v>
      </c>
      <c r="AD106" s="3"/>
    </row>
    <row r="107" spans="1:30" x14ac:dyDescent="0.25">
      <c r="A107">
        <v>3</v>
      </c>
      <c r="B107" t="s">
        <v>1</v>
      </c>
      <c r="C107">
        <v>14592</v>
      </c>
      <c r="D107">
        <v>128</v>
      </c>
      <c r="E107">
        <v>1</v>
      </c>
      <c r="F107">
        <v>4</v>
      </c>
      <c r="G107">
        <v>938.19</v>
      </c>
      <c r="H107" s="24">
        <v>2.2082000000000002</v>
      </c>
      <c r="I107" s="1">
        <v>45321</v>
      </c>
      <c r="J107" s="2">
        <v>0.33247685185185183</v>
      </c>
      <c r="K107">
        <v>0</v>
      </c>
      <c r="L107">
        <v>0</v>
      </c>
      <c r="M107">
        <v>0</v>
      </c>
      <c r="N107" s="3">
        <f t="shared" si="61"/>
        <v>2.2083400000000002</v>
      </c>
      <c r="P107" s="50">
        <v>3</v>
      </c>
      <c r="Q107" s="50" t="s">
        <v>1</v>
      </c>
      <c r="R107" s="50">
        <v>14592</v>
      </c>
      <c r="S107" s="50">
        <v>128</v>
      </c>
      <c r="T107" s="50">
        <v>1</v>
      </c>
      <c r="U107" s="50">
        <v>4</v>
      </c>
      <c r="V107" s="50">
        <v>824.18</v>
      </c>
      <c r="W107" s="63">
        <v>2.5099999999999998</v>
      </c>
      <c r="X107" s="51">
        <v>45323</v>
      </c>
      <c r="Y107" s="52">
        <v>0.24991898148148148</v>
      </c>
      <c r="Z107" s="50">
        <v>0</v>
      </c>
      <c r="AA107" s="50">
        <v>0</v>
      </c>
      <c r="AB107" s="50">
        <v>0</v>
      </c>
      <c r="AC107" s="4">
        <f t="shared" si="78"/>
        <v>2.5099999999999998</v>
      </c>
      <c r="AD107" s="3"/>
    </row>
    <row r="108" spans="1:30" x14ac:dyDescent="0.25">
      <c r="A108">
        <v>4</v>
      </c>
      <c r="B108" t="s">
        <v>1</v>
      </c>
      <c r="C108">
        <v>14592</v>
      </c>
      <c r="D108">
        <v>128</v>
      </c>
      <c r="E108">
        <v>1</v>
      </c>
      <c r="F108">
        <v>4</v>
      </c>
      <c r="G108">
        <v>938.57</v>
      </c>
      <c r="H108" s="3">
        <v>2.2073</v>
      </c>
      <c r="I108" s="1">
        <v>45321</v>
      </c>
      <c r="J108" s="2">
        <v>0.84113425925925922</v>
      </c>
      <c r="K108">
        <v>0</v>
      </c>
      <c r="L108">
        <v>0</v>
      </c>
      <c r="M108">
        <v>0</v>
      </c>
      <c r="N108" s="3">
        <f t="shared" si="61"/>
        <v>2.2083400000000002</v>
      </c>
      <c r="P108" s="50">
        <v>4</v>
      </c>
      <c r="Q108" s="50" t="s">
        <v>1</v>
      </c>
      <c r="R108" s="50">
        <v>14592</v>
      </c>
      <c r="S108" s="50">
        <v>128</v>
      </c>
      <c r="T108" s="50">
        <v>1</v>
      </c>
      <c r="U108" s="50">
        <v>4</v>
      </c>
      <c r="V108" s="50">
        <v>824.37</v>
      </c>
      <c r="W108" s="63">
        <v>2.5099999999999998</v>
      </c>
      <c r="X108" s="51">
        <v>45323</v>
      </c>
      <c r="Y108" s="52">
        <v>0.76825231481481482</v>
      </c>
      <c r="Z108" s="50">
        <v>0</v>
      </c>
      <c r="AA108" s="50">
        <v>0</v>
      </c>
      <c r="AB108" s="50">
        <v>0</v>
      </c>
      <c r="AC108" s="4">
        <f t="shared" si="78"/>
        <v>2.5099999999999998</v>
      </c>
      <c r="AD108" s="3"/>
    </row>
    <row r="109" spans="1:30" x14ac:dyDescent="0.25">
      <c r="A109">
        <v>0</v>
      </c>
      <c r="B109" t="s">
        <v>1</v>
      </c>
      <c r="C109">
        <v>13056</v>
      </c>
      <c r="D109">
        <v>128</v>
      </c>
      <c r="E109">
        <v>2</v>
      </c>
      <c r="F109">
        <v>2</v>
      </c>
      <c r="G109">
        <v>653.27</v>
      </c>
      <c r="H109" s="24">
        <v>2.2715000000000001</v>
      </c>
      <c r="I109" s="1">
        <v>45320</v>
      </c>
      <c r="J109" s="2">
        <v>0.15337962962962962</v>
      </c>
      <c r="K109">
        <v>0</v>
      </c>
      <c r="L109">
        <v>0</v>
      </c>
      <c r="M109">
        <v>0</v>
      </c>
      <c r="N109" s="3">
        <f t="shared" ref="N109" si="79">AVERAGE(H109:H113)</f>
        <v>2.2707600000000001</v>
      </c>
      <c r="P109" s="50">
        <v>0</v>
      </c>
      <c r="Q109" s="50" t="s">
        <v>1</v>
      </c>
      <c r="R109" s="50">
        <v>13056</v>
      </c>
      <c r="S109" s="50">
        <v>128</v>
      </c>
      <c r="T109" s="50">
        <v>2</v>
      </c>
      <c r="U109" s="50">
        <v>2</v>
      </c>
      <c r="V109" s="50">
        <v>594.11</v>
      </c>
      <c r="W109" s="63">
        <v>2.5</v>
      </c>
      <c r="X109" s="51">
        <v>45322</v>
      </c>
      <c r="Y109" s="52">
        <v>4.8136574074074075E-2</v>
      </c>
      <c r="Z109" s="50">
        <v>0</v>
      </c>
      <c r="AA109" s="50">
        <v>0</v>
      </c>
      <c r="AB109" s="50">
        <v>0</v>
      </c>
      <c r="AC109" s="4">
        <f t="shared" ref="AC109" si="80">AVERAGE(W109:W113)</f>
        <v>2.4960399999999998</v>
      </c>
      <c r="AD109" s="3"/>
    </row>
    <row r="110" spans="1:30" x14ac:dyDescent="0.25">
      <c r="A110">
        <v>1</v>
      </c>
      <c r="B110" t="s">
        <v>1</v>
      </c>
      <c r="C110">
        <v>13056</v>
      </c>
      <c r="D110">
        <v>128</v>
      </c>
      <c r="E110">
        <v>2</v>
      </c>
      <c r="F110">
        <v>2</v>
      </c>
      <c r="G110">
        <v>653.35</v>
      </c>
      <c r="H110" s="24">
        <v>2.2713000000000001</v>
      </c>
      <c r="I110" s="1">
        <v>45320</v>
      </c>
      <c r="J110" s="2">
        <v>0.66193287037037041</v>
      </c>
      <c r="K110">
        <v>0</v>
      </c>
      <c r="L110">
        <v>0</v>
      </c>
      <c r="M110">
        <v>0</v>
      </c>
      <c r="N110" s="3">
        <f t="shared" ref="N110" si="81">N109</f>
        <v>2.2707600000000001</v>
      </c>
      <c r="P110" s="50">
        <v>1</v>
      </c>
      <c r="Q110" s="50" t="s">
        <v>1</v>
      </c>
      <c r="R110" s="50">
        <v>13056</v>
      </c>
      <c r="S110" s="50">
        <v>128</v>
      </c>
      <c r="T110" s="50">
        <v>2</v>
      </c>
      <c r="U110" s="50">
        <v>2</v>
      </c>
      <c r="V110" s="50">
        <v>593.76</v>
      </c>
      <c r="W110" s="63">
        <v>2.5</v>
      </c>
      <c r="X110" s="51">
        <v>45322</v>
      </c>
      <c r="Y110" s="52">
        <v>0.56644675925925925</v>
      </c>
      <c r="Z110" s="50">
        <v>0</v>
      </c>
      <c r="AA110" s="50">
        <v>0</v>
      </c>
      <c r="AB110" s="50">
        <v>0</v>
      </c>
      <c r="AC110" s="4">
        <f t="shared" ref="AC110:AC113" si="82">AC109</f>
        <v>2.4960399999999998</v>
      </c>
      <c r="AD110" s="3"/>
    </row>
    <row r="111" spans="1:30" x14ac:dyDescent="0.25">
      <c r="A111">
        <v>2</v>
      </c>
      <c r="B111" t="s">
        <v>1</v>
      </c>
      <c r="C111">
        <v>13056</v>
      </c>
      <c r="D111">
        <v>128</v>
      </c>
      <c r="E111">
        <v>2</v>
      </c>
      <c r="F111">
        <v>2</v>
      </c>
      <c r="G111">
        <v>653.76</v>
      </c>
      <c r="H111" s="24">
        <v>2.2698</v>
      </c>
      <c r="I111" s="1">
        <v>45321</v>
      </c>
      <c r="J111" s="2">
        <v>0.17052083333333334</v>
      </c>
      <c r="K111">
        <v>0</v>
      </c>
      <c r="L111">
        <v>0</v>
      </c>
      <c r="M111">
        <v>0</v>
      </c>
      <c r="N111" s="3">
        <f t="shared" si="65"/>
        <v>2.2707600000000001</v>
      </c>
      <c r="P111" s="50">
        <v>2</v>
      </c>
      <c r="Q111" s="50" t="s">
        <v>1</v>
      </c>
      <c r="R111" s="50">
        <v>13056</v>
      </c>
      <c r="S111" s="50">
        <v>128</v>
      </c>
      <c r="T111" s="50">
        <v>2</v>
      </c>
      <c r="U111" s="50">
        <v>2</v>
      </c>
      <c r="V111" s="50">
        <v>595.70000000000005</v>
      </c>
      <c r="W111" s="63">
        <v>2.4900000000000002</v>
      </c>
      <c r="X111" s="51">
        <v>45323</v>
      </c>
      <c r="Y111" s="52">
        <v>8.4826388888888896E-2</v>
      </c>
      <c r="Z111" s="50">
        <v>0</v>
      </c>
      <c r="AA111" s="50">
        <v>0</v>
      </c>
      <c r="AB111" s="50">
        <v>0</v>
      </c>
      <c r="AC111" s="4">
        <f t="shared" si="82"/>
        <v>2.4960399999999998</v>
      </c>
      <c r="AD111" s="3"/>
    </row>
    <row r="112" spans="1:30" x14ac:dyDescent="0.25">
      <c r="A112">
        <v>3</v>
      </c>
      <c r="B112" t="s">
        <v>1</v>
      </c>
      <c r="C112">
        <v>13056</v>
      </c>
      <c r="D112">
        <v>128</v>
      </c>
      <c r="E112">
        <v>2</v>
      </c>
      <c r="F112">
        <v>2</v>
      </c>
      <c r="G112">
        <v>653.51</v>
      </c>
      <c r="H112" s="3">
        <v>2.2707000000000002</v>
      </c>
      <c r="I112" s="1">
        <v>45321</v>
      </c>
      <c r="J112" s="2">
        <v>0.67914351851851851</v>
      </c>
      <c r="K112">
        <v>0</v>
      </c>
      <c r="L112">
        <v>0</v>
      </c>
      <c r="M112">
        <v>0</v>
      </c>
      <c r="N112" s="3">
        <f t="shared" si="65"/>
        <v>2.2707600000000001</v>
      </c>
      <c r="P112" s="50">
        <v>3</v>
      </c>
      <c r="Q112" s="50" t="s">
        <v>1</v>
      </c>
      <c r="R112" s="50">
        <v>13056</v>
      </c>
      <c r="S112" s="50">
        <v>128</v>
      </c>
      <c r="T112" s="50">
        <v>2</v>
      </c>
      <c r="U112" s="50">
        <v>2</v>
      </c>
      <c r="V112" s="50">
        <v>594.83000000000004</v>
      </c>
      <c r="W112" s="63">
        <v>2.4900000000000002</v>
      </c>
      <c r="X112" s="51">
        <v>45323</v>
      </c>
      <c r="Y112" s="52">
        <v>0.60334490740740743</v>
      </c>
      <c r="Z112" s="50">
        <v>0</v>
      </c>
      <c r="AA112" s="50">
        <v>0</v>
      </c>
      <c r="AB112" s="50">
        <v>0</v>
      </c>
      <c r="AC112" s="4">
        <f t="shared" si="82"/>
        <v>2.4960399999999998</v>
      </c>
      <c r="AD112" s="3"/>
    </row>
    <row r="113" spans="1:30" x14ac:dyDescent="0.25">
      <c r="A113">
        <v>4</v>
      </c>
      <c r="B113" t="s">
        <v>1</v>
      </c>
      <c r="C113">
        <v>13056</v>
      </c>
      <c r="D113">
        <v>128</v>
      </c>
      <c r="E113">
        <v>2</v>
      </c>
      <c r="F113">
        <v>2</v>
      </c>
      <c r="G113">
        <v>653.57000000000005</v>
      </c>
      <c r="H113" s="3">
        <v>2.2705000000000002</v>
      </c>
      <c r="I113" s="1">
        <v>45322</v>
      </c>
      <c r="J113" s="2">
        <v>0.18768518518518518</v>
      </c>
      <c r="K113">
        <v>0</v>
      </c>
      <c r="L113">
        <v>0</v>
      </c>
      <c r="M113">
        <v>0</v>
      </c>
      <c r="N113" s="3">
        <f t="shared" si="65"/>
        <v>2.2707600000000001</v>
      </c>
      <c r="P113" s="50">
        <v>4</v>
      </c>
      <c r="Q113" s="50" t="s">
        <v>1</v>
      </c>
      <c r="R113" s="50">
        <v>13056</v>
      </c>
      <c r="S113" s="50">
        <v>128</v>
      </c>
      <c r="T113" s="50">
        <v>2</v>
      </c>
      <c r="U113" s="50">
        <v>2</v>
      </c>
      <c r="V113" s="50">
        <v>593.52</v>
      </c>
      <c r="W113" s="64">
        <v>2.5002</v>
      </c>
      <c r="X113" s="51">
        <v>45481</v>
      </c>
      <c r="Y113" s="52">
        <v>0.85267361111111106</v>
      </c>
      <c r="Z113" s="50">
        <v>0</v>
      </c>
      <c r="AA113" s="50">
        <v>0</v>
      </c>
      <c r="AB113" s="50">
        <v>0</v>
      </c>
      <c r="AC113" s="4">
        <f t="shared" si="82"/>
        <v>2.4960399999999998</v>
      </c>
      <c r="AD113" s="3"/>
    </row>
    <row r="114" spans="1:30" x14ac:dyDescent="0.25">
      <c r="A114">
        <v>0</v>
      </c>
      <c r="B114" t="s">
        <v>1</v>
      </c>
      <c r="C114">
        <v>13824</v>
      </c>
      <c r="D114">
        <v>128</v>
      </c>
      <c r="E114">
        <v>2</v>
      </c>
      <c r="F114">
        <v>2</v>
      </c>
      <c r="G114">
        <v>780.62</v>
      </c>
      <c r="H114" s="24">
        <v>2.2565</v>
      </c>
      <c r="I114" s="1">
        <v>45320</v>
      </c>
      <c r="J114" s="2">
        <v>4.6863425925925926E-2</v>
      </c>
      <c r="K114">
        <v>0</v>
      </c>
      <c r="L114">
        <v>0</v>
      </c>
      <c r="M114">
        <v>0</v>
      </c>
      <c r="N114" s="3">
        <f t="shared" ref="N114" si="83">AVERAGE(H114:H118)</f>
        <v>2.2563000000000004</v>
      </c>
      <c r="P114" s="53">
        <v>0</v>
      </c>
      <c r="Q114" s="53" t="s">
        <v>1</v>
      </c>
      <c r="R114" s="53">
        <v>13824</v>
      </c>
      <c r="S114" s="53">
        <v>128</v>
      </c>
      <c r="T114" s="53">
        <v>2</v>
      </c>
      <c r="U114" s="53">
        <v>2</v>
      </c>
      <c r="V114" s="53">
        <v>702.82</v>
      </c>
      <c r="W114" s="65">
        <v>2.5099999999999998</v>
      </c>
      <c r="X114" s="54">
        <v>45321</v>
      </c>
      <c r="Y114" s="55">
        <v>0.89034722222222218</v>
      </c>
      <c r="Z114" s="53">
        <v>0</v>
      </c>
      <c r="AA114" s="53">
        <v>0</v>
      </c>
      <c r="AB114" s="53">
        <v>0</v>
      </c>
      <c r="AC114" s="4">
        <f t="shared" ref="AC114" si="84">AVERAGE(W114:W118)</f>
        <v>2.5076000000000001</v>
      </c>
      <c r="AD114" s="3"/>
    </row>
    <row r="115" spans="1:30" x14ac:dyDescent="0.25">
      <c r="A115">
        <v>1</v>
      </c>
      <c r="B115" t="s">
        <v>1</v>
      </c>
      <c r="C115">
        <v>13824</v>
      </c>
      <c r="D115">
        <v>128</v>
      </c>
      <c r="E115">
        <v>2</v>
      </c>
      <c r="F115">
        <v>2</v>
      </c>
      <c r="G115">
        <v>780.83</v>
      </c>
      <c r="H115" s="24">
        <v>2.2559</v>
      </c>
      <c r="I115" s="1">
        <v>45320</v>
      </c>
      <c r="J115" s="2">
        <v>0.50774305555555554</v>
      </c>
      <c r="K115">
        <v>0</v>
      </c>
      <c r="L115">
        <v>0</v>
      </c>
      <c r="M115">
        <v>0</v>
      </c>
      <c r="N115" s="3">
        <f t="shared" ref="N115" si="85">N114</f>
        <v>2.2563000000000004</v>
      </c>
      <c r="P115" s="50">
        <v>1</v>
      </c>
      <c r="Q115" s="50" t="s">
        <v>1</v>
      </c>
      <c r="R115" s="50">
        <v>13824</v>
      </c>
      <c r="S115" s="50">
        <v>128</v>
      </c>
      <c r="T115" s="50">
        <v>2</v>
      </c>
      <c r="U115" s="50">
        <v>2</v>
      </c>
      <c r="V115" s="50">
        <v>703.26</v>
      </c>
      <c r="W115" s="63">
        <v>2.5</v>
      </c>
      <c r="X115" s="51">
        <v>45322</v>
      </c>
      <c r="Y115" s="52">
        <v>0.40878472222222223</v>
      </c>
      <c r="Z115" s="50">
        <v>0</v>
      </c>
      <c r="AA115" s="50">
        <v>0</v>
      </c>
      <c r="AB115" s="50">
        <v>0</v>
      </c>
      <c r="AC115" s="4">
        <f t="shared" ref="AC115:AC118" si="86">AC114</f>
        <v>2.5076000000000001</v>
      </c>
      <c r="AD115" s="3"/>
    </row>
    <row r="116" spans="1:30" x14ac:dyDescent="0.25">
      <c r="A116">
        <v>2</v>
      </c>
      <c r="B116" t="s">
        <v>1</v>
      </c>
      <c r="C116">
        <v>13824</v>
      </c>
      <c r="D116">
        <v>128</v>
      </c>
      <c r="E116">
        <v>2</v>
      </c>
      <c r="F116">
        <v>2</v>
      </c>
      <c r="G116">
        <v>780.78</v>
      </c>
      <c r="H116" s="24">
        <v>2.2561</v>
      </c>
      <c r="I116" s="1">
        <v>45321</v>
      </c>
      <c r="J116" s="2">
        <v>1.6307870370370372E-2</v>
      </c>
      <c r="K116">
        <v>0</v>
      </c>
      <c r="L116">
        <v>0</v>
      </c>
      <c r="M116">
        <v>0</v>
      </c>
      <c r="N116" s="3">
        <f t="shared" si="61"/>
        <v>2.2563000000000004</v>
      </c>
      <c r="P116" s="50">
        <v>2</v>
      </c>
      <c r="Q116" s="50" t="s">
        <v>1</v>
      </c>
      <c r="R116" s="50">
        <v>13824</v>
      </c>
      <c r="S116" s="50">
        <v>128</v>
      </c>
      <c r="T116" s="50">
        <v>2</v>
      </c>
      <c r="U116" s="50">
        <v>2</v>
      </c>
      <c r="V116" s="50">
        <v>702.18</v>
      </c>
      <c r="W116" s="63">
        <v>2.5099999999999998</v>
      </c>
      <c r="X116" s="51">
        <v>45322</v>
      </c>
      <c r="Y116" s="52">
        <v>0.926875</v>
      </c>
      <c r="Z116" s="50">
        <v>0</v>
      </c>
      <c r="AA116" s="50">
        <v>0</v>
      </c>
      <c r="AB116" s="50">
        <v>0</v>
      </c>
      <c r="AC116" s="4">
        <f t="shared" si="86"/>
        <v>2.5076000000000001</v>
      </c>
      <c r="AD116" s="3"/>
    </row>
    <row r="117" spans="1:30" x14ac:dyDescent="0.25">
      <c r="A117">
        <v>3</v>
      </c>
      <c r="B117" t="s">
        <v>1</v>
      </c>
      <c r="C117">
        <v>13824</v>
      </c>
      <c r="D117">
        <v>128</v>
      </c>
      <c r="E117">
        <v>2</v>
      </c>
      <c r="F117">
        <v>2</v>
      </c>
      <c r="G117">
        <v>780.86</v>
      </c>
      <c r="H117" s="24">
        <v>2.2557999999999998</v>
      </c>
      <c r="I117" s="1">
        <v>45321</v>
      </c>
      <c r="J117" s="2">
        <v>0.52494212962962961</v>
      </c>
      <c r="K117">
        <v>0</v>
      </c>
      <c r="L117">
        <v>0</v>
      </c>
      <c r="M117">
        <v>0</v>
      </c>
      <c r="N117" s="3">
        <f t="shared" si="61"/>
        <v>2.2563000000000004</v>
      </c>
      <c r="P117" s="50">
        <v>3</v>
      </c>
      <c r="Q117" s="50" t="s">
        <v>1</v>
      </c>
      <c r="R117" s="50">
        <v>13824</v>
      </c>
      <c r="S117" s="50">
        <v>128</v>
      </c>
      <c r="T117" s="50">
        <v>2</v>
      </c>
      <c r="U117" s="50">
        <v>2</v>
      </c>
      <c r="V117" s="50">
        <v>702.71</v>
      </c>
      <c r="W117" s="63">
        <v>2.5099999999999998</v>
      </c>
      <c r="X117" s="51">
        <v>45323</v>
      </c>
      <c r="Y117" s="52">
        <v>0.44560185185185186</v>
      </c>
      <c r="Z117" s="50">
        <v>0</v>
      </c>
      <c r="AA117" s="50">
        <v>0</v>
      </c>
      <c r="AB117" s="50">
        <v>0</v>
      </c>
      <c r="AC117" s="4">
        <f t="shared" si="86"/>
        <v>2.5076000000000001</v>
      </c>
      <c r="AD117" s="3"/>
    </row>
    <row r="118" spans="1:30" x14ac:dyDescent="0.25">
      <c r="A118">
        <v>4</v>
      </c>
      <c r="B118" t="s">
        <v>1</v>
      </c>
      <c r="C118">
        <v>13824</v>
      </c>
      <c r="D118">
        <v>128</v>
      </c>
      <c r="E118">
        <v>2</v>
      </c>
      <c r="F118">
        <v>2</v>
      </c>
      <c r="G118">
        <v>780.4</v>
      </c>
      <c r="H118" s="3">
        <v>2.2572000000000001</v>
      </c>
      <c r="I118" s="1">
        <v>45322</v>
      </c>
      <c r="J118" s="2">
        <v>3.3506944444444443E-2</v>
      </c>
      <c r="K118">
        <v>0</v>
      </c>
      <c r="L118">
        <v>0</v>
      </c>
      <c r="M118">
        <v>0</v>
      </c>
      <c r="N118" s="3">
        <f t="shared" si="61"/>
        <v>2.2563000000000004</v>
      </c>
      <c r="P118" s="50">
        <v>4</v>
      </c>
      <c r="Q118" s="50" t="s">
        <v>1</v>
      </c>
      <c r="R118" s="50">
        <v>13824</v>
      </c>
      <c r="S118" s="50">
        <v>128</v>
      </c>
      <c r="T118" s="50">
        <v>2</v>
      </c>
      <c r="U118" s="50">
        <v>2</v>
      </c>
      <c r="V118" s="50">
        <v>702.35</v>
      </c>
      <c r="W118" s="64">
        <v>2.508</v>
      </c>
      <c r="X118" s="51">
        <v>45481</v>
      </c>
      <c r="Y118" s="52">
        <v>0.95934027777777775</v>
      </c>
      <c r="Z118" s="50">
        <v>0</v>
      </c>
      <c r="AA118" s="50">
        <v>0</v>
      </c>
      <c r="AB118" s="50">
        <v>0</v>
      </c>
      <c r="AC118" s="4">
        <f t="shared" si="86"/>
        <v>2.5076000000000001</v>
      </c>
      <c r="AD118" s="3"/>
    </row>
    <row r="119" spans="1:30" x14ac:dyDescent="0.25">
      <c r="A119">
        <v>0</v>
      </c>
      <c r="B119" t="s">
        <v>1</v>
      </c>
      <c r="C119">
        <v>14592</v>
      </c>
      <c r="D119">
        <v>128</v>
      </c>
      <c r="E119">
        <v>2</v>
      </c>
      <c r="F119">
        <v>2</v>
      </c>
      <c r="G119">
        <v>905.78</v>
      </c>
      <c r="H119" s="24">
        <v>2.2871999999999999</v>
      </c>
      <c r="I119" s="1">
        <v>45319</v>
      </c>
      <c r="J119" s="2">
        <v>0.92181712962962958</v>
      </c>
      <c r="K119">
        <v>0</v>
      </c>
      <c r="L119">
        <v>0</v>
      </c>
      <c r="M119">
        <v>0</v>
      </c>
      <c r="N119" s="3">
        <f t="shared" ref="N119" si="87">AVERAGE(H119:H123)</f>
        <v>2.2874399999999997</v>
      </c>
      <c r="P119" s="50">
        <v>0</v>
      </c>
      <c r="Q119" s="50" t="s">
        <v>1</v>
      </c>
      <c r="R119" s="50">
        <v>14592</v>
      </c>
      <c r="S119" s="50">
        <v>128</v>
      </c>
      <c r="T119" s="50">
        <v>2</v>
      </c>
      <c r="U119" s="50">
        <v>2</v>
      </c>
      <c r="V119" s="50">
        <v>823.09</v>
      </c>
      <c r="W119" s="63">
        <v>2.52</v>
      </c>
      <c r="X119" s="51">
        <v>45321</v>
      </c>
      <c r="Y119" s="52">
        <v>0.70583333333333331</v>
      </c>
      <c r="Z119" s="50">
        <v>0</v>
      </c>
      <c r="AA119" s="50">
        <v>0</v>
      </c>
      <c r="AB119" s="50">
        <v>0</v>
      </c>
      <c r="AC119" s="4">
        <f t="shared" ref="AC119" si="88">AVERAGE(W119:W123)</f>
        <v>2.516</v>
      </c>
      <c r="AD119" s="3"/>
    </row>
    <row r="120" spans="1:30" x14ac:dyDescent="0.25">
      <c r="A120">
        <v>1</v>
      </c>
      <c r="B120" t="s">
        <v>1</v>
      </c>
      <c r="C120">
        <v>14592</v>
      </c>
      <c r="D120">
        <v>128</v>
      </c>
      <c r="E120">
        <v>2</v>
      </c>
      <c r="F120">
        <v>2</v>
      </c>
      <c r="G120">
        <v>905.51</v>
      </c>
      <c r="H120" s="24">
        <v>2.2877999999999998</v>
      </c>
      <c r="I120" s="1">
        <v>45320</v>
      </c>
      <c r="J120" s="2">
        <v>0.32616898148148149</v>
      </c>
      <c r="K120">
        <v>0</v>
      </c>
      <c r="L120">
        <v>0</v>
      </c>
      <c r="M120">
        <v>0</v>
      </c>
      <c r="N120" s="3">
        <f t="shared" ref="N120" si="89">N119</f>
        <v>2.2874399999999997</v>
      </c>
      <c r="P120" s="50">
        <v>1</v>
      </c>
      <c r="Q120" s="50" t="s">
        <v>1</v>
      </c>
      <c r="R120" s="50">
        <v>14592</v>
      </c>
      <c r="S120" s="50">
        <v>128</v>
      </c>
      <c r="T120" s="50">
        <v>2</v>
      </c>
      <c r="U120" s="50">
        <v>2</v>
      </c>
      <c r="V120" s="50">
        <v>822.77</v>
      </c>
      <c r="W120" s="63">
        <v>2.52</v>
      </c>
      <c r="X120" s="51">
        <v>45322</v>
      </c>
      <c r="Y120" s="52">
        <v>0.22420138888888888</v>
      </c>
      <c r="Z120" s="50">
        <v>0</v>
      </c>
      <c r="AA120" s="50">
        <v>0</v>
      </c>
      <c r="AB120" s="50">
        <v>0</v>
      </c>
      <c r="AC120" s="4">
        <f t="shared" ref="AC120:AC123" si="90">AC119</f>
        <v>2.516</v>
      </c>
      <c r="AD120" s="3"/>
    </row>
    <row r="121" spans="1:30" x14ac:dyDescent="0.25">
      <c r="A121">
        <v>2</v>
      </c>
      <c r="B121" t="s">
        <v>1</v>
      </c>
      <c r="C121">
        <v>14592</v>
      </c>
      <c r="D121">
        <v>128</v>
      </c>
      <c r="E121">
        <v>2</v>
      </c>
      <c r="F121">
        <v>2</v>
      </c>
      <c r="G121">
        <v>905.52</v>
      </c>
      <c r="H121" s="24">
        <v>2.2877999999999998</v>
      </c>
      <c r="I121" s="1">
        <v>45320</v>
      </c>
      <c r="J121" s="2">
        <v>0.83473379629629629</v>
      </c>
      <c r="K121">
        <v>0</v>
      </c>
      <c r="L121">
        <v>0</v>
      </c>
      <c r="M121">
        <v>0</v>
      </c>
      <c r="N121" s="3">
        <f t="shared" si="65"/>
        <v>2.2874399999999997</v>
      </c>
      <c r="P121" s="50">
        <v>2</v>
      </c>
      <c r="Q121" s="50" t="s">
        <v>1</v>
      </c>
      <c r="R121" s="50">
        <v>14592</v>
      </c>
      <c r="S121" s="50">
        <v>128</v>
      </c>
      <c r="T121" s="50">
        <v>2</v>
      </c>
      <c r="U121" s="50">
        <v>2</v>
      </c>
      <c r="V121" s="50">
        <v>825.44</v>
      </c>
      <c r="W121" s="63">
        <v>2.5099999999999998</v>
      </c>
      <c r="X121" s="51">
        <v>45322</v>
      </c>
      <c r="Y121" s="52">
        <v>0.74239583333333337</v>
      </c>
      <c r="Z121" s="50">
        <v>0</v>
      </c>
      <c r="AA121" s="50">
        <v>0</v>
      </c>
      <c r="AB121" s="50">
        <v>0</v>
      </c>
      <c r="AC121" s="4">
        <f t="shared" si="90"/>
        <v>2.516</v>
      </c>
      <c r="AD121" s="3"/>
    </row>
    <row r="122" spans="1:30" x14ac:dyDescent="0.25">
      <c r="A122">
        <v>3</v>
      </c>
      <c r="B122" t="s">
        <v>1</v>
      </c>
      <c r="C122">
        <v>14592</v>
      </c>
      <c r="D122">
        <v>128</v>
      </c>
      <c r="E122">
        <v>2</v>
      </c>
      <c r="F122">
        <v>2</v>
      </c>
      <c r="G122">
        <v>905.93</v>
      </c>
      <c r="H122" s="24">
        <v>2.2867999999999999</v>
      </c>
      <c r="I122" s="1">
        <v>45321</v>
      </c>
      <c r="J122" s="2">
        <v>0.3432986111111111</v>
      </c>
      <c r="K122">
        <v>0</v>
      </c>
      <c r="L122">
        <v>0</v>
      </c>
      <c r="M122">
        <v>0</v>
      </c>
      <c r="N122" s="3">
        <f t="shared" si="65"/>
        <v>2.2874399999999997</v>
      </c>
      <c r="P122" s="50">
        <v>3</v>
      </c>
      <c r="Q122" s="50" t="s">
        <v>1</v>
      </c>
      <c r="R122" s="50">
        <v>14592</v>
      </c>
      <c r="S122" s="50">
        <v>128</v>
      </c>
      <c r="T122" s="50">
        <v>2</v>
      </c>
      <c r="U122" s="50">
        <v>2</v>
      </c>
      <c r="V122" s="50">
        <v>823.58</v>
      </c>
      <c r="W122" s="63">
        <v>2.52</v>
      </c>
      <c r="X122" s="51">
        <v>45323</v>
      </c>
      <c r="Y122" s="52">
        <v>0.2610763888888889</v>
      </c>
      <c r="Z122" s="50">
        <v>0</v>
      </c>
      <c r="AA122" s="50">
        <v>0</v>
      </c>
      <c r="AB122" s="50">
        <v>0</v>
      </c>
      <c r="AC122" s="4">
        <f t="shared" si="90"/>
        <v>2.516</v>
      </c>
      <c r="AD122" s="3"/>
    </row>
    <row r="123" spans="1:30" x14ac:dyDescent="0.25">
      <c r="A123">
        <v>4</v>
      </c>
      <c r="B123" t="s">
        <v>1</v>
      </c>
      <c r="C123">
        <v>14592</v>
      </c>
      <c r="D123">
        <v>128</v>
      </c>
      <c r="E123">
        <v>2</v>
      </c>
      <c r="F123">
        <v>2</v>
      </c>
      <c r="G123">
        <v>905.6</v>
      </c>
      <c r="H123" s="3">
        <v>2.2875999999999999</v>
      </c>
      <c r="I123" s="1">
        <v>45321</v>
      </c>
      <c r="J123" s="2">
        <v>0.85194444444444439</v>
      </c>
      <c r="K123">
        <v>0</v>
      </c>
      <c r="L123">
        <v>0</v>
      </c>
      <c r="M123">
        <v>0</v>
      </c>
      <c r="N123" s="3">
        <f t="shared" si="65"/>
        <v>2.2874399999999997</v>
      </c>
      <c r="P123" s="50">
        <v>4</v>
      </c>
      <c r="Q123" s="50" t="s">
        <v>1</v>
      </c>
      <c r="R123" s="50">
        <v>14592</v>
      </c>
      <c r="S123" s="50">
        <v>128</v>
      </c>
      <c r="T123" s="50">
        <v>2</v>
      </c>
      <c r="U123" s="50">
        <v>2</v>
      </c>
      <c r="V123" s="50">
        <v>823.99</v>
      </c>
      <c r="W123" s="63">
        <v>2.5099999999999998</v>
      </c>
      <c r="X123" s="51">
        <v>45323</v>
      </c>
      <c r="Y123" s="52">
        <v>0.77940972222222227</v>
      </c>
      <c r="Z123" s="50">
        <v>0</v>
      </c>
      <c r="AA123" s="50">
        <v>0</v>
      </c>
      <c r="AB123" s="50">
        <v>0</v>
      </c>
      <c r="AC123" s="4">
        <f t="shared" si="90"/>
        <v>2.516</v>
      </c>
      <c r="AD123" s="3"/>
    </row>
    <row r="124" spans="1:30" x14ac:dyDescent="0.25">
      <c r="A124">
        <v>0</v>
      </c>
      <c r="B124" t="s">
        <v>1</v>
      </c>
      <c r="C124">
        <v>12960</v>
      </c>
      <c r="D124">
        <v>160</v>
      </c>
      <c r="E124">
        <v>1</v>
      </c>
      <c r="F124">
        <v>4</v>
      </c>
      <c r="G124">
        <v>657.09</v>
      </c>
      <c r="H124" s="24">
        <v>2.2088999999999999</v>
      </c>
      <c r="I124" s="1">
        <v>45320</v>
      </c>
      <c r="J124" s="2">
        <v>0.17670138888888889</v>
      </c>
      <c r="K124">
        <v>0</v>
      </c>
      <c r="L124">
        <v>0</v>
      </c>
      <c r="M124">
        <v>0</v>
      </c>
      <c r="N124" s="3">
        <f t="shared" ref="N124" si="91">AVERAGE(H124:H128)</f>
        <v>2.2085400000000002</v>
      </c>
      <c r="P124" s="50">
        <v>0</v>
      </c>
      <c r="Q124" s="50" t="s">
        <v>1</v>
      </c>
      <c r="R124" s="50">
        <v>12960</v>
      </c>
      <c r="S124" s="50">
        <v>160</v>
      </c>
      <c r="T124" s="50">
        <v>1</v>
      </c>
      <c r="U124" s="50">
        <v>4</v>
      </c>
      <c r="V124" s="50">
        <v>588.08000000000004</v>
      </c>
      <c r="W124" s="63">
        <v>2.4700000000000002</v>
      </c>
      <c r="X124" s="51">
        <v>45322</v>
      </c>
      <c r="Y124" s="52">
        <v>7.2326388888888885E-2</v>
      </c>
      <c r="Z124" s="50">
        <v>0</v>
      </c>
      <c r="AA124" s="50">
        <v>0</v>
      </c>
      <c r="AB124" s="50">
        <v>0</v>
      </c>
      <c r="AC124" s="4">
        <f t="shared" ref="AC124" si="92">AVERAGE(W124:W128)</f>
        <v>2.4762</v>
      </c>
      <c r="AD124" s="3"/>
    </row>
    <row r="125" spans="1:30" x14ac:dyDescent="0.25">
      <c r="A125">
        <v>1</v>
      </c>
      <c r="B125" t="s">
        <v>1</v>
      </c>
      <c r="C125">
        <v>12960</v>
      </c>
      <c r="D125">
        <v>160</v>
      </c>
      <c r="E125">
        <v>1</v>
      </c>
      <c r="F125">
        <v>4</v>
      </c>
      <c r="G125">
        <v>657.1</v>
      </c>
      <c r="H125" s="24">
        <v>2.2088999999999999</v>
      </c>
      <c r="I125" s="1">
        <v>45320</v>
      </c>
      <c r="J125" s="2">
        <v>0.68525462962962957</v>
      </c>
      <c r="K125">
        <v>0</v>
      </c>
      <c r="L125">
        <v>0</v>
      </c>
      <c r="M125">
        <v>0</v>
      </c>
      <c r="N125" s="3">
        <f t="shared" ref="N125" si="93">N124</f>
        <v>2.2085400000000002</v>
      </c>
      <c r="P125" s="50">
        <v>1</v>
      </c>
      <c r="Q125" s="50" t="s">
        <v>1</v>
      </c>
      <c r="R125" s="50">
        <v>12960</v>
      </c>
      <c r="S125" s="50">
        <v>160</v>
      </c>
      <c r="T125" s="50">
        <v>1</v>
      </c>
      <c r="U125" s="50">
        <v>4</v>
      </c>
      <c r="V125" s="50">
        <v>585.11</v>
      </c>
      <c r="W125" s="63">
        <v>2.48</v>
      </c>
      <c r="X125" s="51">
        <v>45322</v>
      </c>
      <c r="Y125" s="52">
        <v>0.59062499999999996</v>
      </c>
      <c r="Z125" s="50">
        <v>0</v>
      </c>
      <c r="AA125" s="50">
        <v>0</v>
      </c>
      <c r="AB125" s="50">
        <v>0</v>
      </c>
      <c r="AC125" s="4">
        <f t="shared" ref="AC125:AC128" si="94">AC124</f>
        <v>2.4762</v>
      </c>
      <c r="AD125" s="3"/>
    </row>
    <row r="126" spans="1:30" x14ac:dyDescent="0.25">
      <c r="A126">
        <v>2</v>
      </c>
      <c r="B126" t="s">
        <v>1</v>
      </c>
      <c r="C126">
        <v>12960</v>
      </c>
      <c r="D126">
        <v>160</v>
      </c>
      <c r="E126">
        <v>1</v>
      </c>
      <c r="F126">
        <v>4</v>
      </c>
      <c r="G126">
        <v>657.29</v>
      </c>
      <c r="H126" s="24">
        <v>2.2082000000000002</v>
      </c>
      <c r="I126" s="1">
        <v>45321</v>
      </c>
      <c r="J126" s="2">
        <v>0.19384259259259259</v>
      </c>
      <c r="K126">
        <v>0</v>
      </c>
      <c r="L126">
        <v>0</v>
      </c>
      <c r="M126">
        <v>0</v>
      </c>
      <c r="N126" s="3">
        <f t="shared" si="61"/>
        <v>2.2085400000000002</v>
      </c>
      <c r="P126" s="50">
        <v>2</v>
      </c>
      <c r="Q126" s="50" t="s">
        <v>1</v>
      </c>
      <c r="R126" s="50">
        <v>12960</v>
      </c>
      <c r="S126" s="50">
        <v>160</v>
      </c>
      <c r="T126" s="50">
        <v>1</v>
      </c>
      <c r="U126" s="50">
        <v>4</v>
      </c>
      <c r="V126" s="50">
        <v>586.39</v>
      </c>
      <c r="W126" s="63">
        <v>2.48</v>
      </c>
      <c r="X126" s="51">
        <v>45323</v>
      </c>
      <c r="Y126" s="52">
        <v>0.10903935185185185</v>
      </c>
      <c r="Z126" s="50">
        <v>0</v>
      </c>
      <c r="AA126" s="50">
        <v>0</v>
      </c>
      <c r="AB126" s="50">
        <v>0</v>
      </c>
      <c r="AC126" s="4">
        <f t="shared" si="94"/>
        <v>2.4762</v>
      </c>
      <c r="AD126" s="3"/>
    </row>
    <row r="127" spans="1:30" x14ac:dyDescent="0.25">
      <c r="A127">
        <v>3</v>
      </c>
      <c r="B127" t="s">
        <v>1</v>
      </c>
      <c r="C127">
        <v>12960</v>
      </c>
      <c r="D127">
        <v>160</v>
      </c>
      <c r="E127">
        <v>1</v>
      </c>
      <c r="F127">
        <v>4</v>
      </c>
      <c r="G127">
        <v>656.98</v>
      </c>
      <c r="H127" s="3">
        <v>2.2092999999999998</v>
      </c>
      <c r="I127" s="1">
        <v>45321</v>
      </c>
      <c r="J127" s="2">
        <v>0.70246527777777779</v>
      </c>
      <c r="K127">
        <v>0</v>
      </c>
      <c r="L127">
        <v>0</v>
      </c>
      <c r="M127">
        <v>0</v>
      </c>
      <c r="N127" s="3">
        <f t="shared" si="61"/>
        <v>2.2085400000000002</v>
      </c>
      <c r="P127" s="50">
        <v>3</v>
      </c>
      <c r="Q127" s="50" t="s">
        <v>1</v>
      </c>
      <c r="R127" s="50">
        <v>12960</v>
      </c>
      <c r="S127" s="50">
        <v>160</v>
      </c>
      <c r="T127" s="50">
        <v>1</v>
      </c>
      <c r="U127" s="50">
        <v>4</v>
      </c>
      <c r="V127" s="50">
        <v>585.28</v>
      </c>
      <c r="W127" s="63">
        <v>2.48</v>
      </c>
      <c r="X127" s="51">
        <v>45323</v>
      </c>
      <c r="Y127" s="52">
        <v>0.6275694444444444</v>
      </c>
      <c r="Z127" s="50">
        <v>0</v>
      </c>
      <c r="AA127" s="50">
        <v>0</v>
      </c>
      <c r="AB127" s="50">
        <v>0</v>
      </c>
      <c r="AC127" s="4">
        <f t="shared" si="94"/>
        <v>2.4762</v>
      </c>
      <c r="AD127" s="3"/>
    </row>
    <row r="128" spans="1:30" x14ac:dyDescent="0.25">
      <c r="A128">
        <v>4</v>
      </c>
      <c r="B128" t="s">
        <v>1</v>
      </c>
      <c r="C128">
        <v>12960</v>
      </c>
      <c r="D128">
        <v>160</v>
      </c>
      <c r="E128">
        <v>1</v>
      </c>
      <c r="F128">
        <v>4</v>
      </c>
      <c r="G128">
        <v>657.53</v>
      </c>
      <c r="H128" s="3">
        <v>2.2073999999999998</v>
      </c>
      <c r="I128" s="1">
        <v>45322</v>
      </c>
      <c r="J128" s="2">
        <v>0.21101851851851852</v>
      </c>
      <c r="K128">
        <v>0</v>
      </c>
      <c r="L128">
        <v>0</v>
      </c>
      <c r="M128">
        <v>0</v>
      </c>
      <c r="N128" s="3">
        <f t="shared" si="61"/>
        <v>2.2085400000000002</v>
      </c>
      <c r="P128" s="50">
        <v>4</v>
      </c>
      <c r="Q128" s="50" t="s">
        <v>1</v>
      </c>
      <c r="R128" s="50">
        <v>12960</v>
      </c>
      <c r="S128" s="50">
        <v>160</v>
      </c>
      <c r="T128" s="50">
        <v>1</v>
      </c>
      <c r="U128" s="50">
        <v>4</v>
      </c>
      <c r="V128" s="50">
        <v>587.39</v>
      </c>
      <c r="W128" s="64">
        <v>2.4710000000000001</v>
      </c>
      <c r="X128" s="51">
        <v>45481</v>
      </c>
      <c r="Y128" s="52">
        <v>0.86079861111111111</v>
      </c>
      <c r="Z128" s="50">
        <v>0</v>
      </c>
      <c r="AA128" s="50">
        <v>0</v>
      </c>
      <c r="AB128" s="50">
        <v>0</v>
      </c>
      <c r="AC128" s="4">
        <f t="shared" si="94"/>
        <v>2.4762</v>
      </c>
      <c r="AD128" s="3"/>
    </row>
    <row r="129" spans="1:30" x14ac:dyDescent="0.25">
      <c r="A129">
        <v>0</v>
      </c>
      <c r="B129" t="s">
        <v>1</v>
      </c>
      <c r="C129">
        <v>13760</v>
      </c>
      <c r="D129">
        <v>160</v>
      </c>
      <c r="E129">
        <v>1</v>
      </c>
      <c r="F129">
        <v>4</v>
      </c>
      <c r="G129">
        <v>784.96</v>
      </c>
      <c r="H129" s="24">
        <v>2.2130000000000001</v>
      </c>
      <c r="I129" s="1">
        <v>45320</v>
      </c>
      <c r="J129" s="2">
        <v>7.5196759259259255E-2</v>
      </c>
      <c r="K129">
        <v>0</v>
      </c>
      <c r="L129">
        <v>0</v>
      </c>
      <c r="M129">
        <v>0</v>
      </c>
      <c r="N129" s="3">
        <f t="shared" ref="N129" si="95">AVERAGE(H129:H133)</f>
        <v>2.2121400000000002</v>
      </c>
      <c r="P129" s="50">
        <v>0</v>
      </c>
      <c r="Q129" s="50" t="s">
        <v>1</v>
      </c>
      <c r="R129" s="50">
        <v>13760</v>
      </c>
      <c r="S129" s="50">
        <v>160</v>
      </c>
      <c r="T129" s="50">
        <v>1</v>
      </c>
      <c r="U129" s="50">
        <v>4</v>
      </c>
      <c r="V129" s="50">
        <v>698.3</v>
      </c>
      <c r="W129" s="63">
        <v>2.4900000000000002</v>
      </c>
      <c r="X129" s="51">
        <v>45321</v>
      </c>
      <c r="Y129" s="52">
        <v>0.9191435185185185</v>
      </c>
      <c r="Z129" s="50">
        <v>0</v>
      </c>
      <c r="AA129" s="50">
        <v>0</v>
      </c>
      <c r="AB129" s="50">
        <v>0</v>
      </c>
      <c r="AC129" s="4">
        <f t="shared" ref="AC129" si="96">AVERAGE(W129:W133)</f>
        <v>2.4859200000000001</v>
      </c>
      <c r="AD129" s="3"/>
    </row>
    <row r="130" spans="1:30" x14ac:dyDescent="0.25">
      <c r="A130">
        <v>1</v>
      </c>
      <c r="B130" t="s">
        <v>1</v>
      </c>
      <c r="C130">
        <v>13760</v>
      </c>
      <c r="D130">
        <v>160</v>
      </c>
      <c r="E130">
        <v>1</v>
      </c>
      <c r="F130">
        <v>4</v>
      </c>
      <c r="G130">
        <v>784.77</v>
      </c>
      <c r="H130" s="24">
        <v>2.2136</v>
      </c>
      <c r="I130" s="1">
        <v>45320</v>
      </c>
      <c r="J130" s="2">
        <v>0.53607638888888887</v>
      </c>
      <c r="K130">
        <v>0</v>
      </c>
      <c r="L130">
        <v>0</v>
      </c>
      <c r="M130">
        <v>0</v>
      </c>
      <c r="N130" s="3">
        <f t="shared" ref="N130" si="97">N129</f>
        <v>2.2121400000000002</v>
      </c>
      <c r="P130" s="50">
        <v>1</v>
      </c>
      <c r="Q130" s="50" t="s">
        <v>1</v>
      </c>
      <c r="R130" s="50">
        <v>13760</v>
      </c>
      <c r="S130" s="50">
        <v>160</v>
      </c>
      <c r="T130" s="50">
        <v>1</v>
      </c>
      <c r="U130" s="50">
        <v>4</v>
      </c>
      <c r="V130" s="50">
        <v>696.98</v>
      </c>
      <c r="W130" s="63">
        <v>2.4900000000000002</v>
      </c>
      <c r="X130" s="51">
        <v>45322</v>
      </c>
      <c r="Y130" s="52">
        <v>0.43756944444444446</v>
      </c>
      <c r="Z130" s="50">
        <v>0</v>
      </c>
      <c r="AA130" s="50">
        <v>0</v>
      </c>
      <c r="AB130" s="50">
        <v>0</v>
      </c>
      <c r="AC130" s="4">
        <f t="shared" ref="AC130:AC133" si="98">AC129</f>
        <v>2.4859200000000001</v>
      </c>
      <c r="AD130" s="3"/>
    </row>
    <row r="131" spans="1:30" x14ac:dyDescent="0.25">
      <c r="A131">
        <v>2</v>
      </c>
      <c r="B131" t="s">
        <v>1</v>
      </c>
      <c r="C131">
        <v>13760</v>
      </c>
      <c r="D131">
        <v>160</v>
      </c>
      <c r="E131">
        <v>1</v>
      </c>
      <c r="F131">
        <v>4</v>
      </c>
      <c r="G131">
        <v>785.03</v>
      </c>
      <c r="H131" s="24">
        <v>2.2128000000000001</v>
      </c>
      <c r="I131" s="1">
        <v>45321</v>
      </c>
      <c r="J131" s="2">
        <v>4.4641203703703704E-2</v>
      </c>
      <c r="K131">
        <v>0</v>
      </c>
      <c r="L131">
        <v>0</v>
      </c>
      <c r="M131">
        <v>0</v>
      </c>
      <c r="N131" s="3">
        <f t="shared" si="65"/>
        <v>2.2121400000000002</v>
      </c>
      <c r="P131" s="50">
        <v>2</v>
      </c>
      <c r="Q131" s="50" t="s">
        <v>1</v>
      </c>
      <c r="R131" s="50">
        <v>13760</v>
      </c>
      <c r="S131" s="50">
        <v>160</v>
      </c>
      <c r="T131" s="50">
        <v>1</v>
      </c>
      <c r="U131" s="50">
        <v>4</v>
      </c>
      <c r="V131" s="50">
        <v>702.3</v>
      </c>
      <c r="W131" s="63">
        <v>2.4700000000000002</v>
      </c>
      <c r="X131" s="51">
        <v>45322</v>
      </c>
      <c r="Y131" s="52">
        <v>0.95572916666666663</v>
      </c>
      <c r="Z131" s="50">
        <v>0</v>
      </c>
      <c r="AA131" s="50">
        <v>0</v>
      </c>
      <c r="AB131" s="50">
        <v>0</v>
      </c>
      <c r="AC131" s="4">
        <f t="shared" si="98"/>
        <v>2.4859200000000001</v>
      </c>
      <c r="AD131" s="3"/>
    </row>
    <row r="132" spans="1:30" x14ac:dyDescent="0.25">
      <c r="A132">
        <v>3</v>
      </c>
      <c r="B132" t="s">
        <v>1</v>
      </c>
      <c r="C132">
        <v>13760</v>
      </c>
      <c r="D132">
        <v>160</v>
      </c>
      <c r="E132">
        <v>1</v>
      </c>
      <c r="F132">
        <v>4</v>
      </c>
      <c r="G132">
        <v>785.78</v>
      </c>
      <c r="H132" s="24">
        <v>2.2107000000000001</v>
      </c>
      <c r="I132" s="1">
        <v>45321</v>
      </c>
      <c r="J132" s="2">
        <v>0.55329861111111112</v>
      </c>
      <c r="K132">
        <v>0</v>
      </c>
      <c r="L132">
        <v>0</v>
      </c>
      <c r="M132">
        <v>0</v>
      </c>
      <c r="N132" s="3">
        <f t="shared" si="65"/>
        <v>2.2121400000000002</v>
      </c>
      <c r="P132" s="50">
        <v>3</v>
      </c>
      <c r="Q132" s="50" t="s">
        <v>1</v>
      </c>
      <c r="R132" s="50">
        <v>13760</v>
      </c>
      <c r="S132" s="50">
        <v>160</v>
      </c>
      <c r="T132" s="50">
        <v>1</v>
      </c>
      <c r="U132" s="50">
        <v>4</v>
      </c>
      <c r="V132" s="50">
        <v>697.6</v>
      </c>
      <c r="W132" s="63">
        <v>2.4900000000000002</v>
      </c>
      <c r="X132" s="51">
        <v>45323</v>
      </c>
      <c r="Y132" s="52">
        <v>0.47440972222222222</v>
      </c>
      <c r="Z132" s="50">
        <v>0</v>
      </c>
      <c r="AA132" s="50">
        <v>0</v>
      </c>
      <c r="AB132" s="50">
        <v>0</v>
      </c>
      <c r="AC132" s="4">
        <f t="shared" si="98"/>
        <v>2.4859200000000001</v>
      </c>
      <c r="AD132" s="3"/>
    </row>
    <row r="133" spans="1:30" x14ac:dyDescent="0.25">
      <c r="A133">
        <v>4</v>
      </c>
      <c r="B133" t="s">
        <v>1</v>
      </c>
      <c r="C133">
        <v>13760</v>
      </c>
      <c r="D133">
        <v>160</v>
      </c>
      <c r="E133">
        <v>1</v>
      </c>
      <c r="F133">
        <v>4</v>
      </c>
      <c r="G133">
        <v>785.81</v>
      </c>
      <c r="H133" s="3">
        <v>2.2105999999999999</v>
      </c>
      <c r="I133" s="1">
        <v>45322</v>
      </c>
      <c r="J133" s="2">
        <v>6.1851851851851852E-2</v>
      </c>
      <c r="K133">
        <v>0</v>
      </c>
      <c r="L133">
        <v>0</v>
      </c>
      <c r="M133">
        <v>0</v>
      </c>
      <c r="N133" s="3">
        <f t="shared" si="65"/>
        <v>2.2121400000000002</v>
      </c>
      <c r="P133" s="50">
        <v>4</v>
      </c>
      <c r="Q133" s="50" t="s">
        <v>1</v>
      </c>
      <c r="R133" s="50">
        <v>13760</v>
      </c>
      <c r="S133" s="50">
        <v>160</v>
      </c>
      <c r="T133" s="50">
        <v>1</v>
      </c>
      <c r="U133" s="50">
        <v>4</v>
      </c>
      <c r="V133" s="50">
        <v>697.76</v>
      </c>
      <c r="W133" s="64">
        <v>2.4895999999999998</v>
      </c>
      <c r="X133" s="51">
        <v>45481</v>
      </c>
      <c r="Y133" s="52">
        <v>0.96888888888888891</v>
      </c>
      <c r="Z133" s="50">
        <v>0</v>
      </c>
      <c r="AA133" s="50">
        <v>0</v>
      </c>
      <c r="AB133" s="50">
        <v>0</v>
      </c>
      <c r="AC133" s="4">
        <f t="shared" si="98"/>
        <v>2.4859200000000001</v>
      </c>
      <c r="AD133" s="3"/>
    </row>
    <row r="134" spans="1:30" x14ac:dyDescent="0.25">
      <c r="A134">
        <v>0</v>
      </c>
      <c r="B134" t="s">
        <v>1</v>
      </c>
      <c r="C134">
        <v>14560</v>
      </c>
      <c r="D134">
        <v>160</v>
      </c>
      <c r="E134">
        <v>1</v>
      </c>
      <c r="F134">
        <v>4</v>
      </c>
      <c r="G134">
        <v>925.75</v>
      </c>
      <c r="H134" s="24">
        <v>2.2231000000000001</v>
      </c>
      <c r="I134" s="1">
        <v>45319</v>
      </c>
      <c r="J134" s="2">
        <v>0.95443287037037039</v>
      </c>
      <c r="K134">
        <v>0</v>
      </c>
      <c r="L134">
        <v>0</v>
      </c>
      <c r="M134">
        <v>0</v>
      </c>
      <c r="N134" s="3">
        <f t="shared" ref="N134" si="99">AVERAGE(H134:H138)</f>
        <v>2.2221400000000004</v>
      </c>
      <c r="P134" s="50">
        <v>0</v>
      </c>
      <c r="Q134" s="50" t="s">
        <v>1</v>
      </c>
      <c r="R134" s="50">
        <v>14560</v>
      </c>
      <c r="S134" s="50">
        <v>160</v>
      </c>
      <c r="T134" s="50">
        <v>1</v>
      </c>
      <c r="U134" s="50">
        <v>4</v>
      </c>
      <c r="V134" s="50">
        <v>827.86</v>
      </c>
      <c r="W134" s="63">
        <v>2.4900000000000002</v>
      </c>
      <c r="X134" s="51">
        <v>45321</v>
      </c>
      <c r="Y134" s="52">
        <v>0.73923611111111109</v>
      </c>
      <c r="Z134" s="50">
        <v>0</v>
      </c>
      <c r="AA134" s="50">
        <v>0</v>
      </c>
      <c r="AB134" s="50">
        <v>0</v>
      </c>
      <c r="AC134" s="4">
        <f t="shared" ref="AC134" si="100">AVERAGE(W134:W138)</f>
        <v>2.496</v>
      </c>
      <c r="AD134" s="3"/>
    </row>
    <row r="135" spans="1:30" x14ac:dyDescent="0.25">
      <c r="A135">
        <v>1</v>
      </c>
      <c r="B135" t="s">
        <v>1</v>
      </c>
      <c r="C135">
        <v>14560</v>
      </c>
      <c r="D135">
        <v>160</v>
      </c>
      <c r="E135">
        <v>1</v>
      </c>
      <c r="F135">
        <v>4</v>
      </c>
      <c r="G135">
        <v>926.34</v>
      </c>
      <c r="H135" s="24">
        <v>2.2216999999999998</v>
      </c>
      <c r="I135" s="1">
        <v>45320</v>
      </c>
      <c r="J135" s="2">
        <v>0.35880787037037037</v>
      </c>
      <c r="K135">
        <v>0</v>
      </c>
      <c r="L135">
        <v>0</v>
      </c>
      <c r="M135">
        <v>0</v>
      </c>
      <c r="N135" s="3">
        <f t="shared" ref="N135" si="101">N134</f>
        <v>2.2221400000000004</v>
      </c>
      <c r="P135" s="50">
        <v>1</v>
      </c>
      <c r="Q135" s="50" t="s">
        <v>1</v>
      </c>
      <c r="R135" s="50">
        <v>14560</v>
      </c>
      <c r="S135" s="50">
        <v>160</v>
      </c>
      <c r="T135" s="50">
        <v>1</v>
      </c>
      <c r="U135" s="50">
        <v>4</v>
      </c>
      <c r="V135" s="50">
        <v>826.43</v>
      </c>
      <c r="W135" s="63">
        <v>2.4900000000000002</v>
      </c>
      <c r="X135" s="51">
        <v>45322</v>
      </c>
      <c r="Y135" s="52">
        <v>0.2575925925925926</v>
      </c>
      <c r="Z135" s="50">
        <v>0</v>
      </c>
      <c r="AA135" s="50">
        <v>0</v>
      </c>
      <c r="AB135" s="50">
        <v>0</v>
      </c>
      <c r="AC135" s="4">
        <f t="shared" ref="AC135:AC138" si="102">AC134</f>
        <v>2.496</v>
      </c>
      <c r="AD135" s="3"/>
    </row>
    <row r="136" spans="1:30" x14ac:dyDescent="0.25">
      <c r="A136">
        <v>2</v>
      </c>
      <c r="B136" t="s">
        <v>1</v>
      </c>
      <c r="C136">
        <v>14560</v>
      </c>
      <c r="D136">
        <v>160</v>
      </c>
      <c r="E136">
        <v>1</v>
      </c>
      <c r="F136">
        <v>4</v>
      </c>
      <c r="G136">
        <v>926.09</v>
      </c>
      <c r="H136" s="24">
        <v>2.2223000000000002</v>
      </c>
      <c r="I136" s="1">
        <v>45320</v>
      </c>
      <c r="J136" s="2">
        <v>0.86737268518518518</v>
      </c>
      <c r="K136">
        <v>0</v>
      </c>
      <c r="L136">
        <v>0</v>
      </c>
      <c r="M136">
        <v>0</v>
      </c>
      <c r="N136" s="3">
        <f t="shared" si="61"/>
        <v>2.2221400000000004</v>
      </c>
      <c r="P136" s="50">
        <v>2</v>
      </c>
      <c r="Q136" s="50" t="s">
        <v>1</v>
      </c>
      <c r="R136" s="50">
        <v>14560</v>
      </c>
      <c r="S136" s="50">
        <v>160</v>
      </c>
      <c r="T136" s="50">
        <v>1</v>
      </c>
      <c r="U136" s="50">
        <v>4</v>
      </c>
      <c r="V136" s="50">
        <v>822.11</v>
      </c>
      <c r="W136" s="63">
        <v>2.5</v>
      </c>
      <c r="X136" s="51">
        <v>45322</v>
      </c>
      <c r="Y136" s="52">
        <v>0.7757060185185185</v>
      </c>
      <c r="Z136" s="50">
        <v>0</v>
      </c>
      <c r="AA136" s="50">
        <v>0</v>
      </c>
      <c r="AB136" s="50">
        <v>0</v>
      </c>
      <c r="AC136" s="4">
        <f t="shared" si="102"/>
        <v>2.496</v>
      </c>
      <c r="AD136" s="3"/>
    </row>
    <row r="137" spans="1:30" x14ac:dyDescent="0.25">
      <c r="A137">
        <v>3</v>
      </c>
      <c r="B137" t="s">
        <v>1</v>
      </c>
      <c r="C137">
        <v>14560</v>
      </c>
      <c r="D137">
        <v>160</v>
      </c>
      <c r="E137">
        <v>1</v>
      </c>
      <c r="F137">
        <v>4</v>
      </c>
      <c r="G137">
        <v>926.47</v>
      </c>
      <c r="H137" s="24">
        <v>2.2214</v>
      </c>
      <c r="I137" s="1">
        <v>45321</v>
      </c>
      <c r="J137" s="2">
        <v>0.37593749999999998</v>
      </c>
      <c r="K137">
        <v>0</v>
      </c>
      <c r="L137">
        <v>0</v>
      </c>
      <c r="M137">
        <v>0</v>
      </c>
      <c r="N137" s="3">
        <f t="shared" si="61"/>
        <v>2.2221400000000004</v>
      </c>
      <c r="P137" s="50">
        <v>3</v>
      </c>
      <c r="Q137" s="50" t="s">
        <v>1</v>
      </c>
      <c r="R137" s="50">
        <v>14560</v>
      </c>
      <c r="S137" s="50">
        <v>160</v>
      </c>
      <c r="T137" s="50">
        <v>1</v>
      </c>
      <c r="U137" s="50">
        <v>4</v>
      </c>
      <c r="V137" s="50">
        <v>823.58</v>
      </c>
      <c r="W137" s="63">
        <v>2.5</v>
      </c>
      <c r="X137" s="51">
        <v>45323</v>
      </c>
      <c r="Y137" s="52">
        <v>0.29450231481481481</v>
      </c>
      <c r="Z137" s="50">
        <v>0</v>
      </c>
      <c r="AA137" s="50">
        <v>0</v>
      </c>
      <c r="AB137" s="50">
        <v>0</v>
      </c>
      <c r="AC137" s="4">
        <f t="shared" si="102"/>
        <v>2.496</v>
      </c>
      <c r="AD137" s="3"/>
    </row>
    <row r="138" spans="1:30" x14ac:dyDescent="0.25">
      <c r="A138">
        <v>4</v>
      </c>
      <c r="B138" t="s">
        <v>1</v>
      </c>
      <c r="C138">
        <v>14560</v>
      </c>
      <c r="D138">
        <v>160</v>
      </c>
      <c r="E138">
        <v>1</v>
      </c>
      <c r="F138">
        <v>4</v>
      </c>
      <c r="G138">
        <v>926.13</v>
      </c>
      <c r="H138" s="3">
        <v>2.2222</v>
      </c>
      <c r="I138" s="1">
        <v>45321</v>
      </c>
      <c r="J138" s="2">
        <v>0.88457175925925924</v>
      </c>
      <c r="K138">
        <v>0</v>
      </c>
      <c r="L138">
        <v>0</v>
      </c>
      <c r="M138">
        <v>0</v>
      </c>
      <c r="N138" s="3">
        <f t="shared" si="61"/>
        <v>2.2221400000000004</v>
      </c>
      <c r="P138" s="50">
        <v>4</v>
      </c>
      <c r="Q138" s="50" t="s">
        <v>1</v>
      </c>
      <c r="R138" s="50">
        <v>14560</v>
      </c>
      <c r="S138" s="50">
        <v>160</v>
      </c>
      <c r="T138" s="50">
        <v>1</v>
      </c>
      <c r="U138" s="50">
        <v>4</v>
      </c>
      <c r="V138" s="50">
        <v>822.64</v>
      </c>
      <c r="W138" s="63">
        <v>2.5</v>
      </c>
      <c r="X138" s="51">
        <v>45323</v>
      </c>
      <c r="Y138" s="52">
        <v>0.81275462962962963</v>
      </c>
      <c r="Z138" s="50">
        <v>0</v>
      </c>
      <c r="AA138" s="50">
        <v>0</v>
      </c>
      <c r="AB138" s="50">
        <v>0</v>
      </c>
      <c r="AC138" s="4">
        <f t="shared" si="102"/>
        <v>2.496</v>
      </c>
      <c r="AD138" s="3"/>
    </row>
    <row r="139" spans="1:30" x14ac:dyDescent="0.25">
      <c r="A139">
        <v>0</v>
      </c>
      <c r="B139" t="s">
        <v>1</v>
      </c>
      <c r="C139">
        <v>12960</v>
      </c>
      <c r="D139">
        <v>160</v>
      </c>
      <c r="E139">
        <v>2</v>
      </c>
      <c r="F139">
        <v>2</v>
      </c>
      <c r="G139">
        <v>642.26</v>
      </c>
      <c r="H139" s="24">
        <v>2.2599</v>
      </c>
      <c r="I139" s="1">
        <v>45320</v>
      </c>
      <c r="J139" s="2">
        <v>0.18439814814814814</v>
      </c>
      <c r="K139">
        <v>0</v>
      </c>
      <c r="L139">
        <v>0</v>
      </c>
      <c r="M139">
        <v>0</v>
      </c>
      <c r="N139" s="3">
        <f t="shared" ref="N139" si="103">AVERAGE(H139:H143)</f>
        <v>2.2588400000000002</v>
      </c>
      <c r="P139" s="50">
        <v>0</v>
      </c>
      <c r="Q139" s="50" t="s">
        <v>1</v>
      </c>
      <c r="R139" s="50">
        <v>12960</v>
      </c>
      <c r="S139" s="50">
        <v>160</v>
      </c>
      <c r="T139" s="50">
        <v>2</v>
      </c>
      <c r="U139" s="50">
        <v>2</v>
      </c>
      <c r="V139" s="50">
        <v>584.41999999999996</v>
      </c>
      <c r="W139" s="63">
        <v>2.48</v>
      </c>
      <c r="X139" s="51">
        <v>45322</v>
      </c>
      <c r="Y139" s="52">
        <v>8.0405092592592597E-2</v>
      </c>
      <c r="Z139" s="50">
        <v>0</v>
      </c>
      <c r="AA139" s="50">
        <v>0</v>
      </c>
      <c r="AB139" s="50">
        <v>0</v>
      </c>
      <c r="AC139" s="4">
        <f t="shared" ref="AC139" si="104">AVERAGE(W139:W143)</f>
        <v>2.4860000000000002</v>
      </c>
      <c r="AD139" s="3"/>
    </row>
    <row r="140" spans="1:30" x14ac:dyDescent="0.25">
      <c r="A140">
        <v>1</v>
      </c>
      <c r="B140" t="s">
        <v>1</v>
      </c>
      <c r="C140">
        <v>12960</v>
      </c>
      <c r="D140">
        <v>160</v>
      </c>
      <c r="E140">
        <v>2</v>
      </c>
      <c r="F140">
        <v>2</v>
      </c>
      <c r="G140">
        <v>642.11</v>
      </c>
      <c r="H140" s="24">
        <v>2.2604000000000002</v>
      </c>
      <c r="I140" s="1">
        <v>45320</v>
      </c>
      <c r="J140" s="2">
        <v>0.692962962962963</v>
      </c>
      <c r="K140">
        <v>0</v>
      </c>
      <c r="L140">
        <v>0</v>
      </c>
      <c r="M140">
        <v>0</v>
      </c>
      <c r="N140" s="3">
        <f t="shared" ref="N140" si="105">N139</f>
        <v>2.2588400000000002</v>
      </c>
      <c r="P140" s="50">
        <v>1</v>
      </c>
      <c r="Q140" s="50" t="s">
        <v>1</v>
      </c>
      <c r="R140" s="50">
        <v>12960</v>
      </c>
      <c r="S140" s="50">
        <v>160</v>
      </c>
      <c r="T140" s="50">
        <v>2</v>
      </c>
      <c r="U140" s="50">
        <v>2</v>
      </c>
      <c r="V140" s="50">
        <v>584.92999999999995</v>
      </c>
      <c r="W140" s="63">
        <v>2.48</v>
      </c>
      <c r="X140" s="51">
        <v>45322</v>
      </c>
      <c r="Y140" s="52">
        <v>0.59870370370370374</v>
      </c>
      <c r="Z140" s="50">
        <v>0</v>
      </c>
      <c r="AA140" s="50">
        <v>0</v>
      </c>
      <c r="AB140" s="50">
        <v>0</v>
      </c>
      <c r="AC140" s="4">
        <f t="shared" ref="AC140:AC143" si="106">AC139</f>
        <v>2.4860000000000002</v>
      </c>
      <c r="AD140" s="3"/>
    </row>
    <row r="141" spans="1:30" x14ac:dyDescent="0.25">
      <c r="A141">
        <v>2</v>
      </c>
      <c r="B141" t="s">
        <v>1</v>
      </c>
      <c r="C141">
        <v>12960</v>
      </c>
      <c r="D141">
        <v>160</v>
      </c>
      <c r="E141">
        <v>2</v>
      </c>
      <c r="F141">
        <v>2</v>
      </c>
      <c r="G141">
        <v>642.70000000000005</v>
      </c>
      <c r="H141" s="24">
        <v>2.2583000000000002</v>
      </c>
      <c r="I141" s="1">
        <v>45321</v>
      </c>
      <c r="J141" s="2">
        <v>0.20155092592592594</v>
      </c>
      <c r="K141">
        <v>0</v>
      </c>
      <c r="L141">
        <v>0</v>
      </c>
      <c r="M141">
        <v>0</v>
      </c>
      <c r="N141" s="3">
        <f t="shared" si="65"/>
        <v>2.2588400000000002</v>
      </c>
      <c r="P141" s="50">
        <v>2</v>
      </c>
      <c r="Q141" s="50" t="s">
        <v>1</v>
      </c>
      <c r="R141" s="50">
        <v>12960</v>
      </c>
      <c r="S141" s="50">
        <v>160</v>
      </c>
      <c r="T141" s="50">
        <v>2</v>
      </c>
      <c r="U141" s="50">
        <v>2</v>
      </c>
      <c r="V141" s="50">
        <v>584.07000000000005</v>
      </c>
      <c r="W141" s="63">
        <v>2.4900000000000002</v>
      </c>
      <c r="X141" s="51">
        <v>45323</v>
      </c>
      <c r="Y141" s="52">
        <v>0.11710648148148148</v>
      </c>
      <c r="Z141" s="50">
        <v>0</v>
      </c>
      <c r="AA141" s="50">
        <v>0</v>
      </c>
      <c r="AB141" s="50">
        <v>0</v>
      </c>
      <c r="AC141" s="4">
        <f t="shared" si="106"/>
        <v>2.4860000000000002</v>
      </c>
      <c r="AD141" s="3"/>
    </row>
    <row r="142" spans="1:30" x14ac:dyDescent="0.25">
      <c r="A142">
        <v>3</v>
      </c>
      <c r="B142" t="s">
        <v>1</v>
      </c>
      <c r="C142">
        <v>12960</v>
      </c>
      <c r="D142">
        <v>160</v>
      </c>
      <c r="E142">
        <v>2</v>
      </c>
      <c r="F142">
        <v>2</v>
      </c>
      <c r="G142">
        <v>642.79</v>
      </c>
      <c r="H142" s="3">
        <v>2.258</v>
      </c>
      <c r="I142" s="1">
        <v>45321</v>
      </c>
      <c r="J142" s="2">
        <v>0.7101736111111111</v>
      </c>
      <c r="K142">
        <v>0</v>
      </c>
      <c r="L142">
        <v>0</v>
      </c>
      <c r="M142">
        <v>0</v>
      </c>
      <c r="N142" s="3">
        <f t="shared" si="65"/>
        <v>2.2588400000000002</v>
      </c>
      <c r="P142" s="50">
        <v>3</v>
      </c>
      <c r="Q142" s="50" t="s">
        <v>1</v>
      </c>
      <c r="R142" s="50">
        <v>12960</v>
      </c>
      <c r="S142" s="50">
        <v>160</v>
      </c>
      <c r="T142" s="50">
        <v>2</v>
      </c>
      <c r="U142" s="50">
        <v>2</v>
      </c>
      <c r="V142" s="50">
        <v>582.86</v>
      </c>
      <c r="W142" s="63">
        <v>2.4900000000000002</v>
      </c>
      <c r="X142" s="51">
        <v>45323</v>
      </c>
      <c r="Y142" s="52">
        <v>0.635625</v>
      </c>
      <c r="Z142" s="50">
        <v>0</v>
      </c>
      <c r="AA142" s="50">
        <v>0</v>
      </c>
      <c r="AB142" s="50">
        <v>0</v>
      </c>
      <c r="AC142" s="4">
        <f t="shared" si="106"/>
        <v>2.4860000000000002</v>
      </c>
      <c r="AD142" s="3"/>
    </row>
    <row r="143" spans="1:30" x14ac:dyDescent="0.25">
      <c r="A143">
        <v>4</v>
      </c>
      <c r="B143" t="s">
        <v>1</v>
      </c>
      <c r="C143">
        <v>12960</v>
      </c>
      <c r="D143">
        <v>160</v>
      </c>
      <c r="E143">
        <v>2</v>
      </c>
      <c r="F143">
        <v>2</v>
      </c>
      <c r="G143">
        <v>642.9</v>
      </c>
      <c r="H143" s="3">
        <v>2.2576000000000001</v>
      </c>
      <c r="I143" s="1">
        <v>45322</v>
      </c>
      <c r="J143" s="2">
        <v>0.21873842592592593</v>
      </c>
      <c r="K143">
        <v>0</v>
      </c>
      <c r="L143">
        <v>0</v>
      </c>
      <c r="M143">
        <v>0</v>
      </c>
      <c r="N143" s="3">
        <f t="shared" si="65"/>
        <v>2.2588400000000002</v>
      </c>
      <c r="P143" s="50">
        <v>4</v>
      </c>
      <c r="Q143" s="50" t="s">
        <v>1</v>
      </c>
      <c r="R143" s="50">
        <v>12960</v>
      </c>
      <c r="S143" s="50">
        <v>160</v>
      </c>
      <c r="T143" s="50">
        <v>2</v>
      </c>
      <c r="U143" s="50">
        <v>2</v>
      </c>
      <c r="V143" s="50">
        <v>582.91999999999996</v>
      </c>
      <c r="W143" s="64">
        <v>2.4900000000000002</v>
      </c>
      <c r="X143" s="51">
        <v>45481</v>
      </c>
      <c r="Y143" s="52">
        <v>0.86885416666666671</v>
      </c>
      <c r="Z143" s="50">
        <v>0</v>
      </c>
      <c r="AA143" s="50">
        <v>0</v>
      </c>
      <c r="AB143" s="50">
        <v>0</v>
      </c>
      <c r="AC143" s="4">
        <f t="shared" si="106"/>
        <v>2.4860000000000002</v>
      </c>
      <c r="AD143" s="3"/>
    </row>
    <row r="144" spans="1:30" x14ac:dyDescent="0.25">
      <c r="A144">
        <v>0</v>
      </c>
      <c r="B144" t="s">
        <v>1</v>
      </c>
      <c r="C144">
        <v>13760</v>
      </c>
      <c r="D144">
        <v>160</v>
      </c>
      <c r="E144">
        <v>2</v>
      </c>
      <c r="F144">
        <v>2</v>
      </c>
      <c r="G144">
        <v>760.76</v>
      </c>
      <c r="H144" s="24">
        <v>2.2833999999999999</v>
      </c>
      <c r="I144" s="1">
        <v>45320</v>
      </c>
      <c r="J144" s="2">
        <v>8.430555555555555E-2</v>
      </c>
      <c r="K144">
        <v>0</v>
      </c>
      <c r="L144">
        <v>0</v>
      </c>
      <c r="M144">
        <v>0</v>
      </c>
      <c r="N144" s="3">
        <f t="shared" ref="N144" si="107">AVERAGE(H144:H148)</f>
        <v>2.28328</v>
      </c>
      <c r="P144" s="50">
        <v>0</v>
      </c>
      <c r="Q144" s="50" t="s">
        <v>1</v>
      </c>
      <c r="R144" s="50">
        <v>13760</v>
      </c>
      <c r="S144" s="50">
        <v>160</v>
      </c>
      <c r="T144" s="50">
        <v>2</v>
      </c>
      <c r="U144" s="50">
        <v>2</v>
      </c>
      <c r="V144" s="50">
        <v>702.9</v>
      </c>
      <c r="W144" s="63">
        <v>2.4700000000000002</v>
      </c>
      <c r="X144" s="51">
        <v>45321</v>
      </c>
      <c r="Y144" s="52">
        <v>0.92871527777777774</v>
      </c>
      <c r="Z144" s="50">
        <v>0</v>
      </c>
      <c r="AA144" s="50">
        <v>0</v>
      </c>
      <c r="AB144" s="50">
        <v>0</v>
      </c>
      <c r="AC144" s="4">
        <f t="shared" ref="AC144" si="108">AVERAGE(W144:W148)</f>
        <v>2.4861000000000004</v>
      </c>
      <c r="AD144" s="3"/>
    </row>
    <row r="145" spans="1:30" x14ac:dyDescent="0.25">
      <c r="A145">
        <v>1</v>
      </c>
      <c r="B145" t="s">
        <v>1</v>
      </c>
      <c r="C145">
        <v>13760</v>
      </c>
      <c r="D145">
        <v>160</v>
      </c>
      <c r="E145">
        <v>2</v>
      </c>
      <c r="F145">
        <v>2</v>
      </c>
      <c r="G145">
        <v>761.27</v>
      </c>
      <c r="H145" s="24">
        <v>2.2818999999999998</v>
      </c>
      <c r="I145" s="1">
        <v>45320</v>
      </c>
      <c r="J145" s="2">
        <v>0.54518518518518522</v>
      </c>
      <c r="K145">
        <v>0</v>
      </c>
      <c r="L145">
        <v>0</v>
      </c>
      <c r="M145">
        <v>0</v>
      </c>
      <c r="N145" s="3">
        <f t="shared" ref="N145" si="109">N144</f>
        <v>2.28328</v>
      </c>
      <c r="P145" s="50">
        <v>1</v>
      </c>
      <c r="Q145" s="50" t="s">
        <v>1</v>
      </c>
      <c r="R145" s="50">
        <v>13760</v>
      </c>
      <c r="S145" s="50">
        <v>160</v>
      </c>
      <c r="T145" s="50">
        <v>2</v>
      </c>
      <c r="U145" s="50">
        <v>2</v>
      </c>
      <c r="V145" s="50">
        <v>694.49</v>
      </c>
      <c r="W145" s="63">
        <v>2.5</v>
      </c>
      <c r="X145" s="51">
        <v>45322</v>
      </c>
      <c r="Y145" s="52">
        <v>0.4470486111111111</v>
      </c>
      <c r="Z145" s="50">
        <v>0</v>
      </c>
      <c r="AA145" s="50">
        <v>0</v>
      </c>
      <c r="AB145" s="50">
        <v>0</v>
      </c>
      <c r="AC145" s="4">
        <f t="shared" ref="AC145:AC148" si="110">AC144</f>
        <v>2.4861000000000004</v>
      </c>
      <c r="AD145" s="3"/>
    </row>
    <row r="146" spans="1:30" x14ac:dyDescent="0.25">
      <c r="A146">
        <v>2</v>
      </c>
      <c r="B146" t="s">
        <v>1</v>
      </c>
      <c r="C146">
        <v>13760</v>
      </c>
      <c r="D146">
        <v>160</v>
      </c>
      <c r="E146">
        <v>2</v>
      </c>
      <c r="F146">
        <v>2</v>
      </c>
      <c r="G146">
        <v>760.54</v>
      </c>
      <c r="H146" s="24">
        <v>2.2841</v>
      </c>
      <c r="I146" s="1">
        <v>45321</v>
      </c>
      <c r="J146" s="2">
        <v>5.3738425925925926E-2</v>
      </c>
      <c r="K146">
        <v>0</v>
      </c>
      <c r="L146">
        <v>0</v>
      </c>
      <c r="M146">
        <v>0</v>
      </c>
      <c r="N146" s="3">
        <f t="shared" si="61"/>
        <v>2.28328</v>
      </c>
      <c r="P146" s="50">
        <v>2</v>
      </c>
      <c r="Q146" s="50" t="s">
        <v>1</v>
      </c>
      <c r="R146" s="50">
        <v>13760</v>
      </c>
      <c r="S146" s="50">
        <v>160</v>
      </c>
      <c r="T146" s="50">
        <v>2</v>
      </c>
      <c r="U146" s="50">
        <v>2</v>
      </c>
      <c r="V146" s="50">
        <v>700.67</v>
      </c>
      <c r="W146" s="63">
        <v>2.48</v>
      </c>
      <c r="X146" s="51">
        <v>45322</v>
      </c>
      <c r="Y146" s="52">
        <v>0.96527777777777779</v>
      </c>
      <c r="Z146" s="50">
        <v>0</v>
      </c>
      <c r="AA146" s="50">
        <v>0</v>
      </c>
      <c r="AB146" s="50">
        <v>0</v>
      </c>
      <c r="AC146" s="4">
        <f t="shared" si="110"/>
        <v>2.4861000000000004</v>
      </c>
      <c r="AD146" s="3"/>
    </row>
    <row r="147" spans="1:30" x14ac:dyDescent="0.25">
      <c r="A147">
        <v>3</v>
      </c>
      <c r="B147" t="s">
        <v>1</v>
      </c>
      <c r="C147">
        <v>13760</v>
      </c>
      <c r="D147">
        <v>160</v>
      </c>
      <c r="E147">
        <v>2</v>
      </c>
      <c r="F147">
        <v>2</v>
      </c>
      <c r="G147">
        <v>760.9</v>
      </c>
      <c r="H147" s="24">
        <v>2.2829999999999999</v>
      </c>
      <c r="I147" s="1">
        <v>45321</v>
      </c>
      <c r="J147" s="2">
        <v>0.56239583333333332</v>
      </c>
      <c r="K147">
        <v>0</v>
      </c>
      <c r="L147">
        <v>0</v>
      </c>
      <c r="M147">
        <v>0</v>
      </c>
      <c r="N147" s="3">
        <f t="shared" si="61"/>
        <v>2.28328</v>
      </c>
      <c r="P147" s="50">
        <v>3</v>
      </c>
      <c r="Q147" s="50" t="s">
        <v>1</v>
      </c>
      <c r="R147" s="50">
        <v>13760</v>
      </c>
      <c r="S147" s="50">
        <v>160</v>
      </c>
      <c r="T147" s="50">
        <v>2</v>
      </c>
      <c r="U147" s="50">
        <v>2</v>
      </c>
      <c r="V147" s="50">
        <v>698.08</v>
      </c>
      <c r="W147" s="63">
        <v>2.4900000000000002</v>
      </c>
      <c r="X147" s="51">
        <v>45323</v>
      </c>
      <c r="Y147" s="52">
        <v>0.4839236111111111</v>
      </c>
      <c r="Z147" s="50">
        <v>0</v>
      </c>
      <c r="AA147" s="50">
        <v>0</v>
      </c>
      <c r="AB147" s="50">
        <v>0</v>
      </c>
      <c r="AC147" s="4">
        <f t="shared" si="110"/>
        <v>2.4861000000000004</v>
      </c>
      <c r="AD147" s="3"/>
    </row>
    <row r="148" spans="1:30" x14ac:dyDescent="0.25">
      <c r="A148">
        <v>4</v>
      </c>
      <c r="B148" t="s">
        <v>1</v>
      </c>
      <c r="C148">
        <v>13760</v>
      </c>
      <c r="D148">
        <v>160</v>
      </c>
      <c r="E148">
        <v>2</v>
      </c>
      <c r="F148">
        <v>2</v>
      </c>
      <c r="G148">
        <v>760.58</v>
      </c>
      <c r="H148" s="3">
        <v>2.2839999999999998</v>
      </c>
      <c r="I148" s="1">
        <v>45322</v>
      </c>
      <c r="J148" s="2">
        <v>7.0949074074074067E-2</v>
      </c>
      <c r="K148">
        <v>0</v>
      </c>
      <c r="L148">
        <v>0</v>
      </c>
      <c r="M148">
        <v>0</v>
      </c>
      <c r="N148" s="3">
        <f t="shared" si="61"/>
        <v>2.28328</v>
      </c>
      <c r="P148" s="50">
        <v>4</v>
      </c>
      <c r="Q148" s="50" t="s">
        <v>1</v>
      </c>
      <c r="R148" s="50">
        <v>13760</v>
      </c>
      <c r="S148" s="50">
        <v>160</v>
      </c>
      <c r="T148" s="50">
        <v>2</v>
      </c>
      <c r="U148" s="50">
        <v>2</v>
      </c>
      <c r="V148" s="50">
        <v>697.52</v>
      </c>
      <c r="W148" s="64">
        <v>2.4904999999999999</v>
      </c>
      <c r="X148" s="51">
        <v>45481</v>
      </c>
      <c r="Y148" s="52">
        <v>0.97841435185185188</v>
      </c>
      <c r="Z148" s="50">
        <v>0</v>
      </c>
      <c r="AA148" s="50">
        <v>0</v>
      </c>
      <c r="AB148" s="50">
        <v>0</v>
      </c>
      <c r="AC148" s="4">
        <f t="shared" si="110"/>
        <v>2.4861000000000004</v>
      </c>
      <c r="AD148" s="3"/>
    </row>
    <row r="149" spans="1:30" x14ac:dyDescent="0.25">
      <c r="A149">
        <v>0</v>
      </c>
      <c r="B149" t="s">
        <v>1</v>
      </c>
      <c r="C149">
        <v>14560</v>
      </c>
      <c r="D149">
        <v>160</v>
      </c>
      <c r="E149">
        <v>2</v>
      </c>
      <c r="F149">
        <v>2</v>
      </c>
      <c r="G149">
        <v>898.51</v>
      </c>
      <c r="H149" s="24">
        <v>2.2905000000000002</v>
      </c>
      <c r="I149" s="1">
        <v>45319</v>
      </c>
      <c r="J149" s="2">
        <v>0.96517361111111111</v>
      </c>
      <c r="K149">
        <v>0</v>
      </c>
      <c r="L149">
        <v>0</v>
      </c>
      <c r="M149">
        <v>0</v>
      </c>
      <c r="N149" s="3">
        <f t="shared" ref="N149" si="111">AVERAGE(H149:H153)</f>
        <v>2.29182</v>
      </c>
      <c r="P149" s="50">
        <v>0</v>
      </c>
      <c r="Q149" s="50" t="s">
        <v>1</v>
      </c>
      <c r="R149" s="50">
        <v>14560</v>
      </c>
      <c r="S149" s="50">
        <v>160</v>
      </c>
      <c r="T149" s="50">
        <v>2</v>
      </c>
      <c r="U149" s="50">
        <v>2</v>
      </c>
      <c r="V149" s="50">
        <v>817.44</v>
      </c>
      <c r="W149" s="63">
        <v>2.52</v>
      </c>
      <c r="X149" s="51">
        <v>45321</v>
      </c>
      <c r="Y149" s="52">
        <v>0.75033564814814813</v>
      </c>
      <c r="Z149" s="50">
        <v>0</v>
      </c>
      <c r="AA149" s="50">
        <v>0</v>
      </c>
      <c r="AB149" s="50">
        <v>0</v>
      </c>
      <c r="AC149" s="4">
        <f t="shared" ref="AC149" si="112">AVERAGE(W149:W153)</f>
        <v>2.5159999999999996</v>
      </c>
      <c r="AD149" s="3"/>
    </row>
    <row r="150" spans="1:30" x14ac:dyDescent="0.25">
      <c r="A150">
        <v>1</v>
      </c>
      <c r="B150" t="s">
        <v>1</v>
      </c>
      <c r="C150">
        <v>14560</v>
      </c>
      <c r="D150">
        <v>160</v>
      </c>
      <c r="E150">
        <v>2</v>
      </c>
      <c r="F150">
        <v>2</v>
      </c>
      <c r="G150">
        <v>897.86</v>
      </c>
      <c r="H150" s="24">
        <v>2.2921999999999998</v>
      </c>
      <c r="I150" s="1">
        <v>45320</v>
      </c>
      <c r="J150" s="2">
        <v>0.36953703703703705</v>
      </c>
      <c r="K150">
        <v>0</v>
      </c>
      <c r="L150">
        <v>0</v>
      </c>
      <c r="M150">
        <v>0</v>
      </c>
      <c r="N150" s="3">
        <f t="shared" ref="N150" si="113">N149</f>
        <v>2.29182</v>
      </c>
      <c r="P150" s="50">
        <v>1</v>
      </c>
      <c r="Q150" s="50" t="s">
        <v>1</v>
      </c>
      <c r="R150" s="50">
        <v>14560</v>
      </c>
      <c r="S150" s="50">
        <v>160</v>
      </c>
      <c r="T150" s="50">
        <v>2</v>
      </c>
      <c r="U150" s="50">
        <v>2</v>
      </c>
      <c r="V150" s="50">
        <v>821.12</v>
      </c>
      <c r="W150" s="63">
        <v>2.5099999999999998</v>
      </c>
      <c r="X150" s="51">
        <v>45322</v>
      </c>
      <c r="Y150" s="52">
        <v>0.26874999999999999</v>
      </c>
      <c r="Z150" s="50">
        <v>0</v>
      </c>
      <c r="AA150" s="50">
        <v>0</v>
      </c>
      <c r="AB150" s="50">
        <v>0</v>
      </c>
      <c r="AC150" s="4">
        <f t="shared" ref="AC150:AC153" si="114">AC149</f>
        <v>2.5159999999999996</v>
      </c>
      <c r="AD150" s="3"/>
    </row>
    <row r="151" spans="1:30" x14ac:dyDescent="0.25">
      <c r="A151">
        <v>2</v>
      </c>
      <c r="B151" t="s">
        <v>1</v>
      </c>
      <c r="C151">
        <v>14560</v>
      </c>
      <c r="D151">
        <v>160</v>
      </c>
      <c r="E151">
        <v>2</v>
      </c>
      <c r="F151">
        <v>2</v>
      </c>
      <c r="G151">
        <v>897.53</v>
      </c>
      <c r="H151" s="24">
        <v>2.2930000000000001</v>
      </c>
      <c r="I151" s="1">
        <v>45320</v>
      </c>
      <c r="J151" s="2">
        <v>0.87809027777777782</v>
      </c>
      <c r="K151">
        <v>0</v>
      </c>
      <c r="L151">
        <v>0</v>
      </c>
      <c r="M151">
        <v>0</v>
      </c>
      <c r="N151" s="3">
        <f t="shared" si="65"/>
        <v>2.29182</v>
      </c>
      <c r="P151" s="50">
        <v>2</v>
      </c>
      <c r="Q151" s="50" t="s">
        <v>1</v>
      </c>
      <c r="R151" s="50">
        <v>14560</v>
      </c>
      <c r="S151" s="50">
        <v>160</v>
      </c>
      <c r="T151" s="50">
        <v>2</v>
      </c>
      <c r="U151" s="50">
        <v>2</v>
      </c>
      <c r="V151" s="50">
        <v>817.07</v>
      </c>
      <c r="W151" s="63">
        <v>2.52</v>
      </c>
      <c r="X151" s="51">
        <v>45322</v>
      </c>
      <c r="Y151" s="52">
        <v>0.78680555555555554</v>
      </c>
      <c r="Z151" s="50">
        <v>0</v>
      </c>
      <c r="AA151" s="50">
        <v>0</v>
      </c>
      <c r="AB151" s="50">
        <v>0</v>
      </c>
      <c r="AC151" s="4">
        <f t="shared" si="114"/>
        <v>2.5159999999999996</v>
      </c>
      <c r="AD151" s="3"/>
    </row>
    <row r="152" spans="1:30" x14ac:dyDescent="0.25">
      <c r="A152">
        <v>3</v>
      </c>
      <c r="B152" t="s">
        <v>1</v>
      </c>
      <c r="C152">
        <v>14560</v>
      </c>
      <c r="D152">
        <v>160</v>
      </c>
      <c r="E152">
        <v>2</v>
      </c>
      <c r="F152">
        <v>2</v>
      </c>
      <c r="G152">
        <v>897.97</v>
      </c>
      <c r="H152" s="24">
        <v>2.2919</v>
      </c>
      <c r="I152" s="1">
        <v>45321</v>
      </c>
      <c r="J152" s="2">
        <v>0.38666666666666666</v>
      </c>
      <c r="K152">
        <v>0</v>
      </c>
      <c r="L152">
        <v>0</v>
      </c>
      <c r="M152">
        <v>0</v>
      </c>
      <c r="N152" s="3">
        <f t="shared" si="65"/>
        <v>2.29182</v>
      </c>
      <c r="P152" s="50">
        <v>3</v>
      </c>
      <c r="Q152" s="50" t="s">
        <v>1</v>
      </c>
      <c r="R152" s="50">
        <v>14560</v>
      </c>
      <c r="S152" s="50">
        <v>160</v>
      </c>
      <c r="T152" s="50">
        <v>2</v>
      </c>
      <c r="U152" s="50">
        <v>2</v>
      </c>
      <c r="V152" s="50">
        <v>819.95</v>
      </c>
      <c r="W152" s="63">
        <v>2.5099999999999998</v>
      </c>
      <c r="X152" s="51">
        <v>45323</v>
      </c>
      <c r="Y152" s="52">
        <v>0.30563657407407407</v>
      </c>
      <c r="Z152" s="50">
        <v>0</v>
      </c>
      <c r="AA152" s="50">
        <v>0</v>
      </c>
      <c r="AB152" s="50">
        <v>0</v>
      </c>
      <c r="AC152" s="4">
        <f t="shared" si="114"/>
        <v>2.5159999999999996</v>
      </c>
      <c r="AD152" s="3"/>
    </row>
    <row r="153" spans="1:30" x14ac:dyDescent="0.25">
      <c r="A153">
        <v>4</v>
      </c>
      <c r="B153" t="s">
        <v>1</v>
      </c>
      <c r="C153">
        <v>14560</v>
      </c>
      <c r="D153">
        <v>160</v>
      </c>
      <c r="E153">
        <v>2</v>
      </c>
      <c r="F153">
        <v>2</v>
      </c>
      <c r="G153">
        <v>898.12</v>
      </c>
      <c r="H153" s="3">
        <v>2.2915000000000001</v>
      </c>
      <c r="I153" s="1">
        <v>45321</v>
      </c>
      <c r="J153" s="2">
        <v>0.89531249999999996</v>
      </c>
      <c r="K153">
        <v>0</v>
      </c>
      <c r="L153">
        <v>0</v>
      </c>
      <c r="M153">
        <v>0</v>
      </c>
      <c r="N153" s="3">
        <f t="shared" si="65"/>
        <v>2.29182</v>
      </c>
      <c r="P153" s="50">
        <v>4</v>
      </c>
      <c r="Q153" s="50" t="s">
        <v>1</v>
      </c>
      <c r="R153" s="50">
        <v>14560</v>
      </c>
      <c r="S153" s="50">
        <v>160</v>
      </c>
      <c r="T153" s="50">
        <v>2</v>
      </c>
      <c r="U153" s="50">
        <v>2</v>
      </c>
      <c r="V153" s="50">
        <v>817.72</v>
      </c>
      <c r="W153" s="63">
        <v>2.52</v>
      </c>
      <c r="X153" s="51">
        <v>45323</v>
      </c>
      <c r="Y153" s="52">
        <v>0.8238657407407407</v>
      </c>
      <c r="Z153" s="50">
        <v>0</v>
      </c>
      <c r="AA153" s="50">
        <v>0</v>
      </c>
      <c r="AB153" s="50">
        <v>0</v>
      </c>
      <c r="AC153" s="4">
        <f t="shared" si="114"/>
        <v>2.5159999999999996</v>
      </c>
      <c r="AD153" s="3"/>
    </row>
    <row r="154" spans="1:30" x14ac:dyDescent="0.25">
      <c r="A154">
        <v>0</v>
      </c>
      <c r="B154" t="s">
        <v>1</v>
      </c>
      <c r="C154">
        <v>13056</v>
      </c>
      <c r="D154">
        <v>192</v>
      </c>
      <c r="E154">
        <v>1</v>
      </c>
      <c r="F154">
        <v>4</v>
      </c>
      <c r="G154">
        <v>679.49</v>
      </c>
      <c r="H154" s="24">
        <v>2.1839</v>
      </c>
      <c r="I154" s="1">
        <v>45320</v>
      </c>
      <c r="J154" s="2">
        <v>0.20841435185185186</v>
      </c>
      <c r="K154">
        <v>0</v>
      </c>
      <c r="L154">
        <v>0</v>
      </c>
      <c r="M154">
        <v>0</v>
      </c>
      <c r="N154" s="3">
        <f t="shared" ref="N154" si="115">AVERAGE(H154:H158)</f>
        <v>2.1823600000000001</v>
      </c>
      <c r="P154" s="53">
        <v>0</v>
      </c>
      <c r="Q154" s="53" t="s">
        <v>1</v>
      </c>
      <c r="R154" s="53">
        <v>13056</v>
      </c>
      <c r="S154" s="53">
        <v>192</v>
      </c>
      <c r="T154" s="53">
        <v>1</v>
      </c>
      <c r="U154" s="53">
        <v>4</v>
      </c>
      <c r="V154" s="53">
        <v>604.16999999999996</v>
      </c>
      <c r="W154" s="66">
        <v>2.46</v>
      </c>
      <c r="X154" s="54">
        <v>45322</v>
      </c>
      <c r="Y154" s="55">
        <v>0.10517361111111111</v>
      </c>
      <c r="Z154" s="53">
        <v>0</v>
      </c>
      <c r="AA154" s="53">
        <v>0</v>
      </c>
      <c r="AB154" s="53">
        <v>0</v>
      </c>
      <c r="AC154" s="4">
        <f t="shared" ref="AC154" si="116">AVERAGE(W154:W158)</f>
        <v>2.4493199999999997</v>
      </c>
      <c r="AD154" s="3"/>
    </row>
    <row r="155" spans="1:30" x14ac:dyDescent="0.25">
      <c r="A155">
        <v>1</v>
      </c>
      <c r="B155" t="s">
        <v>1</v>
      </c>
      <c r="C155">
        <v>13056</v>
      </c>
      <c r="D155">
        <v>192</v>
      </c>
      <c r="E155">
        <v>1</v>
      </c>
      <c r="F155">
        <v>4</v>
      </c>
      <c r="G155">
        <v>679.9</v>
      </c>
      <c r="H155" s="24">
        <v>2.1825999999999999</v>
      </c>
      <c r="I155" s="1">
        <v>45320</v>
      </c>
      <c r="J155" s="2">
        <v>0.71699074074074076</v>
      </c>
      <c r="K155">
        <v>0</v>
      </c>
      <c r="L155">
        <v>0</v>
      </c>
      <c r="M155">
        <v>0</v>
      </c>
      <c r="N155" s="3">
        <f t="shared" ref="N155:N218" si="117">N154</f>
        <v>2.1823600000000001</v>
      </c>
      <c r="P155" s="53">
        <v>1</v>
      </c>
      <c r="Q155" s="53" t="s">
        <v>1</v>
      </c>
      <c r="R155" s="53">
        <v>13056</v>
      </c>
      <c r="S155" s="53">
        <v>192</v>
      </c>
      <c r="T155" s="53">
        <v>1</v>
      </c>
      <c r="U155" s="53">
        <v>4</v>
      </c>
      <c r="V155" s="53">
        <v>603.94000000000005</v>
      </c>
      <c r="W155" s="66">
        <v>2.46</v>
      </c>
      <c r="X155" s="54">
        <v>45322</v>
      </c>
      <c r="Y155" s="55">
        <v>0.62335648148148148</v>
      </c>
      <c r="Z155" s="53">
        <v>0</v>
      </c>
      <c r="AA155" s="53">
        <v>0</v>
      </c>
      <c r="AB155" s="53">
        <v>0</v>
      </c>
      <c r="AC155" s="4">
        <f t="shared" ref="AC155:AC158" si="118">AC154</f>
        <v>2.4493199999999997</v>
      </c>
      <c r="AD155" s="3"/>
    </row>
    <row r="156" spans="1:30" x14ac:dyDescent="0.25">
      <c r="A156">
        <v>2</v>
      </c>
      <c r="B156" t="s">
        <v>1</v>
      </c>
      <c r="C156">
        <v>13056</v>
      </c>
      <c r="D156">
        <v>192</v>
      </c>
      <c r="E156">
        <v>1</v>
      </c>
      <c r="F156">
        <v>4</v>
      </c>
      <c r="G156">
        <v>679.86</v>
      </c>
      <c r="H156" s="24">
        <v>2.1827000000000001</v>
      </c>
      <c r="I156" s="1">
        <v>45321</v>
      </c>
      <c r="J156" s="2">
        <v>0.22556712962962963</v>
      </c>
      <c r="K156">
        <v>0</v>
      </c>
      <c r="L156">
        <v>0</v>
      </c>
      <c r="M156">
        <v>0</v>
      </c>
      <c r="N156" s="3">
        <f t="shared" si="117"/>
        <v>2.1823600000000001</v>
      </c>
      <c r="P156" s="53">
        <v>2</v>
      </c>
      <c r="Q156" s="53" t="s">
        <v>1</v>
      </c>
      <c r="R156" s="53">
        <v>13056</v>
      </c>
      <c r="S156" s="53">
        <v>192</v>
      </c>
      <c r="T156" s="53">
        <v>1</v>
      </c>
      <c r="U156" s="53">
        <v>4</v>
      </c>
      <c r="V156" s="53">
        <v>607.07000000000005</v>
      </c>
      <c r="W156" s="66">
        <v>2.44</v>
      </c>
      <c r="X156" s="54">
        <v>45323</v>
      </c>
      <c r="Y156" s="55">
        <v>0.14182870370370371</v>
      </c>
      <c r="Z156" s="53">
        <v>0</v>
      </c>
      <c r="AA156" s="53">
        <v>0</v>
      </c>
      <c r="AB156" s="53">
        <v>0</v>
      </c>
      <c r="AC156" s="4">
        <f t="shared" si="118"/>
        <v>2.4493199999999997</v>
      </c>
      <c r="AD156" s="3"/>
    </row>
    <row r="157" spans="1:30" x14ac:dyDescent="0.25">
      <c r="A157">
        <v>3</v>
      </c>
      <c r="B157" t="s">
        <v>1</v>
      </c>
      <c r="C157">
        <v>13056</v>
      </c>
      <c r="D157">
        <v>192</v>
      </c>
      <c r="E157">
        <v>1</v>
      </c>
      <c r="F157">
        <v>4</v>
      </c>
      <c r="G157">
        <v>679.9</v>
      </c>
      <c r="H157" s="3">
        <v>2.1825999999999999</v>
      </c>
      <c r="I157" s="1">
        <v>45321</v>
      </c>
      <c r="J157" s="2">
        <v>0.73421296296296301</v>
      </c>
      <c r="K157">
        <v>0</v>
      </c>
      <c r="L157">
        <v>0</v>
      </c>
      <c r="M157">
        <v>0</v>
      </c>
      <c r="N157" s="3">
        <f t="shared" si="117"/>
        <v>2.1823600000000001</v>
      </c>
      <c r="P157" s="53">
        <v>3</v>
      </c>
      <c r="Q157" s="53" t="s">
        <v>1</v>
      </c>
      <c r="R157" s="53">
        <v>13056</v>
      </c>
      <c r="S157" s="53">
        <v>192</v>
      </c>
      <c r="T157" s="53">
        <v>1</v>
      </c>
      <c r="U157" s="53">
        <v>4</v>
      </c>
      <c r="V157" s="53">
        <v>605.25</v>
      </c>
      <c r="W157" s="66">
        <v>2.4500000000000002</v>
      </c>
      <c r="X157" s="54">
        <v>45323</v>
      </c>
      <c r="Y157" s="55">
        <v>0.66033564814814816</v>
      </c>
      <c r="Z157" s="53">
        <v>0</v>
      </c>
      <c r="AA157" s="53">
        <v>0</v>
      </c>
      <c r="AB157" s="53">
        <v>0</v>
      </c>
      <c r="AC157" s="4">
        <f t="shared" si="118"/>
        <v>2.4493199999999997</v>
      </c>
      <c r="AD157" s="3"/>
    </row>
    <row r="158" spans="1:30" x14ac:dyDescent="0.25">
      <c r="A158">
        <v>4</v>
      </c>
      <c r="B158" t="s">
        <v>1</v>
      </c>
      <c r="C158">
        <v>13056</v>
      </c>
      <c r="D158">
        <v>192</v>
      </c>
      <c r="E158">
        <v>1</v>
      </c>
      <c r="F158">
        <v>4</v>
      </c>
      <c r="G158">
        <v>680.69</v>
      </c>
      <c r="H158" s="3">
        <v>2.1800000000000002</v>
      </c>
      <c r="I158" s="1">
        <v>45322</v>
      </c>
      <c r="J158" s="2">
        <v>0.24277777777777779</v>
      </c>
      <c r="K158">
        <v>0</v>
      </c>
      <c r="L158">
        <v>0</v>
      </c>
      <c r="M158">
        <v>0</v>
      </c>
      <c r="N158" s="3">
        <f t="shared" si="117"/>
        <v>2.1823600000000001</v>
      </c>
      <c r="P158" s="50">
        <v>4</v>
      </c>
      <c r="Q158" s="50" t="s">
        <v>1</v>
      </c>
      <c r="R158" s="50">
        <v>13056</v>
      </c>
      <c r="S158" s="50">
        <v>192</v>
      </c>
      <c r="T158" s="50">
        <v>1</v>
      </c>
      <c r="U158" s="50">
        <v>4</v>
      </c>
      <c r="V158" s="50">
        <v>609.02</v>
      </c>
      <c r="W158" s="64">
        <v>2.4365999999999999</v>
      </c>
      <c r="X158" s="51">
        <v>45481</v>
      </c>
      <c r="Y158" s="52">
        <v>0.87719907407407405</v>
      </c>
      <c r="Z158" s="50">
        <v>0</v>
      </c>
      <c r="AA158" s="50">
        <v>0</v>
      </c>
      <c r="AB158" s="50">
        <v>0</v>
      </c>
      <c r="AC158" s="4">
        <f t="shared" si="118"/>
        <v>2.4493199999999997</v>
      </c>
      <c r="AD158" s="3"/>
    </row>
    <row r="159" spans="1:30" x14ac:dyDescent="0.25">
      <c r="A159">
        <v>0</v>
      </c>
      <c r="B159" t="s">
        <v>1</v>
      </c>
      <c r="C159">
        <v>13824</v>
      </c>
      <c r="D159">
        <v>192</v>
      </c>
      <c r="E159">
        <v>1</v>
      </c>
      <c r="F159">
        <v>4</v>
      </c>
      <c r="G159">
        <v>812.13</v>
      </c>
      <c r="H159" s="24">
        <v>2.169</v>
      </c>
      <c r="I159" s="1">
        <v>45320</v>
      </c>
      <c r="J159" s="2">
        <v>0.11246527777777778</v>
      </c>
      <c r="K159">
        <v>0</v>
      </c>
      <c r="L159">
        <v>0</v>
      </c>
      <c r="M159">
        <v>0</v>
      </c>
      <c r="N159" s="3">
        <f t="shared" ref="N159" si="119">AVERAGE(H159:H163)</f>
        <v>2.1698200000000001</v>
      </c>
      <c r="P159" s="53">
        <v>0</v>
      </c>
      <c r="Q159" s="53" t="s">
        <v>1</v>
      </c>
      <c r="R159" s="53">
        <v>13824</v>
      </c>
      <c r="S159" s="53">
        <v>192</v>
      </c>
      <c r="T159" s="53">
        <v>1</v>
      </c>
      <c r="U159" s="53">
        <v>4</v>
      </c>
      <c r="V159" s="53">
        <v>715.69</v>
      </c>
      <c r="W159" s="66">
        <v>2.46</v>
      </c>
      <c r="X159" s="54">
        <v>45321</v>
      </c>
      <c r="Y159" s="55">
        <v>0.95750000000000002</v>
      </c>
      <c r="Z159" s="53">
        <v>0</v>
      </c>
      <c r="AA159" s="53">
        <v>0</v>
      </c>
      <c r="AB159" s="53">
        <v>0</v>
      </c>
      <c r="AC159" s="4">
        <f t="shared" ref="AC159" si="120">AVERAGE(W159:W163)</f>
        <v>2.4587399999999997</v>
      </c>
      <c r="AD159" s="3"/>
    </row>
    <row r="160" spans="1:30" x14ac:dyDescent="0.25">
      <c r="A160">
        <v>1</v>
      </c>
      <c r="B160" t="s">
        <v>1</v>
      </c>
      <c r="C160">
        <v>13824</v>
      </c>
      <c r="D160">
        <v>192</v>
      </c>
      <c r="E160">
        <v>1</v>
      </c>
      <c r="F160">
        <v>4</v>
      </c>
      <c r="G160">
        <v>811.78</v>
      </c>
      <c r="H160" s="24">
        <v>2.1699000000000002</v>
      </c>
      <c r="I160" s="1">
        <v>45320</v>
      </c>
      <c r="J160" s="2">
        <v>0.57335648148148144</v>
      </c>
      <c r="K160">
        <v>0</v>
      </c>
      <c r="L160">
        <v>0</v>
      </c>
      <c r="M160">
        <v>0</v>
      </c>
      <c r="N160" s="3">
        <f t="shared" ref="N160:N223" si="121">N159</f>
        <v>2.1698200000000001</v>
      </c>
      <c r="P160" s="53">
        <v>1</v>
      </c>
      <c r="Q160" s="53" t="s">
        <v>1</v>
      </c>
      <c r="R160" s="53">
        <v>13824</v>
      </c>
      <c r="S160" s="53">
        <v>192</v>
      </c>
      <c r="T160" s="53">
        <v>1</v>
      </c>
      <c r="U160" s="53">
        <v>4</v>
      </c>
      <c r="V160" s="53">
        <v>716.17</v>
      </c>
      <c r="W160" s="66">
        <v>2.46</v>
      </c>
      <c r="X160" s="54">
        <v>45322</v>
      </c>
      <c r="Y160" s="55">
        <v>0.47589120370370369</v>
      </c>
      <c r="Z160" s="53">
        <v>0</v>
      </c>
      <c r="AA160" s="53">
        <v>0</v>
      </c>
      <c r="AB160" s="53">
        <v>0</v>
      </c>
      <c r="AC160" s="4">
        <f t="shared" ref="AC160:AC163" si="122">AC159</f>
        <v>2.4587399999999997</v>
      </c>
      <c r="AD160" s="3"/>
    </row>
    <row r="161" spans="1:30" x14ac:dyDescent="0.25">
      <c r="A161">
        <v>2</v>
      </c>
      <c r="B161" t="s">
        <v>1</v>
      </c>
      <c r="C161">
        <v>13824</v>
      </c>
      <c r="D161">
        <v>192</v>
      </c>
      <c r="E161">
        <v>1</v>
      </c>
      <c r="F161">
        <v>4</v>
      </c>
      <c r="G161">
        <v>811.89</v>
      </c>
      <c r="H161" s="24">
        <v>2.1696</v>
      </c>
      <c r="I161" s="1">
        <v>45321</v>
      </c>
      <c r="J161" s="2">
        <v>8.1909722222222217E-2</v>
      </c>
      <c r="K161">
        <v>0</v>
      </c>
      <c r="L161">
        <v>0</v>
      </c>
      <c r="M161">
        <v>0</v>
      </c>
      <c r="N161" s="3">
        <f t="shared" si="121"/>
        <v>2.1698200000000001</v>
      </c>
      <c r="P161" s="53">
        <v>2</v>
      </c>
      <c r="Q161" s="53" t="s">
        <v>1</v>
      </c>
      <c r="R161" s="53">
        <v>13824</v>
      </c>
      <c r="S161" s="53">
        <v>192</v>
      </c>
      <c r="T161" s="53">
        <v>1</v>
      </c>
      <c r="U161" s="53">
        <v>4</v>
      </c>
      <c r="V161" s="53">
        <v>716.13</v>
      </c>
      <c r="W161" s="66">
        <v>2.46</v>
      </c>
      <c r="X161" s="54">
        <v>45322</v>
      </c>
      <c r="Y161" s="55">
        <v>0.99403935185185188</v>
      </c>
      <c r="Z161" s="53">
        <v>0</v>
      </c>
      <c r="AA161" s="53">
        <v>0</v>
      </c>
      <c r="AB161" s="53">
        <v>0</v>
      </c>
      <c r="AC161" s="4">
        <f t="shared" si="122"/>
        <v>2.4587399999999997</v>
      </c>
      <c r="AD161" s="3"/>
    </row>
    <row r="162" spans="1:30" x14ac:dyDescent="0.25">
      <c r="A162">
        <v>3</v>
      </c>
      <c r="B162" t="s">
        <v>1</v>
      </c>
      <c r="C162">
        <v>13824</v>
      </c>
      <c r="D162">
        <v>192</v>
      </c>
      <c r="E162">
        <v>1</v>
      </c>
      <c r="F162">
        <v>4</v>
      </c>
      <c r="G162">
        <v>811.67</v>
      </c>
      <c r="H162" s="24">
        <v>2.1701999999999999</v>
      </c>
      <c r="I162" s="1">
        <v>45321</v>
      </c>
      <c r="J162" s="2">
        <v>0.59056712962962965</v>
      </c>
      <c r="K162">
        <v>0</v>
      </c>
      <c r="L162">
        <v>0</v>
      </c>
      <c r="M162">
        <v>0</v>
      </c>
      <c r="N162" s="3">
        <f t="shared" si="121"/>
        <v>2.1698200000000001</v>
      </c>
      <c r="P162" s="53">
        <v>3</v>
      </c>
      <c r="Q162" s="53" t="s">
        <v>1</v>
      </c>
      <c r="R162" s="53">
        <v>13824</v>
      </c>
      <c r="S162" s="53">
        <v>192</v>
      </c>
      <c r="T162" s="53">
        <v>1</v>
      </c>
      <c r="U162" s="53">
        <v>4</v>
      </c>
      <c r="V162" s="53">
        <v>715.75</v>
      </c>
      <c r="W162" s="66">
        <v>2.46</v>
      </c>
      <c r="X162" s="54">
        <v>45323</v>
      </c>
      <c r="Y162" s="55">
        <v>0.51260416666666664</v>
      </c>
      <c r="Z162" s="53">
        <v>0</v>
      </c>
      <c r="AA162" s="53">
        <v>0</v>
      </c>
      <c r="AB162" s="53">
        <v>0</v>
      </c>
      <c r="AC162" s="4">
        <f t="shared" si="122"/>
        <v>2.4587399999999997</v>
      </c>
      <c r="AD162" s="3"/>
    </row>
    <row r="163" spans="1:30" x14ac:dyDescent="0.25">
      <c r="A163">
        <v>4</v>
      </c>
      <c r="B163" t="s">
        <v>1</v>
      </c>
      <c r="C163">
        <v>13824</v>
      </c>
      <c r="D163">
        <v>192</v>
      </c>
      <c r="E163">
        <v>1</v>
      </c>
      <c r="F163">
        <v>4</v>
      </c>
      <c r="G163">
        <v>811.59</v>
      </c>
      <c r="H163" s="3">
        <v>2.1703999999999999</v>
      </c>
      <c r="I163" s="1">
        <v>45322</v>
      </c>
      <c r="J163" s="2">
        <v>9.9108796296296292E-2</v>
      </c>
      <c r="K163">
        <v>0</v>
      </c>
      <c r="L163">
        <v>0</v>
      </c>
      <c r="M163">
        <v>0</v>
      </c>
      <c r="N163" s="3">
        <f t="shared" si="121"/>
        <v>2.1698200000000001</v>
      </c>
      <c r="P163" s="50">
        <v>4</v>
      </c>
      <c r="Q163" s="50" t="s">
        <v>1</v>
      </c>
      <c r="R163" s="50">
        <v>13824</v>
      </c>
      <c r="S163" s="50">
        <v>192</v>
      </c>
      <c r="T163" s="50">
        <v>1</v>
      </c>
      <c r="U163" s="50">
        <v>4</v>
      </c>
      <c r="V163" s="50">
        <v>717.9</v>
      </c>
      <c r="W163" s="64">
        <v>2.4537</v>
      </c>
      <c r="X163" s="51">
        <v>45481</v>
      </c>
      <c r="Y163" s="52">
        <v>0.98818287037037034</v>
      </c>
      <c r="Z163" s="50">
        <v>0</v>
      </c>
      <c r="AA163" s="50">
        <v>0</v>
      </c>
      <c r="AB163" s="50">
        <v>0</v>
      </c>
      <c r="AC163" s="4">
        <f t="shared" si="122"/>
        <v>2.4587399999999997</v>
      </c>
      <c r="AD163" s="3"/>
    </row>
    <row r="164" spans="1:30" x14ac:dyDescent="0.25">
      <c r="A164">
        <v>0</v>
      </c>
      <c r="B164" t="s">
        <v>1</v>
      </c>
      <c r="C164">
        <v>14592</v>
      </c>
      <c r="D164">
        <v>192</v>
      </c>
      <c r="E164">
        <v>1</v>
      </c>
      <c r="F164">
        <v>4</v>
      </c>
      <c r="G164">
        <v>937.56</v>
      </c>
      <c r="H164" s="24">
        <v>2.2096</v>
      </c>
      <c r="I164" s="1">
        <v>45319</v>
      </c>
      <c r="J164" s="2">
        <v>0.99847222222222221</v>
      </c>
      <c r="K164">
        <v>0</v>
      </c>
      <c r="L164">
        <v>0</v>
      </c>
      <c r="M164">
        <v>0</v>
      </c>
      <c r="N164" s="3">
        <f t="shared" ref="N164" si="123">AVERAGE(H164:H168)</f>
        <v>2.20764</v>
      </c>
      <c r="P164" s="53">
        <v>0</v>
      </c>
      <c r="Q164" s="53" t="s">
        <v>1</v>
      </c>
      <c r="R164" s="53">
        <v>14592</v>
      </c>
      <c r="S164" s="53">
        <v>192</v>
      </c>
      <c r="T164" s="53">
        <v>1</v>
      </c>
      <c r="U164" s="53">
        <v>4</v>
      </c>
      <c r="V164" s="53">
        <v>835.09</v>
      </c>
      <c r="W164" s="66">
        <v>2.48</v>
      </c>
      <c r="X164" s="54">
        <v>45321</v>
      </c>
      <c r="Y164" s="55">
        <v>0.78425925925925921</v>
      </c>
      <c r="Z164" s="53">
        <v>0</v>
      </c>
      <c r="AA164" s="53">
        <v>0</v>
      </c>
      <c r="AB164" s="53">
        <v>0</v>
      </c>
      <c r="AC164" s="4">
        <f t="shared" ref="AC164" si="124">AVERAGE(W164:W168)</f>
        <v>2.4778199999999999</v>
      </c>
      <c r="AD164" s="3"/>
    </row>
    <row r="165" spans="1:30" x14ac:dyDescent="0.25">
      <c r="A165">
        <v>1</v>
      </c>
      <c r="B165" t="s">
        <v>1</v>
      </c>
      <c r="C165">
        <v>14592</v>
      </c>
      <c r="D165">
        <v>192</v>
      </c>
      <c r="E165">
        <v>1</v>
      </c>
      <c r="F165">
        <v>4</v>
      </c>
      <c r="G165">
        <v>938.15</v>
      </c>
      <c r="H165" s="24">
        <v>2.2082000000000002</v>
      </c>
      <c r="I165" s="1">
        <v>45320</v>
      </c>
      <c r="J165" s="2">
        <v>0.40284722222222225</v>
      </c>
      <c r="K165">
        <v>0</v>
      </c>
      <c r="L165">
        <v>0</v>
      </c>
      <c r="M165">
        <v>0</v>
      </c>
      <c r="N165" s="3">
        <f t="shared" ref="N165" si="125">N164</f>
        <v>2.20764</v>
      </c>
      <c r="P165" s="53">
        <v>1</v>
      </c>
      <c r="Q165" s="53" t="s">
        <v>1</v>
      </c>
      <c r="R165" s="53">
        <v>14592</v>
      </c>
      <c r="S165" s="53">
        <v>192</v>
      </c>
      <c r="T165" s="53">
        <v>1</v>
      </c>
      <c r="U165" s="53">
        <v>4</v>
      </c>
      <c r="V165" s="53">
        <v>836.8</v>
      </c>
      <c r="W165" s="66">
        <v>2.48</v>
      </c>
      <c r="X165" s="54">
        <v>45322</v>
      </c>
      <c r="Y165" s="55">
        <v>0.30259259259259258</v>
      </c>
      <c r="Z165" s="53">
        <v>0</v>
      </c>
      <c r="AA165" s="53">
        <v>0</v>
      </c>
      <c r="AB165" s="53">
        <v>0</v>
      </c>
      <c r="AC165" s="4">
        <f t="shared" ref="AC165:AC168" si="126">AC164</f>
        <v>2.4778199999999999</v>
      </c>
      <c r="AD165" s="3"/>
    </row>
    <row r="166" spans="1:30" x14ac:dyDescent="0.25">
      <c r="A166">
        <v>2</v>
      </c>
      <c r="B166" t="s">
        <v>1</v>
      </c>
      <c r="C166">
        <v>14592</v>
      </c>
      <c r="D166">
        <v>192</v>
      </c>
      <c r="E166">
        <v>1</v>
      </c>
      <c r="F166">
        <v>4</v>
      </c>
      <c r="G166">
        <v>938.09</v>
      </c>
      <c r="H166" s="24">
        <v>2.2084000000000001</v>
      </c>
      <c r="I166" s="1">
        <v>45320</v>
      </c>
      <c r="J166" s="2">
        <v>0.91141203703703699</v>
      </c>
      <c r="K166">
        <v>0</v>
      </c>
      <c r="L166">
        <v>0</v>
      </c>
      <c r="M166">
        <v>0</v>
      </c>
      <c r="N166" s="3">
        <f t="shared" si="117"/>
        <v>2.20764</v>
      </c>
      <c r="P166" s="53">
        <v>2</v>
      </c>
      <c r="Q166" s="53" t="s">
        <v>1</v>
      </c>
      <c r="R166" s="53">
        <v>14592</v>
      </c>
      <c r="S166" s="53">
        <v>192</v>
      </c>
      <c r="T166" s="53">
        <v>1</v>
      </c>
      <c r="U166" s="53">
        <v>4</v>
      </c>
      <c r="V166" s="53">
        <v>836.85</v>
      </c>
      <c r="W166" s="66">
        <v>2.48</v>
      </c>
      <c r="X166" s="54">
        <v>45322</v>
      </c>
      <c r="Y166" s="55">
        <v>0.82072916666666662</v>
      </c>
      <c r="Z166" s="53">
        <v>0</v>
      </c>
      <c r="AA166" s="53">
        <v>0</v>
      </c>
      <c r="AB166" s="53">
        <v>0</v>
      </c>
      <c r="AC166" s="4">
        <f t="shared" si="126"/>
        <v>2.4778199999999999</v>
      </c>
      <c r="AD166" s="3"/>
    </row>
    <row r="167" spans="1:30" x14ac:dyDescent="0.25">
      <c r="A167">
        <v>3</v>
      </c>
      <c r="B167" t="s">
        <v>1</v>
      </c>
      <c r="C167">
        <v>14592</v>
      </c>
      <c r="D167">
        <v>192</v>
      </c>
      <c r="E167">
        <v>1</v>
      </c>
      <c r="F167">
        <v>4</v>
      </c>
      <c r="G167">
        <v>939.9</v>
      </c>
      <c r="H167" s="24">
        <v>2.2040999999999999</v>
      </c>
      <c r="I167" s="1">
        <v>45321</v>
      </c>
      <c r="J167" s="2">
        <v>0.42001157407407408</v>
      </c>
      <c r="K167">
        <v>0</v>
      </c>
      <c r="L167">
        <v>0</v>
      </c>
      <c r="M167">
        <v>0</v>
      </c>
      <c r="N167" s="3">
        <f t="shared" si="117"/>
        <v>2.20764</v>
      </c>
      <c r="P167" s="53">
        <v>3</v>
      </c>
      <c r="Q167" s="53" t="s">
        <v>1</v>
      </c>
      <c r="R167" s="53">
        <v>14592</v>
      </c>
      <c r="S167" s="53">
        <v>192</v>
      </c>
      <c r="T167" s="53">
        <v>1</v>
      </c>
      <c r="U167" s="53">
        <v>4</v>
      </c>
      <c r="V167" s="53">
        <v>838.08</v>
      </c>
      <c r="W167" s="66">
        <v>2.4700000000000002</v>
      </c>
      <c r="X167" s="54">
        <v>45323</v>
      </c>
      <c r="Y167" s="55">
        <v>0.3395023148148148</v>
      </c>
      <c r="Z167" s="53">
        <v>0</v>
      </c>
      <c r="AA167" s="53">
        <v>0</v>
      </c>
      <c r="AB167" s="53">
        <v>0</v>
      </c>
      <c r="AC167" s="4">
        <f t="shared" si="126"/>
        <v>2.4778199999999999</v>
      </c>
      <c r="AD167" s="3"/>
    </row>
    <row r="168" spans="1:30" x14ac:dyDescent="0.25">
      <c r="A168">
        <v>4</v>
      </c>
      <c r="B168" t="s">
        <v>1</v>
      </c>
      <c r="C168">
        <v>14592</v>
      </c>
      <c r="D168">
        <v>192</v>
      </c>
      <c r="E168">
        <v>1</v>
      </c>
      <c r="F168">
        <v>4</v>
      </c>
      <c r="G168">
        <v>938.29</v>
      </c>
      <c r="H168" s="3">
        <v>2.2079</v>
      </c>
      <c r="I168" s="1">
        <v>45321</v>
      </c>
      <c r="J168" s="2">
        <v>0.9286226851851852</v>
      </c>
      <c r="K168">
        <v>0</v>
      </c>
      <c r="L168">
        <v>0</v>
      </c>
      <c r="M168">
        <v>0</v>
      </c>
      <c r="N168" s="3">
        <f t="shared" si="117"/>
        <v>2.20764</v>
      </c>
      <c r="P168" s="50">
        <v>4</v>
      </c>
      <c r="Q168" s="50" t="s">
        <v>1</v>
      </c>
      <c r="R168" s="50">
        <v>14592</v>
      </c>
      <c r="S168" s="50">
        <v>192</v>
      </c>
      <c r="T168" s="50">
        <v>1</v>
      </c>
      <c r="U168" s="50">
        <v>4</v>
      </c>
      <c r="V168" s="50">
        <v>835.65</v>
      </c>
      <c r="W168" s="64">
        <v>2.4790999999999999</v>
      </c>
      <c r="X168" s="51">
        <v>45482</v>
      </c>
      <c r="Y168" s="52">
        <v>2.824074074074074E-2</v>
      </c>
      <c r="Z168" s="50">
        <v>0</v>
      </c>
      <c r="AA168" s="50">
        <v>0</v>
      </c>
      <c r="AB168" s="50">
        <v>0</v>
      </c>
      <c r="AC168" s="4">
        <f t="shared" si="126"/>
        <v>2.4778199999999999</v>
      </c>
      <c r="AD168" s="3"/>
    </row>
    <row r="169" spans="1:30" x14ac:dyDescent="0.25">
      <c r="A169">
        <v>0</v>
      </c>
      <c r="B169" t="s">
        <v>1</v>
      </c>
      <c r="C169">
        <v>13056</v>
      </c>
      <c r="D169">
        <v>192</v>
      </c>
      <c r="E169">
        <v>2</v>
      </c>
      <c r="F169">
        <v>2</v>
      </c>
      <c r="G169">
        <v>662.54</v>
      </c>
      <c r="H169" s="24">
        <v>2.2397999999999998</v>
      </c>
      <c r="I169" s="1">
        <v>45320</v>
      </c>
      <c r="J169" s="2">
        <v>0.21635416666666665</v>
      </c>
      <c r="K169">
        <v>0</v>
      </c>
      <c r="L169">
        <v>0</v>
      </c>
      <c r="M169">
        <v>0</v>
      </c>
      <c r="N169" s="3">
        <f t="shared" ref="N169" si="127">AVERAGE(H169:H173)</f>
        <v>2.23922</v>
      </c>
      <c r="P169" s="53">
        <v>0</v>
      </c>
      <c r="Q169" s="53" t="s">
        <v>1</v>
      </c>
      <c r="R169" s="53">
        <v>13056</v>
      </c>
      <c r="S169" s="53">
        <v>192</v>
      </c>
      <c r="T169" s="53">
        <v>2</v>
      </c>
      <c r="U169" s="53">
        <v>2</v>
      </c>
      <c r="V169" s="53">
        <v>598.6</v>
      </c>
      <c r="W169" s="66">
        <v>2.48</v>
      </c>
      <c r="X169" s="54">
        <v>45322</v>
      </c>
      <c r="Y169" s="55">
        <v>0.1133912037037037</v>
      </c>
      <c r="Z169" s="53">
        <v>0</v>
      </c>
      <c r="AA169" s="53">
        <v>0</v>
      </c>
      <c r="AB169" s="53">
        <v>0</v>
      </c>
      <c r="AC169" s="4">
        <f t="shared" ref="AC169" si="128">AVERAGE(W169:W173)</f>
        <v>2.4546400000000004</v>
      </c>
      <c r="AD169" s="3"/>
    </row>
    <row r="170" spans="1:30" x14ac:dyDescent="0.25">
      <c r="A170">
        <v>1</v>
      </c>
      <c r="B170" t="s">
        <v>1</v>
      </c>
      <c r="C170">
        <v>13056</v>
      </c>
      <c r="D170">
        <v>192</v>
      </c>
      <c r="E170">
        <v>2</v>
      </c>
      <c r="F170">
        <v>2</v>
      </c>
      <c r="G170">
        <v>662.65</v>
      </c>
      <c r="H170" s="24">
        <v>2.2393999999999998</v>
      </c>
      <c r="I170" s="1">
        <v>45320</v>
      </c>
      <c r="J170" s="2">
        <v>0.72493055555555552</v>
      </c>
      <c r="K170">
        <v>0</v>
      </c>
      <c r="L170">
        <v>0</v>
      </c>
      <c r="M170">
        <v>0</v>
      </c>
      <c r="N170" s="3">
        <f t="shared" ref="N170" si="129">N169</f>
        <v>2.23922</v>
      </c>
      <c r="P170" s="53">
        <v>1</v>
      </c>
      <c r="Q170" s="53" t="s">
        <v>1</v>
      </c>
      <c r="R170" s="53">
        <v>13056</v>
      </c>
      <c r="S170" s="53">
        <v>192</v>
      </c>
      <c r="T170" s="53">
        <v>2</v>
      </c>
      <c r="U170" s="53">
        <v>2</v>
      </c>
      <c r="V170" s="53">
        <v>605.80999999999995</v>
      </c>
      <c r="W170" s="66">
        <v>2.4500000000000002</v>
      </c>
      <c r="X170" s="54">
        <v>45322</v>
      </c>
      <c r="Y170" s="55">
        <v>0.63166666666666671</v>
      </c>
      <c r="Z170" s="53">
        <v>0</v>
      </c>
      <c r="AA170" s="53">
        <v>0</v>
      </c>
      <c r="AB170" s="53">
        <v>0</v>
      </c>
      <c r="AC170" s="4">
        <f t="shared" ref="AC170:AC173" si="130">AC169</f>
        <v>2.4546400000000004</v>
      </c>
      <c r="AD170" s="3"/>
    </row>
    <row r="171" spans="1:30" x14ac:dyDescent="0.25">
      <c r="A171">
        <v>2</v>
      </c>
      <c r="B171" t="s">
        <v>1</v>
      </c>
      <c r="C171">
        <v>13056</v>
      </c>
      <c r="D171">
        <v>192</v>
      </c>
      <c r="E171">
        <v>2</v>
      </c>
      <c r="F171">
        <v>2</v>
      </c>
      <c r="G171">
        <v>663.02</v>
      </c>
      <c r="H171" s="24">
        <v>2.2381000000000002</v>
      </c>
      <c r="I171" s="1">
        <v>45321</v>
      </c>
      <c r="J171" s="2">
        <v>0.23350694444444445</v>
      </c>
      <c r="K171">
        <v>0</v>
      </c>
      <c r="L171">
        <v>0</v>
      </c>
      <c r="M171">
        <v>0</v>
      </c>
      <c r="N171" s="3">
        <f t="shared" si="121"/>
        <v>2.23922</v>
      </c>
      <c r="P171" s="53">
        <v>2</v>
      </c>
      <c r="Q171" s="53" t="s">
        <v>1</v>
      </c>
      <c r="R171" s="53">
        <v>13056</v>
      </c>
      <c r="S171" s="53">
        <v>192</v>
      </c>
      <c r="T171" s="53">
        <v>2</v>
      </c>
      <c r="U171" s="53">
        <v>2</v>
      </c>
      <c r="V171" s="53">
        <v>618.45000000000005</v>
      </c>
      <c r="W171" s="66">
        <v>2.4</v>
      </c>
      <c r="X171" s="54">
        <v>45323</v>
      </c>
      <c r="Y171" s="55">
        <v>0.15028935185185185</v>
      </c>
      <c r="Z171" s="53">
        <v>0</v>
      </c>
      <c r="AA171" s="53">
        <v>0</v>
      </c>
      <c r="AB171" s="53">
        <v>0</v>
      </c>
      <c r="AC171" s="4">
        <f t="shared" si="130"/>
        <v>2.4546400000000004</v>
      </c>
      <c r="AD171" s="3"/>
    </row>
    <row r="172" spans="1:30" x14ac:dyDescent="0.25">
      <c r="A172">
        <v>3</v>
      </c>
      <c r="B172" t="s">
        <v>1</v>
      </c>
      <c r="C172">
        <v>13056</v>
      </c>
      <c r="D172">
        <v>192</v>
      </c>
      <c r="E172">
        <v>2</v>
      </c>
      <c r="F172">
        <v>2</v>
      </c>
      <c r="G172">
        <v>662.6</v>
      </c>
      <c r="H172" s="3">
        <v>2.2395999999999998</v>
      </c>
      <c r="I172" s="1">
        <v>45321</v>
      </c>
      <c r="J172" s="2">
        <v>0.74214120370370373</v>
      </c>
      <c r="K172">
        <v>0</v>
      </c>
      <c r="L172">
        <v>0</v>
      </c>
      <c r="M172">
        <v>0</v>
      </c>
      <c r="N172" s="3">
        <f t="shared" si="121"/>
        <v>2.23922</v>
      </c>
      <c r="P172" s="53">
        <v>3</v>
      </c>
      <c r="Q172" s="53" t="s">
        <v>1</v>
      </c>
      <c r="R172" s="53">
        <v>13056</v>
      </c>
      <c r="S172" s="53">
        <v>192</v>
      </c>
      <c r="T172" s="53">
        <v>2</v>
      </c>
      <c r="U172" s="53">
        <v>2</v>
      </c>
      <c r="V172" s="53">
        <v>599.91</v>
      </c>
      <c r="W172" s="66">
        <v>2.4700000000000002</v>
      </c>
      <c r="X172" s="54">
        <v>45323</v>
      </c>
      <c r="Y172" s="55">
        <v>0.66856481481481478</v>
      </c>
      <c r="Z172" s="53">
        <v>0</v>
      </c>
      <c r="AA172" s="53">
        <v>0</v>
      </c>
      <c r="AB172" s="53">
        <v>0</v>
      </c>
      <c r="AC172" s="4">
        <f t="shared" si="130"/>
        <v>2.4546400000000004</v>
      </c>
      <c r="AD172" s="3"/>
    </row>
    <row r="173" spans="1:30" x14ac:dyDescent="0.25">
      <c r="A173">
        <v>4</v>
      </c>
      <c r="B173" t="s">
        <v>1</v>
      </c>
      <c r="C173">
        <v>13056</v>
      </c>
      <c r="D173">
        <v>192</v>
      </c>
      <c r="E173">
        <v>2</v>
      </c>
      <c r="F173">
        <v>2</v>
      </c>
      <c r="G173">
        <v>662.72</v>
      </c>
      <c r="H173" s="3">
        <v>2.2391999999999999</v>
      </c>
      <c r="I173" s="1">
        <v>45322</v>
      </c>
      <c r="J173" s="2">
        <v>0.25071759259259258</v>
      </c>
      <c r="K173">
        <v>0</v>
      </c>
      <c r="L173">
        <v>0</v>
      </c>
      <c r="M173">
        <v>0</v>
      </c>
      <c r="N173" s="3">
        <f t="shared" si="121"/>
        <v>2.23922</v>
      </c>
      <c r="P173" s="50">
        <v>4</v>
      </c>
      <c r="Q173" s="50" t="s">
        <v>1</v>
      </c>
      <c r="R173" s="50">
        <v>13056</v>
      </c>
      <c r="S173" s="50">
        <v>192</v>
      </c>
      <c r="T173" s="50">
        <v>2</v>
      </c>
      <c r="U173" s="50">
        <v>2</v>
      </c>
      <c r="V173" s="50">
        <v>600.01</v>
      </c>
      <c r="W173" s="64">
        <v>2.4731999999999998</v>
      </c>
      <c r="X173" s="51">
        <v>45481</v>
      </c>
      <c r="Y173" s="52">
        <v>0.88543981481481482</v>
      </c>
      <c r="Z173" s="50">
        <v>0</v>
      </c>
      <c r="AA173" s="50">
        <v>0</v>
      </c>
      <c r="AB173" s="50">
        <v>0</v>
      </c>
      <c r="AC173" s="4">
        <f t="shared" si="130"/>
        <v>2.4546400000000004</v>
      </c>
      <c r="AD173" s="3"/>
    </row>
    <row r="174" spans="1:30" x14ac:dyDescent="0.25">
      <c r="A174">
        <v>0</v>
      </c>
      <c r="B174" t="s">
        <v>1</v>
      </c>
      <c r="C174">
        <v>13824</v>
      </c>
      <c r="D174">
        <v>192</v>
      </c>
      <c r="E174">
        <v>2</v>
      </c>
      <c r="F174">
        <v>2</v>
      </c>
      <c r="G174">
        <v>790.13</v>
      </c>
      <c r="H174" s="24">
        <v>2.2294</v>
      </c>
      <c r="I174" s="1">
        <v>45320</v>
      </c>
      <c r="J174" s="2">
        <v>0.12190972222222222</v>
      </c>
      <c r="K174">
        <v>0</v>
      </c>
      <c r="L174">
        <v>0</v>
      </c>
      <c r="M174">
        <v>0</v>
      </c>
      <c r="N174" s="3">
        <f t="shared" ref="N174" si="131">AVERAGE(H174:H178)</f>
        <v>2.2296799999999997</v>
      </c>
      <c r="P174" s="53">
        <v>0</v>
      </c>
      <c r="Q174" s="53" t="s">
        <v>1</v>
      </c>
      <c r="R174" s="53">
        <v>13824</v>
      </c>
      <c r="S174" s="53">
        <v>192</v>
      </c>
      <c r="T174" s="53">
        <v>2</v>
      </c>
      <c r="U174" s="53">
        <v>2</v>
      </c>
      <c r="V174" s="53">
        <v>709.75</v>
      </c>
      <c r="W174" s="66">
        <v>2.48</v>
      </c>
      <c r="X174" s="54">
        <v>45321</v>
      </c>
      <c r="Y174" s="55">
        <v>0.9671643518518519</v>
      </c>
      <c r="Z174" s="53">
        <v>0</v>
      </c>
      <c r="AA174" s="53">
        <v>0</v>
      </c>
      <c r="AB174" s="53">
        <v>0</v>
      </c>
      <c r="AC174" s="4">
        <f t="shared" ref="AC174" si="132">AVERAGE(W174:W178)</f>
        <v>2.4817200000000001</v>
      </c>
      <c r="AD174" s="3"/>
    </row>
    <row r="175" spans="1:30" x14ac:dyDescent="0.25">
      <c r="A175">
        <v>1</v>
      </c>
      <c r="B175" t="s">
        <v>1</v>
      </c>
      <c r="C175">
        <v>13824</v>
      </c>
      <c r="D175">
        <v>192</v>
      </c>
      <c r="E175">
        <v>2</v>
      </c>
      <c r="F175">
        <v>2</v>
      </c>
      <c r="G175">
        <v>790.1</v>
      </c>
      <c r="H175" s="24">
        <v>2.2294999999999998</v>
      </c>
      <c r="I175" s="1">
        <v>45320</v>
      </c>
      <c r="J175" s="2">
        <v>0.58280092592592592</v>
      </c>
      <c r="K175">
        <v>0</v>
      </c>
      <c r="L175">
        <v>0</v>
      </c>
      <c r="M175">
        <v>0</v>
      </c>
      <c r="N175" s="3">
        <f t="shared" ref="N175" si="133">N174</f>
        <v>2.2296799999999997</v>
      </c>
      <c r="P175" s="53">
        <v>1</v>
      </c>
      <c r="Q175" s="53" t="s">
        <v>1</v>
      </c>
      <c r="R175" s="53">
        <v>13824</v>
      </c>
      <c r="S175" s="53">
        <v>192</v>
      </c>
      <c r="T175" s="53">
        <v>2</v>
      </c>
      <c r="U175" s="53">
        <v>2</v>
      </c>
      <c r="V175" s="53">
        <v>707.92</v>
      </c>
      <c r="W175" s="66">
        <v>2.4900000000000002</v>
      </c>
      <c r="X175" s="54">
        <v>45322</v>
      </c>
      <c r="Y175" s="55">
        <v>0.48554398148148148</v>
      </c>
      <c r="Z175" s="53">
        <v>0</v>
      </c>
      <c r="AA175" s="53">
        <v>0</v>
      </c>
      <c r="AB175" s="53">
        <v>0</v>
      </c>
      <c r="AC175" s="4">
        <f t="shared" ref="AC175:AC178" si="134">AC174</f>
        <v>2.4817200000000001</v>
      </c>
      <c r="AD175" s="3"/>
    </row>
    <row r="176" spans="1:30" x14ac:dyDescent="0.25">
      <c r="A176">
        <v>2</v>
      </c>
      <c r="B176" t="s">
        <v>1</v>
      </c>
      <c r="C176">
        <v>13824</v>
      </c>
      <c r="D176">
        <v>192</v>
      </c>
      <c r="E176">
        <v>2</v>
      </c>
      <c r="F176">
        <v>2</v>
      </c>
      <c r="G176">
        <v>790.21</v>
      </c>
      <c r="H176" s="24">
        <v>2.2292000000000001</v>
      </c>
      <c r="I176" s="1">
        <v>45321</v>
      </c>
      <c r="J176" s="2">
        <v>9.1354166666666667E-2</v>
      </c>
      <c r="K176">
        <v>0</v>
      </c>
      <c r="L176">
        <v>0</v>
      </c>
      <c r="M176">
        <v>0</v>
      </c>
      <c r="N176" s="3">
        <f t="shared" si="117"/>
        <v>2.2296799999999997</v>
      </c>
      <c r="P176" s="53">
        <v>2</v>
      </c>
      <c r="Q176" s="53" t="s">
        <v>1</v>
      </c>
      <c r="R176" s="53">
        <v>13824</v>
      </c>
      <c r="S176" s="53">
        <v>192</v>
      </c>
      <c r="T176" s="53">
        <v>2</v>
      </c>
      <c r="U176" s="53">
        <v>2</v>
      </c>
      <c r="V176" s="53">
        <v>709.38</v>
      </c>
      <c r="W176" s="66">
        <v>2.48</v>
      </c>
      <c r="X176" s="54">
        <v>45323</v>
      </c>
      <c r="Y176" s="55">
        <v>3.7037037037037038E-3</v>
      </c>
      <c r="Z176" s="53">
        <v>0</v>
      </c>
      <c r="AA176" s="53">
        <v>0</v>
      </c>
      <c r="AB176" s="53">
        <v>0</v>
      </c>
      <c r="AC176" s="4">
        <f t="shared" si="134"/>
        <v>2.4817200000000001</v>
      </c>
      <c r="AD176" s="3"/>
    </row>
    <row r="177" spans="1:30" x14ac:dyDescent="0.25">
      <c r="A177">
        <v>3</v>
      </c>
      <c r="B177" t="s">
        <v>1</v>
      </c>
      <c r="C177">
        <v>13824</v>
      </c>
      <c r="D177">
        <v>192</v>
      </c>
      <c r="E177">
        <v>2</v>
      </c>
      <c r="F177">
        <v>2</v>
      </c>
      <c r="G177">
        <v>790.01</v>
      </c>
      <c r="H177" s="24">
        <v>2.2296999999999998</v>
      </c>
      <c r="I177" s="1">
        <v>45321</v>
      </c>
      <c r="J177" s="2">
        <v>0.60001157407407413</v>
      </c>
      <c r="K177">
        <v>0</v>
      </c>
      <c r="L177">
        <v>0</v>
      </c>
      <c r="M177">
        <v>0</v>
      </c>
      <c r="N177" s="3">
        <f t="shared" si="117"/>
        <v>2.2296799999999997</v>
      </c>
      <c r="P177" s="53">
        <v>3</v>
      </c>
      <c r="Q177" s="53" t="s">
        <v>1</v>
      </c>
      <c r="R177" s="53">
        <v>13824</v>
      </c>
      <c r="S177" s="53">
        <v>192</v>
      </c>
      <c r="T177" s="53">
        <v>2</v>
      </c>
      <c r="U177" s="53">
        <v>2</v>
      </c>
      <c r="V177" s="53">
        <v>707.98</v>
      </c>
      <c r="W177" s="66">
        <v>2.4900000000000002</v>
      </c>
      <c r="X177" s="54">
        <v>45323</v>
      </c>
      <c r="Y177" s="55">
        <v>0.52225694444444448</v>
      </c>
      <c r="Z177" s="53">
        <v>0</v>
      </c>
      <c r="AA177" s="53">
        <v>0</v>
      </c>
      <c r="AB177" s="53">
        <v>0</v>
      </c>
      <c r="AC177" s="4">
        <f t="shared" si="134"/>
        <v>2.4817200000000001</v>
      </c>
      <c r="AD177" s="3"/>
    </row>
    <row r="178" spans="1:30" x14ac:dyDescent="0.25">
      <c r="A178">
        <v>4</v>
      </c>
      <c r="B178" t="s">
        <v>1</v>
      </c>
      <c r="C178">
        <v>13824</v>
      </c>
      <c r="D178">
        <v>192</v>
      </c>
      <c r="E178">
        <v>2</v>
      </c>
      <c r="F178">
        <v>2</v>
      </c>
      <c r="G178">
        <v>789.69</v>
      </c>
      <c r="H178" s="3">
        <v>2.2305999999999999</v>
      </c>
      <c r="I178" s="1">
        <v>45322</v>
      </c>
      <c r="J178" s="2">
        <v>0.10855324074074074</v>
      </c>
      <c r="K178">
        <v>0</v>
      </c>
      <c r="L178">
        <v>0</v>
      </c>
      <c r="M178">
        <v>0</v>
      </c>
      <c r="N178" s="3">
        <f t="shared" si="117"/>
        <v>2.2296799999999997</v>
      </c>
      <c r="P178" s="50">
        <v>4</v>
      </c>
      <c r="Q178" s="50" t="s">
        <v>1</v>
      </c>
      <c r="R178" s="50">
        <v>13824</v>
      </c>
      <c r="S178" s="50">
        <v>192</v>
      </c>
      <c r="T178" s="50">
        <v>2</v>
      </c>
      <c r="U178" s="50">
        <v>2</v>
      </c>
      <c r="V178" s="50">
        <v>713.55</v>
      </c>
      <c r="W178" s="64">
        <v>2.4685999999999999</v>
      </c>
      <c r="X178" s="51">
        <v>45481</v>
      </c>
      <c r="Y178" s="52">
        <v>0.99789351851851849</v>
      </c>
      <c r="Z178" s="50">
        <v>0</v>
      </c>
      <c r="AA178" s="50">
        <v>0</v>
      </c>
      <c r="AB178" s="50">
        <v>0</v>
      </c>
      <c r="AC178" s="4">
        <f t="shared" si="134"/>
        <v>2.4817200000000001</v>
      </c>
      <c r="AD178" s="3"/>
    </row>
    <row r="179" spans="1:30" x14ac:dyDescent="0.25">
      <c r="A179">
        <v>0</v>
      </c>
      <c r="B179" t="s">
        <v>1</v>
      </c>
      <c r="C179">
        <v>14592</v>
      </c>
      <c r="D179">
        <v>192</v>
      </c>
      <c r="E179">
        <v>2</v>
      </c>
      <c r="F179">
        <v>2</v>
      </c>
      <c r="G179">
        <v>917.64</v>
      </c>
      <c r="H179" s="24">
        <v>2.2576000000000001</v>
      </c>
      <c r="I179" s="1">
        <v>45320</v>
      </c>
      <c r="J179" s="2">
        <v>9.432870370370371E-3</v>
      </c>
      <c r="K179">
        <v>0</v>
      </c>
      <c r="L179">
        <v>0</v>
      </c>
      <c r="M179">
        <v>0</v>
      </c>
      <c r="N179" s="3">
        <f t="shared" ref="N179" si="135">AVERAGE(H179:H183)</f>
        <v>2.2574199999999998</v>
      </c>
      <c r="P179" s="53">
        <v>0</v>
      </c>
      <c r="Q179" s="53" t="s">
        <v>1</v>
      </c>
      <c r="R179" s="53">
        <v>14592</v>
      </c>
      <c r="S179" s="53">
        <v>192</v>
      </c>
      <c r="T179" s="53">
        <v>2</v>
      </c>
      <c r="U179" s="53">
        <v>2</v>
      </c>
      <c r="V179" s="53">
        <v>833.91</v>
      </c>
      <c r="W179" s="66">
        <v>2.48</v>
      </c>
      <c r="X179" s="54">
        <v>45321</v>
      </c>
      <c r="Y179" s="55">
        <v>0.79553240740740738</v>
      </c>
      <c r="Z179" s="53">
        <v>0</v>
      </c>
      <c r="AA179" s="53">
        <v>0</v>
      </c>
      <c r="AB179" s="53">
        <v>0</v>
      </c>
      <c r="AC179" s="4">
        <f t="shared" ref="AC179" si="136">AVERAGE(W179:W183)</f>
        <v>2.4916000000000005</v>
      </c>
      <c r="AD179" s="3"/>
    </row>
    <row r="180" spans="1:30" x14ac:dyDescent="0.25">
      <c r="A180">
        <v>1</v>
      </c>
      <c r="B180" t="s">
        <v>1</v>
      </c>
      <c r="C180">
        <v>14592</v>
      </c>
      <c r="D180">
        <v>192</v>
      </c>
      <c r="E180">
        <v>2</v>
      </c>
      <c r="F180">
        <v>2</v>
      </c>
      <c r="G180">
        <v>917.02</v>
      </c>
      <c r="H180" s="24">
        <v>2.2591000000000001</v>
      </c>
      <c r="I180" s="1">
        <v>45320</v>
      </c>
      <c r="J180" s="2">
        <v>0.41379629629629627</v>
      </c>
      <c r="K180">
        <v>0</v>
      </c>
      <c r="L180">
        <v>0</v>
      </c>
      <c r="M180">
        <v>0</v>
      </c>
      <c r="N180" s="3">
        <f t="shared" ref="N180" si="137">N179</f>
        <v>2.2574199999999998</v>
      </c>
      <c r="P180" s="50">
        <v>1</v>
      </c>
      <c r="Q180" s="50" t="s">
        <v>1</v>
      </c>
      <c r="R180" s="50">
        <v>14592</v>
      </c>
      <c r="S180" s="50">
        <v>192</v>
      </c>
      <c r="T180" s="50">
        <v>2</v>
      </c>
      <c r="U180" s="50">
        <v>2</v>
      </c>
      <c r="V180" s="50">
        <v>832.89</v>
      </c>
      <c r="W180" s="64">
        <v>2.4900000000000002</v>
      </c>
      <c r="X180" s="51">
        <v>45322</v>
      </c>
      <c r="Y180" s="52">
        <v>0.31384259259259262</v>
      </c>
      <c r="Z180" s="50">
        <v>0</v>
      </c>
      <c r="AA180" s="50">
        <v>0</v>
      </c>
      <c r="AB180" s="50">
        <v>0</v>
      </c>
      <c r="AC180" s="4">
        <f t="shared" ref="AC180:AC183" si="138">AC179</f>
        <v>2.4916000000000005</v>
      </c>
      <c r="AD180" s="3"/>
    </row>
    <row r="181" spans="1:30" x14ac:dyDescent="0.25">
      <c r="A181">
        <v>2</v>
      </c>
      <c r="B181" t="s">
        <v>1</v>
      </c>
      <c r="C181">
        <v>14592</v>
      </c>
      <c r="D181">
        <v>192</v>
      </c>
      <c r="E181">
        <v>2</v>
      </c>
      <c r="F181">
        <v>2</v>
      </c>
      <c r="G181">
        <v>917.47</v>
      </c>
      <c r="H181" s="24">
        <v>2.258</v>
      </c>
      <c r="I181" s="1">
        <v>45320</v>
      </c>
      <c r="J181" s="2">
        <v>0.92236111111111108</v>
      </c>
      <c r="K181">
        <v>0</v>
      </c>
      <c r="L181">
        <v>0</v>
      </c>
      <c r="M181">
        <v>0</v>
      </c>
      <c r="N181" s="3">
        <f t="shared" si="121"/>
        <v>2.2574199999999998</v>
      </c>
      <c r="P181" s="50">
        <v>2</v>
      </c>
      <c r="Q181" s="50" t="s">
        <v>1</v>
      </c>
      <c r="R181" s="50">
        <v>14592</v>
      </c>
      <c r="S181" s="50">
        <v>192</v>
      </c>
      <c r="T181" s="50">
        <v>2</v>
      </c>
      <c r="U181" s="50">
        <v>2</v>
      </c>
      <c r="V181" s="50">
        <v>829.34</v>
      </c>
      <c r="W181" s="64">
        <v>2.5</v>
      </c>
      <c r="X181" s="51">
        <v>45322</v>
      </c>
      <c r="Y181" s="52">
        <v>0.83194444444444449</v>
      </c>
      <c r="Z181" s="50">
        <v>0</v>
      </c>
      <c r="AA181" s="50">
        <v>0</v>
      </c>
      <c r="AB181" s="50">
        <v>0</v>
      </c>
      <c r="AC181" s="4">
        <f t="shared" si="138"/>
        <v>2.4916000000000005</v>
      </c>
      <c r="AD181" s="3"/>
    </row>
    <row r="182" spans="1:30" x14ac:dyDescent="0.25">
      <c r="A182">
        <v>3</v>
      </c>
      <c r="B182" t="s">
        <v>1</v>
      </c>
      <c r="C182">
        <v>14592</v>
      </c>
      <c r="D182">
        <v>192</v>
      </c>
      <c r="E182">
        <v>2</v>
      </c>
      <c r="F182">
        <v>2</v>
      </c>
      <c r="G182">
        <v>918.65</v>
      </c>
      <c r="H182" s="24">
        <v>2.2551000000000001</v>
      </c>
      <c r="I182" s="1">
        <v>45321</v>
      </c>
      <c r="J182" s="2">
        <v>0.4309837962962963</v>
      </c>
      <c r="K182">
        <v>0</v>
      </c>
      <c r="L182">
        <v>0</v>
      </c>
      <c r="M182">
        <v>0</v>
      </c>
      <c r="N182" s="3">
        <f t="shared" si="121"/>
        <v>2.2574199999999998</v>
      </c>
      <c r="P182" s="50">
        <v>3</v>
      </c>
      <c r="Q182" s="50" t="s">
        <v>1</v>
      </c>
      <c r="R182" s="50">
        <v>14592</v>
      </c>
      <c r="S182" s="50">
        <v>192</v>
      </c>
      <c r="T182" s="50">
        <v>2</v>
      </c>
      <c r="U182" s="50">
        <v>2</v>
      </c>
      <c r="V182" s="50">
        <v>830.87</v>
      </c>
      <c r="W182" s="64">
        <v>2.4900000000000002</v>
      </c>
      <c r="X182" s="51">
        <v>45323</v>
      </c>
      <c r="Y182" s="52">
        <v>0.35074074074074074</v>
      </c>
      <c r="Z182" s="50">
        <v>0</v>
      </c>
      <c r="AA182" s="50">
        <v>0</v>
      </c>
      <c r="AB182" s="50">
        <v>0</v>
      </c>
      <c r="AC182" s="4">
        <f t="shared" si="138"/>
        <v>2.4916000000000005</v>
      </c>
      <c r="AD182" s="3"/>
    </row>
    <row r="183" spans="1:30" x14ac:dyDescent="0.25">
      <c r="A183">
        <v>4</v>
      </c>
      <c r="B183" t="s">
        <v>1</v>
      </c>
      <c r="C183">
        <v>14592</v>
      </c>
      <c r="D183">
        <v>192</v>
      </c>
      <c r="E183">
        <v>2</v>
      </c>
      <c r="F183">
        <v>2</v>
      </c>
      <c r="G183">
        <v>917.78</v>
      </c>
      <c r="H183" s="3">
        <v>2.2572999999999999</v>
      </c>
      <c r="I183" s="1">
        <v>45321</v>
      </c>
      <c r="J183" s="2">
        <v>0.93958333333333333</v>
      </c>
      <c r="K183">
        <v>0</v>
      </c>
      <c r="L183">
        <v>0</v>
      </c>
      <c r="M183">
        <v>0</v>
      </c>
      <c r="N183" s="3">
        <f t="shared" si="121"/>
        <v>2.2574199999999998</v>
      </c>
      <c r="P183" s="50">
        <v>4</v>
      </c>
      <c r="Q183" s="50" t="s">
        <v>1</v>
      </c>
      <c r="R183" s="50">
        <v>14592</v>
      </c>
      <c r="S183" s="50">
        <v>192</v>
      </c>
      <c r="T183" s="50">
        <v>2</v>
      </c>
      <c r="U183" s="50">
        <v>2</v>
      </c>
      <c r="V183" s="50">
        <v>829.33</v>
      </c>
      <c r="W183" s="64">
        <v>2.4980000000000002</v>
      </c>
      <c r="X183" s="51">
        <v>45482</v>
      </c>
      <c r="Y183" s="52">
        <v>3.9456018518518515E-2</v>
      </c>
      <c r="Z183" s="50">
        <v>0</v>
      </c>
      <c r="AA183" s="50">
        <v>0</v>
      </c>
      <c r="AB183" s="50">
        <v>0</v>
      </c>
      <c r="AC183" s="4">
        <f t="shared" si="138"/>
        <v>2.4916000000000005</v>
      </c>
      <c r="AD183" s="3"/>
    </row>
    <row r="184" spans="1:30" x14ac:dyDescent="0.25">
      <c r="A184">
        <v>0</v>
      </c>
      <c r="B184" t="s">
        <v>1</v>
      </c>
      <c r="C184">
        <v>12992</v>
      </c>
      <c r="D184">
        <v>224</v>
      </c>
      <c r="E184">
        <v>1</v>
      </c>
      <c r="F184">
        <v>4</v>
      </c>
      <c r="G184">
        <v>676.57</v>
      </c>
      <c r="H184" s="3">
        <v>2.1612</v>
      </c>
      <c r="I184" s="1">
        <v>45481</v>
      </c>
      <c r="J184" s="2">
        <v>0.59875</v>
      </c>
      <c r="K184">
        <v>0</v>
      </c>
      <c r="L184">
        <v>0</v>
      </c>
      <c r="M184">
        <v>0</v>
      </c>
      <c r="N184" s="3">
        <f t="shared" ref="N184" si="139">AVERAGE(H184:H188)</f>
        <v>2.1608399999999994</v>
      </c>
      <c r="P184" s="50"/>
      <c r="Q184" s="50"/>
      <c r="R184" s="50"/>
      <c r="S184" s="50"/>
      <c r="T184" s="50"/>
      <c r="U184" s="50"/>
      <c r="V184" s="50"/>
      <c r="W184" s="64"/>
      <c r="X184" s="51"/>
      <c r="Y184" s="52"/>
      <c r="Z184" s="50"/>
      <c r="AA184" s="50"/>
      <c r="AB184" s="50"/>
      <c r="AC184" s="4">
        <f t="shared" ref="AC184" si="140">AVERAGE(W184:W188)</f>
        <v>2.4133749999999998</v>
      </c>
      <c r="AD184" s="3"/>
    </row>
    <row r="185" spans="1:30" x14ac:dyDescent="0.25">
      <c r="A185">
        <v>1</v>
      </c>
      <c r="B185" t="s">
        <v>1</v>
      </c>
      <c r="C185">
        <v>12992</v>
      </c>
      <c r="D185">
        <v>224</v>
      </c>
      <c r="E185">
        <v>1</v>
      </c>
      <c r="F185">
        <v>4</v>
      </c>
      <c r="G185">
        <v>676.58</v>
      </c>
      <c r="H185" s="3">
        <v>2.1612</v>
      </c>
      <c r="I185" s="1">
        <v>45481</v>
      </c>
      <c r="J185" s="2">
        <v>0.65547453703703706</v>
      </c>
      <c r="K185">
        <v>0</v>
      </c>
      <c r="L185">
        <v>0</v>
      </c>
      <c r="M185">
        <v>0</v>
      </c>
      <c r="N185" s="3">
        <f t="shared" ref="N185" si="141">N184</f>
        <v>2.1608399999999994</v>
      </c>
      <c r="P185" s="50">
        <v>1</v>
      </c>
      <c r="Q185" s="50" t="s">
        <v>1</v>
      </c>
      <c r="R185" s="50">
        <v>12992</v>
      </c>
      <c r="S185" s="50">
        <v>224</v>
      </c>
      <c r="T185" s="50">
        <v>1</v>
      </c>
      <c r="U185" s="50">
        <v>4</v>
      </c>
      <c r="V185" s="50">
        <v>607.16</v>
      </c>
      <c r="W185" s="64">
        <v>2.4083000000000001</v>
      </c>
      <c r="X185" s="51">
        <v>45481</v>
      </c>
      <c r="Y185" s="52">
        <v>0.63716435185185183</v>
      </c>
      <c r="Z185" s="50">
        <v>0</v>
      </c>
      <c r="AA185" s="50">
        <v>0</v>
      </c>
      <c r="AB185" s="50">
        <v>0</v>
      </c>
      <c r="AC185" s="4">
        <f t="shared" ref="AC185:AC188" si="142">AC184</f>
        <v>2.4133749999999998</v>
      </c>
      <c r="AD185" s="3"/>
    </row>
    <row r="186" spans="1:30" x14ac:dyDescent="0.25">
      <c r="A186">
        <v>2</v>
      </c>
      <c r="B186" t="s">
        <v>1</v>
      </c>
      <c r="C186">
        <v>12992</v>
      </c>
      <c r="D186">
        <v>224</v>
      </c>
      <c r="E186">
        <v>1</v>
      </c>
      <c r="F186">
        <v>4</v>
      </c>
      <c r="G186">
        <v>676.63</v>
      </c>
      <c r="H186" s="3">
        <v>2.161</v>
      </c>
      <c r="I186" s="1">
        <v>45481</v>
      </c>
      <c r="J186" s="2">
        <v>0.71219907407407412</v>
      </c>
      <c r="K186">
        <v>0</v>
      </c>
      <c r="L186">
        <v>0</v>
      </c>
      <c r="M186">
        <v>0</v>
      </c>
      <c r="N186" s="3">
        <f t="shared" si="117"/>
        <v>2.1608399999999994</v>
      </c>
      <c r="P186" s="50">
        <v>2</v>
      </c>
      <c r="Q186" s="50" t="s">
        <v>1</v>
      </c>
      <c r="R186" s="50">
        <v>12992</v>
      </c>
      <c r="S186" s="50">
        <v>224</v>
      </c>
      <c r="T186" s="50">
        <v>1</v>
      </c>
      <c r="U186" s="50">
        <v>4</v>
      </c>
      <c r="V186" s="50">
        <v>608.20000000000005</v>
      </c>
      <c r="W186" s="64">
        <v>2.4041999999999999</v>
      </c>
      <c r="X186" s="51">
        <v>45481</v>
      </c>
      <c r="Y186" s="52">
        <v>0.69550925925925922</v>
      </c>
      <c r="Z186" s="50">
        <v>0</v>
      </c>
      <c r="AA186" s="50">
        <v>0</v>
      </c>
      <c r="AB186" s="50">
        <v>0</v>
      </c>
      <c r="AC186" s="4">
        <f t="shared" si="142"/>
        <v>2.4133749999999998</v>
      </c>
      <c r="AD186" s="3"/>
    </row>
    <row r="187" spans="1:30" x14ac:dyDescent="0.25">
      <c r="A187">
        <v>3</v>
      </c>
      <c r="B187" t="s">
        <v>1</v>
      </c>
      <c r="C187">
        <v>12992</v>
      </c>
      <c r="D187">
        <v>224</v>
      </c>
      <c r="E187">
        <v>1</v>
      </c>
      <c r="F187">
        <v>4</v>
      </c>
      <c r="G187">
        <v>676.84</v>
      </c>
      <c r="H187" s="3">
        <v>2.1604000000000001</v>
      </c>
      <c r="I187" s="1">
        <v>45481</v>
      </c>
      <c r="J187" s="2">
        <v>0.76891203703703703</v>
      </c>
      <c r="K187">
        <v>0</v>
      </c>
      <c r="L187">
        <v>0</v>
      </c>
      <c r="M187">
        <v>0</v>
      </c>
      <c r="N187" s="3">
        <f t="shared" si="117"/>
        <v>2.1608399999999994</v>
      </c>
      <c r="P187" s="50">
        <v>3</v>
      </c>
      <c r="Q187" s="50" t="s">
        <v>1</v>
      </c>
      <c r="R187" s="50">
        <v>12992</v>
      </c>
      <c r="S187" s="50">
        <v>224</v>
      </c>
      <c r="T187" s="50">
        <v>1</v>
      </c>
      <c r="U187" s="50">
        <v>4</v>
      </c>
      <c r="V187" s="50">
        <v>604.91999999999996</v>
      </c>
      <c r="W187" s="64">
        <v>2.4171999999999998</v>
      </c>
      <c r="X187" s="51">
        <v>45481</v>
      </c>
      <c r="Y187" s="52">
        <v>0.75391203703703702</v>
      </c>
      <c r="Z187" s="50">
        <v>0</v>
      </c>
      <c r="AA187" s="50">
        <v>0</v>
      </c>
      <c r="AB187" s="50">
        <v>0</v>
      </c>
      <c r="AC187" s="4">
        <f t="shared" si="142"/>
        <v>2.4133749999999998</v>
      </c>
      <c r="AD187" s="3"/>
    </row>
    <row r="188" spans="1:30" x14ac:dyDescent="0.25">
      <c r="A188">
        <v>4</v>
      </c>
      <c r="B188" t="s">
        <v>1</v>
      </c>
      <c r="C188">
        <v>12992</v>
      </c>
      <c r="D188">
        <v>224</v>
      </c>
      <c r="E188">
        <v>1</v>
      </c>
      <c r="F188">
        <v>4</v>
      </c>
      <c r="G188">
        <v>676.84</v>
      </c>
      <c r="H188" s="3">
        <v>2.1604000000000001</v>
      </c>
      <c r="I188" s="1">
        <v>45481</v>
      </c>
      <c r="J188" s="2">
        <v>0.82562500000000005</v>
      </c>
      <c r="K188">
        <v>0</v>
      </c>
      <c r="L188">
        <v>0</v>
      </c>
      <c r="M188">
        <v>0</v>
      </c>
      <c r="N188" s="3">
        <f t="shared" si="117"/>
        <v>2.1608399999999994</v>
      </c>
      <c r="P188" s="50">
        <v>4</v>
      </c>
      <c r="Q188" s="50" t="s">
        <v>1</v>
      </c>
      <c r="R188" s="50">
        <v>12992</v>
      </c>
      <c r="S188" s="50">
        <v>224</v>
      </c>
      <c r="T188" s="50">
        <v>1</v>
      </c>
      <c r="U188" s="50">
        <v>4</v>
      </c>
      <c r="V188" s="50">
        <v>603.27</v>
      </c>
      <c r="W188" s="64">
        <v>2.4238</v>
      </c>
      <c r="X188" s="51">
        <v>45481</v>
      </c>
      <c r="Y188" s="52">
        <v>0.89375000000000004</v>
      </c>
      <c r="Z188" s="50">
        <v>0</v>
      </c>
      <c r="AA188" s="50">
        <v>0</v>
      </c>
      <c r="AB188" s="50">
        <v>0</v>
      </c>
      <c r="AC188" s="4">
        <f t="shared" si="142"/>
        <v>2.4133749999999998</v>
      </c>
      <c r="AD188" s="3"/>
    </row>
    <row r="189" spans="1:30" x14ac:dyDescent="0.25">
      <c r="A189">
        <v>0</v>
      </c>
      <c r="B189" t="s">
        <v>1</v>
      </c>
      <c r="C189">
        <v>13664</v>
      </c>
      <c r="D189">
        <v>224</v>
      </c>
      <c r="E189">
        <v>1</v>
      </c>
      <c r="F189">
        <v>4</v>
      </c>
      <c r="G189">
        <v>781.43</v>
      </c>
      <c r="H189" s="3">
        <v>2.1768000000000001</v>
      </c>
      <c r="I189" s="1">
        <v>45481</v>
      </c>
      <c r="J189" s="2">
        <v>0.61597222222222225</v>
      </c>
      <c r="K189">
        <v>0</v>
      </c>
      <c r="L189">
        <v>0</v>
      </c>
      <c r="M189">
        <v>0</v>
      </c>
      <c r="N189" s="3">
        <f t="shared" ref="N189" si="143">AVERAGE(H189:H193)</f>
        <v>2.1776</v>
      </c>
      <c r="P189" s="50">
        <v>0</v>
      </c>
      <c r="Q189" s="50" t="s">
        <v>1</v>
      </c>
      <c r="R189" s="50">
        <v>13664</v>
      </c>
      <c r="S189" s="50">
        <v>224</v>
      </c>
      <c r="T189" s="50">
        <v>1</v>
      </c>
      <c r="U189" s="50">
        <v>4</v>
      </c>
      <c r="V189" s="50">
        <v>697.6</v>
      </c>
      <c r="W189" s="64">
        <v>2.4384000000000001</v>
      </c>
      <c r="X189" s="51">
        <v>45481</v>
      </c>
      <c r="Y189" s="52">
        <v>0.59662037037037041</v>
      </c>
      <c r="Z189" s="50">
        <v>0</v>
      </c>
      <c r="AA189" s="50">
        <v>0</v>
      </c>
      <c r="AB189" s="50">
        <v>0</v>
      </c>
      <c r="AC189" s="4">
        <f t="shared" ref="AC189" si="144">AVERAGE(W189:W193)</f>
        <v>2.4346999999999999</v>
      </c>
      <c r="AD189" s="3"/>
    </row>
    <row r="190" spans="1:30" x14ac:dyDescent="0.25">
      <c r="A190">
        <v>1</v>
      </c>
      <c r="B190" t="s">
        <v>1</v>
      </c>
      <c r="C190">
        <v>13664</v>
      </c>
      <c r="D190">
        <v>224</v>
      </c>
      <c r="E190">
        <v>1</v>
      </c>
      <c r="F190">
        <v>4</v>
      </c>
      <c r="G190">
        <v>780.87</v>
      </c>
      <c r="H190" s="3">
        <v>2.1783999999999999</v>
      </c>
      <c r="I190" s="1">
        <v>45481</v>
      </c>
      <c r="J190" s="2">
        <v>0.67269675925925931</v>
      </c>
      <c r="K190">
        <v>0</v>
      </c>
      <c r="L190">
        <v>0</v>
      </c>
      <c r="M190">
        <v>0</v>
      </c>
      <c r="N190" s="3">
        <f t="shared" ref="N190" si="145">N189</f>
        <v>2.1776</v>
      </c>
      <c r="P190" s="50">
        <v>1</v>
      </c>
      <c r="Q190" s="50" t="s">
        <v>1</v>
      </c>
      <c r="R190" s="50">
        <v>13664</v>
      </c>
      <c r="S190" s="50">
        <v>224</v>
      </c>
      <c r="T190" s="50">
        <v>1</v>
      </c>
      <c r="U190" s="50">
        <v>4</v>
      </c>
      <c r="V190" s="50">
        <v>701.38</v>
      </c>
      <c r="W190" s="64">
        <v>2.4253</v>
      </c>
      <c r="X190" s="51">
        <v>45481</v>
      </c>
      <c r="Y190" s="52">
        <v>0.65497685185185184</v>
      </c>
      <c r="Z190" s="50">
        <v>0</v>
      </c>
      <c r="AA190" s="50">
        <v>0</v>
      </c>
      <c r="AB190" s="50">
        <v>0</v>
      </c>
      <c r="AC190" s="4">
        <f t="shared" ref="AC190:AC193" si="146">AC189</f>
        <v>2.4346999999999999</v>
      </c>
      <c r="AD190" s="3"/>
    </row>
    <row r="191" spans="1:30" x14ac:dyDescent="0.25">
      <c r="A191">
        <v>2</v>
      </c>
      <c r="B191" t="s">
        <v>1</v>
      </c>
      <c r="C191">
        <v>13664</v>
      </c>
      <c r="D191">
        <v>224</v>
      </c>
      <c r="E191">
        <v>1</v>
      </c>
      <c r="F191">
        <v>4</v>
      </c>
      <c r="G191">
        <v>781.04</v>
      </c>
      <c r="H191" s="3">
        <v>2.1779000000000002</v>
      </c>
      <c r="I191" s="1">
        <v>45481</v>
      </c>
      <c r="J191" s="2">
        <v>0.72940972222222222</v>
      </c>
      <c r="K191">
        <v>0</v>
      </c>
      <c r="L191">
        <v>0</v>
      </c>
      <c r="M191">
        <v>0</v>
      </c>
      <c r="N191" s="3">
        <f t="shared" si="121"/>
        <v>2.1776</v>
      </c>
      <c r="P191" s="50">
        <v>2</v>
      </c>
      <c r="Q191" s="50" t="s">
        <v>1</v>
      </c>
      <c r="R191" s="50">
        <v>13664</v>
      </c>
      <c r="S191" s="50">
        <v>224</v>
      </c>
      <c r="T191" s="50">
        <v>1</v>
      </c>
      <c r="U191" s="50">
        <v>4</v>
      </c>
      <c r="V191" s="50">
        <v>699.12</v>
      </c>
      <c r="W191" s="64">
        <v>2.4331</v>
      </c>
      <c r="X191" s="51">
        <v>45481</v>
      </c>
      <c r="Y191" s="52">
        <v>0.71333333333333337</v>
      </c>
      <c r="Z191" s="50">
        <v>0</v>
      </c>
      <c r="AA191" s="50">
        <v>0</v>
      </c>
      <c r="AB191" s="50">
        <v>0</v>
      </c>
      <c r="AC191" s="4">
        <f t="shared" si="146"/>
        <v>2.4346999999999999</v>
      </c>
      <c r="AD191" s="3"/>
    </row>
    <row r="192" spans="1:30" x14ac:dyDescent="0.25">
      <c r="A192">
        <v>3</v>
      </c>
      <c r="B192" t="s">
        <v>1</v>
      </c>
      <c r="C192">
        <v>13664</v>
      </c>
      <c r="D192">
        <v>224</v>
      </c>
      <c r="E192">
        <v>1</v>
      </c>
      <c r="F192">
        <v>4</v>
      </c>
      <c r="G192">
        <v>781.32</v>
      </c>
      <c r="H192" s="3">
        <v>2.1770999999999998</v>
      </c>
      <c r="I192" s="1">
        <v>45481</v>
      </c>
      <c r="J192" s="2">
        <v>0.78613425925925928</v>
      </c>
      <c r="K192">
        <v>0</v>
      </c>
      <c r="L192">
        <v>0</v>
      </c>
      <c r="M192">
        <v>0</v>
      </c>
      <c r="N192" s="3">
        <f t="shared" si="121"/>
        <v>2.1776</v>
      </c>
      <c r="P192" s="50">
        <v>3</v>
      </c>
      <c r="Q192" s="50" t="s">
        <v>1</v>
      </c>
      <c r="R192" s="50">
        <v>13664</v>
      </c>
      <c r="S192" s="50">
        <v>224</v>
      </c>
      <c r="T192" s="50">
        <v>1</v>
      </c>
      <c r="U192" s="50">
        <v>4</v>
      </c>
      <c r="V192" s="50">
        <v>697.98</v>
      </c>
      <c r="W192" s="64">
        <v>2.4371</v>
      </c>
      <c r="X192" s="51">
        <v>45481</v>
      </c>
      <c r="Y192" s="52">
        <v>0.7716898148148148</v>
      </c>
      <c r="Z192" s="50">
        <v>0</v>
      </c>
      <c r="AA192" s="50">
        <v>0</v>
      </c>
      <c r="AB192" s="50">
        <v>0</v>
      </c>
      <c r="AC192" s="4">
        <f t="shared" si="146"/>
        <v>2.4346999999999999</v>
      </c>
      <c r="AD192" s="3"/>
    </row>
    <row r="193" spans="1:30" x14ac:dyDescent="0.25">
      <c r="A193">
        <v>4</v>
      </c>
      <c r="B193" t="s">
        <v>1</v>
      </c>
      <c r="C193">
        <v>13664</v>
      </c>
      <c r="D193">
        <v>224</v>
      </c>
      <c r="E193">
        <v>1</v>
      </c>
      <c r="F193">
        <v>4</v>
      </c>
      <c r="G193">
        <v>781.08</v>
      </c>
      <c r="H193" s="3">
        <v>2.1778</v>
      </c>
      <c r="I193" s="1">
        <v>45481</v>
      </c>
      <c r="J193" s="2">
        <v>0.84284722222222219</v>
      </c>
      <c r="K193">
        <v>0</v>
      </c>
      <c r="L193">
        <v>0</v>
      </c>
      <c r="M193">
        <v>0</v>
      </c>
      <c r="N193" s="3">
        <f t="shared" si="121"/>
        <v>2.1776</v>
      </c>
      <c r="P193" s="50">
        <v>4</v>
      </c>
      <c r="Q193" s="50" t="s">
        <v>1</v>
      </c>
      <c r="R193" s="50">
        <v>13664</v>
      </c>
      <c r="S193" s="50">
        <v>224</v>
      </c>
      <c r="T193" s="50">
        <v>1</v>
      </c>
      <c r="U193" s="50">
        <v>4</v>
      </c>
      <c r="V193" s="50">
        <v>697.26</v>
      </c>
      <c r="W193" s="64">
        <v>2.4396</v>
      </c>
      <c r="X193" s="51">
        <v>45482</v>
      </c>
      <c r="Y193" s="52">
        <v>7.4537037037037037E-3</v>
      </c>
      <c r="Z193" s="50">
        <v>0</v>
      </c>
      <c r="AA193" s="50">
        <v>0</v>
      </c>
      <c r="AB193" s="50">
        <v>0</v>
      </c>
      <c r="AC193" s="4">
        <f t="shared" si="146"/>
        <v>2.4346999999999999</v>
      </c>
      <c r="AD193" s="3"/>
    </row>
    <row r="194" spans="1:30" x14ac:dyDescent="0.25">
      <c r="A194">
        <v>0</v>
      </c>
      <c r="B194" t="s">
        <v>1</v>
      </c>
      <c r="C194">
        <v>14560</v>
      </c>
      <c r="D194">
        <v>224</v>
      </c>
      <c r="E194">
        <v>1</v>
      </c>
      <c r="F194">
        <v>4</v>
      </c>
      <c r="G194">
        <v>942.61</v>
      </c>
      <c r="H194" s="3">
        <v>2.1833999999999998</v>
      </c>
      <c r="I194" s="1">
        <v>45481</v>
      </c>
      <c r="J194" s="2">
        <v>0.63634259259259263</v>
      </c>
      <c r="K194">
        <v>0</v>
      </c>
      <c r="L194">
        <v>0</v>
      </c>
      <c r="M194">
        <v>0</v>
      </c>
      <c r="N194" s="3">
        <f t="shared" ref="N194" si="147">AVERAGE(H194:H198)</f>
        <v>2.1826999999999996</v>
      </c>
      <c r="P194" s="50">
        <v>0</v>
      </c>
      <c r="Q194" s="50" t="s">
        <v>1</v>
      </c>
      <c r="R194" s="50">
        <v>14560</v>
      </c>
      <c r="S194" s="50">
        <v>224</v>
      </c>
      <c r="T194" s="50">
        <v>1</v>
      </c>
      <c r="U194" s="50">
        <v>4</v>
      </c>
      <c r="V194" s="50">
        <v>838.7</v>
      </c>
      <c r="W194" s="64">
        <v>2.4539</v>
      </c>
      <c r="X194" s="51">
        <v>45481</v>
      </c>
      <c r="Y194" s="52">
        <v>0.61751157407407409</v>
      </c>
      <c r="Z194" s="50">
        <v>0</v>
      </c>
      <c r="AA194" s="50">
        <v>0</v>
      </c>
      <c r="AB194" s="50">
        <v>0</v>
      </c>
      <c r="AC194" s="4">
        <f t="shared" ref="AC194" si="148">AVERAGE(W194:W198)</f>
        <v>2.4478999999999997</v>
      </c>
      <c r="AD194" s="3"/>
    </row>
    <row r="195" spans="1:30" x14ac:dyDescent="0.25">
      <c r="A195">
        <v>1</v>
      </c>
      <c r="B195" t="s">
        <v>1</v>
      </c>
      <c r="C195">
        <v>14560</v>
      </c>
      <c r="D195">
        <v>224</v>
      </c>
      <c r="E195">
        <v>1</v>
      </c>
      <c r="F195">
        <v>4</v>
      </c>
      <c r="G195">
        <v>942.72</v>
      </c>
      <c r="H195" s="3">
        <v>2.1831</v>
      </c>
      <c r="I195" s="1">
        <v>45481</v>
      </c>
      <c r="J195" s="2">
        <v>0.69305555555555554</v>
      </c>
      <c r="K195">
        <v>0</v>
      </c>
      <c r="L195">
        <v>0</v>
      </c>
      <c r="M195">
        <v>0</v>
      </c>
      <c r="N195" s="3">
        <f t="shared" ref="N195" si="149">N194</f>
        <v>2.1826999999999996</v>
      </c>
      <c r="P195" s="50">
        <v>1</v>
      </c>
      <c r="Q195" s="50" t="s">
        <v>1</v>
      </c>
      <c r="R195" s="50">
        <v>14560</v>
      </c>
      <c r="S195" s="50">
        <v>224</v>
      </c>
      <c r="T195" s="50">
        <v>1</v>
      </c>
      <c r="U195" s="50">
        <v>4</v>
      </c>
      <c r="V195" s="50">
        <v>839.75</v>
      </c>
      <c r="W195" s="64">
        <v>2.4508000000000001</v>
      </c>
      <c r="X195" s="51">
        <v>45481</v>
      </c>
      <c r="Y195" s="52">
        <v>0.67585648148148147</v>
      </c>
      <c r="Z195" s="50">
        <v>0</v>
      </c>
      <c r="AA195" s="50">
        <v>0</v>
      </c>
      <c r="AB195" s="50">
        <v>0</v>
      </c>
      <c r="AC195" s="4">
        <f t="shared" ref="AC195:AC198" si="150">AC194</f>
        <v>2.4478999999999997</v>
      </c>
      <c r="AD195" s="3"/>
    </row>
    <row r="196" spans="1:30" x14ac:dyDescent="0.25">
      <c r="A196">
        <v>2</v>
      </c>
      <c r="B196" t="s">
        <v>1</v>
      </c>
      <c r="C196">
        <v>14560</v>
      </c>
      <c r="D196">
        <v>224</v>
      </c>
      <c r="E196">
        <v>1</v>
      </c>
      <c r="F196">
        <v>4</v>
      </c>
      <c r="G196">
        <v>943.08</v>
      </c>
      <c r="H196" s="3">
        <v>2.1823000000000001</v>
      </c>
      <c r="I196" s="1">
        <v>45481</v>
      </c>
      <c r="J196" s="2">
        <v>0.7497800925925926</v>
      </c>
      <c r="K196">
        <v>0</v>
      </c>
      <c r="L196">
        <v>0</v>
      </c>
      <c r="M196">
        <v>0</v>
      </c>
      <c r="N196" s="3">
        <f t="shared" si="117"/>
        <v>2.1826999999999996</v>
      </c>
      <c r="P196" s="50">
        <v>2</v>
      </c>
      <c r="Q196" s="50" t="s">
        <v>1</v>
      </c>
      <c r="R196" s="50">
        <v>14560</v>
      </c>
      <c r="S196" s="50">
        <v>224</v>
      </c>
      <c r="T196" s="50">
        <v>1</v>
      </c>
      <c r="U196" s="50">
        <v>4</v>
      </c>
      <c r="V196" s="50">
        <v>844.52</v>
      </c>
      <c r="W196" s="64">
        <v>2.4369999999999998</v>
      </c>
      <c r="X196" s="51">
        <v>45481</v>
      </c>
      <c r="Y196" s="52">
        <v>0.73428240740740736</v>
      </c>
      <c r="Z196" s="50">
        <v>0</v>
      </c>
      <c r="AA196" s="50">
        <v>0</v>
      </c>
      <c r="AB196" s="50">
        <v>0</v>
      </c>
      <c r="AC196" s="4">
        <f t="shared" si="150"/>
        <v>2.4478999999999997</v>
      </c>
      <c r="AD196" s="3"/>
    </row>
    <row r="197" spans="1:30" x14ac:dyDescent="0.25">
      <c r="A197">
        <v>3</v>
      </c>
      <c r="B197" t="s">
        <v>1</v>
      </c>
      <c r="C197">
        <v>14560</v>
      </c>
      <c r="D197">
        <v>224</v>
      </c>
      <c r="E197">
        <v>1</v>
      </c>
      <c r="F197">
        <v>4</v>
      </c>
      <c r="G197">
        <v>942.72</v>
      </c>
      <c r="H197" s="3">
        <v>2.1831</v>
      </c>
      <c r="I197" s="1">
        <v>45481</v>
      </c>
      <c r="J197" s="2">
        <v>0.8064930555555555</v>
      </c>
      <c r="K197">
        <v>0</v>
      </c>
      <c r="L197">
        <v>0</v>
      </c>
      <c r="M197">
        <v>0</v>
      </c>
      <c r="N197" s="3">
        <f t="shared" si="117"/>
        <v>2.1826999999999996</v>
      </c>
      <c r="P197" s="50">
        <v>3</v>
      </c>
      <c r="Q197" s="50" t="s">
        <v>1</v>
      </c>
      <c r="R197" s="50">
        <v>14560</v>
      </c>
      <c r="S197" s="50">
        <v>224</v>
      </c>
      <c r="T197" s="50">
        <v>1</v>
      </c>
      <c r="U197" s="50">
        <v>4</v>
      </c>
      <c r="V197" s="50">
        <v>841.77</v>
      </c>
      <c r="W197" s="64">
        <v>2.4449000000000001</v>
      </c>
      <c r="X197" s="51">
        <v>45481</v>
      </c>
      <c r="Y197" s="52">
        <v>0.79258101851851848</v>
      </c>
      <c r="Z197" s="50">
        <v>0</v>
      </c>
      <c r="AA197" s="50">
        <v>0</v>
      </c>
      <c r="AB197" s="50">
        <v>0</v>
      </c>
      <c r="AC197" s="4">
        <f t="shared" si="150"/>
        <v>2.4478999999999997</v>
      </c>
      <c r="AD197" s="3"/>
    </row>
    <row r="198" spans="1:30" x14ac:dyDescent="0.25">
      <c r="A198">
        <v>4</v>
      </c>
      <c r="B198" t="s">
        <v>1</v>
      </c>
      <c r="C198">
        <v>14560</v>
      </c>
      <c r="D198">
        <v>224</v>
      </c>
      <c r="E198">
        <v>1</v>
      </c>
      <c r="F198">
        <v>4</v>
      </c>
      <c r="G198">
        <v>943.37</v>
      </c>
      <c r="H198" s="3">
        <v>2.1816</v>
      </c>
      <c r="I198" s="1">
        <v>45481</v>
      </c>
      <c r="J198" s="2">
        <v>0.86321759259259256</v>
      </c>
      <c r="K198">
        <v>0</v>
      </c>
      <c r="L198">
        <v>0</v>
      </c>
      <c r="M198">
        <v>0</v>
      </c>
      <c r="N198" s="3">
        <f t="shared" si="117"/>
        <v>2.1826999999999996</v>
      </c>
      <c r="P198" s="50">
        <v>4</v>
      </c>
      <c r="Q198" s="50" t="s">
        <v>1</v>
      </c>
      <c r="R198" s="50">
        <v>14560</v>
      </c>
      <c r="S198" s="50">
        <v>224</v>
      </c>
      <c r="T198" s="50">
        <v>1</v>
      </c>
      <c r="U198" s="50">
        <v>4</v>
      </c>
      <c r="V198" s="50">
        <v>839.03</v>
      </c>
      <c r="W198" s="64">
        <v>2.4529000000000001</v>
      </c>
      <c r="X198" s="51">
        <v>45482</v>
      </c>
      <c r="Y198" s="52">
        <v>5.0856481481481482E-2</v>
      </c>
      <c r="Z198" s="50">
        <v>0</v>
      </c>
      <c r="AA198" s="50">
        <v>0</v>
      </c>
      <c r="AB198" s="50">
        <v>0</v>
      </c>
      <c r="AC198" s="4">
        <f t="shared" si="150"/>
        <v>2.4478999999999997</v>
      </c>
      <c r="AD198" s="3"/>
    </row>
    <row r="199" spans="1:30" x14ac:dyDescent="0.25">
      <c r="A199">
        <v>0</v>
      </c>
      <c r="B199" t="s">
        <v>1</v>
      </c>
      <c r="C199">
        <v>12992</v>
      </c>
      <c r="D199">
        <v>224</v>
      </c>
      <c r="E199">
        <v>2</v>
      </c>
      <c r="F199">
        <v>2</v>
      </c>
      <c r="G199">
        <v>656.08</v>
      </c>
      <c r="H199" s="3">
        <v>2.2286999999999999</v>
      </c>
      <c r="I199" s="1">
        <v>45481</v>
      </c>
      <c r="J199" s="2">
        <v>0.60660879629629627</v>
      </c>
      <c r="K199">
        <v>0</v>
      </c>
      <c r="L199">
        <v>0</v>
      </c>
      <c r="M199">
        <v>0</v>
      </c>
      <c r="N199" s="3">
        <f t="shared" ref="N199" si="151">AVERAGE(H199:H203)</f>
        <v>2.2286200000000003</v>
      </c>
      <c r="P199" s="50"/>
      <c r="Q199" s="50"/>
      <c r="R199" s="50"/>
      <c r="S199" s="50"/>
      <c r="T199" s="50"/>
      <c r="U199" s="50"/>
      <c r="V199" s="50"/>
      <c r="W199" s="64"/>
      <c r="X199" s="51"/>
      <c r="Y199" s="52"/>
      <c r="Z199" s="50"/>
      <c r="AA199" s="50"/>
      <c r="AB199" s="50"/>
      <c r="AC199" s="4">
        <f t="shared" ref="AC199" si="152">AVERAGE(W199:W203)</f>
        <v>2.435575</v>
      </c>
      <c r="AD199" s="3"/>
    </row>
    <row r="200" spans="1:30" x14ac:dyDescent="0.25">
      <c r="A200">
        <v>1</v>
      </c>
      <c r="B200" t="s">
        <v>1</v>
      </c>
      <c r="C200">
        <v>12992</v>
      </c>
      <c r="D200">
        <v>224</v>
      </c>
      <c r="E200">
        <v>2</v>
      </c>
      <c r="F200">
        <v>2</v>
      </c>
      <c r="G200">
        <v>656.01</v>
      </c>
      <c r="H200" s="3">
        <v>2.2290000000000001</v>
      </c>
      <c r="I200" s="1">
        <v>45481</v>
      </c>
      <c r="J200" s="2">
        <v>0.66333333333333333</v>
      </c>
      <c r="K200">
        <v>0</v>
      </c>
      <c r="L200">
        <v>0</v>
      </c>
      <c r="M200">
        <v>0</v>
      </c>
      <c r="N200" s="3">
        <f t="shared" ref="N200" si="153">N199</f>
        <v>2.2286200000000003</v>
      </c>
      <c r="P200" s="50">
        <v>1</v>
      </c>
      <c r="Q200" s="50" t="s">
        <v>1</v>
      </c>
      <c r="R200" s="50">
        <v>12992</v>
      </c>
      <c r="S200" s="50">
        <v>224</v>
      </c>
      <c r="T200" s="50">
        <v>2</v>
      </c>
      <c r="U200" s="50">
        <v>2</v>
      </c>
      <c r="V200" s="50">
        <v>598.05999999999995</v>
      </c>
      <c r="W200" s="64">
        <v>2.4449000000000001</v>
      </c>
      <c r="X200" s="51">
        <v>45481</v>
      </c>
      <c r="Y200" s="52">
        <v>0.64537037037037037</v>
      </c>
      <c r="Z200" s="50">
        <v>0</v>
      </c>
      <c r="AA200" s="50">
        <v>0</v>
      </c>
      <c r="AB200" s="50">
        <v>0</v>
      </c>
      <c r="AC200" s="4">
        <f t="shared" ref="AC200:AC203" si="154">AC199</f>
        <v>2.435575</v>
      </c>
      <c r="AD200" s="3"/>
    </row>
    <row r="201" spans="1:30" x14ac:dyDescent="0.25">
      <c r="A201">
        <v>2</v>
      </c>
      <c r="B201" t="s">
        <v>1</v>
      </c>
      <c r="C201">
        <v>12992</v>
      </c>
      <c r="D201">
        <v>224</v>
      </c>
      <c r="E201">
        <v>2</v>
      </c>
      <c r="F201">
        <v>2</v>
      </c>
      <c r="G201">
        <v>655.96</v>
      </c>
      <c r="H201" s="3">
        <v>2.2290999999999999</v>
      </c>
      <c r="I201" s="1">
        <v>45481</v>
      </c>
      <c r="J201" s="2">
        <v>0.72005787037037039</v>
      </c>
      <c r="K201">
        <v>0</v>
      </c>
      <c r="L201">
        <v>0</v>
      </c>
      <c r="M201">
        <v>0</v>
      </c>
      <c r="N201" s="3">
        <f t="shared" si="121"/>
        <v>2.2286200000000003</v>
      </c>
      <c r="P201" s="50">
        <v>2</v>
      </c>
      <c r="Q201" s="50" t="s">
        <v>1</v>
      </c>
      <c r="R201" s="50">
        <v>12992</v>
      </c>
      <c r="S201" s="50">
        <v>224</v>
      </c>
      <c r="T201" s="50">
        <v>2</v>
      </c>
      <c r="U201" s="50">
        <v>2</v>
      </c>
      <c r="V201" s="50">
        <v>600.4</v>
      </c>
      <c r="W201" s="64">
        <v>2.4354</v>
      </c>
      <c r="X201" s="51">
        <v>45481</v>
      </c>
      <c r="Y201" s="52">
        <v>0.70373842592592595</v>
      </c>
      <c r="Z201" s="50">
        <v>0</v>
      </c>
      <c r="AA201" s="50">
        <v>0</v>
      </c>
      <c r="AB201" s="50">
        <v>0</v>
      </c>
      <c r="AC201" s="4">
        <f t="shared" si="154"/>
        <v>2.435575</v>
      </c>
      <c r="AD201" s="3"/>
    </row>
    <row r="202" spans="1:30" x14ac:dyDescent="0.25">
      <c r="A202">
        <v>3</v>
      </c>
      <c r="B202" t="s">
        <v>1</v>
      </c>
      <c r="C202">
        <v>12992</v>
      </c>
      <c r="D202">
        <v>224</v>
      </c>
      <c r="E202">
        <v>2</v>
      </c>
      <c r="F202">
        <v>2</v>
      </c>
      <c r="G202">
        <v>656.09</v>
      </c>
      <c r="H202" s="3">
        <v>2.2286999999999999</v>
      </c>
      <c r="I202" s="1">
        <v>45481</v>
      </c>
      <c r="J202" s="2">
        <v>0.7767708333333333</v>
      </c>
      <c r="K202">
        <v>0</v>
      </c>
      <c r="L202">
        <v>0</v>
      </c>
      <c r="M202">
        <v>0</v>
      </c>
      <c r="N202" s="3">
        <f t="shared" si="121"/>
        <v>2.2286200000000003</v>
      </c>
      <c r="P202" s="50">
        <v>3</v>
      </c>
      <c r="Q202" s="50" t="s">
        <v>1</v>
      </c>
      <c r="R202" s="50">
        <v>12992</v>
      </c>
      <c r="S202" s="50">
        <v>224</v>
      </c>
      <c r="T202" s="50">
        <v>2</v>
      </c>
      <c r="U202" s="50">
        <v>2</v>
      </c>
      <c r="V202" s="50">
        <v>598.05999999999995</v>
      </c>
      <c r="W202" s="64">
        <v>2.4449999999999998</v>
      </c>
      <c r="X202" s="51">
        <v>45481</v>
      </c>
      <c r="Y202" s="52">
        <v>0.76211805555555556</v>
      </c>
      <c r="Z202" s="50">
        <v>0</v>
      </c>
      <c r="AA202" s="50">
        <v>0</v>
      </c>
      <c r="AB202" s="50">
        <v>0</v>
      </c>
      <c r="AC202" s="4">
        <f t="shared" si="154"/>
        <v>2.435575</v>
      </c>
      <c r="AD202" s="3"/>
    </row>
    <row r="203" spans="1:30" x14ac:dyDescent="0.25">
      <c r="A203">
        <v>4</v>
      </c>
      <c r="B203" t="s">
        <v>1</v>
      </c>
      <c r="C203">
        <v>12992</v>
      </c>
      <c r="D203">
        <v>224</v>
      </c>
      <c r="E203">
        <v>2</v>
      </c>
      <c r="F203">
        <v>2</v>
      </c>
      <c r="G203">
        <v>656.4</v>
      </c>
      <c r="H203" s="3">
        <v>2.2275999999999998</v>
      </c>
      <c r="I203" s="1">
        <v>45481</v>
      </c>
      <c r="J203" s="2">
        <v>0.83348379629629632</v>
      </c>
      <c r="K203">
        <v>0</v>
      </c>
      <c r="L203">
        <v>0</v>
      </c>
      <c r="M203">
        <v>0</v>
      </c>
      <c r="N203" s="3">
        <f t="shared" si="121"/>
        <v>2.2286200000000003</v>
      </c>
      <c r="P203" s="50">
        <v>4</v>
      </c>
      <c r="Q203" s="50" t="s">
        <v>1</v>
      </c>
      <c r="R203" s="50">
        <v>12992</v>
      </c>
      <c r="S203" s="50">
        <v>224</v>
      </c>
      <c r="T203" s="50">
        <v>2</v>
      </c>
      <c r="U203" s="50">
        <v>2</v>
      </c>
      <c r="V203" s="50">
        <v>604.98</v>
      </c>
      <c r="W203" s="64">
        <v>2.4169999999999998</v>
      </c>
      <c r="X203" s="51">
        <v>45481</v>
      </c>
      <c r="Y203" s="52">
        <v>0.90203703703703708</v>
      </c>
      <c r="Z203" s="50">
        <v>0</v>
      </c>
      <c r="AA203" s="50">
        <v>0</v>
      </c>
      <c r="AB203" s="50">
        <v>0</v>
      </c>
      <c r="AC203" s="4">
        <f t="shared" si="154"/>
        <v>2.435575</v>
      </c>
      <c r="AD203" s="3"/>
    </row>
    <row r="204" spans="1:30" x14ac:dyDescent="0.25">
      <c r="A204">
        <v>0</v>
      </c>
      <c r="B204" t="s">
        <v>1</v>
      </c>
      <c r="C204">
        <v>13664</v>
      </c>
      <c r="D204">
        <v>224</v>
      </c>
      <c r="E204">
        <v>2</v>
      </c>
      <c r="F204">
        <v>2</v>
      </c>
      <c r="G204">
        <v>759.81</v>
      </c>
      <c r="H204" s="3">
        <v>2.2387999999999999</v>
      </c>
      <c r="I204" s="1">
        <v>45481</v>
      </c>
      <c r="J204" s="2">
        <v>0.62506944444444446</v>
      </c>
      <c r="K204">
        <v>0</v>
      </c>
      <c r="L204">
        <v>0</v>
      </c>
      <c r="M204">
        <v>0</v>
      </c>
      <c r="N204" s="3">
        <f t="shared" ref="N204" si="155">AVERAGE(H204:H208)</f>
        <v>2.2394400000000001</v>
      </c>
      <c r="P204" s="50">
        <v>0</v>
      </c>
      <c r="Q204" s="50" t="s">
        <v>1</v>
      </c>
      <c r="R204" s="50">
        <v>13664</v>
      </c>
      <c r="S204" s="50">
        <v>224</v>
      </c>
      <c r="T204" s="50">
        <v>2</v>
      </c>
      <c r="U204" s="50">
        <v>2</v>
      </c>
      <c r="V204" s="50">
        <v>693.43</v>
      </c>
      <c r="W204" s="64">
        <v>2.4531000000000001</v>
      </c>
      <c r="X204" s="51">
        <v>45481</v>
      </c>
      <c r="Y204" s="52">
        <v>0.60611111111111116</v>
      </c>
      <c r="Z204" s="50">
        <v>0</v>
      </c>
      <c r="AA204" s="50">
        <v>0</v>
      </c>
      <c r="AB204" s="50">
        <v>0</v>
      </c>
      <c r="AC204" s="4">
        <f t="shared" ref="AC204" si="156">AVERAGE(W204:W208)</f>
        <v>2.4570199999999995</v>
      </c>
      <c r="AD204" s="3"/>
    </row>
    <row r="205" spans="1:30" x14ac:dyDescent="0.25">
      <c r="A205">
        <v>1</v>
      </c>
      <c r="B205" t="s">
        <v>1</v>
      </c>
      <c r="C205">
        <v>13664</v>
      </c>
      <c r="D205">
        <v>224</v>
      </c>
      <c r="E205">
        <v>2</v>
      </c>
      <c r="F205">
        <v>2</v>
      </c>
      <c r="G205">
        <v>759.75</v>
      </c>
      <c r="H205" s="3">
        <v>2.2389000000000001</v>
      </c>
      <c r="I205" s="1">
        <v>45481</v>
      </c>
      <c r="J205" s="2">
        <v>0.68179398148148151</v>
      </c>
      <c r="K205">
        <v>0</v>
      </c>
      <c r="L205">
        <v>0</v>
      </c>
      <c r="M205">
        <v>0</v>
      </c>
      <c r="N205" s="3">
        <f t="shared" ref="N205" si="157">N204</f>
        <v>2.2394400000000001</v>
      </c>
      <c r="P205" s="50">
        <v>1</v>
      </c>
      <c r="Q205" s="50" t="s">
        <v>1</v>
      </c>
      <c r="R205" s="50">
        <v>13664</v>
      </c>
      <c r="S205" s="50">
        <v>224</v>
      </c>
      <c r="T205" s="50">
        <v>2</v>
      </c>
      <c r="U205" s="50">
        <v>2</v>
      </c>
      <c r="V205" s="50">
        <v>691.87</v>
      </c>
      <c r="W205" s="64">
        <v>2.4586000000000001</v>
      </c>
      <c r="X205" s="51">
        <v>45481</v>
      </c>
      <c r="Y205" s="52">
        <v>0.66444444444444439</v>
      </c>
      <c r="Z205" s="50">
        <v>0</v>
      </c>
      <c r="AA205" s="50">
        <v>0</v>
      </c>
      <c r="AB205" s="50">
        <v>0</v>
      </c>
      <c r="AC205" s="4">
        <f t="shared" ref="AC205:AC208" si="158">AC204</f>
        <v>2.4570199999999995</v>
      </c>
      <c r="AD205" s="3"/>
    </row>
    <row r="206" spans="1:30" x14ac:dyDescent="0.25">
      <c r="A206">
        <v>2</v>
      </c>
      <c r="B206" t="s">
        <v>1</v>
      </c>
      <c r="C206">
        <v>13664</v>
      </c>
      <c r="D206">
        <v>224</v>
      </c>
      <c r="E206">
        <v>2</v>
      </c>
      <c r="F206">
        <v>2</v>
      </c>
      <c r="G206">
        <v>759.52</v>
      </c>
      <c r="H206" s="3">
        <v>2.2395999999999998</v>
      </c>
      <c r="I206" s="1">
        <v>45481</v>
      </c>
      <c r="J206" s="2">
        <v>0.73850694444444442</v>
      </c>
      <c r="K206">
        <v>0</v>
      </c>
      <c r="L206">
        <v>0</v>
      </c>
      <c r="M206">
        <v>0</v>
      </c>
      <c r="N206" s="3">
        <f t="shared" si="117"/>
        <v>2.2394400000000001</v>
      </c>
      <c r="P206" s="50">
        <v>2</v>
      </c>
      <c r="Q206" s="50" t="s">
        <v>1</v>
      </c>
      <c r="R206" s="50">
        <v>13664</v>
      </c>
      <c r="S206" s="50">
        <v>224</v>
      </c>
      <c r="T206" s="50">
        <v>2</v>
      </c>
      <c r="U206" s="50">
        <v>2</v>
      </c>
      <c r="V206" s="50">
        <v>693.06</v>
      </c>
      <c r="W206" s="64">
        <v>2.4544000000000001</v>
      </c>
      <c r="X206" s="51">
        <v>45481</v>
      </c>
      <c r="Y206" s="52">
        <v>0.72281249999999997</v>
      </c>
      <c r="Z206" s="50">
        <v>0</v>
      </c>
      <c r="AA206" s="50">
        <v>0</v>
      </c>
      <c r="AB206" s="50">
        <v>0</v>
      </c>
      <c r="AC206" s="4">
        <f t="shared" si="158"/>
        <v>2.4570199999999995</v>
      </c>
      <c r="AD206" s="3"/>
    </row>
    <row r="207" spans="1:30" x14ac:dyDescent="0.25">
      <c r="A207">
        <v>3</v>
      </c>
      <c r="B207" t="s">
        <v>1</v>
      </c>
      <c r="C207">
        <v>13664</v>
      </c>
      <c r="D207">
        <v>224</v>
      </c>
      <c r="E207">
        <v>2</v>
      </c>
      <c r="F207">
        <v>2</v>
      </c>
      <c r="G207">
        <v>759.45</v>
      </c>
      <c r="H207" s="3">
        <v>2.2397999999999998</v>
      </c>
      <c r="I207" s="1">
        <v>45481</v>
      </c>
      <c r="J207" s="2">
        <v>0.79523148148148148</v>
      </c>
      <c r="K207">
        <v>0</v>
      </c>
      <c r="L207">
        <v>0</v>
      </c>
      <c r="M207">
        <v>0</v>
      </c>
      <c r="N207" s="3">
        <f t="shared" si="117"/>
        <v>2.2394400000000001</v>
      </c>
      <c r="P207" s="50">
        <v>3</v>
      </c>
      <c r="Q207" s="50" t="s">
        <v>1</v>
      </c>
      <c r="R207" s="50">
        <v>13664</v>
      </c>
      <c r="S207" s="50">
        <v>224</v>
      </c>
      <c r="T207" s="50">
        <v>2</v>
      </c>
      <c r="U207" s="50">
        <v>2</v>
      </c>
      <c r="V207" s="50">
        <v>690.82</v>
      </c>
      <c r="W207" s="64">
        <v>2.4622999999999999</v>
      </c>
      <c r="X207" s="51">
        <v>45481</v>
      </c>
      <c r="Y207" s="52">
        <v>0.78115740740740736</v>
      </c>
      <c r="Z207" s="50">
        <v>0</v>
      </c>
      <c r="AA207" s="50">
        <v>0</v>
      </c>
      <c r="AB207" s="50">
        <v>0</v>
      </c>
      <c r="AC207" s="4">
        <f t="shared" si="158"/>
        <v>2.4570199999999995</v>
      </c>
      <c r="AD207" s="3"/>
    </row>
    <row r="208" spans="1:30" x14ac:dyDescent="0.25">
      <c r="A208">
        <v>4</v>
      </c>
      <c r="B208" t="s">
        <v>1</v>
      </c>
      <c r="C208">
        <v>13664</v>
      </c>
      <c r="D208">
        <v>224</v>
      </c>
      <c r="E208">
        <v>2</v>
      </c>
      <c r="F208">
        <v>2</v>
      </c>
      <c r="G208">
        <v>759.36</v>
      </c>
      <c r="H208" s="3">
        <v>2.2401</v>
      </c>
      <c r="I208" s="1">
        <v>45481</v>
      </c>
      <c r="J208" s="2">
        <v>0.85193287037037035</v>
      </c>
      <c r="K208">
        <v>0</v>
      </c>
      <c r="L208">
        <v>0</v>
      </c>
      <c r="M208">
        <v>0</v>
      </c>
      <c r="N208" s="3">
        <f t="shared" si="117"/>
        <v>2.2394400000000001</v>
      </c>
      <c r="P208" s="50">
        <v>4</v>
      </c>
      <c r="Q208" s="50" t="s">
        <v>1</v>
      </c>
      <c r="R208" s="50">
        <v>13664</v>
      </c>
      <c r="S208" s="50">
        <v>224</v>
      </c>
      <c r="T208" s="50">
        <v>2</v>
      </c>
      <c r="U208" s="50">
        <v>2</v>
      </c>
      <c r="V208" s="50">
        <v>692.4</v>
      </c>
      <c r="W208" s="64">
        <v>2.4567000000000001</v>
      </c>
      <c r="X208" s="51">
        <v>45482</v>
      </c>
      <c r="Y208" s="52">
        <v>1.6932870370370369E-2</v>
      </c>
      <c r="Z208" s="50">
        <v>0</v>
      </c>
      <c r="AA208" s="50">
        <v>0</v>
      </c>
      <c r="AB208" s="50">
        <v>0</v>
      </c>
      <c r="AC208" s="4">
        <f t="shared" si="158"/>
        <v>2.4570199999999995</v>
      </c>
      <c r="AD208" s="3"/>
    </row>
    <row r="209" spans="1:30" x14ac:dyDescent="0.25">
      <c r="A209">
        <v>0</v>
      </c>
      <c r="B209" t="s">
        <v>1</v>
      </c>
      <c r="C209">
        <v>14560</v>
      </c>
      <c r="D209">
        <v>224</v>
      </c>
      <c r="E209">
        <v>2</v>
      </c>
      <c r="F209">
        <v>2</v>
      </c>
      <c r="G209">
        <v>922.79</v>
      </c>
      <c r="H209" s="3">
        <v>2.2303000000000002</v>
      </c>
      <c r="I209" s="1">
        <v>45481</v>
      </c>
      <c r="J209" s="2">
        <v>0.64736111111111116</v>
      </c>
      <c r="K209">
        <v>0</v>
      </c>
      <c r="L209">
        <v>0</v>
      </c>
      <c r="M209">
        <v>0</v>
      </c>
      <c r="N209" s="3">
        <f t="shared" ref="N209" si="159">AVERAGE(H209:H213)</f>
        <v>2.2313999999999998</v>
      </c>
      <c r="P209" s="50">
        <v>0</v>
      </c>
      <c r="Q209" s="50" t="s">
        <v>1</v>
      </c>
      <c r="R209" s="50">
        <v>14560</v>
      </c>
      <c r="S209" s="50">
        <v>224</v>
      </c>
      <c r="T209" s="50">
        <v>2</v>
      </c>
      <c r="U209" s="50">
        <v>2</v>
      </c>
      <c r="V209" s="50">
        <v>832.29</v>
      </c>
      <c r="W209" s="64">
        <v>2.4727999999999999</v>
      </c>
      <c r="X209" s="51">
        <v>45481</v>
      </c>
      <c r="Y209" s="52">
        <v>0.6287962962962963</v>
      </c>
      <c r="Z209" s="50">
        <v>0</v>
      </c>
      <c r="AA209" s="50">
        <v>0</v>
      </c>
      <c r="AB209" s="50">
        <v>0</v>
      </c>
      <c r="AC209" s="4">
        <f t="shared" ref="AC209" si="160">AVERAGE(W209:W213)</f>
        <v>2.4708800000000002</v>
      </c>
      <c r="AD209" s="3"/>
    </row>
    <row r="210" spans="1:30" x14ac:dyDescent="0.25">
      <c r="A210">
        <v>1</v>
      </c>
      <c r="B210" t="s">
        <v>1</v>
      </c>
      <c r="C210">
        <v>14560</v>
      </c>
      <c r="D210">
        <v>224</v>
      </c>
      <c r="E210">
        <v>2</v>
      </c>
      <c r="F210">
        <v>2</v>
      </c>
      <c r="G210">
        <v>922.6</v>
      </c>
      <c r="H210" s="3">
        <v>2.2307000000000001</v>
      </c>
      <c r="I210" s="1">
        <v>45481</v>
      </c>
      <c r="J210" s="2">
        <v>0.70408564814814811</v>
      </c>
      <c r="K210">
        <v>0</v>
      </c>
      <c r="L210">
        <v>0</v>
      </c>
      <c r="M210">
        <v>0</v>
      </c>
      <c r="N210" s="3">
        <f t="shared" ref="N210" si="161">N209</f>
        <v>2.2313999999999998</v>
      </c>
      <c r="P210" s="50">
        <v>1</v>
      </c>
      <c r="Q210" s="50" t="s">
        <v>1</v>
      </c>
      <c r="R210" s="50">
        <v>14560</v>
      </c>
      <c r="S210" s="50">
        <v>224</v>
      </c>
      <c r="T210" s="50">
        <v>2</v>
      </c>
      <c r="U210" s="50">
        <v>2</v>
      </c>
      <c r="V210" s="50">
        <v>831.45</v>
      </c>
      <c r="W210" s="64">
        <v>2.4752999999999998</v>
      </c>
      <c r="X210" s="51">
        <v>45481</v>
      </c>
      <c r="Y210" s="52">
        <v>0.68714120370370368</v>
      </c>
      <c r="Z210" s="50">
        <v>0</v>
      </c>
      <c r="AA210" s="50">
        <v>0</v>
      </c>
      <c r="AB210" s="50">
        <v>0</v>
      </c>
      <c r="AC210" s="4">
        <f t="shared" ref="AC210:AC213" si="162">AC209</f>
        <v>2.4708800000000002</v>
      </c>
      <c r="AD210" s="3"/>
    </row>
    <row r="211" spans="1:30" x14ac:dyDescent="0.25">
      <c r="A211">
        <v>2</v>
      </c>
      <c r="B211" t="s">
        <v>1</v>
      </c>
      <c r="C211">
        <v>14560</v>
      </c>
      <c r="D211">
        <v>224</v>
      </c>
      <c r="E211">
        <v>2</v>
      </c>
      <c r="F211">
        <v>2</v>
      </c>
      <c r="G211">
        <v>922.19</v>
      </c>
      <c r="H211" s="3">
        <v>2.2317</v>
      </c>
      <c r="I211" s="1">
        <v>45481</v>
      </c>
      <c r="J211" s="2">
        <v>0.76079861111111113</v>
      </c>
      <c r="K211">
        <v>0</v>
      </c>
      <c r="L211">
        <v>0</v>
      </c>
      <c r="M211">
        <v>0</v>
      </c>
      <c r="N211" s="3">
        <f t="shared" si="121"/>
        <v>2.2313999999999998</v>
      </c>
      <c r="P211" s="50">
        <v>2</v>
      </c>
      <c r="Q211" s="50" t="s">
        <v>1</v>
      </c>
      <c r="R211" s="50">
        <v>14560</v>
      </c>
      <c r="S211" s="50">
        <v>224</v>
      </c>
      <c r="T211" s="50">
        <v>2</v>
      </c>
      <c r="U211" s="50">
        <v>2</v>
      </c>
      <c r="V211" s="50">
        <v>833.25</v>
      </c>
      <c r="W211" s="64">
        <v>2.4699</v>
      </c>
      <c r="X211" s="51">
        <v>45481</v>
      </c>
      <c r="Y211" s="52">
        <v>0.74557870370370372</v>
      </c>
      <c r="Z211" s="50">
        <v>0</v>
      </c>
      <c r="AA211" s="50">
        <v>0</v>
      </c>
      <c r="AB211" s="50">
        <v>0</v>
      </c>
      <c r="AC211" s="4">
        <f t="shared" si="162"/>
        <v>2.4708800000000002</v>
      </c>
      <c r="AD211" s="3"/>
    </row>
    <row r="212" spans="1:30" x14ac:dyDescent="0.25">
      <c r="A212">
        <v>3</v>
      </c>
      <c r="B212" t="s">
        <v>1</v>
      </c>
      <c r="C212">
        <v>14560</v>
      </c>
      <c r="D212">
        <v>224</v>
      </c>
      <c r="E212">
        <v>2</v>
      </c>
      <c r="F212">
        <v>2</v>
      </c>
      <c r="G212">
        <v>921.45</v>
      </c>
      <c r="H212" s="3">
        <v>2.2334999999999998</v>
      </c>
      <c r="I212" s="1">
        <v>45481</v>
      </c>
      <c r="J212" s="2">
        <v>0.81751157407407404</v>
      </c>
      <c r="K212">
        <v>0</v>
      </c>
      <c r="L212">
        <v>0</v>
      </c>
      <c r="M212">
        <v>0</v>
      </c>
      <c r="N212" s="3">
        <f t="shared" si="121"/>
        <v>2.2313999999999998</v>
      </c>
      <c r="P212" s="50">
        <v>3</v>
      </c>
      <c r="Q212" s="50" t="s">
        <v>1</v>
      </c>
      <c r="R212" s="50">
        <v>14560</v>
      </c>
      <c r="S212" s="50">
        <v>224</v>
      </c>
      <c r="T212" s="50">
        <v>2</v>
      </c>
      <c r="U212" s="50">
        <v>2</v>
      </c>
      <c r="V212" s="50">
        <v>835.82</v>
      </c>
      <c r="W212" s="64">
        <v>2.4622999999999999</v>
      </c>
      <c r="X212" s="51">
        <v>45481</v>
      </c>
      <c r="Y212" s="52">
        <v>0.80391203703703706</v>
      </c>
      <c r="Z212" s="50">
        <v>0</v>
      </c>
      <c r="AA212" s="50">
        <v>0</v>
      </c>
      <c r="AB212" s="50">
        <v>0</v>
      </c>
      <c r="AC212" s="4">
        <f t="shared" si="162"/>
        <v>2.4708800000000002</v>
      </c>
      <c r="AD212" s="3"/>
    </row>
    <row r="213" spans="1:30" x14ac:dyDescent="0.25">
      <c r="A213">
        <v>4</v>
      </c>
      <c r="B213" t="s">
        <v>1</v>
      </c>
      <c r="C213">
        <v>14560</v>
      </c>
      <c r="D213">
        <v>224</v>
      </c>
      <c r="E213">
        <v>2</v>
      </c>
      <c r="F213">
        <v>2</v>
      </c>
      <c r="G213">
        <v>922.55</v>
      </c>
      <c r="H213" s="3">
        <v>2.2307999999999999</v>
      </c>
      <c r="I213" s="1">
        <v>45481</v>
      </c>
      <c r="J213" s="2">
        <v>0.8742361111111111</v>
      </c>
      <c r="K213">
        <v>0</v>
      </c>
      <c r="L213">
        <v>0</v>
      </c>
      <c r="M213">
        <v>0</v>
      </c>
      <c r="N213" s="3">
        <f t="shared" si="121"/>
        <v>2.2313999999999998</v>
      </c>
      <c r="P213" s="50">
        <v>4</v>
      </c>
      <c r="Q213" s="50" t="s">
        <v>1</v>
      </c>
      <c r="R213" s="50">
        <v>14560</v>
      </c>
      <c r="S213" s="50">
        <v>224</v>
      </c>
      <c r="T213" s="50">
        <v>2</v>
      </c>
      <c r="U213" s="50">
        <v>2</v>
      </c>
      <c r="V213" s="50">
        <v>831.83</v>
      </c>
      <c r="W213" s="64">
        <v>2.4741</v>
      </c>
      <c r="X213" s="51">
        <v>45482</v>
      </c>
      <c r="Y213" s="52">
        <v>6.2141203703703705E-2</v>
      </c>
      <c r="Z213" s="50">
        <v>0</v>
      </c>
      <c r="AA213" s="50">
        <v>0</v>
      </c>
      <c r="AB213" s="50">
        <v>0</v>
      </c>
      <c r="AC213" s="4">
        <f t="shared" si="162"/>
        <v>2.4708800000000002</v>
      </c>
      <c r="AD213" s="3"/>
    </row>
    <row r="214" spans="1:30" x14ac:dyDescent="0.25">
      <c r="A214">
        <v>0</v>
      </c>
      <c r="B214" t="s">
        <v>1</v>
      </c>
      <c r="C214">
        <v>13056</v>
      </c>
      <c r="D214">
        <v>256</v>
      </c>
      <c r="E214">
        <v>1</v>
      </c>
      <c r="F214">
        <v>4</v>
      </c>
      <c r="G214">
        <v>701.25</v>
      </c>
      <c r="H214" s="24">
        <v>2.1160999999999999</v>
      </c>
      <c r="I214" s="1">
        <v>45480</v>
      </c>
      <c r="J214" s="2">
        <v>0.9515393518518519</v>
      </c>
      <c r="K214">
        <v>0</v>
      </c>
      <c r="L214">
        <v>0</v>
      </c>
      <c r="M214">
        <v>0</v>
      </c>
      <c r="N214" s="3">
        <f t="shared" ref="N214" si="163">AVERAGE(H214:H218)</f>
        <v>2.1158000000000001</v>
      </c>
      <c r="P214" s="50">
        <v>0</v>
      </c>
      <c r="Q214" s="50" t="s">
        <v>1</v>
      </c>
      <c r="R214" s="50">
        <v>13056</v>
      </c>
      <c r="S214" s="50">
        <v>256</v>
      </c>
      <c r="T214" s="50">
        <v>1</v>
      </c>
      <c r="U214" s="50">
        <v>4</v>
      </c>
      <c r="V214" s="50">
        <v>623.58000000000004</v>
      </c>
      <c r="W214" s="63">
        <v>2.3797000000000001</v>
      </c>
      <c r="X214" s="51">
        <v>45480</v>
      </c>
      <c r="Y214" s="52">
        <v>0.95224537037037038</v>
      </c>
      <c r="Z214" s="50">
        <v>0</v>
      </c>
      <c r="AA214" s="50">
        <v>0</v>
      </c>
      <c r="AB214" s="50">
        <v>0</v>
      </c>
      <c r="AC214" s="4">
        <f t="shared" ref="AC214" si="164">AVERAGE(W214:W218)</f>
        <v>2.3780400000000004</v>
      </c>
      <c r="AD214" s="3"/>
    </row>
    <row r="215" spans="1:30" x14ac:dyDescent="0.25">
      <c r="A215">
        <v>1</v>
      </c>
      <c r="B215" t="s">
        <v>1</v>
      </c>
      <c r="C215">
        <v>13056</v>
      </c>
      <c r="D215">
        <v>256</v>
      </c>
      <c r="E215">
        <v>1</v>
      </c>
      <c r="F215">
        <v>4</v>
      </c>
      <c r="G215">
        <v>701.2</v>
      </c>
      <c r="H215" s="24">
        <v>2.1162999999999998</v>
      </c>
      <c r="I215" s="1">
        <v>45481</v>
      </c>
      <c r="J215" s="2">
        <v>6.8611111111111109E-2</v>
      </c>
      <c r="K215">
        <v>0</v>
      </c>
      <c r="L215">
        <v>0</v>
      </c>
      <c r="M215">
        <v>0</v>
      </c>
      <c r="N215" s="3">
        <f t="shared" ref="N215" si="165">N214</f>
        <v>2.1158000000000001</v>
      </c>
      <c r="P215" s="50">
        <v>1</v>
      </c>
      <c r="Q215" s="50" t="s">
        <v>1</v>
      </c>
      <c r="R215" s="50">
        <v>13056</v>
      </c>
      <c r="S215" s="50">
        <v>256</v>
      </c>
      <c r="T215" s="50">
        <v>1</v>
      </c>
      <c r="U215" s="50">
        <v>4</v>
      </c>
      <c r="V215" s="50">
        <v>623.07000000000005</v>
      </c>
      <c r="W215" s="63">
        <v>2.3816000000000002</v>
      </c>
      <c r="X215" s="51">
        <v>45481</v>
      </c>
      <c r="Y215" s="52">
        <v>7.1689814814814817E-2</v>
      </c>
      <c r="Z215" s="50">
        <v>0</v>
      </c>
      <c r="AA215" s="50">
        <v>0</v>
      </c>
      <c r="AB215" s="50">
        <v>0</v>
      </c>
      <c r="AC215" s="4">
        <f t="shared" ref="AC215:AC218" si="166">AC214</f>
        <v>2.3780400000000004</v>
      </c>
      <c r="AD215" s="3"/>
    </row>
    <row r="216" spans="1:30" x14ac:dyDescent="0.25">
      <c r="A216">
        <v>2</v>
      </c>
      <c r="B216" t="s">
        <v>1</v>
      </c>
      <c r="C216">
        <v>13056</v>
      </c>
      <c r="D216">
        <v>256</v>
      </c>
      <c r="E216">
        <v>1</v>
      </c>
      <c r="F216">
        <v>4</v>
      </c>
      <c r="G216">
        <v>701.59</v>
      </c>
      <c r="H216" s="24">
        <v>2.1151</v>
      </c>
      <c r="I216" s="1">
        <v>45481</v>
      </c>
      <c r="J216" s="2">
        <v>0.18564814814814815</v>
      </c>
      <c r="K216">
        <v>0</v>
      </c>
      <c r="L216">
        <v>0</v>
      </c>
      <c r="M216">
        <v>0</v>
      </c>
      <c r="N216" s="3">
        <f t="shared" si="117"/>
        <v>2.1158000000000001</v>
      </c>
      <c r="P216" s="50">
        <v>2</v>
      </c>
      <c r="Q216" s="50" t="s">
        <v>1</v>
      </c>
      <c r="R216" s="50">
        <v>13056</v>
      </c>
      <c r="S216" s="50">
        <v>256</v>
      </c>
      <c r="T216" s="50">
        <v>1</v>
      </c>
      <c r="U216" s="50">
        <v>4</v>
      </c>
      <c r="V216" s="50">
        <v>623.44000000000005</v>
      </c>
      <c r="W216" s="63">
        <v>2.3801999999999999</v>
      </c>
      <c r="X216" s="51">
        <v>45481</v>
      </c>
      <c r="Y216" s="52">
        <v>0.19109953703703703</v>
      </c>
      <c r="Z216" s="50">
        <v>0</v>
      </c>
      <c r="AA216" s="50">
        <v>0</v>
      </c>
      <c r="AB216" s="50">
        <v>0</v>
      </c>
      <c r="AC216" s="4">
        <f t="shared" si="166"/>
        <v>2.3780400000000004</v>
      </c>
      <c r="AD216" s="3"/>
    </row>
    <row r="217" spans="1:30" x14ac:dyDescent="0.25">
      <c r="A217">
        <v>3</v>
      </c>
      <c r="B217" t="s">
        <v>1</v>
      </c>
      <c r="C217">
        <v>13056</v>
      </c>
      <c r="D217">
        <v>256</v>
      </c>
      <c r="E217">
        <v>1</v>
      </c>
      <c r="F217">
        <v>4</v>
      </c>
      <c r="G217">
        <v>701.41</v>
      </c>
      <c r="H217" s="24">
        <v>2.1156000000000001</v>
      </c>
      <c r="I217" s="1">
        <v>45481</v>
      </c>
      <c r="J217" s="2">
        <v>0.3027199074074074</v>
      </c>
      <c r="K217">
        <v>0</v>
      </c>
      <c r="L217">
        <v>0</v>
      </c>
      <c r="M217">
        <v>0</v>
      </c>
      <c r="N217" s="3">
        <f t="shared" si="117"/>
        <v>2.1158000000000001</v>
      </c>
      <c r="P217" s="50">
        <v>3</v>
      </c>
      <c r="Q217" s="50" t="s">
        <v>1</v>
      </c>
      <c r="R217" s="50">
        <v>13056</v>
      </c>
      <c r="S217" s="50">
        <v>256</v>
      </c>
      <c r="T217" s="50">
        <v>1</v>
      </c>
      <c r="U217" s="50">
        <v>4</v>
      </c>
      <c r="V217" s="50">
        <v>623.33000000000004</v>
      </c>
      <c r="W217" s="63">
        <v>2.3807</v>
      </c>
      <c r="X217" s="51">
        <v>45481</v>
      </c>
      <c r="Y217" s="52">
        <v>0.31046296296296294</v>
      </c>
      <c r="Z217" s="50">
        <v>0</v>
      </c>
      <c r="AA217" s="50">
        <v>0</v>
      </c>
      <c r="AB217" s="50">
        <v>0</v>
      </c>
      <c r="AC217" s="4">
        <f t="shared" si="166"/>
        <v>2.3780400000000004</v>
      </c>
      <c r="AD217" s="3"/>
    </row>
    <row r="218" spans="1:30" x14ac:dyDescent="0.25">
      <c r="A218">
        <v>4</v>
      </c>
      <c r="B218" t="s">
        <v>1</v>
      </c>
      <c r="C218">
        <v>13056</v>
      </c>
      <c r="D218">
        <v>256</v>
      </c>
      <c r="E218">
        <v>1</v>
      </c>
      <c r="F218">
        <v>4</v>
      </c>
      <c r="G218">
        <v>701.32</v>
      </c>
      <c r="H218" s="24">
        <v>2.1158999999999999</v>
      </c>
      <c r="I218" s="1">
        <v>45481</v>
      </c>
      <c r="J218" s="2">
        <v>0.41981481481481481</v>
      </c>
      <c r="K218">
        <v>0</v>
      </c>
      <c r="L218">
        <v>0</v>
      </c>
      <c r="M218">
        <v>0</v>
      </c>
      <c r="N218" s="3">
        <f t="shared" si="117"/>
        <v>2.1158000000000001</v>
      </c>
      <c r="P218" s="50">
        <v>4</v>
      </c>
      <c r="Q218" s="50" t="s">
        <v>1</v>
      </c>
      <c r="R218" s="50">
        <v>13056</v>
      </c>
      <c r="S218" s="50">
        <v>256</v>
      </c>
      <c r="T218" s="50">
        <v>1</v>
      </c>
      <c r="U218" s="50">
        <v>4</v>
      </c>
      <c r="V218" s="50">
        <v>626.66999999999996</v>
      </c>
      <c r="W218" s="63">
        <v>2.3679999999999999</v>
      </c>
      <c r="X218" s="51">
        <v>45481</v>
      </c>
      <c r="Y218" s="52">
        <v>0.42993055555555554</v>
      </c>
      <c r="Z218" s="50">
        <v>0</v>
      </c>
      <c r="AA218" s="50">
        <v>0</v>
      </c>
      <c r="AB218" s="50">
        <v>0</v>
      </c>
      <c r="AC218" s="4">
        <f t="shared" si="166"/>
        <v>2.3780400000000004</v>
      </c>
      <c r="AD218" s="3"/>
    </row>
    <row r="219" spans="1:30" x14ac:dyDescent="0.25">
      <c r="A219">
        <v>0</v>
      </c>
      <c r="B219" t="s">
        <v>1</v>
      </c>
      <c r="C219">
        <v>13824</v>
      </c>
      <c r="D219">
        <v>256</v>
      </c>
      <c r="E219">
        <v>1</v>
      </c>
      <c r="F219">
        <v>4</v>
      </c>
      <c r="G219">
        <v>835.88</v>
      </c>
      <c r="H219" s="24">
        <v>2.1074000000000002</v>
      </c>
      <c r="I219" s="1">
        <v>45480</v>
      </c>
      <c r="J219" s="2">
        <v>0.98916666666666664</v>
      </c>
      <c r="K219">
        <v>0</v>
      </c>
      <c r="L219">
        <v>0</v>
      </c>
      <c r="M219">
        <v>0</v>
      </c>
      <c r="N219" s="3">
        <f t="shared" ref="N219" si="167">AVERAGE(H219:H223)</f>
        <v>2.1076199999999998</v>
      </c>
      <c r="P219" s="50">
        <v>0</v>
      </c>
      <c r="Q219" s="50" t="s">
        <v>1</v>
      </c>
      <c r="R219" s="50">
        <v>13824</v>
      </c>
      <c r="S219" s="50">
        <v>256</v>
      </c>
      <c r="T219" s="50">
        <v>1</v>
      </c>
      <c r="U219" s="50">
        <v>4</v>
      </c>
      <c r="V219" s="50">
        <v>737.47</v>
      </c>
      <c r="W219" s="63">
        <v>2.3885999999999998</v>
      </c>
      <c r="X219" s="51">
        <v>45480</v>
      </c>
      <c r="Y219" s="52">
        <v>0.99048611111111107</v>
      </c>
      <c r="Z219" s="50">
        <v>0</v>
      </c>
      <c r="AA219" s="50">
        <v>0</v>
      </c>
      <c r="AB219" s="50">
        <v>0</v>
      </c>
      <c r="AC219" s="4">
        <f t="shared" ref="AC219" si="168">AVERAGE(W219:W223)</f>
        <v>2.3855</v>
      </c>
      <c r="AD219" s="3"/>
    </row>
    <row r="220" spans="1:30" x14ac:dyDescent="0.25">
      <c r="A220">
        <v>1</v>
      </c>
      <c r="B220" t="s">
        <v>1</v>
      </c>
      <c r="C220">
        <v>13824</v>
      </c>
      <c r="D220">
        <v>256</v>
      </c>
      <c r="E220">
        <v>1</v>
      </c>
      <c r="F220">
        <v>4</v>
      </c>
      <c r="G220">
        <v>835.72</v>
      </c>
      <c r="H220" s="24">
        <v>2.1076999999999999</v>
      </c>
      <c r="I220" s="1">
        <v>45481</v>
      </c>
      <c r="J220" s="2">
        <v>0.10623842592592593</v>
      </c>
      <c r="K220">
        <v>0</v>
      </c>
      <c r="L220">
        <v>0</v>
      </c>
      <c r="M220">
        <v>0</v>
      </c>
      <c r="N220" s="3">
        <f t="shared" ref="N220" si="169">N219</f>
        <v>2.1076199999999998</v>
      </c>
      <c r="P220" s="50">
        <v>1</v>
      </c>
      <c r="Q220" s="50" t="s">
        <v>1</v>
      </c>
      <c r="R220" s="50">
        <v>13824</v>
      </c>
      <c r="S220" s="50">
        <v>256</v>
      </c>
      <c r="T220" s="50">
        <v>1</v>
      </c>
      <c r="U220" s="50">
        <v>4</v>
      </c>
      <c r="V220" s="50">
        <v>739.47</v>
      </c>
      <c r="W220" s="63">
        <v>2.3820999999999999</v>
      </c>
      <c r="X220" s="51">
        <v>45481</v>
      </c>
      <c r="Y220" s="52">
        <v>0.10994212962962963</v>
      </c>
      <c r="Z220" s="50">
        <v>0</v>
      </c>
      <c r="AA220" s="50">
        <v>0</v>
      </c>
      <c r="AB220" s="50">
        <v>0</v>
      </c>
      <c r="AC220" s="4">
        <f t="shared" ref="AC220:AC223" si="170">AC219</f>
        <v>2.3855</v>
      </c>
      <c r="AD220" s="3"/>
    </row>
    <row r="221" spans="1:30" x14ac:dyDescent="0.25">
      <c r="A221">
        <v>2</v>
      </c>
      <c r="B221" t="s">
        <v>1</v>
      </c>
      <c r="C221">
        <v>13824</v>
      </c>
      <c r="D221">
        <v>256</v>
      </c>
      <c r="E221">
        <v>1</v>
      </c>
      <c r="F221">
        <v>4</v>
      </c>
      <c r="G221">
        <v>836.19</v>
      </c>
      <c r="H221" s="24">
        <v>2.1065999999999998</v>
      </c>
      <c r="I221" s="1">
        <v>45481</v>
      </c>
      <c r="J221" s="2">
        <v>0.22328703703703703</v>
      </c>
      <c r="K221">
        <v>0</v>
      </c>
      <c r="L221">
        <v>0</v>
      </c>
      <c r="M221">
        <v>0</v>
      </c>
      <c r="N221" s="3">
        <f t="shared" si="121"/>
        <v>2.1076199999999998</v>
      </c>
      <c r="P221" s="50">
        <v>2</v>
      </c>
      <c r="Q221" s="50" t="s">
        <v>1</v>
      </c>
      <c r="R221" s="50">
        <v>13824</v>
      </c>
      <c r="S221" s="50">
        <v>256</v>
      </c>
      <c r="T221" s="50">
        <v>1</v>
      </c>
      <c r="U221" s="50">
        <v>4</v>
      </c>
      <c r="V221" s="50">
        <v>737.98</v>
      </c>
      <c r="W221" s="63">
        <v>2.3868999999999998</v>
      </c>
      <c r="X221" s="51">
        <v>45481</v>
      </c>
      <c r="Y221" s="52">
        <v>0.22930555555555557</v>
      </c>
      <c r="Z221" s="50">
        <v>0</v>
      </c>
      <c r="AA221" s="50">
        <v>0</v>
      </c>
      <c r="AB221" s="50">
        <v>0</v>
      </c>
      <c r="AC221" s="4">
        <f t="shared" si="170"/>
        <v>2.3855</v>
      </c>
      <c r="AD221" s="3"/>
    </row>
    <row r="222" spans="1:30" x14ac:dyDescent="0.25">
      <c r="A222">
        <v>3</v>
      </c>
      <c r="B222" t="s">
        <v>1</v>
      </c>
      <c r="C222">
        <v>13824</v>
      </c>
      <c r="D222">
        <v>256</v>
      </c>
      <c r="E222">
        <v>1</v>
      </c>
      <c r="F222">
        <v>4</v>
      </c>
      <c r="G222">
        <v>835.84</v>
      </c>
      <c r="H222" s="24">
        <v>2.1074000000000002</v>
      </c>
      <c r="I222" s="1">
        <v>45481</v>
      </c>
      <c r="J222" s="2">
        <v>0.34035879629629628</v>
      </c>
      <c r="K222">
        <v>0</v>
      </c>
      <c r="L222">
        <v>0</v>
      </c>
      <c r="M222">
        <v>0</v>
      </c>
      <c r="N222" s="3">
        <f t="shared" si="121"/>
        <v>2.1076199999999998</v>
      </c>
      <c r="P222" s="50">
        <v>3</v>
      </c>
      <c r="Q222" s="50" t="s">
        <v>1</v>
      </c>
      <c r="R222" s="50">
        <v>13824</v>
      </c>
      <c r="S222" s="50">
        <v>256</v>
      </c>
      <c r="T222" s="50">
        <v>1</v>
      </c>
      <c r="U222" s="50">
        <v>4</v>
      </c>
      <c r="V222" s="50">
        <v>738.51</v>
      </c>
      <c r="W222" s="63">
        <v>2.3852000000000002</v>
      </c>
      <c r="X222" s="51">
        <v>45481</v>
      </c>
      <c r="Y222" s="52">
        <v>0.34872685185185187</v>
      </c>
      <c r="Z222" s="50">
        <v>0</v>
      </c>
      <c r="AA222" s="50">
        <v>0</v>
      </c>
      <c r="AB222" s="50">
        <v>0</v>
      </c>
      <c r="AC222" s="4">
        <f t="shared" si="170"/>
        <v>2.3855</v>
      </c>
      <c r="AD222" s="3"/>
    </row>
    <row r="223" spans="1:30" x14ac:dyDescent="0.25">
      <c r="A223">
        <v>4</v>
      </c>
      <c r="B223" t="s">
        <v>1</v>
      </c>
      <c r="C223">
        <v>13824</v>
      </c>
      <c r="D223">
        <v>256</v>
      </c>
      <c r="E223">
        <v>1</v>
      </c>
      <c r="F223">
        <v>4</v>
      </c>
      <c r="G223">
        <v>835.24</v>
      </c>
      <c r="H223" s="24">
        <v>2.109</v>
      </c>
      <c r="I223" s="1">
        <v>45481</v>
      </c>
      <c r="J223" s="2">
        <v>0.45744212962962966</v>
      </c>
      <c r="K223">
        <v>0</v>
      </c>
      <c r="L223">
        <v>0</v>
      </c>
      <c r="M223">
        <v>0</v>
      </c>
      <c r="N223" s="3">
        <f t="shared" si="121"/>
        <v>2.1076199999999998</v>
      </c>
      <c r="P223" s="50">
        <v>4</v>
      </c>
      <c r="Q223" s="50" t="s">
        <v>1</v>
      </c>
      <c r="R223" s="50">
        <v>13824</v>
      </c>
      <c r="S223" s="50">
        <v>256</v>
      </c>
      <c r="T223" s="50">
        <v>1</v>
      </c>
      <c r="U223" s="50">
        <v>4</v>
      </c>
      <c r="V223" s="50">
        <v>738.66</v>
      </c>
      <c r="W223" s="63">
        <v>2.3847</v>
      </c>
      <c r="X223" s="51">
        <v>45481</v>
      </c>
      <c r="Y223" s="52">
        <v>0.46814814814814815</v>
      </c>
      <c r="Z223" s="50">
        <v>0</v>
      </c>
      <c r="AA223" s="50">
        <v>0</v>
      </c>
      <c r="AB223" s="50">
        <v>0</v>
      </c>
      <c r="AC223" s="4">
        <f t="shared" si="170"/>
        <v>2.3855</v>
      </c>
      <c r="AD223" s="3"/>
    </row>
    <row r="224" spans="1:30" x14ac:dyDescent="0.25">
      <c r="A224">
        <v>0</v>
      </c>
      <c r="B224" t="s">
        <v>1</v>
      </c>
      <c r="C224">
        <v>14592</v>
      </c>
      <c r="D224">
        <v>256</v>
      </c>
      <c r="E224">
        <v>1</v>
      </c>
      <c r="F224">
        <v>4</v>
      </c>
      <c r="G224">
        <v>963.75</v>
      </c>
      <c r="H224" s="24">
        <v>2.1496</v>
      </c>
      <c r="I224" s="1">
        <v>45481</v>
      </c>
      <c r="J224" s="2">
        <v>3.2754629629629627E-2</v>
      </c>
      <c r="K224">
        <v>0</v>
      </c>
      <c r="L224">
        <v>0</v>
      </c>
      <c r="M224">
        <v>0</v>
      </c>
      <c r="N224" s="3">
        <f t="shared" ref="N224" si="171">AVERAGE(H224:H228)</f>
        <v>2.1494600000000004</v>
      </c>
      <c r="P224" s="50">
        <v>0</v>
      </c>
      <c r="Q224" s="50" t="s">
        <v>1</v>
      </c>
      <c r="R224" s="50">
        <v>14592</v>
      </c>
      <c r="S224" s="50">
        <v>256</v>
      </c>
      <c r="T224" s="50">
        <v>1</v>
      </c>
      <c r="U224" s="50">
        <v>4</v>
      </c>
      <c r="V224" s="50">
        <v>859.38</v>
      </c>
      <c r="W224" s="63">
        <v>2.4106999999999998</v>
      </c>
      <c r="X224" s="51">
        <v>45481</v>
      </c>
      <c r="Y224" s="52">
        <v>3.4918981481481481E-2</v>
      </c>
      <c r="Z224" s="50">
        <v>0</v>
      </c>
      <c r="AA224" s="50">
        <v>0</v>
      </c>
      <c r="AB224" s="50">
        <v>0</v>
      </c>
      <c r="AC224" s="4">
        <f t="shared" ref="AC224" si="172">AVERAGE(W224:W228)</f>
        <v>2.4139200000000001</v>
      </c>
      <c r="AD224" s="3"/>
    </row>
    <row r="225" spans="1:30" x14ac:dyDescent="0.25">
      <c r="A225">
        <v>1</v>
      </c>
      <c r="B225" t="s">
        <v>1</v>
      </c>
      <c r="C225">
        <v>14592</v>
      </c>
      <c r="D225">
        <v>256</v>
      </c>
      <c r="E225">
        <v>1</v>
      </c>
      <c r="F225">
        <v>4</v>
      </c>
      <c r="G225">
        <v>963.35</v>
      </c>
      <c r="H225" s="24">
        <v>2.1505000000000001</v>
      </c>
      <c r="I225" s="1">
        <v>45481</v>
      </c>
      <c r="J225" s="2">
        <v>0.14979166666666666</v>
      </c>
      <c r="K225">
        <v>0</v>
      </c>
      <c r="L225">
        <v>0</v>
      </c>
      <c r="M225">
        <v>0</v>
      </c>
      <c r="N225" s="3">
        <f t="shared" ref="N225:N288" si="173">N224</f>
        <v>2.1494600000000004</v>
      </c>
      <c r="P225" s="50">
        <v>1</v>
      </c>
      <c r="Q225" s="50" t="s">
        <v>1</v>
      </c>
      <c r="R225" s="50">
        <v>14592</v>
      </c>
      <c r="S225" s="50">
        <v>256</v>
      </c>
      <c r="T225" s="50">
        <v>1</v>
      </c>
      <c r="U225" s="50">
        <v>4</v>
      </c>
      <c r="V225" s="50">
        <v>858.29</v>
      </c>
      <c r="W225" s="63">
        <v>2.4137</v>
      </c>
      <c r="X225" s="51">
        <v>45481</v>
      </c>
      <c r="Y225" s="52">
        <v>0.15431712962962962</v>
      </c>
      <c r="Z225" s="50">
        <v>0</v>
      </c>
      <c r="AA225" s="50">
        <v>0</v>
      </c>
      <c r="AB225" s="50">
        <v>0</v>
      </c>
      <c r="AC225" s="4">
        <f t="shared" ref="AC225:AC228" si="174">AC224</f>
        <v>2.4139200000000001</v>
      </c>
      <c r="AD225" s="3"/>
    </row>
    <row r="226" spans="1:30" x14ac:dyDescent="0.25">
      <c r="A226">
        <v>2</v>
      </c>
      <c r="B226" t="s">
        <v>1</v>
      </c>
      <c r="C226">
        <v>14592</v>
      </c>
      <c r="D226">
        <v>256</v>
      </c>
      <c r="E226">
        <v>1</v>
      </c>
      <c r="F226">
        <v>4</v>
      </c>
      <c r="G226">
        <v>964.3</v>
      </c>
      <c r="H226" s="24">
        <v>2.1484000000000001</v>
      </c>
      <c r="I226" s="1">
        <v>45481</v>
      </c>
      <c r="J226" s="2">
        <v>0.26685185185185184</v>
      </c>
      <c r="K226">
        <v>0</v>
      </c>
      <c r="L226">
        <v>0</v>
      </c>
      <c r="M226">
        <v>0</v>
      </c>
      <c r="N226" s="3">
        <f t="shared" si="173"/>
        <v>2.1494600000000004</v>
      </c>
      <c r="P226" s="50">
        <v>2</v>
      </c>
      <c r="Q226" s="50" t="s">
        <v>1</v>
      </c>
      <c r="R226" s="50">
        <v>14592</v>
      </c>
      <c r="S226" s="50">
        <v>256</v>
      </c>
      <c r="T226" s="50">
        <v>1</v>
      </c>
      <c r="U226" s="50">
        <v>4</v>
      </c>
      <c r="V226" s="50">
        <v>857.17</v>
      </c>
      <c r="W226" s="63">
        <v>2.4169</v>
      </c>
      <c r="X226" s="51">
        <v>45481</v>
      </c>
      <c r="Y226" s="52">
        <v>0.2736689814814815</v>
      </c>
      <c r="Z226" s="50">
        <v>0</v>
      </c>
      <c r="AA226" s="50">
        <v>0</v>
      </c>
      <c r="AB226" s="50">
        <v>0</v>
      </c>
      <c r="AC226" s="4">
        <f t="shared" si="174"/>
        <v>2.4139200000000001</v>
      </c>
      <c r="AD226" s="3"/>
    </row>
    <row r="227" spans="1:30" x14ac:dyDescent="0.25">
      <c r="A227">
        <v>3</v>
      </c>
      <c r="B227" t="s">
        <v>1</v>
      </c>
      <c r="C227">
        <v>14592</v>
      </c>
      <c r="D227">
        <v>256</v>
      </c>
      <c r="E227">
        <v>1</v>
      </c>
      <c r="F227">
        <v>4</v>
      </c>
      <c r="G227">
        <v>964.15</v>
      </c>
      <c r="H227" s="24">
        <v>2.1486999999999998</v>
      </c>
      <c r="I227" s="1">
        <v>45481</v>
      </c>
      <c r="J227" s="2">
        <v>0.38393518518518521</v>
      </c>
      <c r="K227">
        <v>0</v>
      </c>
      <c r="L227">
        <v>0</v>
      </c>
      <c r="M227">
        <v>0</v>
      </c>
      <c r="N227" s="3">
        <f t="shared" si="173"/>
        <v>2.1494600000000004</v>
      </c>
      <c r="P227" s="50">
        <v>3</v>
      </c>
      <c r="Q227" s="50" t="s">
        <v>1</v>
      </c>
      <c r="R227" s="50">
        <v>14592</v>
      </c>
      <c r="S227" s="50">
        <v>256</v>
      </c>
      <c r="T227" s="50">
        <v>1</v>
      </c>
      <c r="U227" s="50">
        <v>4</v>
      </c>
      <c r="V227" s="50">
        <v>858.81</v>
      </c>
      <c r="W227" s="63">
        <v>2.4121999999999999</v>
      </c>
      <c r="X227" s="51">
        <v>45481</v>
      </c>
      <c r="Y227" s="52">
        <v>0.39307870370370368</v>
      </c>
      <c r="Z227" s="50">
        <v>0</v>
      </c>
      <c r="AA227" s="50">
        <v>0</v>
      </c>
      <c r="AB227" s="50">
        <v>0</v>
      </c>
      <c r="AC227" s="4">
        <f t="shared" si="174"/>
        <v>2.4139200000000001</v>
      </c>
      <c r="AD227" s="3"/>
    </row>
    <row r="228" spans="1:30" x14ac:dyDescent="0.25">
      <c r="A228">
        <v>4</v>
      </c>
      <c r="B228" t="s">
        <v>1</v>
      </c>
      <c r="C228">
        <v>14592</v>
      </c>
      <c r="D228">
        <v>256</v>
      </c>
      <c r="E228">
        <v>1</v>
      </c>
      <c r="F228">
        <v>4</v>
      </c>
      <c r="G228">
        <v>963.52</v>
      </c>
      <c r="H228" s="24">
        <v>2.1501000000000001</v>
      </c>
      <c r="I228" s="1">
        <v>45481</v>
      </c>
      <c r="J228" s="2">
        <v>0.50100694444444449</v>
      </c>
      <c r="K228">
        <v>0</v>
      </c>
      <c r="L228">
        <v>0</v>
      </c>
      <c r="M228">
        <v>0</v>
      </c>
      <c r="N228" s="3">
        <f t="shared" si="173"/>
        <v>2.1494600000000004</v>
      </c>
      <c r="P228" s="50">
        <v>4</v>
      </c>
      <c r="Q228" s="50" t="s">
        <v>1</v>
      </c>
      <c r="R228" s="50">
        <v>14592</v>
      </c>
      <c r="S228" s="50">
        <v>256</v>
      </c>
      <c r="T228" s="50">
        <v>1</v>
      </c>
      <c r="U228" s="50">
        <v>4</v>
      </c>
      <c r="V228" s="50">
        <v>857.46</v>
      </c>
      <c r="W228" s="63">
        <v>2.4161000000000001</v>
      </c>
      <c r="X228" s="51">
        <v>45481</v>
      </c>
      <c r="Y228" s="52">
        <v>0.51253472222222218</v>
      </c>
      <c r="Z228" s="50">
        <v>0</v>
      </c>
      <c r="AA228" s="50">
        <v>0</v>
      </c>
      <c r="AB228" s="50">
        <v>0</v>
      </c>
      <c r="AC228" s="4">
        <f t="shared" si="174"/>
        <v>2.4139200000000001</v>
      </c>
      <c r="AD228" s="3"/>
    </row>
    <row r="229" spans="1:30" x14ac:dyDescent="0.25">
      <c r="A229">
        <v>0</v>
      </c>
      <c r="B229" t="s">
        <v>1</v>
      </c>
      <c r="C229">
        <v>13056</v>
      </c>
      <c r="D229">
        <v>256</v>
      </c>
      <c r="E229">
        <v>2</v>
      </c>
      <c r="F229">
        <v>2</v>
      </c>
      <c r="G229">
        <v>682.17</v>
      </c>
      <c r="H229" s="24">
        <v>2.1753</v>
      </c>
      <c r="I229" s="1">
        <v>45480</v>
      </c>
      <c r="J229" s="2">
        <v>0.9597106481481481</v>
      </c>
      <c r="K229">
        <v>0</v>
      </c>
      <c r="L229">
        <v>0</v>
      </c>
      <c r="M229">
        <v>0</v>
      </c>
      <c r="N229" s="3">
        <f t="shared" ref="N229" si="175">AVERAGE(H229:H233)</f>
        <v>2.1753400000000003</v>
      </c>
      <c r="P229" s="50">
        <v>0</v>
      </c>
      <c r="Q229" s="50" t="s">
        <v>1</v>
      </c>
      <c r="R229" s="50">
        <v>13056</v>
      </c>
      <c r="S229" s="50">
        <v>256</v>
      </c>
      <c r="T229" s="50">
        <v>2</v>
      </c>
      <c r="U229" s="50">
        <v>2</v>
      </c>
      <c r="V229" s="50">
        <v>617.05999999999995</v>
      </c>
      <c r="W229" s="63">
        <v>2.4047999999999998</v>
      </c>
      <c r="X229" s="51">
        <v>45480</v>
      </c>
      <c r="Y229" s="52">
        <v>0.96072916666666663</v>
      </c>
      <c r="Z229" s="50">
        <v>0</v>
      </c>
      <c r="AA229" s="50">
        <v>0</v>
      </c>
      <c r="AB229" s="50">
        <v>0</v>
      </c>
      <c r="AC229" s="4">
        <f t="shared" ref="AC229" si="176">AVERAGE(W229:W233)</f>
        <v>2.4116600000000004</v>
      </c>
      <c r="AD229" s="3"/>
    </row>
    <row r="230" spans="1:30" x14ac:dyDescent="0.25">
      <c r="A230">
        <v>1</v>
      </c>
      <c r="B230" t="s">
        <v>1</v>
      </c>
      <c r="C230">
        <v>13056</v>
      </c>
      <c r="D230">
        <v>256</v>
      </c>
      <c r="E230">
        <v>2</v>
      </c>
      <c r="F230">
        <v>2</v>
      </c>
      <c r="G230">
        <v>682.13</v>
      </c>
      <c r="H230" s="24">
        <v>2.1753999999999998</v>
      </c>
      <c r="I230" s="1">
        <v>45481</v>
      </c>
      <c r="J230" s="2">
        <v>7.678240740740741E-2</v>
      </c>
      <c r="K230">
        <v>0</v>
      </c>
      <c r="L230">
        <v>0</v>
      </c>
      <c r="M230">
        <v>0</v>
      </c>
      <c r="N230" s="3">
        <f t="shared" ref="N230:N293" si="177">N229</f>
        <v>2.1753400000000003</v>
      </c>
      <c r="P230" s="50">
        <v>1</v>
      </c>
      <c r="Q230" s="50" t="s">
        <v>1</v>
      </c>
      <c r="R230" s="50">
        <v>13056</v>
      </c>
      <c r="S230" s="50">
        <v>256</v>
      </c>
      <c r="T230" s="50">
        <v>2</v>
      </c>
      <c r="U230" s="50">
        <v>2</v>
      </c>
      <c r="V230" s="50">
        <v>615.54</v>
      </c>
      <c r="W230" s="63">
        <v>2.4108000000000001</v>
      </c>
      <c r="X230" s="51">
        <v>45481</v>
      </c>
      <c r="Y230" s="52">
        <v>8.0162037037037032E-2</v>
      </c>
      <c r="Z230" s="50">
        <v>0</v>
      </c>
      <c r="AA230" s="50">
        <v>0</v>
      </c>
      <c r="AB230" s="50">
        <v>0</v>
      </c>
      <c r="AC230" s="4">
        <f t="shared" ref="AC230:AC233" si="178">AC229</f>
        <v>2.4116600000000004</v>
      </c>
      <c r="AD230" s="3"/>
    </row>
    <row r="231" spans="1:30" x14ac:dyDescent="0.25">
      <c r="A231">
        <v>2</v>
      </c>
      <c r="B231" t="s">
        <v>1</v>
      </c>
      <c r="C231">
        <v>13056</v>
      </c>
      <c r="D231">
        <v>256</v>
      </c>
      <c r="E231">
        <v>2</v>
      </c>
      <c r="F231">
        <v>2</v>
      </c>
      <c r="G231">
        <v>682.2</v>
      </c>
      <c r="H231" s="24">
        <v>2.1751999999999998</v>
      </c>
      <c r="I231" s="1">
        <v>45481</v>
      </c>
      <c r="J231" s="2">
        <v>0.19383101851851853</v>
      </c>
      <c r="K231">
        <v>0</v>
      </c>
      <c r="L231">
        <v>0</v>
      </c>
      <c r="M231">
        <v>0</v>
      </c>
      <c r="N231" s="3">
        <f t="shared" si="177"/>
        <v>2.1753400000000003</v>
      </c>
      <c r="P231" s="50">
        <v>2</v>
      </c>
      <c r="Q231" s="50" t="s">
        <v>1</v>
      </c>
      <c r="R231" s="50">
        <v>13056</v>
      </c>
      <c r="S231" s="50">
        <v>256</v>
      </c>
      <c r="T231" s="50">
        <v>2</v>
      </c>
      <c r="U231" s="50">
        <v>2</v>
      </c>
      <c r="V231" s="50">
        <v>614.08000000000004</v>
      </c>
      <c r="W231" s="63">
        <v>2.4165000000000001</v>
      </c>
      <c r="X231" s="51">
        <v>45481</v>
      </c>
      <c r="Y231" s="52">
        <v>0.19954861111111111</v>
      </c>
      <c r="Z231" s="50">
        <v>0</v>
      </c>
      <c r="AA231" s="50">
        <v>0</v>
      </c>
      <c r="AB231" s="50">
        <v>0</v>
      </c>
      <c r="AC231" s="4">
        <f t="shared" si="178"/>
        <v>2.4116600000000004</v>
      </c>
      <c r="AD231" s="3"/>
    </row>
    <row r="232" spans="1:30" x14ac:dyDescent="0.25">
      <c r="A232">
        <v>3</v>
      </c>
      <c r="B232" t="s">
        <v>1</v>
      </c>
      <c r="C232">
        <v>13056</v>
      </c>
      <c r="D232">
        <v>256</v>
      </c>
      <c r="E232">
        <v>2</v>
      </c>
      <c r="F232">
        <v>2</v>
      </c>
      <c r="G232">
        <v>682.31</v>
      </c>
      <c r="H232" s="24">
        <v>2.1749000000000001</v>
      </c>
      <c r="I232" s="1">
        <v>45481</v>
      </c>
      <c r="J232" s="2">
        <v>0.31090277777777775</v>
      </c>
      <c r="K232">
        <v>0</v>
      </c>
      <c r="L232">
        <v>0</v>
      </c>
      <c r="M232">
        <v>0</v>
      </c>
      <c r="N232" s="3">
        <f t="shared" si="177"/>
        <v>2.1753400000000003</v>
      </c>
      <c r="P232" s="50">
        <v>3</v>
      </c>
      <c r="Q232" s="50" t="s">
        <v>1</v>
      </c>
      <c r="R232" s="50">
        <v>13056</v>
      </c>
      <c r="S232" s="50">
        <v>256</v>
      </c>
      <c r="T232" s="50">
        <v>2</v>
      </c>
      <c r="U232" s="50">
        <v>2</v>
      </c>
      <c r="V232" s="50">
        <v>616.24</v>
      </c>
      <c r="W232" s="63">
        <v>2.4079999999999999</v>
      </c>
      <c r="X232" s="51">
        <v>45481</v>
      </c>
      <c r="Y232" s="52">
        <v>0.31894675925925925</v>
      </c>
      <c r="Z232" s="50">
        <v>0</v>
      </c>
      <c r="AA232" s="50">
        <v>0</v>
      </c>
      <c r="AB232" s="50">
        <v>0</v>
      </c>
      <c r="AC232" s="4">
        <f t="shared" si="178"/>
        <v>2.4116600000000004</v>
      </c>
      <c r="AD232" s="3"/>
    </row>
    <row r="233" spans="1:30" x14ac:dyDescent="0.25">
      <c r="A233">
        <v>4</v>
      </c>
      <c r="B233" t="s">
        <v>1</v>
      </c>
      <c r="C233">
        <v>13056</v>
      </c>
      <c r="D233">
        <v>256</v>
      </c>
      <c r="E233">
        <v>2</v>
      </c>
      <c r="F233">
        <v>2</v>
      </c>
      <c r="G233">
        <v>681.98</v>
      </c>
      <c r="H233" s="24">
        <v>2.1758999999999999</v>
      </c>
      <c r="I233" s="1">
        <v>45481</v>
      </c>
      <c r="J233" s="2">
        <v>0.42798611111111112</v>
      </c>
      <c r="K233">
        <v>0</v>
      </c>
      <c r="L233">
        <v>0</v>
      </c>
      <c r="M233">
        <v>0</v>
      </c>
      <c r="N233" s="3">
        <f t="shared" si="177"/>
        <v>2.1753400000000003</v>
      </c>
      <c r="P233" s="50">
        <v>4</v>
      </c>
      <c r="Q233" s="50" t="s">
        <v>1</v>
      </c>
      <c r="R233" s="50">
        <v>13056</v>
      </c>
      <c r="S233" s="50">
        <v>256</v>
      </c>
      <c r="T233" s="50">
        <v>2</v>
      </c>
      <c r="U233" s="50">
        <v>2</v>
      </c>
      <c r="V233" s="50">
        <v>613.66</v>
      </c>
      <c r="W233" s="63">
        <v>2.4182000000000001</v>
      </c>
      <c r="X233" s="51">
        <v>45481</v>
      </c>
      <c r="Y233" s="52">
        <v>0.43837962962962962</v>
      </c>
      <c r="Z233" s="50">
        <v>0</v>
      </c>
      <c r="AA233" s="50">
        <v>0</v>
      </c>
      <c r="AB233" s="50">
        <v>0</v>
      </c>
      <c r="AC233" s="4">
        <f t="shared" si="178"/>
        <v>2.4116600000000004</v>
      </c>
      <c r="AD233" s="3"/>
    </row>
    <row r="234" spans="1:30" x14ac:dyDescent="0.25">
      <c r="A234">
        <v>0</v>
      </c>
      <c r="B234" t="s">
        <v>1</v>
      </c>
      <c r="C234">
        <v>13824</v>
      </c>
      <c r="D234">
        <v>256</v>
      </c>
      <c r="E234">
        <v>2</v>
      </c>
      <c r="F234">
        <v>2</v>
      </c>
      <c r="G234">
        <v>804.2</v>
      </c>
      <c r="H234" s="24">
        <v>2.1903999999999999</v>
      </c>
      <c r="I234" s="1">
        <v>45480</v>
      </c>
      <c r="J234" s="2">
        <v>0.9987731481481481</v>
      </c>
      <c r="K234">
        <v>0</v>
      </c>
      <c r="L234">
        <v>0</v>
      </c>
      <c r="M234">
        <v>0</v>
      </c>
      <c r="N234" s="3">
        <f t="shared" ref="N234" si="179">AVERAGE(H234:H238)</f>
        <v>2.19034</v>
      </c>
      <c r="P234" s="50">
        <v>0</v>
      </c>
      <c r="Q234" s="50" t="s">
        <v>1</v>
      </c>
      <c r="R234" s="50">
        <v>13824</v>
      </c>
      <c r="S234" s="50">
        <v>256</v>
      </c>
      <c r="T234" s="50">
        <v>2</v>
      </c>
      <c r="U234" s="50">
        <v>2</v>
      </c>
      <c r="V234" s="50">
        <v>728.81</v>
      </c>
      <c r="W234" s="63">
        <v>2.4169</v>
      </c>
      <c r="X234" s="51">
        <v>45481</v>
      </c>
      <c r="Y234" s="52">
        <v>3.7037037037037035E-4</v>
      </c>
      <c r="Z234" s="50">
        <v>0</v>
      </c>
      <c r="AA234" s="50">
        <v>0</v>
      </c>
      <c r="AB234" s="50">
        <v>0</v>
      </c>
      <c r="AC234" s="4">
        <f t="shared" ref="AC234" si="180">AVERAGE(W234:W238)</f>
        <v>2.4248399999999997</v>
      </c>
      <c r="AD234" s="3"/>
    </row>
    <row r="235" spans="1:30" x14ac:dyDescent="0.25">
      <c r="A235">
        <v>1</v>
      </c>
      <c r="B235" t="s">
        <v>1</v>
      </c>
      <c r="C235">
        <v>13824</v>
      </c>
      <c r="D235">
        <v>256</v>
      </c>
      <c r="E235">
        <v>2</v>
      </c>
      <c r="F235">
        <v>2</v>
      </c>
      <c r="G235">
        <v>803.86</v>
      </c>
      <c r="H235" s="24">
        <v>2.1913</v>
      </c>
      <c r="I235" s="1">
        <v>45481</v>
      </c>
      <c r="J235" s="2">
        <v>0.11584490740740741</v>
      </c>
      <c r="K235">
        <v>0</v>
      </c>
      <c r="L235">
        <v>0</v>
      </c>
      <c r="M235">
        <v>0</v>
      </c>
      <c r="N235" s="3">
        <f t="shared" ref="N235" si="181">N234</f>
        <v>2.19034</v>
      </c>
      <c r="P235" s="50">
        <v>1</v>
      </c>
      <c r="Q235" s="50" t="s">
        <v>1</v>
      </c>
      <c r="R235" s="50">
        <v>13824</v>
      </c>
      <c r="S235" s="50">
        <v>256</v>
      </c>
      <c r="T235" s="50">
        <v>2</v>
      </c>
      <c r="U235" s="50">
        <v>2</v>
      </c>
      <c r="V235" s="50">
        <v>725.36</v>
      </c>
      <c r="W235" s="63">
        <v>2.4285000000000001</v>
      </c>
      <c r="X235" s="51">
        <v>45481</v>
      </c>
      <c r="Y235" s="52">
        <v>0.11979166666666667</v>
      </c>
      <c r="Z235" s="50">
        <v>0</v>
      </c>
      <c r="AA235" s="50">
        <v>0</v>
      </c>
      <c r="AB235" s="50">
        <v>0</v>
      </c>
      <c r="AC235" s="4">
        <f t="shared" ref="AC235:AC238" si="182">AC234</f>
        <v>2.4248399999999997</v>
      </c>
      <c r="AD235" s="3"/>
    </row>
    <row r="236" spans="1:30" x14ac:dyDescent="0.25">
      <c r="A236">
        <v>2</v>
      </c>
      <c r="B236" t="s">
        <v>1</v>
      </c>
      <c r="C236">
        <v>13824</v>
      </c>
      <c r="D236">
        <v>256</v>
      </c>
      <c r="E236">
        <v>2</v>
      </c>
      <c r="F236">
        <v>2</v>
      </c>
      <c r="G236">
        <v>804.42</v>
      </c>
      <c r="H236" s="24">
        <v>2.1898</v>
      </c>
      <c r="I236" s="1">
        <v>45481</v>
      </c>
      <c r="J236" s="2">
        <v>0.23289351851851853</v>
      </c>
      <c r="K236">
        <v>0</v>
      </c>
      <c r="L236">
        <v>0</v>
      </c>
      <c r="M236">
        <v>0</v>
      </c>
      <c r="N236" s="3">
        <f t="shared" si="173"/>
        <v>2.19034</v>
      </c>
      <c r="P236" s="50">
        <v>2</v>
      </c>
      <c r="Q236" s="50" t="s">
        <v>1</v>
      </c>
      <c r="R236" s="50">
        <v>13824</v>
      </c>
      <c r="S236" s="50">
        <v>256</v>
      </c>
      <c r="T236" s="50">
        <v>2</v>
      </c>
      <c r="U236" s="50">
        <v>2</v>
      </c>
      <c r="V236" s="50">
        <v>725.69</v>
      </c>
      <c r="W236" s="63">
        <v>2.4272999999999998</v>
      </c>
      <c r="X236" s="51">
        <v>45481</v>
      </c>
      <c r="Y236" s="52">
        <v>0.2391550925925926</v>
      </c>
      <c r="Z236" s="50">
        <v>0</v>
      </c>
      <c r="AA236" s="50">
        <v>0</v>
      </c>
      <c r="AB236" s="50">
        <v>0</v>
      </c>
      <c r="AC236" s="4">
        <f t="shared" si="182"/>
        <v>2.4248399999999997</v>
      </c>
      <c r="AD236" s="3"/>
    </row>
    <row r="237" spans="1:30" x14ac:dyDescent="0.25">
      <c r="A237">
        <v>3</v>
      </c>
      <c r="B237" t="s">
        <v>1</v>
      </c>
      <c r="C237">
        <v>13824</v>
      </c>
      <c r="D237">
        <v>256</v>
      </c>
      <c r="E237">
        <v>2</v>
      </c>
      <c r="F237">
        <v>2</v>
      </c>
      <c r="G237">
        <v>804.19</v>
      </c>
      <c r="H237" s="24">
        <v>2.1903999999999999</v>
      </c>
      <c r="I237" s="1">
        <v>45481</v>
      </c>
      <c r="J237" s="2">
        <v>0.34997685185185184</v>
      </c>
      <c r="K237">
        <v>0</v>
      </c>
      <c r="L237">
        <v>0</v>
      </c>
      <c r="M237">
        <v>0</v>
      </c>
      <c r="N237" s="3">
        <f t="shared" si="173"/>
        <v>2.19034</v>
      </c>
      <c r="P237" s="50">
        <v>3</v>
      </c>
      <c r="Q237" s="50" t="s">
        <v>1</v>
      </c>
      <c r="R237" s="50">
        <v>13824</v>
      </c>
      <c r="S237" s="50">
        <v>256</v>
      </c>
      <c r="T237" s="50">
        <v>2</v>
      </c>
      <c r="U237" s="50">
        <v>2</v>
      </c>
      <c r="V237" s="50">
        <v>724.57</v>
      </c>
      <c r="W237" s="63">
        <v>2.4310999999999998</v>
      </c>
      <c r="X237" s="51">
        <v>45481</v>
      </c>
      <c r="Y237" s="52">
        <v>0.35856481481481484</v>
      </c>
      <c r="Z237" s="50">
        <v>0</v>
      </c>
      <c r="AA237" s="50">
        <v>0</v>
      </c>
      <c r="AB237" s="50">
        <v>0</v>
      </c>
      <c r="AC237" s="4">
        <f t="shared" si="182"/>
        <v>2.4248399999999997</v>
      </c>
      <c r="AD237" s="3"/>
    </row>
    <row r="238" spans="1:30" x14ac:dyDescent="0.25">
      <c r="A238">
        <v>4</v>
      </c>
      <c r="B238" t="s">
        <v>1</v>
      </c>
      <c r="C238">
        <v>13824</v>
      </c>
      <c r="D238">
        <v>256</v>
      </c>
      <c r="E238">
        <v>2</v>
      </c>
      <c r="F238">
        <v>2</v>
      </c>
      <c r="G238">
        <v>804.4</v>
      </c>
      <c r="H238" s="24">
        <v>2.1898</v>
      </c>
      <c r="I238" s="1">
        <v>45481</v>
      </c>
      <c r="J238" s="2">
        <v>0.46704861111111112</v>
      </c>
      <c r="K238">
        <v>0</v>
      </c>
      <c r="L238">
        <v>0</v>
      </c>
      <c r="M238">
        <v>0</v>
      </c>
      <c r="N238" s="3">
        <f t="shared" si="173"/>
        <v>2.19034</v>
      </c>
      <c r="P238" s="50">
        <v>4</v>
      </c>
      <c r="Q238" s="50" t="s">
        <v>1</v>
      </c>
      <c r="R238" s="50">
        <v>13824</v>
      </c>
      <c r="S238" s="50">
        <v>256</v>
      </c>
      <c r="T238" s="50">
        <v>2</v>
      </c>
      <c r="U238" s="50">
        <v>2</v>
      </c>
      <c r="V238" s="50">
        <v>727.78</v>
      </c>
      <c r="W238" s="63">
        <v>2.4203999999999999</v>
      </c>
      <c r="X238" s="51">
        <v>45481</v>
      </c>
      <c r="Y238" s="52">
        <v>0.47802083333333334</v>
      </c>
      <c r="Z238" s="50">
        <v>0</v>
      </c>
      <c r="AA238" s="50">
        <v>0</v>
      </c>
      <c r="AB238" s="50">
        <v>0</v>
      </c>
      <c r="AC238" s="4">
        <f t="shared" si="182"/>
        <v>2.4248399999999997</v>
      </c>
      <c r="AD238" s="3"/>
    </row>
    <row r="239" spans="1:30" x14ac:dyDescent="0.25">
      <c r="A239">
        <v>0</v>
      </c>
      <c r="B239" t="s">
        <v>1</v>
      </c>
      <c r="C239">
        <v>14592</v>
      </c>
      <c r="D239">
        <v>256</v>
      </c>
      <c r="E239">
        <v>2</v>
      </c>
      <c r="F239">
        <v>2</v>
      </c>
      <c r="G239">
        <v>941.39</v>
      </c>
      <c r="H239" s="24">
        <v>2.2006999999999999</v>
      </c>
      <c r="I239" s="1">
        <v>45481</v>
      </c>
      <c r="J239" s="2">
        <v>4.3993055555555556E-2</v>
      </c>
      <c r="K239">
        <v>0</v>
      </c>
      <c r="L239">
        <v>0</v>
      </c>
      <c r="M239">
        <v>0</v>
      </c>
      <c r="N239" s="3">
        <f t="shared" ref="N239" si="183">AVERAGE(H239:H243)</f>
        <v>2.2001400000000002</v>
      </c>
      <c r="P239" s="50">
        <v>0</v>
      </c>
      <c r="Q239" s="50" t="s">
        <v>1</v>
      </c>
      <c r="R239" s="50">
        <v>14592</v>
      </c>
      <c r="S239" s="50">
        <v>256</v>
      </c>
      <c r="T239" s="50">
        <v>2</v>
      </c>
      <c r="U239" s="50">
        <v>2</v>
      </c>
      <c r="V239" s="50">
        <v>848.58</v>
      </c>
      <c r="W239" s="63">
        <v>2.4413</v>
      </c>
      <c r="X239" s="51">
        <v>45481</v>
      </c>
      <c r="Y239" s="52">
        <v>4.6412037037037036E-2</v>
      </c>
      <c r="Z239" s="50">
        <v>0</v>
      </c>
      <c r="AA239" s="50">
        <v>0</v>
      </c>
      <c r="AB239" s="50">
        <v>0</v>
      </c>
      <c r="AC239" s="4">
        <f t="shared" ref="AC239" si="184">AVERAGE(W239:W243)</f>
        <v>2.4384999999999999</v>
      </c>
      <c r="AD239" s="3"/>
    </row>
    <row r="240" spans="1:30" x14ac:dyDescent="0.25">
      <c r="A240">
        <v>1</v>
      </c>
      <c r="B240" t="s">
        <v>1</v>
      </c>
      <c r="C240">
        <v>14592</v>
      </c>
      <c r="D240">
        <v>256</v>
      </c>
      <c r="E240">
        <v>2</v>
      </c>
      <c r="F240">
        <v>2</v>
      </c>
      <c r="G240">
        <v>940.96</v>
      </c>
      <c r="H240" s="24">
        <v>2.2016</v>
      </c>
      <c r="I240" s="1">
        <v>45481</v>
      </c>
      <c r="J240" s="2">
        <v>0.16101851851851851</v>
      </c>
      <c r="K240">
        <v>0</v>
      </c>
      <c r="L240">
        <v>0</v>
      </c>
      <c r="M240">
        <v>0</v>
      </c>
      <c r="N240" s="3">
        <f t="shared" ref="N240" si="185">N239</f>
        <v>2.2001400000000002</v>
      </c>
      <c r="P240" s="50">
        <v>1</v>
      </c>
      <c r="Q240" s="50" t="s">
        <v>1</v>
      </c>
      <c r="R240" s="50">
        <v>14592</v>
      </c>
      <c r="S240" s="50">
        <v>256</v>
      </c>
      <c r="T240" s="50">
        <v>2</v>
      </c>
      <c r="U240" s="50">
        <v>2</v>
      </c>
      <c r="V240" s="50">
        <v>848.84</v>
      </c>
      <c r="W240" s="63">
        <v>2.4405999999999999</v>
      </c>
      <c r="X240" s="51">
        <v>45481</v>
      </c>
      <c r="Y240" s="52">
        <v>0.16581018518518517</v>
      </c>
      <c r="Z240" s="50">
        <v>0</v>
      </c>
      <c r="AA240" s="50">
        <v>0</v>
      </c>
      <c r="AB240" s="50">
        <v>0</v>
      </c>
      <c r="AC240" s="4">
        <f t="shared" ref="AC240:AC243" si="186">AC239</f>
        <v>2.4384999999999999</v>
      </c>
      <c r="AD240" s="3"/>
    </row>
    <row r="241" spans="1:30" x14ac:dyDescent="0.25">
      <c r="A241">
        <v>2</v>
      </c>
      <c r="B241" t="s">
        <v>1</v>
      </c>
      <c r="C241">
        <v>14592</v>
      </c>
      <c r="D241">
        <v>256</v>
      </c>
      <c r="E241">
        <v>2</v>
      </c>
      <c r="F241">
        <v>2</v>
      </c>
      <c r="G241">
        <v>941.61</v>
      </c>
      <c r="H241" s="24">
        <v>2.2000999999999999</v>
      </c>
      <c r="I241" s="1">
        <v>45481</v>
      </c>
      <c r="J241" s="2">
        <v>0.27809027777777778</v>
      </c>
      <c r="K241">
        <v>0</v>
      </c>
      <c r="L241">
        <v>0</v>
      </c>
      <c r="M241">
        <v>0</v>
      </c>
      <c r="N241" s="3">
        <f t="shared" si="177"/>
        <v>2.2001400000000002</v>
      </c>
      <c r="P241" s="50">
        <v>2</v>
      </c>
      <c r="Q241" s="50" t="s">
        <v>1</v>
      </c>
      <c r="R241" s="50">
        <v>14592</v>
      </c>
      <c r="S241" s="50">
        <v>256</v>
      </c>
      <c r="T241" s="50">
        <v>2</v>
      </c>
      <c r="U241" s="50">
        <v>2</v>
      </c>
      <c r="V241" s="50">
        <v>849.91</v>
      </c>
      <c r="W241" s="63">
        <v>2.4375</v>
      </c>
      <c r="X241" s="51">
        <v>45481</v>
      </c>
      <c r="Y241" s="52">
        <v>0.28518518518518521</v>
      </c>
      <c r="Z241" s="50">
        <v>0</v>
      </c>
      <c r="AA241" s="50">
        <v>0</v>
      </c>
      <c r="AB241" s="50">
        <v>0</v>
      </c>
      <c r="AC241" s="4">
        <f t="shared" si="186"/>
        <v>2.4384999999999999</v>
      </c>
      <c r="AD241" s="3"/>
    </row>
    <row r="242" spans="1:30" x14ac:dyDescent="0.25">
      <c r="A242">
        <v>3</v>
      </c>
      <c r="B242" t="s">
        <v>1</v>
      </c>
      <c r="C242">
        <v>14592</v>
      </c>
      <c r="D242">
        <v>256</v>
      </c>
      <c r="E242">
        <v>2</v>
      </c>
      <c r="F242">
        <v>2</v>
      </c>
      <c r="G242">
        <v>942.2</v>
      </c>
      <c r="H242" s="24">
        <v>2.1987999999999999</v>
      </c>
      <c r="I242" s="1">
        <v>45481</v>
      </c>
      <c r="J242" s="2">
        <v>0.39518518518518519</v>
      </c>
      <c r="K242">
        <v>0</v>
      </c>
      <c r="L242">
        <v>0</v>
      </c>
      <c r="M242">
        <v>0</v>
      </c>
      <c r="N242" s="3">
        <f t="shared" si="177"/>
        <v>2.2001400000000002</v>
      </c>
      <c r="P242" s="50">
        <v>3</v>
      </c>
      <c r="Q242" s="50" t="s">
        <v>1</v>
      </c>
      <c r="R242" s="50">
        <v>14592</v>
      </c>
      <c r="S242" s="50">
        <v>256</v>
      </c>
      <c r="T242" s="50">
        <v>2</v>
      </c>
      <c r="U242" s="50">
        <v>2</v>
      </c>
      <c r="V242" s="50">
        <v>850.46</v>
      </c>
      <c r="W242" s="63">
        <v>2.4359000000000002</v>
      </c>
      <c r="X242" s="51">
        <v>45481</v>
      </c>
      <c r="Y242" s="52">
        <v>0.40459490740740739</v>
      </c>
      <c r="Z242" s="50">
        <v>0</v>
      </c>
      <c r="AA242" s="50">
        <v>0</v>
      </c>
      <c r="AB242" s="50">
        <v>0</v>
      </c>
      <c r="AC242" s="4">
        <f t="shared" si="186"/>
        <v>2.4384999999999999</v>
      </c>
      <c r="AD242" s="3"/>
    </row>
    <row r="243" spans="1:30" x14ac:dyDescent="0.25">
      <c r="A243">
        <v>4</v>
      </c>
      <c r="B243" t="s">
        <v>1</v>
      </c>
      <c r="C243">
        <v>14592</v>
      </c>
      <c r="D243">
        <v>256</v>
      </c>
      <c r="E243">
        <v>2</v>
      </c>
      <c r="F243">
        <v>2</v>
      </c>
      <c r="G243">
        <v>941.87</v>
      </c>
      <c r="H243" s="24">
        <v>2.1995</v>
      </c>
      <c r="I243" s="1">
        <v>45481</v>
      </c>
      <c r="J243" s="2">
        <v>0.51225694444444447</v>
      </c>
      <c r="K243">
        <v>0</v>
      </c>
      <c r="L243">
        <v>0</v>
      </c>
      <c r="M243">
        <v>0</v>
      </c>
      <c r="N243" s="3">
        <f t="shared" si="177"/>
        <v>2.2001400000000002</v>
      </c>
      <c r="P243" s="50">
        <v>4</v>
      </c>
      <c r="Q243" s="50" t="s">
        <v>1</v>
      </c>
      <c r="R243" s="50">
        <v>14592</v>
      </c>
      <c r="S243" s="50">
        <v>256</v>
      </c>
      <c r="T243" s="50">
        <v>2</v>
      </c>
      <c r="U243" s="50">
        <v>2</v>
      </c>
      <c r="V243" s="50">
        <v>850.01</v>
      </c>
      <c r="W243" s="63">
        <v>2.4371999999999998</v>
      </c>
      <c r="X243" s="51">
        <v>45481</v>
      </c>
      <c r="Y243" s="52">
        <v>0.5240393518518518</v>
      </c>
      <c r="Z243" s="50">
        <v>0</v>
      </c>
      <c r="AA243" s="50">
        <v>0</v>
      </c>
      <c r="AB243" s="50">
        <v>0</v>
      </c>
      <c r="AC243" s="4">
        <f t="shared" si="186"/>
        <v>2.4384999999999999</v>
      </c>
      <c r="AD243" s="3"/>
    </row>
    <row r="244" spans="1:30" x14ac:dyDescent="0.25">
      <c r="A244" s="45">
        <v>0</v>
      </c>
      <c r="B244" s="45" t="s">
        <v>1</v>
      </c>
      <c r="C244" s="45">
        <v>13040</v>
      </c>
      <c r="D244" s="45">
        <v>80</v>
      </c>
      <c r="E244" s="45">
        <v>1</v>
      </c>
      <c r="F244" s="45">
        <v>4</v>
      </c>
      <c r="G244" s="45">
        <v>671.89</v>
      </c>
      <c r="H244" s="46">
        <v>2.2004999999999999</v>
      </c>
      <c r="I244" s="47">
        <v>45318</v>
      </c>
      <c r="J244" s="48">
        <v>0.22980324074074074</v>
      </c>
      <c r="K244" s="45">
        <v>0</v>
      </c>
      <c r="L244" s="45">
        <v>0</v>
      </c>
      <c r="M244" s="45">
        <v>0</v>
      </c>
      <c r="N244" s="3">
        <f t="shared" ref="N244" si="187">AVERAGE(H244:H248)</f>
        <v>2.2000599999999997</v>
      </c>
      <c r="P244" s="56">
        <v>0</v>
      </c>
      <c r="Q244" s="56" t="s">
        <v>1</v>
      </c>
      <c r="R244" s="56">
        <v>13040</v>
      </c>
      <c r="S244" s="56">
        <v>80</v>
      </c>
      <c r="T244" s="56">
        <v>1</v>
      </c>
      <c r="U244" s="56">
        <v>4</v>
      </c>
      <c r="V244" s="56">
        <v>579.38</v>
      </c>
      <c r="W244" s="67">
        <v>2.5499999999999998</v>
      </c>
      <c r="X244" s="57">
        <v>45321</v>
      </c>
      <c r="Y244" s="58">
        <v>0.99130787037037038</v>
      </c>
      <c r="Z244" s="56">
        <v>0</v>
      </c>
      <c r="AA244" s="56">
        <v>0</v>
      </c>
      <c r="AB244" s="56">
        <v>0</v>
      </c>
      <c r="AC244" s="4">
        <f t="shared" ref="AC244" si="188">AVERAGE(W244:W248)</f>
        <v>2.54</v>
      </c>
      <c r="AD244" s="3"/>
    </row>
    <row r="245" spans="1:30" x14ac:dyDescent="0.25">
      <c r="A245" s="45">
        <v>1</v>
      </c>
      <c r="B245" s="45" t="s">
        <v>1</v>
      </c>
      <c r="C245" s="45">
        <v>13040</v>
      </c>
      <c r="D245" s="45">
        <v>80</v>
      </c>
      <c r="E245" s="45">
        <v>1</v>
      </c>
      <c r="F245" s="45">
        <v>4</v>
      </c>
      <c r="G245" s="45">
        <v>671.75</v>
      </c>
      <c r="H245" s="46">
        <v>2.2010000000000001</v>
      </c>
      <c r="I245" s="47">
        <v>45320</v>
      </c>
      <c r="J245" s="48">
        <v>0.60688657407407409</v>
      </c>
      <c r="K245" s="45">
        <v>0</v>
      </c>
      <c r="L245" s="45">
        <v>0</v>
      </c>
      <c r="M245" s="45">
        <v>0</v>
      </c>
      <c r="N245" s="3">
        <f t="shared" ref="N245" si="189">N244</f>
        <v>2.2000599999999997</v>
      </c>
      <c r="P245" s="56">
        <v>1</v>
      </c>
      <c r="Q245" s="56" t="s">
        <v>1</v>
      </c>
      <c r="R245" s="56">
        <v>13040</v>
      </c>
      <c r="S245" s="56">
        <v>80</v>
      </c>
      <c r="T245" s="56">
        <v>1</v>
      </c>
      <c r="U245" s="56">
        <v>4</v>
      </c>
      <c r="V245" s="56">
        <v>585.55999999999995</v>
      </c>
      <c r="W245" s="67">
        <v>2.52</v>
      </c>
      <c r="X245" s="57">
        <v>45322</v>
      </c>
      <c r="Y245" s="58">
        <v>0.50975694444444442</v>
      </c>
      <c r="Z245" s="56">
        <v>0</v>
      </c>
      <c r="AA245" s="56">
        <v>0</v>
      </c>
      <c r="AB245" s="56">
        <v>0</v>
      </c>
      <c r="AC245" s="4">
        <f t="shared" ref="AC245:AC248" si="190">AC244</f>
        <v>2.54</v>
      </c>
      <c r="AD245" s="3"/>
    </row>
    <row r="246" spans="1:30" x14ac:dyDescent="0.25">
      <c r="A246" s="45">
        <v>2</v>
      </c>
      <c r="B246" s="45" t="s">
        <v>1</v>
      </c>
      <c r="C246" s="45">
        <v>13040</v>
      </c>
      <c r="D246" s="45">
        <v>80</v>
      </c>
      <c r="E246" s="45">
        <v>1</v>
      </c>
      <c r="F246" s="45">
        <v>4</v>
      </c>
      <c r="G246" s="45">
        <v>672.11</v>
      </c>
      <c r="H246" s="46">
        <v>2.1998000000000002</v>
      </c>
      <c r="I246" s="47">
        <v>45321</v>
      </c>
      <c r="J246" s="48">
        <v>0.11543981481481481</v>
      </c>
      <c r="K246" s="45">
        <v>0</v>
      </c>
      <c r="L246" s="45">
        <v>0</v>
      </c>
      <c r="M246" s="45">
        <v>0</v>
      </c>
      <c r="N246" s="3">
        <f t="shared" si="173"/>
        <v>2.2000599999999997</v>
      </c>
      <c r="P246" s="56">
        <v>2</v>
      </c>
      <c r="Q246" s="56" t="s">
        <v>1</v>
      </c>
      <c r="R246" s="56">
        <v>13040</v>
      </c>
      <c r="S246" s="56">
        <v>80</v>
      </c>
      <c r="T246" s="56">
        <v>1</v>
      </c>
      <c r="U246" s="56">
        <v>4</v>
      </c>
      <c r="V246" s="56">
        <v>582.30999999999995</v>
      </c>
      <c r="W246" s="67">
        <v>2.54</v>
      </c>
      <c r="X246" s="57">
        <v>45323</v>
      </c>
      <c r="Y246" s="58">
        <v>2.792824074074074E-2</v>
      </c>
      <c r="Z246" s="56">
        <v>0</v>
      </c>
      <c r="AA246" s="56">
        <v>0</v>
      </c>
      <c r="AB246" s="56">
        <v>0</v>
      </c>
      <c r="AC246" s="4">
        <f t="shared" si="190"/>
        <v>2.54</v>
      </c>
      <c r="AD246" s="3"/>
    </row>
    <row r="247" spans="1:30" x14ac:dyDescent="0.25">
      <c r="A247" s="45">
        <v>3</v>
      </c>
      <c r="B247" s="45" t="s">
        <v>1</v>
      </c>
      <c r="C247" s="45">
        <v>13040</v>
      </c>
      <c r="D247" s="45">
        <v>80</v>
      </c>
      <c r="E247" s="45">
        <v>1</v>
      </c>
      <c r="F247" s="45">
        <v>4</v>
      </c>
      <c r="G247" s="45">
        <v>672.31</v>
      </c>
      <c r="H247" s="46">
        <v>2.1991000000000001</v>
      </c>
      <c r="I247" s="47">
        <v>45321</v>
      </c>
      <c r="J247" s="48">
        <v>0.62409722222222219</v>
      </c>
      <c r="K247" s="45">
        <v>0</v>
      </c>
      <c r="L247" s="45">
        <v>0</v>
      </c>
      <c r="M247" s="45">
        <v>0</v>
      </c>
      <c r="N247" s="3">
        <f t="shared" si="173"/>
        <v>2.2000599999999997</v>
      </c>
      <c r="P247" s="56">
        <v>3</v>
      </c>
      <c r="Q247" s="56" t="s">
        <v>1</v>
      </c>
      <c r="R247" s="56">
        <v>13040</v>
      </c>
      <c r="S247" s="56">
        <v>80</v>
      </c>
      <c r="T247" s="56">
        <v>1</v>
      </c>
      <c r="U247" s="56">
        <v>4</v>
      </c>
      <c r="V247" s="56">
        <v>583.71</v>
      </c>
      <c r="W247" s="67">
        <v>2.5299999999999998</v>
      </c>
      <c r="X247" s="57">
        <v>45323</v>
      </c>
      <c r="Y247" s="58">
        <v>0.54648148148148146</v>
      </c>
      <c r="Z247" s="56">
        <v>0</v>
      </c>
      <c r="AA247" s="56">
        <v>0</v>
      </c>
      <c r="AB247" s="56">
        <v>0</v>
      </c>
      <c r="AC247" s="4">
        <f t="shared" si="190"/>
        <v>2.54</v>
      </c>
      <c r="AD247" s="3"/>
    </row>
    <row r="248" spans="1:30" x14ac:dyDescent="0.25">
      <c r="A248" s="45">
        <v>4</v>
      </c>
      <c r="B248" s="45" t="s">
        <v>1</v>
      </c>
      <c r="C248" s="45">
        <v>13040</v>
      </c>
      <c r="D248" s="45">
        <v>80</v>
      </c>
      <c r="E248" s="45">
        <v>1</v>
      </c>
      <c r="F248" s="45">
        <v>4</v>
      </c>
      <c r="G248" s="45">
        <v>672.07</v>
      </c>
      <c r="H248" s="49">
        <v>2.1999</v>
      </c>
      <c r="I248" s="47">
        <v>45322</v>
      </c>
      <c r="J248" s="48">
        <v>0.13263888888888889</v>
      </c>
      <c r="K248" s="45">
        <v>0</v>
      </c>
      <c r="L248" s="45">
        <v>0</v>
      </c>
      <c r="M248" s="45">
        <v>0</v>
      </c>
      <c r="N248" s="3">
        <f t="shared" si="173"/>
        <v>2.2000599999999997</v>
      </c>
      <c r="P248" s="56">
        <v>0</v>
      </c>
      <c r="Q248" s="56" t="s">
        <v>1</v>
      </c>
      <c r="R248" s="56">
        <v>13760</v>
      </c>
      <c r="S248" s="56">
        <v>80</v>
      </c>
      <c r="T248" s="56">
        <v>1</v>
      </c>
      <c r="U248" s="56">
        <v>4</v>
      </c>
      <c r="V248" s="56">
        <v>678.76</v>
      </c>
      <c r="W248" s="67">
        <v>2.56</v>
      </c>
      <c r="X248" s="57">
        <v>45321</v>
      </c>
      <c r="Y248" s="58">
        <v>0.8238078703703704</v>
      </c>
      <c r="Z248" s="56">
        <v>0</v>
      </c>
      <c r="AA248" s="56">
        <v>0</v>
      </c>
      <c r="AB248" s="56">
        <v>0</v>
      </c>
      <c r="AC248" s="4">
        <f t="shared" si="190"/>
        <v>2.54</v>
      </c>
      <c r="AD248" s="3"/>
    </row>
    <row r="249" spans="1:30" x14ac:dyDescent="0.25">
      <c r="A249" s="45">
        <v>0</v>
      </c>
      <c r="B249" s="45" t="s">
        <v>1</v>
      </c>
      <c r="C249" s="45">
        <v>13760</v>
      </c>
      <c r="D249" s="45">
        <v>80</v>
      </c>
      <c r="E249" s="45">
        <v>1</v>
      </c>
      <c r="F249" s="45">
        <v>4</v>
      </c>
      <c r="G249" s="45">
        <v>787.95</v>
      </c>
      <c r="H249" s="46">
        <v>2.2046000000000001</v>
      </c>
      <c r="I249" s="47">
        <v>45318</v>
      </c>
      <c r="J249" s="48">
        <v>0.15125</v>
      </c>
      <c r="K249" s="45">
        <v>0</v>
      </c>
      <c r="L249" s="45">
        <v>0</v>
      </c>
      <c r="M249" s="45">
        <v>0</v>
      </c>
      <c r="N249" s="3">
        <f t="shared" ref="N249" si="191">AVERAGE(H249:H253)</f>
        <v>2.2037599999999999</v>
      </c>
      <c r="P249" s="56">
        <v>1</v>
      </c>
      <c r="Q249" s="56" t="s">
        <v>1</v>
      </c>
      <c r="R249" s="56">
        <v>13760</v>
      </c>
      <c r="S249" s="56">
        <v>80</v>
      </c>
      <c r="T249" s="56">
        <v>1</v>
      </c>
      <c r="U249" s="56">
        <v>4</v>
      </c>
      <c r="V249" s="56">
        <v>679.85</v>
      </c>
      <c r="W249" s="67">
        <v>2.56</v>
      </c>
      <c r="X249" s="57">
        <v>45322</v>
      </c>
      <c r="Y249" s="58">
        <v>0.34214120370370371</v>
      </c>
      <c r="Z249" s="56">
        <v>0</v>
      </c>
      <c r="AA249" s="56">
        <v>0</v>
      </c>
      <c r="AB249" s="56">
        <v>0</v>
      </c>
      <c r="AC249" s="4">
        <f t="shared" ref="AC249" si="192">AVERAGE(W249:W253)</f>
        <v>2.5580000000000003</v>
      </c>
      <c r="AD249" s="3"/>
    </row>
    <row r="250" spans="1:30" x14ac:dyDescent="0.25">
      <c r="A250" s="45">
        <v>1</v>
      </c>
      <c r="B250" s="45" t="s">
        <v>1</v>
      </c>
      <c r="C250" s="45">
        <v>13760</v>
      </c>
      <c r="D250" s="45">
        <v>80</v>
      </c>
      <c r="E250" s="45">
        <v>1</v>
      </c>
      <c r="F250" s="45">
        <v>4</v>
      </c>
      <c r="G250" s="45">
        <v>787.85</v>
      </c>
      <c r="H250" s="46">
        <v>2.2048999999999999</v>
      </c>
      <c r="I250" s="47">
        <v>45320</v>
      </c>
      <c r="J250" s="48">
        <v>0.44237268518518519</v>
      </c>
      <c r="K250" s="45">
        <v>0</v>
      </c>
      <c r="L250" s="45">
        <v>0</v>
      </c>
      <c r="M250" s="45">
        <v>0</v>
      </c>
      <c r="N250" s="3">
        <f t="shared" ref="N250" si="193">N249</f>
        <v>2.2037599999999999</v>
      </c>
      <c r="P250" s="56">
        <v>2</v>
      </c>
      <c r="Q250" s="56" t="s">
        <v>1</v>
      </c>
      <c r="R250" s="56">
        <v>13760</v>
      </c>
      <c r="S250" s="56">
        <v>80</v>
      </c>
      <c r="T250" s="56">
        <v>1</v>
      </c>
      <c r="U250" s="56">
        <v>4</v>
      </c>
      <c r="V250" s="56">
        <v>679.34</v>
      </c>
      <c r="W250" s="67">
        <v>2.56</v>
      </c>
      <c r="X250" s="57">
        <v>45322</v>
      </c>
      <c r="Y250" s="58">
        <v>0.86027777777777781</v>
      </c>
      <c r="Z250" s="56">
        <v>0</v>
      </c>
      <c r="AA250" s="56">
        <v>0</v>
      </c>
      <c r="AB250" s="56">
        <v>0</v>
      </c>
      <c r="AC250" s="4">
        <f t="shared" ref="AC250:AC253" si="194">AC249</f>
        <v>2.5580000000000003</v>
      </c>
      <c r="AD250" s="3"/>
    </row>
    <row r="251" spans="1:30" x14ac:dyDescent="0.25">
      <c r="A251" s="45">
        <v>2</v>
      </c>
      <c r="B251" s="45" t="s">
        <v>1</v>
      </c>
      <c r="C251" s="45">
        <v>13760</v>
      </c>
      <c r="D251" s="45">
        <v>80</v>
      </c>
      <c r="E251" s="45">
        <v>1</v>
      </c>
      <c r="F251" s="45">
        <v>4</v>
      </c>
      <c r="G251" s="45">
        <v>788.32</v>
      </c>
      <c r="H251" s="46">
        <v>2.2035999999999998</v>
      </c>
      <c r="I251" s="47">
        <v>45320</v>
      </c>
      <c r="J251" s="48">
        <v>0.95094907407407403</v>
      </c>
      <c r="K251" s="45">
        <v>0</v>
      </c>
      <c r="L251" s="45">
        <v>0</v>
      </c>
      <c r="M251" s="45">
        <v>0</v>
      </c>
      <c r="N251" s="3">
        <f t="shared" si="177"/>
        <v>2.2037599999999999</v>
      </c>
      <c r="P251" s="56">
        <v>3</v>
      </c>
      <c r="Q251" s="56" t="s">
        <v>1</v>
      </c>
      <c r="R251" s="56">
        <v>13760</v>
      </c>
      <c r="S251" s="56">
        <v>80</v>
      </c>
      <c r="T251" s="56">
        <v>1</v>
      </c>
      <c r="U251" s="56">
        <v>4</v>
      </c>
      <c r="V251" s="56">
        <v>679.29</v>
      </c>
      <c r="W251" s="67">
        <v>2.56</v>
      </c>
      <c r="X251" s="57">
        <v>45323</v>
      </c>
      <c r="Y251" s="58">
        <v>0.3790162037037037</v>
      </c>
      <c r="Z251" s="56">
        <v>0</v>
      </c>
      <c r="AA251" s="56">
        <v>0</v>
      </c>
      <c r="AB251" s="56">
        <v>0</v>
      </c>
      <c r="AC251" s="4">
        <f t="shared" si="194"/>
        <v>2.5580000000000003</v>
      </c>
      <c r="AD251" s="3"/>
    </row>
    <row r="252" spans="1:30" x14ac:dyDescent="0.25">
      <c r="A252" s="45">
        <v>3</v>
      </c>
      <c r="B252" s="45" t="s">
        <v>1</v>
      </c>
      <c r="C252" s="45">
        <v>13760</v>
      </c>
      <c r="D252" s="45">
        <v>80</v>
      </c>
      <c r="E252" s="45">
        <v>1</v>
      </c>
      <c r="F252" s="45">
        <v>4</v>
      </c>
      <c r="G252" s="45">
        <v>789.03</v>
      </c>
      <c r="H252" s="46">
        <v>2.2016</v>
      </c>
      <c r="I252" s="47">
        <v>45321</v>
      </c>
      <c r="J252" s="48">
        <v>0.45958333333333334</v>
      </c>
      <c r="K252" s="45">
        <v>0</v>
      </c>
      <c r="L252" s="45">
        <v>0</v>
      </c>
      <c r="M252" s="45">
        <v>0</v>
      </c>
      <c r="N252" s="3">
        <f t="shared" si="177"/>
        <v>2.2037599999999999</v>
      </c>
      <c r="P252" s="56">
        <v>0</v>
      </c>
      <c r="Q252" s="56" t="s">
        <v>1</v>
      </c>
      <c r="R252" s="56">
        <v>14640</v>
      </c>
      <c r="S252" s="56">
        <v>80</v>
      </c>
      <c r="T252" s="56">
        <v>1</v>
      </c>
      <c r="U252" s="56">
        <v>4</v>
      </c>
      <c r="V252" s="56">
        <v>820.37</v>
      </c>
      <c r="W252" s="67">
        <v>2.5499999999999998</v>
      </c>
      <c r="X252" s="57">
        <v>45321</v>
      </c>
      <c r="Y252" s="58">
        <v>0.62809027777777782</v>
      </c>
      <c r="Z252" s="56">
        <v>0</v>
      </c>
      <c r="AA252" s="56">
        <v>0</v>
      </c>
      <c r="AB252" s="56">
        <v>0</v>
      </c>
      <c r="AC252" s="4">
        <f t="shared" si="194"/>
        <v>2.5580000000000003</v>
      </c>
      <c r="AD252" s="3"/>
    </row>
    <row r="253" spans="1:30" x14ac:dyDescent="0.25">
      <c r="A253" s="45">
        <v>4</v>
      </c>
      <c r="B253" s="45" t="s">
        <v>1</v>
      </c>
      <c r="C253" s="45">
        <v>13760</v>
      </c>
      <c r="D253" s="45">
        <v>80</v>
      </c>
      <c r="E253" s="45">
        <v>1</v>
      </c>
      <c r="F253" s="45">
        <v>4</v>
      </c>
      <c r="G253" s="45">
        <v>788.14</v>
      </c>
      <c r="H253" s="49">
        <v>2.2040999999999999</v>
      </c>
      <c r="I253" s="47">
        <v>45321</v>
      </c>
      <c r="J253" s="48">
        <v>0.96815972222222224</v>
      </c>
      <c r="K253" s="45">
        <v>0</v>
      </c>
      <c r="L253" s="45">
        <v>0</v>
      </c>
      <c r="M253" s="45">
        <v>0</v>
      </c>
      <c r="N253" s="3">
        <f t="shared" si="177"/>
        <v>2.2037599999999999</v>
      </c>
      <c r="P253" s="56">
        <v>1</v>
      </c>
      <c r="Q253" s="56" t="s">
        <v>1</v>
      </c>
      <c r="R253" s="56">
        <v>14640</v>
      </c>
      <c r="S253" s="56">
        <v>80</v>
      </c>
      <c r="T253" s="56">
        <v>1</v>
      </c>
      <c r="U253" s="56">
        <v>4</v>
      </c>
      <c r="V253" s="56">
        <v>816.29</v>
      </c>
      <c r="W253" s="67">
        <v>2.56</v>
      </c>
      <c r="X253" s="57">
        <v>45322</v>
      </c>
      <c r="Y253" s="58">
        <v>0.14655092592592592</v>
      </c>
      <c r="Z253" s="56">
        <v>0</v>
      </c>
      <c r="AA253" s="56">
        <v>0</v>
      </c>
      <c r="AB253" s="56">
        <v>0</v>
      </c>
      <c r="AC253" s="4">
        <f t="shared" si="194"/>
        <v>2.5580000000000003</v>
      </c>
      <c r="AD253" s="3"/>
    </row>
    <row r="254" spans="1:30" x14ac:dyDescent="0.25">
      <c r="A254" s="45">
        <v>0</v>
      </c>
      <c r="B254" s="45" t="s">
        <v>1</v>
      </c>
      <c r="C254" s="45">
        <v>14640</v>
      </c>
      <c r="D254" s="45">
        <v>80</v>
      </c>
      <c r="E254" s="45">
        <v>1</v>
      </c>
      <c r="F254" s="45">
        <v>4</v>
      </c>
      <c r="G254" s="45">
        <v>944.09</v>
      </c>
      <c r="H254" s="46">
        <v>2.2161</v>
      </c>
      <c r="I254" s="47">
        <v>45318</v>
      </c>
      <c r="J254" s="48">
        <v>5.8634259259259261E-2</v>
      </c>
      <c r="K254" s="45">
        <v>0</v>
      </c>
      <c r="L254" s="45">
        <v>0</v>
      </c>
      <c r="M254" s="45">
        <v>0</v>
      </c>
      <c r="N254" s="3">
        <f t="shared" ref="N254" si="195">AVERAGE(H254:H258)</f>
        <v>2.2136400000000003</v>
      </c>
      <c r="P254" s="56">
        <v>2</v>
      </c>
      <c r="Q254" s="56" t="s">
        <v>1</v>
      </c>
      <c r="R254" s="56">
        <v>14640</v>
      </c>
      <c r="S254" s="56">
        <v>80</v>
      </c>
      <c r="T254" s="56">
        <v>1</v>
      </c>
      <c r="U254" s="56">
        <v>4</v>
      </c>
      <c r="V254" s="56">
        <v>813.14</v>
      </c>
      <c r="W254" s="67">
        <v>2.57</v>
      </c>
      <c r="X254" s="57">
        <v>45322</v>
      </c>
      <c r="Y254" s="58">
        <v>0.6647453703703704</v>
      </c>
      <c r="Z254" s="56">
        <v>0</v>
      </c>
      <c r="AA254" s="56">
        <v>0</v>
      </c>
      <c r="AB254" s="56">
        <v>0</v>
      </c>
      <c r="AC254" s="4">
        <f t="shared" ref="AC254" si="196">AVERAGE(W254:W258)</f>
        <v>2.5579999999999998</v>
      </c>
      <c r="AD254" s="3"/>
    </row>
    <row r="255" spans="1:30" x14ac:dyDescent="0.25">
      <c r="A255" s="45">
        <v>1</v>
      </c>
      <c r="B255" s="45" t="s">
        <v>1</v>
      </c>
      <c r="C255" s="45">
        <v>14640</v>
      </c>
      <c r="D255" s="45">
        <v>80</v>
      </c>
      <c r="E255" s="45">
        <v>1</v>
      </c>
      <c r="F255" s="45">
        <v>4</v>
      </c>
      <c r="G255" s="45">
        <v>947.08</v>
      </c>
      <c r="H255" s="46">
        <v>2.2090999999999998</v>
      </c>
      <c r="I255" s="47">
        <v>45320</v>
      </c>
      <c r="J255" s="48">
        <v>0.24981481481481482</v>
      </c>
      <c r="K255" s="45">
        <v>0</v>
      </c>
      <c r="L255" s="45">
        <v>0</v>
      </c>
      <c r="M255" s="45">
        <v>0</v>
      </c>
      <c r="N255" s="3">
        <f t="shared" ref="N255" si="197">N254</f>
        <v>2.2136400000000003</v>
      </c>
      <c r="P255" s="56">
        <v>3</v>
      </c>
      <c r="Q255" s="56" t="s">
        <v>1</v>
      </c>
      <c r="R255" s="56">
        <v>14640</v>
      </c>
      <c r="S255" s="56">
        <v>80</v>
      </c>
      <c r="T255" s="56">
        <v>1</v>
      </c>
      <c r="U255" s="56">
        <v>4</v>
      </c>
      <c r="V255" s="56">
        <v>813.76</v>
      </c>
      <c r="W255" s="67">
        <v>2.57</v>
      </c>
      <c r="X255" s="57">
        <v>45323</v>
      </c>
      <c r="Y255" s="58">
        <v>0.18335648148148148</v>
      </c>
      <c r="Z255" s="56">
        <v>0</v>
      </c>
      <c r="AA255" s="56">
        <v>0</v>
      </c>
      <c r="AB255" s="56">
        <v>0</v>
      </c>
      <c r="AC255" s="4">
        <f t="shared" ref="AC255:AC258" si="198">AC254</f>
        <v>2.5579999999999998</v>
      </c>
      <c r="AD255" s="3"/>
    </row>
    <row r="256" spans="1:30" x14ac:dyDescent="0.25">
      <c r="A256" s="45">
        <v>2</v>
      </c>
      <c r="B256" s="45" t="s">
        <v>1</v>
      </c>
      <c r="C256" s="45">
        <v>14640</v>
      </c>
      <c r="D256" s="45">
        <v>80</v>
      </c>
      <c r="E256" s="45">
        <v>1</v>
      </c>
      <c r="F256" s="45">
        <v>4</v>
      </c>
      <c r="G256" s="45">
        <v>944.76</v>
      </c>
      <c r="H256" s="46">
        <v>2.2145000000000001</v>
      </c>
      <c r="I256" s="47">
        <v>45320</v>
      </c>
      <c r="J256" s="48">
        <v>0.75836805555555553</v>
      </c>
      <c r="K256" s="45">
        <v>0</v>
      </c>
      <c r="L256" s="45">
        <v>0</v>
      </c>
      <c r="M256" s="45">
        <v>0</v>
      </c>
      <c r="N256" s="3">
        <f t="shared" si="173"/>
        <v>2.2136400000000003</v>
      </c>
      <c r="P256" s="56">
        <v>4</v>
      </c>
      <c r="Q256" s="56" t="s">
        <v>1</v>
      </c>
      <c r="R256" s="56">
        <v>14640</v>
      </c>
      <c r="S256" s="56">
        <v>80</v>
      </c>
      <c r="T256" s="56">
        <v>1</v>
      </c>
      <c r="U256" s="56">
        <v>4</v>
      </c>
      <c r="V256" s="56">
        <v>814.87</v>
      </c>
      <c r="W256" s="67">
        <v>2.57</v>
      </c>
      <c r="X256" s="57">
        <v>45323</v>
      </c>
      <c r="Y256" s="58">
        <v>0.70166666666666666</v>
      </c>
      <c r="Z256" s="56">
        <v>0</v>
      </c>
      <c r="AA256" s="56">
        <v>0</v>
      </c>
      <c r="AB256" s="56">
        <v>0</v>
      </c>
      <c r="AC256" s="4">
        <f t="shared" si="198"/>
        <v>2.5579999999999998</v>
      </c>
      <c r="AD256" s="3"/>
    </row>
    <row r="257" spans="1:30" x14ac:dyDescent="0.25">
      <c r="A257" s="45">
        <v>3</v>
      </c>
      <c r="B257" s="45" t="s">
        <v>1</v>
      </c>
      <c r="C257" s="45">
        <v>14640</v>
      </c>
      <c r="D257" s="45">
        <v>80</v>
      </c>
      <c r="E257" s="45">
        <v>1</v>
      </c>
      <c r="F257" s="45">
        <v>4</v>
      </c>
      <c r="G257" s="45">
        <v>944.33</v>
      </c>
      <c r="H257" s="46">
        <v>2.2155</v>
      </c>
      <c r="I257" s="47">
        <v>45321</v>
      </c>
      <c r="J257" s="48">
        <v>0.26694444444444443</v>
      </c>
      <c r="K257" s="45">
        <v>0</v>
      </c>
      <c r="L257" s="45">
        <v>0</v>
      </c>
      <c r="M257" s="45">
        <v>0</v>
      </c>
      <c r="N257" s="3">
        <f t="shared" si="173"/>
        <v>2.2136400000000003</v>
      </c>
      <c r="P257" s="56">
        <v>0</v>
      </c>
      <c r="Q257" s="56" t="s">
        <v>1</v>
      </c>
      <c r="R257" s="56">
        <v>13040</v>
      </c>
      <c r="S257" s="56">
        <v>80</v>
      </c>
      <c r="T257" s="56">
        <v>2</v>
      </c>
      <c r="U257" s="56">
        <v>2</v>
      </c>
      <c r="V257" s="56">
        <v>584.42999999999995</v>
      </c>
      <c r="W257" s="67">
        <v>2.5299999999999998</v>
      </c>
      <c r="X257" s="57">
        <v>45321</v>
      </c>
      <c r="Y257" s="58">
        <v>0.99938657407407405</v>
      </c>
      <c r="Z257" s="56">
        <v>0</v>
      </c>
      <c r="AA257" s="56">
        <v>0</v>
      </c>
      <c r="AB257" s="56">
        <v>0</v>
      </c>
      <c r="AC257" s="4">
        <f t="shared" si="198"/>
        <v>2.5579999999999998</v>
      </c>
      <c r="AD257" s="3"/>
    </row>
    <row r="258" spans="1:30" x14ac:dyDescent="0.25">
      <c r="A258" s="45">
        <v>4</v>
      </c>
      <c r="B258" s="45" t="s">
        <v>1</v>
      </c>
      <c r="C258" s="45">
        <v>14640</v>
      </c>
      <c r="D258" s="45">
        <v>80</v>
      </c>
      <c r="E258" s="45">
        <v>1</v>
      </c>
      <c r="F258" s="45">
        <v>4</v>
      </c>
      <c r="G258" s="45">
        <v>945.4</v>
      </c>
      <c r="H258" s="49">
        <v>2.2130000000000001</v>
      </c>
      <c r="I258" s="47">
        <v>45321</v>
      </c>
      <c r="J258" s="48">
        <v>0.77559027777777778</v>
      </c>
      <c r="K258" s="45">
        <v>0</v>
      </c>
      <c r="L258" s="45">
        <v>0</v>
      </c>
      <c r="M258" s="45">
        <v>0</v>
      </c>
      <c r="N258" s="3">
        <f t="shared" si="173"/>
        <v>2.2136400000000003</v>
      </c>
      <c r="P258" s="56">
        <v>1</v>
      </c>
      <c r="Q258" s="56" t="s">
        <v>1</v>
      </c>
      <c r="R258" s="56">
        <v>13040</v>
      </c>
      <c r="S258" s="56">
        <v>80</v>
      </c>
      <c r="T258" s="56">
        <v>2</v>
      </c>
      <c r="U258" s="56">
        <v>2</v>
      </c>
      <c r="V258" s="56">
        <v>580.87</v>
      </c>
      <c r="W258" s="67">
        <v>2.5499999999999998</v>
      </c>
      <c r="X258" s="57">
        <v>45322</v>
      </c>
      <c r="Y258" s="58">
        <v>0.51780092592592597</v>
      </c>
      <c r="Z258" s="56">
        <v>0</v>
      </c>
      <c r="AA258" s="56">
        <v>0</v>
      </c>
      <c r="AB258" s="56">
        <v>0</v>
      </c>
      <c r="AC258" s="4">
        <f t="shared" si="198"/>
        <v>2.5579999999999998</v>
      </c>
      <c r="AD258" s="3"/>
    </row>
    <row r="259" spans="1:30" x14ac:dyDescent="0.25">
      <c r="A259" s="45">
        <v>0</v>
      </c>
      <c r="B259" s="45" t="s">
        <v>1</v>
      </c>
      <c r="C259" s="45">
        <v>13040</v>
      </c>
      <c r="D259" s="45">
        <v>80</v>
      </c>
      <c r="E259" s="45">
        <v>2</v>
      </c>
      <c r="F259" s="45">
        <v>2</v>
      </c>
      <c r="G259" s="45">
        <v>648.16</v>
      </c>
      <c r="H259" s="46">
        <v>2.2810999999999999</v>
      </c>
      <c r="I259" s="47">
        <v>45318</v>
      </c>
      <c r="J259" s="48">
        <v>0.23756944444444444</v>
      </c>
      <c r="K259" s="45">
        <v>0</v>
      </c>
      <c r="L259" s="45">
        <v>0</v>
      </c>
      <c r="M259" s="45">
        <v>0</v>
      </c>
      <c r="N259" s="3">
        <f t="shared" ref="N259" si="199">AVERAGE(H259:H263)</f>
        <v>2.2803599999999999</v>
      </c>
      <c r="P259" s="56">
        <v>2</v>
      </c>
      <c r="Q259" s="56" t="s">
        <v>1</v>
      </c>
      <c r="R259" s="56">
        <v>13040</v>
      </c>
      <c r="S259" s="56">
        <v>80</v>
      </c>
      <c r="T259" s="56">
        <v>2</v>
      </c>
      <c r="U259" s="56">
        <v>2</v>
      </c>
      <c r="V259" s="56">
        <v>584.94000000000005</v>
      </c>
      <c r="W259" s="67">
        <v>2.5299999999999998</v>
      </c>
      <c r="X259" s="57">
        <v>45323</v>
      </c>
      <c r="Y259" s="58">
        <v>3.6006944444444446E-2</v>
      </c>
      <c r="Z259" s="56">
        <v>0</v>
      </c>
      <c r="AA259" s="56">
        <v>0</v>
      </c>
      <c r="AB259" s="56">
        <v>0</v>
      </c>
      <c r="AC259" s="4">
        <f t="shared" ref="AC259" si="200">AVERAGE(W259:W263)</f>
        <v>2.54</v>
      </c>
      <c r="AD259" s="3"/>
    </row>
    <row r="260" spans="1:30" x14ac:dyDescent="0.25">
      <c r="A260" s="45">
        <v>1</v>
      </c>
      <c r="B260" s="45" t="s">
        <v>1</v>
      </c>
      <c r="C260" s="45">
        <v>13040</v>
      </c>
      <c r="D260" s="45">
        <v>80</v>
      </c>
      <c r="E260" s="45">
        <v>2</v>
      </c>
      <c r="F260" s="45">
        <v>2</v>
      </c>
      <c r="G260" s="45">
        <v>648.26</v>
      </c>
      <c r="H260" s="46">
        <v>2.2806999999999999</v>
      </c>
      <c r="I260" s="47">
        <v>45320</v>
      </c>
      <c r="J260" s="48">
        <v>0.61466435185185186</v>
      </c>
      <c r="K260" s="45">
        <v>0</v>
      </c>
      <c r="L260" s="45">
        <v>0</v>
      </c>
      <c r="M260" s="45">
        <v>0</v>
      </c>
      <c r="N260" s="3">
        <f t="shared" ref="N260" si="201">N259</f>
        <v>2.2803599999999999</v>
      </c>
      <c r="P260" s="56">
        <v>3</v>
      </c>
      <c r="Q260" s="56" t="s">
        <v>1</v>
      </c>
      <c r="R260" s="56">
        <v>13040</v>
      </c>
      <c r="S260" s="56">
        <v>80</v>
      </c>
      <c r="T260" s="56">
        <v>2</v>
      </c>
      <c r="U260" s="56">
        <v>2</v>
      </c>
      <c r="V260" s="56">
        <v>581.15</v>
      </c>
      <c r="W260" s="67">
        <v>2.54</v>
      </c>
      <c r="X260" s="57">
        <v>45323</v>
      </c>
      <c r="Y260" s="58">
        <v>0.55452546296296301</v>
      </c>
      <c r="Z260" s="56">
        <v>0</v>
      </c>
      <c r="AA260" s="56">
        <v>0</v>
      </c>
      <c r="AB260" s="56">
        <v>0</v>
      </c>
      <c r="AC260" s="4">
        <f t="shared" ref="AC260:AC263" si="202">AC259</f>
        <v>2.54</v>
      </c>
      <c r="AD260" s="3"/>
    </row>
    <row r="261" spans="1:30" x14ac:dyDescent="0.25">
      <c r="A261" s="45">
        <v>2</v>
      </c>
      <c r="B261" s="45" t="s">
        <v>1</v>
      </c>
      <c r="C261" s="45">
        <v>13040</v>
      </c>
      <c r="D261" s="45">
        <v>80</v>
      </c>
      <c r="E261" s="45">
        <v>2</v>
      </c>
      <c r="F261" s="45">
        <v>2</v>
      </c>
      <c r="G261" s="45">
        <v>648.49</v>
      </c>
      <c r="H261" s="46">
        <v>2.2799</v>
      </c>
      <c r="I261" s="47">
        <v>45321</v>
      </c>
      <c r="J261" s="48">
        <v>0.12321759259259259</v>
      </c>
      <c r="K261" s="45">
        <v>0</v>
      </c>
      <c r="L261" s="45">
        <v>0</v>
      </c>
      <c r="M261" s="45">
        <v>0</v>
      </c>
      <c r="N261" s="3">
        <f t="shared" si="177"/>
        <v>2.2803599999999999</v>
      </c>
      <c r="P261" s="56">
        <v>0</v>
      </c>
      <c r="Q261" s="56" t="s">
        <v>1</v>
      </c>
      <c r="R261" s="56">
        <v>13760</v>
      </c>
      <c r="S261" s="56">
        <v>80</v>
      </c>
      <c r="T261" s="56">
        <v>2</v>
      </c>
      <c r="U261" s="56">
        <v>2</v>
      </c>
      <c r="V261" s="56">
        <v>682.83</v>
      </c>
      <c r="W261" s="67">
        <v>2.54</v>
      </c>
      <c r="X261" s="57">
        <v>45321</v>
      </c>
      <c r="Y261" s="58">
        <v>0.83315972222222223</v>
      </c>
      <c r="Z261" s="56">
        <v>0</v>
      </c>
      <c r="AA261" s="56">
        <v>0</v>
      </c>
      <c r="AB261" s="56">
        <v>0</v>
      </c>
      <c r="AC261" s="4">
        <f t="shared" si="202"/>
        <v>2.54</v>
      </c>
      <c r="AD261" s="3"/>
    </row>
    <row r="262" spans="1:30" x14ac:dyDescent="0.25">
      <c r="A262" s="45">
        <v>3</v>
      </c>
      <c r="B262" s="45" t="s">
        <v>1</v>
      </c>
      <c r="C262" s="45">
        <v>13040</v>
      </c>
      <c r="D262" s="45">
        <v>80</v>
      </c>
      <c r="E262" s="45">
        <v>2</v>
      </c>
      <c r="F262" s="45">
        <v>2</v>
      </c>
      <c r="G262" s="45">
        <v>648.42999999999995</v>
      </c>
      <c r="H262" s="49">
        <v>2.2801</v>
      </c>
      <c r="I262" s="47">
        <v>45321</v>
      </c>
      <c r="J262" s="48">
        <v>0.63187499999999996</v>
      </c>
      <c r="K262" s="45">
        <v>0</v>
      </c>
      <c r="L262" s="45">
        <v>0</v>
      </c>
      <c r="M262" s="45">
        <v>0</v>
      </c>
      <c r="N262" s="3">
        <f t="shared" si="177"/>
        <v>2.2803599999999999</v>
      </c>
      <c r="P262" s="56">
        <v>1</v>
      </c>
      <c r="Q262" s="56" t="s">
        <v>1</v>
      </c>
      <c r="R262" s="56">
        <v>13760</v>
      </c>
      <c r="S262" s="56">
        <v>80</v>
      </c>
      <c r="T262" s="56">
        <v>2</v>
      </c>
      <c r="U262" s="56">
        <v>2</v>
      </c>
      <c r="V262" s="56">
        <v>683.28</v>
      </c>
      <c r="W262" s="67">
        <v>2.54</v>
      </c>
      <c r="X262" s="57">
        <v>45322</v>
      </c>
      <c r="Y262" s="58">
        <v>0.35149305555555554</v>
      </c>
      <c r="Z262" s="56">
        <v>0</v>
      </c>
      <c r="AA262" s="56">
        <v>0</v>
      </c>
      <c r="AB262" s="56">
        <v>0</v>
      </c>
      <c r="AC262" s="4">
        <f t="shared" si="202"/>
        <v>2.54</v>
      </c>
      <c r="AD262" s="3"/>
    </row>
    <row r="263" spans="1:30" x14ac:dyDescent="0.25">
      <c r="A263" s="45">
        <v>4</v>
      </c>
      <c r="B263" s="45" t="s">
        <v>1</v>
      </c>
      <c r="C263" s="45">
        <v>13040</v>
      </c>
      <c r="D263" s="45">
        <v>80</v>
      </c>
      <c r="E263" s="45">
        <v>2</v>
      </c>
      <c r="F263" s="45">
        <v>2</v>
      </c>
      <c r="G263" s="45">
        <v>648.45000000000005</v>
      </c>
      <c r="H263" s="49">
        <v>2.2799999999999998</v>
      </c>
      <c r="I263" s="47">
        <v>45322</v>
      </c>
      <c r="J263" s="48">
        <v>0.14041666666666666</v>
      </c>
      <c r="K263" s="45">
        <v>0</v>
      </c>
      <c r="L263" s="45">
        <v>0</v>
      </c>
      <c r="M263" s="45">
        <v>0</v>
      </c>
      <c r="N263" s="3">
        <f t="shared" si="177"/>
        <v>2.2803599999999999</v>
      </c>
      <c r="P263" s="56">
        <v>2</v>
      </c>
      <c r="Q263" s="56" t="s">
        <v>1</v>
      </c>
      <c r="R263" s="56">
        <v>13760</v>
      </c>
      <c r="S263" s="56">
        <v>80</v>
      </c>
      <c r="T263" s="56">
        <v>2</v>
      </c>
      <c r="U263" s="56">
        <v>2</v>
      </c>
      <c r="V263" s="56">
        <v>682.3</v>
      </c>
      <c r="W263" s="67">
        <v>2.5499999999999998</v>
      </c>
      <c r="X263" s="57">
        <v>45322</v>
      </c>
      <c r="Y263" s="58">
        <v>0.86962962962962964</v>
      </c>
      <c r="Z263" s="56">
        <v>0</v>
      </c>
      <c r="AA263" s="56">
        <v>0</v>
      </c>
      <c r="AB263" s="56">
        <v>0</v>
      </c>
      <c r="AC263" s="4">
        <f t="shared" si="202"/>
        <v>2.54</v>
      </c>
      <c r="AD263" s="3"/>
    </row>
    <row r="264" spans="1:30" x14ac:dyDescent="0.25">
      <c r="A264" s="45">
        <v>0</v>
      </c>
      <c r="B264" s="45" t="s">
        <v>1</v>
      </c>
      <c r="C264" s="45">
        <v>13760</v>
      </c>
      <c r="D264" s="45">
        <v>80</v>
      </c>
      <c r="E264" s="45">
        <v>2</v>
      </c>
      <c r="F264" s="45">
        <v>2</v>
      </c>
      <c r="G264" s="45">
        <v>758.65</v>
      </c>
      <c r="H264" s="46">
        <v>2.2898000000000001</v>
      </c>
      <c r="I264" s="47">
        <v>45318</v>
      </c>
      <c r="J264" s="48">
        <v>0.16032407407407406</v>
      </c>
      <c r="K264" s="45">
        <v>0</v>
      </c>
      <c r="L264" s="45">
        <v>0</v>
      </c>
      <c r="M264" s="45">
        <v>0</v>
      </c>
      <c r="N264" s="3">
        <f t="shared" ref="N264" si="203">AVERAGE(H264:H268)</f>
        <v>2.2898199999999997</v>
      </c>
      <c r="P264" s="56">
        <v>3</v>
      </c>
      <c r="Q264" s="56" t="s">
        <v>1</v>
      </c>
      <c r="R264" s="56">
        <v>13760</v>
      </c>
      <c r="S264" s="56">
        <v>80</v>
      </c>
      <c r="T264" s="56">
        <v>2</v>
      </c>
      <c r="U264" s="56">
        <v>2</v>
      </c>
      <c r="V264" s="56">
        <v>681.83</v>
      </c>
      <c r="W264" s="67">
        <v>2.5499999999999998</v>
      </c>
      <c r="X264" s="57">
        <v>45323</v>
      </c>
      <c r="Y264" s="58">
        <v>0.3883564814814815</v>
      </c>
      <c r="Z264" s="56">
        <v>0</v>
      </c>
      <c r="AA264" s="56">
        <v>0</v>
      </c>
      <c r="AB264" s="56">
        <v>0</v>
      </c>
      <c r="AC264" s="4">
        <f t="shared" ref="AC264" si="204">AVERAGE(W264:W268)</f>
        <v>2.552</v>
      </c>
      <c r="AD264" s="3"/>
    </row>
    <row r="265" spans="1:30" x14ac:dyDescent="0.25">
      <c r="A265" s="45">
        <v>1</v>
      </c>
      <c r="B265" s="45" t="s">
        <v>1</v>
      </c>
      <c r="C265" s="45">
        <v>13760</v>
      </c>
      <c r="D265" s="45">
        <v>80</v>
      </c>
      <c r="E265" s="45">
        <v>2</v>
      </c>
      <c r="F265" s="45">
        <v>2</v>
      </c>
      <c r="G265" s="45">
        <v>758.75</v>
      </c>
      <c r="H265" s="46">
        <v>2.2894999999999999</v>
      </c>
      <c r="I265" s="47">
        <v>45320</v>
      </c>
      <c r="J265" s="48">
        <v>0.45145833333333335</v>
      </c>
      <c r="K265" s="45">
        <v>0</v>
      </c>
      <c r="L265" s="45">
        <v>0</v>
      </c>
      <c r="M265" s="45">
        <v>0</v>
      </c>
      <c r="N265" s="3">
        <f t="shared" ref="N265" si="205">N264</f>
        <v>2.2898199999999997</v>
      </c>
      <c r="P265" s="56">
        <v>0</v>
      </c>
      <c r="Q265" s="56" t="s">
        <v>1</v>
      </c>
      <c r="R265" s="56">
        <v>14640</v>
      </c>
      <c r="S265" s="56">
        <v>80</v>
      </c>
      <c r="T265" s="56">
        <v>2</v>
      </c>
      <c r="U265" s="56">
        <v>2</v>
      </c>
      <c r="V265" s="56">
        <v>824.57</v>
      </c>
      <c r="W265" s="67">
        <v>2.54</v>
      </c>
      <c r="X265" s="57">
        <v>45321</v>
      </c>
      <c r="Y265" s="58">
        <v>0.63929398148148153</v>
      </c>
      <c r="Z265" s="56">
        <v>0</v>
      </c>
      <c r="AA265" s="56">
        <v>0</v>
      </c>
      <c r="AB265" s="56">
        <v>0</v>
      </c>
      <c r="AC265" s="4">
        <f t="shared" ref="AC265:AC268" si="206">AC264</f>
        <v>2.552</v>
      </c>
      <c r="AD265" s="3"/>
    </row>
    <row r="266" spans="1:30" x14ac:dyDescent="0.25">
      <c r="A266" s="45">
        <v>2</v>
      </c>
      <c r="B266" s="45" t="s">
        <v>1</v>
      </c>
      <c r="C266" s="45">
        <v>13760</v>
      </c>
      <c r="D266" s="45">
        <v>80</v>
      </c>
      <c r="E266" s="45">
        <v>2</v>
      </c>
      <c r="F266" s="45">
        <v>2</v>
      </c>
      <c r="G266" s="45">
        <v>758.76</v>
      </c>
      <c r="H266" s="46">
        <v>2.2894000000000001</v>
      </c>
      <c r="I266" s="47">
        <v>45320</v>
      </c>
      <c r="J266" s="48">
        <v>0.96003472222222219</v>
      </c>
      <c r="K266" s="45">
        <v>0</v>
      </c>
      <c r="L266" s="45">
        <v>0</v>
      </c>
      <c r="M266" s="45">
        <v>0</v>
      </c>
      <c r="N266" s="3">
        <f t="shared" si="173"/>
        <v>2.2898199999999997</v>
      </c>
      <c r="P266" s="56">
        <v>1</v>
      </c>
      <c r="Q266" s="56" t="s">
        <v>1</v>
      </c>
      <c r="R266" s="56">
        <v>14640</v>
      </c>
      <c r="S266" s="56">
        <v>80</v>
      </c>
      <c r="T266" s="56">
        <v>2</v>
      </c>
      <c r="U266" s="56">
        <v>2</v>
      </c>
      <c r="V266" s="56">
        <v>821.16</v>
      </c>
      <c r="W266" s="67">
        <v>2.5499999999999998</v>
      </c>
      <c r="X266" s="57">
        <v>45322</v>
      </c>
      <c r="Y266" s="58">
        <v>0.15770833333333334</v>
      </c>
      <c r="Z266" s="56">
        <v>0</v>
      </c>
      <c r="AA266" s="56">
        <v>0</v>
      </c>
      <c r="AB266" s="56">
        <v>0</v>
      </c>
      <c r="AC266" s="4">
        <f t="shared" si="206"/>
        <v>2.552</v>
      </c>
      <c r="AD266" s="3"/>
    </row>
    <row r="267" spans="1:30" x14ac:dyDescent="0.25">
      <c r="A267" s="45">
        <v>3</v>
      </c>
      <c r="B267" s="45" t="s">
        <v>1</v>
      </c>
      <c r="C267" s="45">
        <v>13760</v>
      </c>
      <c r="D267" s="45">
        <v>80</v>
      </c>
      <c r="E267" s="45">
        <v>2</v>
      </c>
      <c r="F267" s="45">
        <v>2</v>
      </c>
      <c r="G267" s="45">
        <v>758.64</v>
      </c>
      <c r="H267" s="46">
        <v>2.2898000000000001</v>
      </c>
      <c r="I267" s="47">
        <v>45321</v>
      </c>
      <c r="J267" s="48">
        <v>0.46865740740740741</v>
      </c>
      <c r="K267" s="45">
        <v>0</v>
      </c>
      <c r="L267" s="45">
        <v>0</v>
      </c>
      <c r="M267" s="45">
        <v>0</v>
      </c>
      <c r="N267" s="3">
        <f t="shared" si="173"/>
        <v>2.2898199999999997</v>
      </c>
      <c r="P267" s="56">
        <v>2</v>
      </c>
      <c r="Q267" s="56" t="s">
        <v>1</v>
      </c>
      <c r="R267" s="56">
        <v>14640</v>
      </c>
      <c r="S267" s="56">
        <v>80</v>
      </c>
      <c r="T267" s="56">
        <v>2</v>
      </c>
      <c r="U267" s="56">
        <v>2</v>
      </c>
      <c r="V267" s="56">
        <v>816.19</v>
      </c>
      <c r="W267" s="67">
        <v>2.56</v>
      </c>
      <c r="X267" s="57">
        <v>45322</v>
      </c>
      <c r="Y267" s="58">
        <v>0.67584490740740744</v>
      </c>
      <c r="Z267" s="56">
        <v>0</v>
      </c>
      <c r="AA267" s="56">
        <v>0</v>
      </c>
      <c r="AB267" s="56">
        <v>0</v>
      </c>
      <c r="AC267" s="4">
        <f t="shared" si="206"/>
        <v>2.552</v>
      </c>
      <c r="AD267" s="3"/>
    </row>
    <row r="268" spans="1:30" x14ac:dyDescent="0.25">
      <c r="A268" s="45">
        <v>4</v>
      </c>
      <c r="B268" s="45" t="s">
        <v>1</v>
      </c>
      <c r="C268" s="45">
        <v>13760</v>
      </c>
      <c r="D268" s="45">
        <v>80</v>
      </c>
      <c r="E268" s="45">
        <v>2</v>
      </c>
      <c r="F268" s="45">
        <v>2</v>
      </c>
      <c r="G268" s="45">
        <v>758.39</v>
      </c>
      <c r="H268" s="49">
        <v>2.2906</v>
      </c>
      <c r="I268" s="47">
        <v>45321</v>
      </c>
      <c r="J268" s="48">
        <v>0.97723379629629625</v>
      </c>
      <c r="K268" s="45">
        <v>0</v>
      </c>
      <c r="L268" s="45">
        <v>0</v>
      </c>
      <c r="M268" s="45">
        <v>0</v>
      </c>
      <c r="N268" s="3">
        <f t="shared" si="173"/>
        <v>2.2898199999999997</v>
      </c>
      <c r="P268" s="56">
        <v>3</v>
      </c>
      <c r="Q268" s="56" t="s">
        <v>1</v>
      </c>
      <c r="R268" s="56">
        <v>14640</v>
      </c>
      <c r="S268" s="56">
        <v>80</v>
      </c>
      <c r="T268" s="56">
        <v>2</v>
      </c>
      <c r="U268" s="56">
        <v>2</v>
      </c>
      <c r="V268" s="56">
        <v>817.13</v>
      </c>
      <c r="W268" s="67">
        <v>2.56</v>
      </c>
      <c r="X268" s="57">
        <v>45323</v>
      </c>
      <c r="Y268" s="58">
        <v>0.19447916666666668</v>
      </c>
      <c r="Z268" s="56">
        <v>0</v>
      </c>
      <c r="AA268" s="56">
        <v>0</v>
      </c>
      <c r="AB268" s="56">
        <v>0</v>
      </c>
      <c r="AC268" s="4">
        <f t="shared" si="206"/>
        <v>2.552</v>
      </c>
      <c r="AD268" s="3"/>
    </row>
    <row r="269" spans="1:30" x14ac:dyDescent="0.25">
      <c r="A269" s="45">
        <v>0</v>
      </c>
      <c r="B269" s="45" t="s">
        <v>1</v>
      </c>
      <c r="C269" s="45">
        <v>14640</v>
      </c>
      <c r="D269" s="45">
        <v>80</v>
      </c>
      <c r="E269" s="45">
        <v>2</v>
      </c>
      <c r="F269" s="45">
        <v>2</v>
      </c>
      <c r="G269" s="45">
        <v>911.52</v>
      </c>
      <c r="H269" s="46">
        <v>2.2953000000000001</v>
      </c>
      <c r="I269" s="47">
        <v>45318</v>
      </c>
      <c r="J269" s="48">
        <v>6.9537037037037036E-2</v>
      </c>
      <c r="K269" s="45">
        <v>0</v>
      </c>
      <c r="L269" s="45">
        <v>0</v>
      </c>
      <c r="M269" s="45">
        <v>0</v>
      </c>
      <c r="N269" s="3">
        <f t="shared" ref="N269" si="207">AVERAGE(H269:H273)</f>
        <v>2.29392</v>
      </c>
      <c r="P269" s="56">
        <v>4</v>
      </c>
      <c r="Q269" s="56" t="s">
        <v>1</v>
      </c>
      <c r="R269" s="56">
        <v>14640</v>
      </c>
      <c r="S269" s="56">
        <v>80</v>
      </c>
      <c r="T269" s="56">
        <v>2</v>
      </c>
      <c r="U269" s="56">
        <v>2</v>
      </c>
      <c r="V269" s="56">
        <v>820.34</v>
      </c>
      <c r="W269" s="67">
        <v>2.5499999999999998</v>
      </c>
      <c r="X269" s="57">
        <v>45323</v>
      </c>
      <c r="Y269" s="58">
        <v>0.71281249999999996</v>
      </c>
      <c r="Z269" s="56">
        <v>0</v>
      </c>
      <c r="AA269" s="56">
        <v>0</v>
      </c>
      <c r="AB269" s="56">
        <v>0</v>
      </c>
      <c r="AC269" s="4">
        <f t="shared" ref="AC269" si="208">AVERAGE(W269:W273)</f>
        <v>2.512</v>
      </c>
      <c r="AD269" s="3"/>
    </row>
    <row r="270" spans="1:30" x14ac:dyDescent="0.25">
      <c r="A270" s="45">
        <v>1</v>
      </c>
      <c r="B270" s="45" t="s">
        <v>1</v>
      </c>
      <c r="C270" s="45">
        <v>14640</v>
      </c>
      <c r="D270" s="45">
        <v>80</v>
      </c>
      <c r="E270" s="45">
        <v>2</v>
      </c>
      <c r="F270" s="45">
        <v>2</v>
      </c>
      <c r="G270" s="45">
        <v>912.46</v>
      </c>
      <c r="H270" s="46">
        <v>2.2928999999999999</v>
      </c>
      <c r="I270" s="47">
        <v>45320</v>
      </c>
      <c r="J270" s="48">
        <v>0.26071759259259258</v>
      </c>
      <c r="K270" s="45">
        <v>0</v>
      </c>
      <c r="L270" s="45">
        <v>0</v>
      </c>
      <c r="M270" s="45">
        <v>0</v>
      </c>
      <c r="N270" s="3">
        <f t="shared" ref="N270" si="209">N269</f>
        <v>2.29392</v>
      </c>
      <c r="P270" s="56">
        <v>0</v>
      </c>
      <c r="Q270" s="56" t="s">
        <v>1</v>
      </c>
      <c r="R270" s="56">
        <v>12992</v>
      </c>
      <c r="S270" s="56">
        <v>112</v>
      </c>
      <c r="T270" s="56">
        <v>1</v>
      </c>
      <c r="U270" s="56">
        <v>4</v>
      </c>
      <c r="V270" s="56">
        <v>583.33000000000004</v>
      </c>
      <c r="W270" s="67">
        <v>2.5099999999999998</v>
      </c>
      <c r="X270" s="57">
        <v>45322</v>
      </c>
      <c r="Y270" s="58">
        <v>2.3657407407407408E-2</v>
      </c>
      <c r="Z270" s="56">
        <v>0</v>
      </c>
      <c r="AA270" s="56">
        <v>0</v>
      </c>
      <c r="AB270" s="56">
        <v>0</v>
      </c>
      <c r="AC270" s="4">
        <f t="shared" ref="AC270:AC273" si="210">AC269</f>
        <v>2.512</v>
      </c>
      <c r="AD270" s="3"/>
    </row>
    <row r="271" spans="1:30" x14ac:dyDescent="0.25">
      <c r="A271" s="45">
        <v>2</v>
      </c>
      <c r="B271" s="45" t="s">
        <v>1</v>
      </c>
      <c r="C271" s="45">
        <v>14640</v>
      </c>
      <c r="D271" s="45">
        <v>80</v>
      </c>
      <c r="E271" s="45">
        <v>2</v>
      </c>
      <c r="F271" s="45">
        <v>2</v>
      </c>
      <c r="G271" s="45">
        <v>912.21</v>
      </c>
      <c r="H271" s="46">
        <v>2.2934999999999999</v>
      </c>
      <c r="I271" s="47">
        <v>45320</v>
      </c>
      <c r="J271" s="48">
        <v>0.76925925925925931</v>
      </c>
      <c r="K271" s="45">
        <v>0</v>
      </c>
      <c r="L271" s="45">
        <v>0</v>
      </c>
      <c r="M271" s="45">
        <v>0</v>
      </c>
      <c r="N271" s="3">
        <f t="shared" si="177"/>
        <v>2.29392</v>
      </c>
      <c r="P271" s="56">
        <v>1</v>
      </c>
      <c r="Q271" s="56" t="s">
        <v>1</v>
      </c>
      <c r="R271" s="56">
        <v>12992</v>
      </c>
      <c r="S271" s="56">
        <v>112</v>
      </c>
      <c r="T271" s="56">
        <v>1</v>
      </c>
      <c r="U271" s="56">
        <v>4</v>
      </c>
      <c r="V271" s="56">
        <v>584.44000000000005</v>
      </c>
      <c r="W271" s="67">
        <v>2.5</v>
      </c>
      <c r="X271" s="57">
        <v>45322</v>
      </c>
      <c r="Y271" s="58">
        <v>0.54202546296296295</v>
      </c>
      <c r="Z271" s="56">
        <v>0</v>
      </c>
      <c r="AA271" s="56">
        <v>0</v>
      </c>
      <c r="AB271" s="56">
        <v>0</v>
      </c>
      <c r="AC271" s="4">
        <f t="shared" si="210"/>
        <v>2.512</v>
      </c>
      <c r="AD271" s="3"/>
    </row>
    <row r="272" spans="1:30" x14ac:dyDescent="0.25">
      <c r="A272" s="45">
        <v>3</v>
      </c>
      <c r="B272" s="45" t="s">
        <v>1</v>
      </c>
      <c r="C272" s="45">
        <v>14640</v>
      </c>
      <c r="D272" s="45">
        <v>80</v>
      </c>
      <c r="E272" s="45">
        <v>2</v>
      </c>
      <c r="F272" s="45">
        <v>2</v>
      </c>
      <c r="G272" s="45">
        <v>911.88</v>
      </c>
      <c r="H272" s="46">
        <v>2.2942999999999998</v>
      </c>
      <c r="I272" s="47">
        <v>45321</v>
      </c>
      <c r="J272" s="48">
        <v>0.27783564814814815</v>
      </c>
      <c r="K272" s="45">
        <v>0</v>
      </c>
      <c r="L272" s="45">
        <v>0</v>
      </c>
      <c r="M272" s="45">
        <v>0</v>
      </c>
      <c r="N272" s="3">
        <f t="shared" si="177"/>
        <v>2.29392</v>
      </c>
      <c r="P272" s="56">
        <v>2</v>
      </c>
      <c r="Q272" s="56" t="s">
        <v>1</v>
      </c>
      <c r="R272" s="56">
        <v>12992</v>
      </c>
      <c r="S272" s="56">
        <v>112</v>
      </c>
      <c r="T272" s="56">
        <v>1</v>
      </c>
      <c r="U272" s="56">
        <v>4</v>
      </c>
      <c r="V272" s="56">
        <v>587.5</v>
      </c>
      <c r="W272" s="67">
        <v>2.4900000000000002</v>
      </c>
      <c r="X272" s="57">
        <v>45323</v>
      </c>
      <c r="Y272" s="58">
        <v>6.0312499999999998E-2</v>
      </c>
      <c r="Z272" s="56">
        <v>0</v>
      </c>
      <c r="AA272" s="56">
        <v>0</v>
      </c>
      <c r="AB272" s="56">
        <v>0</v>
      </c>
      <c r="AC272" s="4">
        <f t="shared" si="210"/>
        <v>2.512</v>
      </c>
      <c r="AD272" s="3"/>
    </row>
    <row r="273" spans="1:30" x14ac:dyDescent="0.25">
      <c r="A273" s="45">
        <v>4</v>
      </c>
      <c r="B273" s="45" t="s">
        <v>1</v>
      </c>
      <c r="C273" s="45">
        <v>14640</v>
      </c>
      <c r="D273" s="45">
        <v>80</v>
      </c>
      <c r="E273" s="45">
        <v>2</v>
      </c>
      <c r="F273" s="45">
        <v>2</v>
      </c>
      <c r="G273" s="45">
        <v>912.18</v>
      </c>
      <c r="H273" s="49">
        <v>2.2936000000000001</v>
      </c>
      <c r="I273" s="47">
        <v>45321</v>
      </c>
      <c r="J273" s="48">
        <v>0.78648148148148145</v>
      </c>
      <c r="K273" s="45">
        <v>0</v>
      </c>
      <c r="L273" s="45">
        <v>0</v>
      </c>
      <c r="M273" s="45">
        <v>0</v>
      </c>
      <c r="N273" s="3">
        <f t="shared" si="177"/>
        <v>2.29392</v>
      </c>
      <c r="P273" s="56">
        <v>3</v>
      </c>
      <c r="Q273" s="56" t="s">
        <v>1</v>
      </c>
      <c r="R273" s="56">
        <v>12992</v>
      </c>
      <c r="S273" s="56">
        <v>112</v>
      </c>
      <c r="T273" s="56">
        <v>1</v>
      </c>
      <c r="U273" s="56">
        <v>4</v>
      </c>
      <c r="V273" s="56">
        <v>581.87</v>
      </c>
      <c r="W273" s="67">
        <v>2.5099999999999998</v>
      </c>
      <c r="X273" s="57">
        <v>45323</v>
      </c>
      <c r="Y273" s="58">
        <v>0.57878472222222221</v>
      </c>
      <c r="Z273" s="56">
        <v>0</v>
      </c>
      <c r="AA273" s="56">
        <v>0</v>
      </c>
      <c r="AB273" s="56">
        <v>0</v>
      </c>
      <c r="AC273" s="4">
        <f t="shared" si="210"/>
        <v>2.512</v>
      </c>
      <c r="AD273" s="3"/>
    </row>
    <row r="274" spans="1:30" x14ac:dyDescent="0.25">
      <c r="A274" s="45">
        <v>0</v>
      </c>
      <c r="B274" s="45" t="s">
        <v>1</v>
      </c>
      <c r="C274" s="45">
        <v>13040</v>
      </c>
      <c r="D274" s="45">
        <v>80</v>
      </c>
      <c r="E274" s="45">
        <v>4</v>
      </c>
      <c r="F274" s="45">
        <v>1</v>
      </c>
      <c r="G274" s="45">
        <v>660.76</v>
      </c>
      <c r="H274" s="46">
        <v>2.2376</v>
      </c>
      <c r="I274" s="47">
        <v>45318</v>
      </c>
      <c r="J274" s="48">
        <v>0.2454861111111111</v>
      </c>
      <c r="K274" s="45">
        <v>0</v>
      </c>
      <c r="L274" s="45">
        <v>0</v>
      </c>
      <c r="M274" s="45">
        <v>0</v>
      </c>
      <c r="N274" s="3">
        <f t="shared" ref="N274" si="211">AVERAGE(H274:H278)</f>
        <v>2.23922</v>
      </c>
      <c r="P274" s="59">
        <v>0</v>
      </c>
      <c r="Q274" s="59" t="s">
        <v>1</v>
      </c>
      <c r="R274" s="59">
        <v>13776</v>
      </c>
      <c r="S274" s="59">
        <v>112</v>
      </c>
      <c r="T274" s="59">
        <v>1</v>
      </c>
      <c r="U274" s="59">
        <v>4</v>
      </c>
      <c r="V274" s="59">
        <v>691.03</v>
      </c>
      <c r="W274" s="68">
        <v>2.52</v>
      </c>
      <c r="X274" s="60">
        <v>45321</v>
      </c>
      <c r="Y274" s="61">
        <v>0.86160879629629628</v>
      </c>
      <c r="Z274" s="59">
        <v>0</v>
      </c>
      <c r="AA274" s="59">
        <v>0</v>
      </c>
      <c r="AB274" s="59">
        <v>0</v>
      </c>
      <c r="AC274" s="4">
        <f t="shared" ref="AC274" si="212">AVERAGE(W274:W278)</f>
        <v>2.5119999999999996</v>
      </c>
    </row>
    <row r="275" spans="1:30" x14ac:dyDescent="0.25">
      <c r="A275" s="45">
        <v>0</v>
      </c>
      <c r="B275" s="45" t="s">
        <v>1</v>
      </c>
      <c r="C275" s="45">
        <v>13760</v>
      </c>
      <c r="D275" s="45">
        <v>80</v>
      </c>
      <c r="E275" s="45">
        <v>4</v>
      </c>
      <c r="F275" s="45">
        <v>1</v>
      </c>
      <c r="G275" s="45">
        <v>772.58</v>
      </c>
      <c r="H275" s="46">
        <v>2.2484999999999999</v>
      </c>
      <c r="I275" s="47">
        <v>45318</v>
      </c>
      <c r="J275" s="48">
        <v>0.16957175925925927</v>
      </c>
      <c r="K275" s="45">
        <v>0</v>
      </c>
      <c r="L275" s="45">
        <v>0</v>
      </c>
      <c r="M275" s="45">
        <v>0</v>
      </c>
      <c r="N275" s="3">
        <f t="shared" ref="N275" si="213">N274</f>
        <v>2.23922</v>
      </c>
      <c r="P275" s="56">
        <v>1</v>
      </c>
      <c r="Q275" s="56" t="s">
        <v>1</v>
      </c>
      <c r="R275" s="56">
        <v>13776</v>
      </c>
      <c r="S275" s="56">
        <v>112</v>
      </c>
      <c r="T275" s="56">
        <v>1</v>
      </c>
      <c r="U275" s="56">
        <v>4</v>
      </c>
      <c r="V275" s="56">
        <v>693.96</v>
      </c>
      <c r="W275" s="67">
        <v>2.5099999999999998</v>
      </c>
      <c r="X275" s="57">
        <v>45322</v>
      </c>
      <c r="Y275" s="58">
        <v>0.38003472222222223</v>
      </c>
      <c r="Z275" s="56">
        <v>0</v>
      </c>
      <c r="AA275" s="56">
        <v>0</v>
      </c>
      <c r="AB275" s="56">
        <v>0</v>
      </c>
      <c r="AC275" s="4">
        <f t="shared" ref="AC275:AC278" si="214">AC274</f>
        <v>2.5119999999999996</v>
      </c>
    </row>
    <row r="276" spans="1:30" x14ac:dyDescent="0.25">
      <c r="A276" s="45">
        <v>0</v>
      </c>
      <c r="B276" s="45" t="s">
        <v>1</v>
      </c>
      <c r="C276" s="45">
        <v>14640</v>
      </c>
      <c r="D276" s="45">
        <v>80</v>
      </c>
      <c r="E276" s="45">
        <v>4</v>
      </c>
      <c r="F276" s="45">
        <v>1</v>
      </c>
      <c r="G276" s="45">
        <v>925.08</v>
      </c>
      <c r="H276" s="46">
        <v>2.2616000000000001</v>
      </c>
      <c r="I276" s="47">
        <v>45318</v>
      </c>
      <c r="J276" s="48">
        <v>8.0578703703703708E-2</v>
      </c>
      <c r="K276" s="45">
        <v>0</v>
      </c>
      <c r="L276" s="45">
        <v>0</v>
      </c>
      <c r="M276" s="45">
        <v>0</v>
      </c>
      <c r="N276" s="3">
        <f t="shared" si="173"/>
        <v>2.23922</v>
      </c>
      <c r="P276" s="56">
        <v>2</v>
      </c>
      <c r="Q276" s="56" t="s">
        <v>1</v>
      </c>
      <c r="R276" s="56">
        <v>13776</v>
      </c>
      <c r="S276" s="56">
        <v>112</v>
      </c>
      <c r="T276" s="56">
        <v>1</v>
      </c>
      <c r="U276" s="56">
        <v>4</v>
      </c>
      <c r="V276" s="56">
        <v>698.73</v>
      </c>
      <c r="W276" s="67">
        <v>2.4900000000000002</v>
      </c>
      <c r="X276" s="57">
        <v>45322</v>
      </c>
      <c r="Y276" s="58">
        <v>0.89818287037037037</v>
      </c>
      <c r="Z276" s="56">
        <v>0</v>
      </c>
      <c r="AA276" s="56">
        <v>0</v>
      </c>
      <c r="AB276" s="56">
        <v>0</v>
      </c>
      <c r="AC276" s="4">
        <f t="shared" si="214"/>
        <v>2.5119999999999996</v>
      </c>
    </row>
    <row r="277" spans="1:30" x14ac:dyDescent="0.25">
      <c r="A277" s="45">
        <v>0</v>
      </c>
      <c r="B277" s="45" t="s">
        <v>1</v>
      </c>
      <c r="C277" s="45">
        <v>12992</v>
      </c>
      <c r="D277" s="45">
        <v>112</v>
      </c>
      <c r="E277" s="45">
        <v>1</v>
      </c>
      <c r="F277" s="45">
        <v>4</v>
      </c>
      <c r="G277" s="45">
        <v>657.42</v>
      </c>
      <c r="H277" s="46">
        <v>2.2242000000000002</v>
      </c>
      <c r="I277" s="47">
        <v>45320</v>
      </c>
      <c r="J277" s="48">
        <v>0.12979166666666667</v>
      </c>
      <c r="K277" s="45">
        <v>0</v>
      </c>
      <c r="L277" s="45">
        <v>0</v>
      </c>
      <c r="M277" s="45">
        <v>0</v>
      </c>
      <c r="N277" s="3">
        <f t="shared" si="173"/>
        <v>2.23922</v>
      </c>
      <c r="P277" s="56">
        <v>3</v>
      </c>
      <c r="Q277" s="56" t="s">
        <v>1</v>
      </c>
      <c r="R277" s="56">
        <v>13776</v>
      </c>
      <c r="S277" s="56">
        <v>112</v>
      </c>
      <c r="T277" s="56">
        <v>1</v>
      </c>
      <c r="U277" s="56">
        <v>4</v>
      </c>
      <c r="V277" s="56">
        <v>693.4</v>
      </c>
      <c r="W277" s="67">
        <v>2.5099999999999998</v>
      </c>
      <c r="X277" s="57">
        <v>45323</v>
      </c>
      <c r="Y277" s="58">
        <v>0.41682870370370373</v>
      </c>
      <c r="Z277" s="56">
        <v>0</v>
      </c>
      <c r="AA277" s="56">
        <v>0</v>
      </c>
      <c r="AB277" s="56">
        <v>0</v>
      </c>
      <c r="AC277" s="4">
        <f t="shared" si="214"/>
        <v>2.5119999999999996</v>
      </c>
    </row>
    <row r="278" spans="1:30" x14ac:dyDescent="0.25">
      <c r="A278" s="45">
        <v>1</v>
      </c>
      <c r="B278" s="45" t="s">
        <v>1</v>
      </c>
      <c r="C278" s="45">
        <v>12992</v>
      </c>
      <c r="D278" s="45">
        <v>112</v>
      </c>
      <c r="E278" s="45">
        <v>1</v>
      </c>
      <c r="F278" s="45">
        <v>4</v>
      </c>
      <c r="G278" s="45">
        <v>657.41</v>
      </c>
      <c r="H278" s="46">
        <v>2.2242000000000002</v>
      </c>
      <c r="I278" s="47">
        <v>45320</v>
      </c>
      <c r="J278" s="48">
        <v>0.63833333333333331</v>
      </c>
      <c r="K278" s="45">
        <v>0</v>
      </c>
      <c r="L278" s="45">
        <v>0</v>
      </c>
      <c r="M278" s="45">
        <v>0</v>
      </c>
      <c r="N278" s="3">
        <f t="shared" si="173"/>
        <v>2.23922</v>
      </c>
      <c r="P278" s="56">
        <v>0</v>
      </c>
      <c r="Q278" s="56" t="s">
        <v>1</v>
      </c>
      <c r="R278" s="56">
        <v>14560</v>
      </c>
      <c r="S278" s="56">
        <v>112</v>
      </c>
      <c r="T278" s="56">
        <v>1</v>
      </c>
      <c r="U278" s="56">
        <v>4</v>
      </c>
      <c r="V278" s="56">
        <v>812.12</v>
      </c>
      <c r="W278" s="67">
        <v>2.5299999999999998</v>
      </c>
      <c r="X278" s="57">
        <v>45321</v>
      </c>
      <c r="Y278" s="58">
        <v>0.6724768518518518</v>
      </c>
      <c r="Z278" s="56">
        <v>0</v>
      </c>
      <c r="AA278" s="56">
        <v>0</v>
      </c>
      <c r="AB278" s="56">
        <v>0</v>
      </c>
      <c r="AC278" s="4">
        <f t="shared" si="214"/>
        <v>2.5119999999999996</v>
      </c>
    </row>
    <row r="279" spans="1:30" x14ac:dyDescent="0.25">
      <c r="A279" s="45">
        <v>2</v>
      </c>
      <c r="B279" s="45" t="s">
        <v>1</v>
      </c>
      <c r="C279" s="45">
        <v>12992</v>
      </c>
      <c r="D279" s="45">
        <v>112</v>
      </c>
      <c r="E279" s="45">
        <v>1</v>
      </c>
      <c r="F279" s="45">
        <v>4</v>
      </c>
      <c r="G279" s="45">
        <v>657.42</v>
      </c>
      <c r="H279" s="46">
        <v>2.2242000000000002</v>
      </c>
      <c r="I279" s="47">
        <v>45321</v>
      </c>
      <c r="J279" s="48">
        <v>0.14689814814814814</v>
      </c>
      <c r="K279" s="45">
        <v>0</v>
      </c>
      <c r="L279" s="45">
        <v>0</v>
      </c>
      <c r="M279" s="45">
        <v>0</v>
      </c>
      <c r="N279" s="3">
        <f t="shared" ref="N279" si="215">AVERAGE(H279:H283)</f>
        <v>2.2280000000000002</v>
      </c>
      <c r="P279" s="56">
        <v>1</v>
      </c>
      <c r="Q279" s="56" t="s">
        <v>1</v>
      </c>
      <c r="R279" s="56">
        <v>14560</v>
      </c>
      <c r="S279" s="56">
        <v>112</v>
      </c>
      <c r="T279" s="56">
        <v>1</v>
      </c>
      <c r="U279" s="56">
        <v>4</v>
      </c>
      <c r="V279" s="56">
        <v>812.38</v>
      </c>
      <c r="W279" s="67">
        <v>2.5299999999999998</v>
      </c>
      <c r="X279" s="57">
        <v>45322</v>
      </c>
      <c r="Y279" s="58">
        <v>0.19081018518518519</v>
      </c>
      <c r="Z279" s="56">
        <v>0</v>
      </c>
      <c r="AA279" s="56">
        <v>0</v>
      </c>
      <c r="AB279" s="56">
        <v>0</v>
      </c>
      <c r="AC279" s="4">
        <f t="shared" ref="AC279" si="216">AVERAGE(W279:W283)</f>
        <v>2.52</v>
      </c>
    </row>
    <row r="280" spans="1:30" x14ac:dyDescent="0.25">
      <c r="A280" s="45">
        <v>3</v>
      </c>
      <c r="B280" s="45" t="s">
        <v>1</v>
      </c>
      <c r="C280" s="45">
        <v>12992</v>
      </c>
      <c r="D280" s="45">
        <v>112</v>
      </c>
      <c r="E280" s="45">
        <v>1</v>
      </c>
      <c r="F280" s="45">
        <v>4</v>
      </c>
      <c r="G280" s="45">
        <v>657.36</v>
      </c>
      <c r="H280" s="49">
        <v>2.2244000000000002</v>
      </c>
      <c r="I280" s="47">
        <v>45321</v>
      </c>
      <c r="J280" s="48">
        <v>0.65553240740740737</v>
      </c>
      <c r="K280" s="45">
        <v>0</v>
      </c>
      <c r="L280" s="45">
        <v>0</v>
      </c>
      <c r="M280" s="45">
        <v>0</v>
      </c>
      <c r="N280" s="3">
        <f t="shared" ref="N280" si="217">N279</f>
        <v>2.2280000000000002</v>
      </c>
      <c r="P280" s="56">
        <v>2</v>
      </c>
      <c r="Q280" s="56" t="s">
        <v>1</v>
      </c>
      <c r="R280" s="56">
        <v>14560</v>
      </c>
      <c r="S280" s="56">
        <v>112</v>
      </c>
      <c r="T280" s="56">
        <v>1</v>
      </c>
      <c r="U280" s="56">
        <v>4</v>
      </c>
      <c r="V280" s="56">
        <v>815.07</v>
      </c>
      <c r="W280" s="67">
        <v>2.5299999999999998</v>
      </c>
      <c r="X280" s="57">
        <v>45322</v>
      </c>
      <c r="Y280" s="58">
        <v>0.70900462962962962</v>
      </c>
      <c r="Z280" s="56">
        <v>0</v>
      </c>
      <c r="AA280" s="56">
        <v>0</v>
      </c>
      <c r="AB280" s="56">
        <v>0</v>
      </c>
      <c r="AC280" s="4">
        <f t="shared" ref="AC280:AC283" si="218">AC279</f>
        <v>2.52</v>
      </c>
    </row>
    <row r="281" spans="1:30" x14ac:dyDescent="0.25">
      <c r="A281" s="45">
        <v>4</v>
      </c>
      <c r="B281" s="45" t="s">
        <v>1</v>
      </c>
      <c r="C281" s="45">
        <v>12992</v>
      </c>
      <c r="D281" s="45">
        <v>112</v>
      </c>
      <c r="E281" s="45">
        <v>1</v>
      </c>
      <c r="F281" s="45">
        <v>4</v>
      </c>
      <c r="G281" s="45">
        <v>657.76</v>
      </c>
      <c r="H281" s="49">
        <v>2.2229999999999999</v>
      </c>
      <c r="I281" s="47">
        <v>45322</v>
      </c>
      <c r="J281" s="48">
        <v>0.16408564814814816</v>
      </c>
      <c r="K281" s="45">
        <v>0</v>
      </c>
      <c r="L281" s="45">
        <v>0</v>
      </c>
      <c r="M281" s="45">
        <v>0</v>
      </c>
      <c r="N281" s="3">
        <f t="shared" si="177"/>
        <v>2.2280000000000002</v>
      </c>
      <c r="P281" s="56">
        <v>3</v>
      </c>
      <c r="Q281" s="56" t="s">
        <v>1</v>
      </c>
      <c r="R281" s="56">
        <v>14560</v>
      </c>
      <c r="S281" s="56">
        <v>112</v>
      </c>
      <c r="T281" s="56">
        <v>1</v>
      </c>
      <c r="U281" s="56">
        <v>4</v>
      </c>
      <c r="V281" s="56">
        <v>813.4</v>
      </c>
      <c r="W281" s="67">
        <v>2.5299999999999998</v>
      </c>
      <c r="X281" s="57">
        <v>45323</v>
      </c>
      <c r="Y281" s="58">
        <v>0.22758101851851853</v>
      </c>
      <c r="Z281" s="56">
        <v>0</v>
      </c>
      <c r="AA281" s="56">
        <v>0</v>
      </c>
      <c r="AB281" s="56">
        <v>0</v>
      </c>
      <c r="AC281" s="4">
        <f t="shared" si="218"/>
        <v>2.52</v>
      </c>
    </row>
    <row r="282" spans="1:30" x14ac:dyDescent="0.25">
      <c r="A282" s="45">
        <v>0</v>
      </c>
      <c r="B282" s="45" t="s">
        <v>1</v>
      </c>
      <c r="C282" s="45">
        <v>13776</v>
      </c>
      <c r="D282" s="45">
        <v>112</v>
      </c>
      <c r="E282" s="45">
        <v>1</v>
      </c>
      <c r="F282" s="45">
        <v>4</v>
      </c>
      <c r="G282" s="45">
        <v>780.35</v>
      </c>
      <c r="H282" s="46">
        <v>2.2339000000000002</v>
      </c>
      <c r="I282" s="47">
        <v>45320</v>
      </c>
      <c r="J282" s="48">
        <v>1.8761574074074073E-2</v>
      </c>
      <c r="K282" s="45">
        <v>0</v>
      </c>
      <c r="L282" s="45">
        <v>0</v>
      </c>
      <c r="M282" s="45">
        <v>0</v>
      </c>
      <c r="N282" s="3">
        <f t="shared" si="177"/>
        <v>2.2280000000000002</v>
      </c>
      <c r="P282" s="56">
        <v>4</v>
      </c>
      <c r="Q282" s="56" t="s">
        <v>1</v>
      </c>
      <c r="R282" s="56">
        <v>14560</v>
      </c>
      <c r="S282" s="56">
        <v>112</v>
      </c>
      <c r="T282" s="56">
        <v>1</v>
      </c>
      <c r="U282" s="56">
        <v>4</v>
      </c>
      <c r="V282" s="56">
        <v>815.1</v>
      </c>
      <c r="W282" s="67">
        <v>2.52</v>
      </c>
      <c r="X282" s="57">
        <v>45323</v>
      </c>
      <c r="Y282" s="58">
        <v>0.74596064814814811</v>
      </c>
      <c r="Z282" s="56">
        <v>0</v>
      </c>
      <c r="AA282" s="56">
        <v>0</v>
      </c>
      <c r="AB282" s="56">
        <v>0</v>
      </c>
      <c r="AC282" s="4">
        <f t="shared" si="218"/>
        <v>2.52</v>
      </c>
    </row>
    <row r="283" spans="1:30" x14ac:dyDescent="0.25">
      <c r="A283" s="45">
        <v>1</v>
      </c>
      <c r="B283" s="45" t="s">
        <v>1</v>
      </c>
      <c r="C283" s="45">
        <v>13776</v>
      </c>
      <c r="D283" s="45">
        <v>112</v>
      </c>
      <c r="E283" s="45">
        <v>1</v>
      </c>
      <c r="F283" s="45">
        <v>4</v>
      </c>
      <c r="G283" s="45">
        <v>780.13</v>
      </c>
      <c r="H283" s="46">
        <v>2.2345000000000002</v>
      </c>
      <c r="I283" s="47">
        <v>45320</v>
      </c>
      <c r="J283" s="48">
        <v>0.47962962962962963</v>
      </c>
      <c r="K283" s="45">
        <v>0</v>
      </c>
      <c r="L283" s="45">
        <v>0</v>
      </c>
      <c r="M283" s="45">
        <v>0</v>
      </c>
      <c r="N283" s="3">
        <f t="shared" si="177"/>
        <v>2.2280000000000002</v>
      </c>
      <c r="P283" s="56">
        <v>0</v>
      </c>
      <c r="Q283" s="56" t="s">
        <v>1</v>
      </c>
      <c r="R283" s="56">
        <v>12992</v>
      </c>
      <c r="S283" s="56">
        <v>112</v>
      </c>
      <c r="T283" s="56">
        <v>2</v>
      </c>
      <c r="U283" s="56">
        <v>2</v>
      </c>
      <c r="V283" s="56">
        <v>586.33000000000004</v>
      </c>
      <c r="W283" s="67">
        <v>2.4900000000000002</v>
      </c>
      <c r="X283" s="57">
        <v>45322</v>
      </c>
      <c r="Y283" s="58">
        <v>3.1736111111111111E-2</v>
      </c>
      <c r="Z283" s="56">
        <v>0</v>
      </c>
      <c r="AA283" s="56">
        <v>0</v>
      </c>
      <c r="AB283" s="56">
        <v>0</v>
      </c>
      <c r="AC283" s="4">
        <f t="shared" si="218"/>
        <v>2.52</v>
      </c>
    </row>
    <row r="284" spans="1:30" x14ac:dyDescent="0.25">
      <c r="A284" s="45">
        <v>2</v>
      </c>
      <c r="B284" s="45" t="s">
        <v>1</v>
      </c>
      <c r="C284" s="45">
        <v>13776</v>
      </c>
      <c r="D284" s="45">
        <v>112</v>
      </c>
      <c r="E284" s="45">
        <v>1</v>
      </c>
      <c r="F284" s="45">
        <v>4</v>
      </c>
      <c r="G284" s="45">
        <v>780.26</v>
      </c>
      <c r="H284" s="46">
        <v>2.2341000000000002</v>
      </c>
      <c r="I284" s="47">
        <v>45320</v>
      </c>
      <c r="J284" s="48">
        <v>0.98820601851851853</v>
      </c>
      <c r="K284" s="45">
        <v>0</v>
      </c>
      <c r="L284" s="45">
        <v>0</v>
      </c>
      <c r="M284" s="45">
        <v>0</v>
      </c>
      <c r="N284" s="3">
        <f t="shared" ref="N284" si="219">AVERAGE(H284:H288)</f>
        <v>2.2358600000000002</v>
      </c>
      <c r="P284" s="56">
        <v>1</v>
      </c>
      <c r="Q284" s="56" t="s">
        <v>1</v>
      </c>
      <c r="R284" s="56">
        <v>12992</v>
      </c>
      <c r="S284" s="56">
        <v>112</v>
      </c>
      <c r="T284" s="56">
        <v>2</v>
      </c>
      <c r="U284" s="56">
        <v>2</v>
      </c>
      <c r="V284" s="56">
        <v>582.37</v>
      </c>
      <c r="W284" s="67">
        <v>2.5099999999999998</v>
      </c>
      <c r="X284" s="57">
        <v>45322</v>
      </c>
      <c r="Y284" s="58">
        <v>0.55005787037037035</v>
      </c>
      <c r="Z284" s="56">
        <v>0</v>
      </c>
      <c r="AA284" s="56">
        <v>0</v>
      </c>
      <c r="AB284" s="56">
        <v>0</v>
      </c>
      <c r="AC284" s="4">
        <f t="shared" ref="AC284" si="220">AVERAGE(W284:W288)</f>
        <v>2.496</v>
      </c>
    </row>
    <row r="285" spans="1:30" x14ac:dyDescent="0.25">
      <c r="A285" s="45">
        <v>3</v>
      </c>
      <c r="B285" s="45" t="s">
        <v>1</v>
      </c>
      <c r="C285" s="45">
        <v>13776</v>
      </c>
      <c r="D285" s="45">
        <v>112</v>
      </c>
      <c r="E285" s="45">
        <v>1</v>
      </c>
      <c r="F285" s="45">
        <v>4</v>
      </c>
      <c r="G285" s="45">
        <v>780.38</v>
      </c>
      <c r="H285" s="46">
        <v>2.2338</v>
      </c>
      <c r="I285" s="47">
        <v>45321</v>
      </c>
      <c r="J285" s="48">
        <v>0.49684027777777778</v>
      </c>
      <c r="K285" s="45">
        <v>0</v>
      </c>
      <c r="L285" s="45">
        <v>0</v>
      </c>
      <c r="M285" s="45">
        <v>0</v>
      </c>
      <c r="N285" s="3">
        <f t="shared" ref="N285" si="221">N284</f>
        <v>2.2358600000000002</v>
      </c>
      <c r="P285" s="56">
        <v>2</v>
      </c>
      <c r="Q285" s="56" t="s">
        <v>1</v>
      </c>
      <c r="R285" s="56">
        <v>12992</v>
      </c>
      <c r="S285" s="56">
        <v>112</v>
      </c>
      <c r="T285" s="56">
        <v>2</v>
      </c>
      <c r="U285" s="56">
        <v>2</v>
      </c>
      <c r="V285" s="56">
        <v>589.04999999999995</v>
      </c>
      <c r="W285" s="67">
        <v>2.48</v>
      </c>
      <c r="X285" s="57">
        <v>45323</v>
      </c>
      <c r="Y285" s="58">
        <v>6.8414351851851851E-2</v>
      </c>
      <c r="Z285" s="56">
        <v>0</v>
      </c>
      <c r="AA285" s="56">
        <v>0</v>
      </c>
      <c r="AB285" s="56">
        <v>0</v>
      </c>
      <c r="AC285" s="4">
        <f t="shared" ref="AC285:AC288" si="222">AC284</f>
        <v>2.496</v>
      </c>
    </row>
    <row r="286" spans="1:30" x14ac:dyDescent="0.25">
      <c r="A286" s="45">
        <v>4</v>
      </c>
      <c r="B286" s="45" t="s">
        <v>1</v>
      </c>
      <c r="C286" s="45">
        <v>13776</v>
      </c>
      <c r="D286" s="45">
        <v>112</v>
      </c>
      <c r="E286" s="45">
        <v>1</v>
      </c>
      <c r="F286" s="45">
        <v>4</v>
      </c>
      <c r="G286" s="45">
        <v>780.04</v>
      </c>
      <c r="H286" s="49">
        <v>2.2347999999999999</v>
      </c>
      <c r="I286" s="47">
        <v>45322</v>
      </c>
      <c r="J286" s="48">
        <v>5.4166666666666669E-3</v>
      </c>
      <c r="K286" s="45">
        <v>0</v>
      </c>
      <c r="L286" s="45">
        <v>0</v>
      </c>
      <c r="M286" s="45">
        <v>0</v>
      </c>
      <c r="N286" s="3">
        <f t="shared" si="173"/>
        <v>2.2358600000000002</v>
      </c>
      <c r="P286" s="56">
        <v>3</v>
      </c>
      <c r="Q286" s="56" t="s">
        <v>1</v>
      </c>
      <c r="R286" s="56">
        <v>12992</v>
      </c>
      <c r="S286" s="56">
        <v>112</v>
      </c>
      <c r="T286" s="56">
        <v>2</v>
      </c>
      <c r="U286" s="56">
        <v>2</v>
      </c>
      <c r="V286" s="56">
        <v>593.38</v>
      </c>
      <c r="W286" s="67">
        <v>2.46</v>
      </c>
      <c r="X286" s="57">
        <v>45323</v>
      </c>
      <c r="Y286" s="58">
        <v>0.58693287037037034</v>
      </c>
      <c r="Z286" s="56">
        <v>0</v>
      </c>
      <c r="AA286" s="56">
        <v>0</v>
      </c>
      <c r="AB286" s="56">
        <v>0</v>
      </c>
      <c r="AC286" s="4">
        <f t="shared" si="222"/>
        <v>2.496</v>
      </c>
    </row>
    <row r="287" spans="1:30" x14ac:dyDescent="0.25">
      <c r="A287" s="45">
        <v>0</v>
      </c>
      <c r="B287" s="45" t="s">
        <v>1</v>
      </c>
      <c r="C287" s="45">
        <v>14560</v>
      </c>
      <c r="D287" s="45">
        <v>112</v>
      </c>
      <c r="E287" s="45">
        <v>1</v>
      </c>
      <c r="F287" s="45">
        <v>4</v>
      </c>
      <c r="G287" s="45">
        <v>919.46</v>
      </c>
      <c r="H287" s="46">
        <v>2.2383999999999999</v>
      </c>
      <c r="I287" s="47">
        <v>45319</v>
      </c>
      <c r="J287" s="48">
        <v>0.88913194444444443</v>
      </c>
      <c r="K287" s="45">
        <v>0</v>
      </c>
      <c r="L287" s="45">
        <v>0</v>
      </c>
      <c r="M287" s="45">
        <v>0</v>
      </c>
      <c r="N287" s="3">
        <f t="shared" si="173"/>
        <v>2.2358600000000002</v>
      </c>
      <c r="P287" s="59">
        <v>0</v>
      </c>
      <c r="Q287" s="59" t="s">
        <v>1</v>
      </c>
      <c r="R287" s="59">
        <v>13776</v>
      </c>
      <c r="S287" s="59">
        <v>112</v>
      </c>
      <c r="T287" s="59">
        <v>2</v>
      </c>
      <c r="U287" s="59">
        <v>2</v>
      </c>
      <c r="V287" s="59">
        <v>692.82</v>
      </c>
      <c r="W287" s="68">
        <v>2.52</v>
      </c>
      <c r="X287" s="60">
        <v>45321</v>
      </c>
      <c r="Y287" s="61">
        <v>0.87109953703703702</v>
      </c>
      <c r="Z287" s="59">
        <v>0</v>
      </c>
      <c r="AA287" s="59">
        <v>0</v>
      </c>
      <c r="AB287" s="59">
        <v>0</v>
      </c>
      <c r="AC287" s="4">
        <f t="shared" si="222"/>
        <v>2.496</v>
      </c>
    </row>
    <row r="288" spans="1:30" x14ac:dyDescent="0.25">
      <c r="A288" s="45">
        <v>1</v>
      </c>
      <c r="B288" s="45" t="s">
        <v>1</v>
      </c>
      <c r="C288" s="45">
        <v>14560</v>
      </c>
      <c r="D288" s="45">
        <v>112</v>
      </c>
      <c r="E288" s="45">
        <v>1</v>
      </c>
      <c r="F288" s="45">
        <v>4</v>
      </c>
      <c r="G288" s="45">
        <v>919.51</v>
      </c>
      <c r="H288" s="46">
        <v>2.2382</v>
      </c>
      <c r="I288" s="47">
        <v>45320</v>
      </c>
      <c r="J288" s="48">
        <v>0.29350694444444442</v>
      </c>
      <c r="K288" s="45">
        <v>0</v>
      </c>
      <c r="L288" s="45">
        <v>0</v>
      </c>
      <c r="M288" s="45">
        <v>0</v>
      </c>
      <c r="N288" s="3">
        <f t="shared" si="173"/>
        <v>2.2358600000000002</v>
      </c>
      <c r="P288" s="56">
        <v>1</v>
      </c>
      <c r="Q288" s="56" t="s">
        <v>1</v>
      </c>
      <c r="R288" s="56">
        <v>13776</v>
      </c>
      <c r="S288" s="56">
        <v>112</v>
      </c>
      <c r="T288" s="56">
        <v>2</v>
      </c>
      <c r="U288" s="56">
        <v>2</v>
      </c>
      <c r="V288" s="56">
        <v>694.61</v>
      </c>
      <c r="W288" s="67">
        <v>2.5099999999999998</v>
      </c>
      <c r="X288" s="57">
        <v>45322</v>
      </c>
      <c r="Y288" s="58">
        <v>0.38954861111111111</v>
      </c>
      <c r="Z288" s="56">
        <v>0</v>
      </c>
      <c r="AA288" s="56">
        <v>0</v>
      </c>
      <c r="AB288" s="56">
        <v>0</v>
      </c>
      <c r="AC288" s="4">
        <f t="shared" si="222"/>
        <v>2.496</v>
      </c>
    </row>
    <row r="289" spans="1:29" x14ac:dyDescent="0.25">
      <c r="A289" s="45">
        <v>2</v>
      </c>
      <c r="B289" s="45" t="s">
        <v>1</v>
      </c>
      <c r="C289" s="45">
        <v>14560</v>
      </c>
      <c r="D289" s="45">
        <v>112</v>
      </c>
      <c r="E289" s="45">
        <v>1</v>
      </c>
      <c r="F289" s="45">
        <v>4</v>
      </c>
      <c r="G289" s="45">
        <v>920.3</v>
      </c>
      <c r="H289" s="46">
        <v>2.2363</v>
      </c>
      <c r="I289" s="47">
        <v>45320</v>
      </c>
      <c r="J289" s="48">
        <v>0.80206018518518518</v>
      </c>
      <c r="K289" s="45">
        <v>0</v>
      </c>
      <c r="L289" s="45">
        <v>0</v>
      </c>
      <c r="M289" s="45">
        <v>0</v>
      </c>
      <c r="N289" s="3">
        <f t="shared" ref="N289" si="223">AVERAGE(H289:H293)</f>
        <v>2.2609599999999999</v>
      </c>
      <c r="P289" s="56">
        <v>2</v>
      </c>
      <c r="Q289" s="56" t="s">
        <v>1</v>
      </c>
      <c r="R289" s="56">
        <v>13776</v>
      </c>
      <c r="S289" s="56">
        <v>112</v>
      </c>
      <c r="T289" s="56">
        <v>2</v>
      </c>
      <c r="U289" s="56">
        <v>2</v>
      </c>
      <c r="V289" s="56">
        <v>690.05</v>
      </c>
      <c r="W289" s="67">
        <v>2.5299999999999998</v>
      </c>
      <c r="X289" s="57">
        <v>45322</v>
      </c>
      <c r="Y289" s="58">
        <v>0.90763888888888888</v>
      </c>
      <c r="Z289" s="56">
        <v>0</v>
      </c>
      <c r="AA289" s="56">
        <v>0</v>
      </c>
      <c r="AB289" s="56">
        <v>0</v>
      </c>
      <c r="AC289" s="4">
        <f t="shared" ref="AC289" si="224">AVERAGE(W289:W293)</f>
        <v>2.5219999999999994</v>
      </c>
    </row>
    <row r="290" spans="1:29" x14ac:dyDescent="0.25">
      <c r="A290" s="45">
        <v>3</v>
      </c>
      <c r="B290" s="45" t="s">
        <v>1</v>
      </c>
      <c r="C290" s="45">
        <v>14560</v>
      </c>
      <c r="D290" s="45">
        <v>112</v>
      </c>
      <c r="E290" s="45">
        <v>1</v>
      </c>
      <c r="F290" s="45">
        <v>4</v>
      </c>
      <c r="G290" s="45">
        <v>919.88</v>
      </c>
      <c r="H290" s="46">
        <v>2.2372999999999998</v>
      </c>
      <c r="I290" s="47">
        <v>45321</v>
      </c>
      <c r="J290" s="48">
        <v>0.31062499999999998</v>
      </c>
      <c r="K290" s="45">
        <v>0</v>
      </c>
      <c r="L290" s="45">
        <v>0</v>
      </c>
      <c r="M290" s="45">
        <v>0</v>
      </c>
      <c r="N290" s="3">
        <f t="shared" ref="N290" si="225">N289</f>
        <v>2.2609599999999999</v>
      </c>
      <c r="P290" s="56">
        <v>3</v>
      </c>
      <c r="Q290" s="56" t="s">
        <v>1</v>
      </c>
      <c r="R290" s="56">
        <v>13776</v>
      </c>
      <c r="S290" s="56">
        <v>112</v>
      </c>
      <c r="T290" s="56">
        <v>2</v>
      </c>
      <c r="U290" s="56">
        <v>2</v>
      </c>
      <c r="V290" s="56">
        <v>697.6</v>
      </c>
      <c r="W290" s="67">
        <v>2.5</v>
      </c>
      <c r="X290" s="57">
        <v>45323</v>
      </c>
      <c r="Y290" s="58">
        <v>0.42636574074074074</v>
      </c>
      <c r="Z290" s="56">
        <v>0</v>
      </c>
      <c r="AA290" s="56">
        <v>0</v>
      </c>
      <c r="AB290" s="56">
        <v>0</v>
      </c>
      <c r="AC290" s="4">
        <f t="shared" ref="AC290:AC293" si="226">AC289</f>
        <v>2.5219999999999994</v>
      </c>
    </row>
    <row r="291" spans="1:29" x14ac:dyDescent="0.25">
      <c r="A291" s="45">
        <v>4</v>
      </c>
      <c r="B291" s="45" t="s">
        <v>1</v>
      </c>
      <c r="C291" s="45">
        <v>14560</v>
      </c>
      <c r="D291" s="45">
        <v>112</v>
      </c>
      <c r="E291" s="45">
        <v>1</v>
      </c>
      <c r="F291" s="45">
        <v>4</v>
      </c>
      <c r="G291" s="45">
        <v>919.71</v>
      </c>
      <c r="H291" s="49">
        <v>2.2376999999999998</v>
      </c>
      <c r="I291" s="47">
        <v>45321</v>
      </c>
      <c r="J291" s="48">
        <v>0.81925925925925924</v>
      </c>
      <c r="K291" s="45">
        <v>0</v>
      </c>
      <c r="L291" s="45">
        <v>0</v>
      </c>
      <c r="M291" s="45">
        <v>0</v>
      </c>
      <c r="N291" s="3">
        <f t="shared" si="177"/>
        <v>2.2609599999999999</v>
      </c>
      <c r="P291" s="56">
        <v>0</v>
      </c>
      <c r="Q291" s="56" t="s">
        <v>1</v>
      </c>
      <c r="R291" s="56">
        <v>14560</v>
      </c>
      <c r="S291" s="56">
        <v>112</v>
      </c>
      <c r="T291" s="56">
        <v>2</v>
      </c>
      <c r="U291" s="56">
        <v>2</v>
      </c>
      <c r="V291" s="56">
        <v>812.74</v>
      </c>
      <c r="W291" s="67">
        <v>2.5299999999999998</v>
      </c>
      <c r="X291" s="57">
        <v>45321</v>
      </c>
      <c r="Y291" s="58">
        <v>0.68349537037037034</v>
      </c>
      <c r="Z291" s="56">
        <v>0</v>
      </c>
      <c r="AA291" s="56">
        <v>0</v>
      </c>
      <c r="AB291" s="56">
        <v>0</v>
      </c>
      <c r="AC291" s="4">
        <f t="shared" si="226"/>
        <v>2.5219999999999994</v>
      </c>
    </row>
    <row r="292" spans="1:29" x14ac:dyDescent="0.25">
      <c r="A292" s="45">
        <v>0</v>
      </c>
      <c r="B292" s="45" t="s">
        <v>1</v>
      </c>
      <c r="C292" s="45">
        <v>12992</v>
      </c>
      <c r="D292" s="45">
        <v>112</v>
      </c>
      <c r="E292" s="45">
        <v>2</v>
      </c>
      <c r="F292" s="45">
        <v>2</v>
      </c>
      <c r="G292" s="45">
        <v>636.67999999999995</v>
      </c>
      <c r="H292" s="46">
        <v>2.2966000000000002</v>
      </c>
      <c r="I292" s="47">
        <v>45320</v>
      </c>
      <c r="J292" s="48">
        <v>0.13741898148148149</v>
      </c>
      <c r="K292" s="45">
        <v>0</v>
      </c>
      <c r="L292" s="45">
        <v>0</v>
      </c>
      <c r="M292" s="45">
        <v>0</v>
      </c>
      <c r="N292" s="3">
        <f t="shared" si="177"/>
        <v>2.2609599999999999</v>
      </c>
      <c r="P292" s="56">
        <v>1</v>
      </c>
      <c r="Q292" s="56" t="s">
        <v>1</v>
      </c>
      <c r="R292" s="56">
        <v>14560</v>
      </c>
      <c r="S292" s="56">
        <v>112</v>
      </c>
      <c r="T292" s="56">
        <v>2</v>
      </c>
      <c r="U292" s="56">
        <v>2</v>
      </c>
      <c r="V292" s="56">
        <v>815.97</v>
      </c>
      <c r="W292" s="67">
        <v>2.52</v>
      </c>
      <c r="X292" s="57">
        <v>45322</v>
      </c>
      <c r="Y292" s="58">
        <v>0.201875</v>
      </c>
      <c r="Z292" s="56">
        <v>0</v>
      </c>
      <c r="AA292" s="56">
        <v>0</v>
      </c>
      <c r="AB292" s="56">
        <v>0</v>
      </c>
      <c r="AC292" s="4">
        <f t="shared" si="226"/>
        <v>2.5219999999999994</v>
      </c>
    </row>
    <row r="293" spans="1:29" x14ac:dyDescent="0.25">
      <c r="A293" s="45">
        <v>1</v>
      </c>
      <c r="B293" s="45" t="s">
        <v>1</v>
      </c>
      <c r="C293" s="45">
        <v>12992</v>
      </c>
      <c r="D293" s="45">
        <v>112</v>
      </c>
      <c r="E293" s="45">
        <v>2</v>
      </c>
      <c r="F293" s="45">
        <v>2</v>
      </c>
      <c r="G293" s="45">
        <v>636.59</v>
      </c>
      <c r="H293" s="46">
        <v>2.2968999999999999</v>
      </c>
      <c r="I293" s="47">
        <v>45320</v>
      </c>
      <c r="J293" s="48">
        <v>0.64596064814814813</v>
      </c>
      <c r="K293" s="45">
        <v>0</v>
      </c>
      <c r="L293" s="45">
        <v>0</v>
      </c>
      <c r="M293" s="45">
        <v>0</v>
      </c>
      <c r="N293" s="3">
        <f t="shared" si="177"/>
        <v>2.2609599999999999</v>
      </c>
      <c r="P293" s="56">
        <v>2</v>
      </c>
      <c r="Q293" s="56" t="s">
        <v>1</v>
      </c>
      <c r="R293" s="56">
        <v>14560</v>
      </c>
      <c r="S293" s="56">
        <v>112</v>
      </c>
      <c r="T293" s="56">
        <v>2</v>
      </c>
      <c r="U293" s="56">
        <v>2</v>
      </c>
      <c r="V293" s="56">
        <v>812.15</v>
      </c>
      <c r="W293" s="67">
        <v>2.5299999999999998</v>
      </c>
      <c r="X293" s="57">
        <v>45322</v>
      </c>
      <c r="Y293" s="58">
        <v>0.72002314814814816</v>
      </c>
      <c r="Z293" s="56">
        <v>0</v>
      </c>
      <c r="AA293" s="56">
        <v>0</v>
      </c>
      <c r="AB293" s="56">
        <v>0</v>
      </c>
      <c r="AC293" s="4">
        <f t="shared" si="226"/>
        <v>2.5219999999999994</v>
      </c>
    </row>
    <row r="294" spans="1:29" x14ac:dyDescent="0.25">
      <c r="A294" s="45">
        <v>2</v>
      </c>
      <c r="B294" s="45" t="s">
        <v>1</v>
      </c>
      <c r="C294" s="45">
        <v>12992</v>
      </c>
      <c r="D294" s="45">
        <v>112</v>
      </c>
      <c r="E294" s="45">
        <v>2</v>
      </c>
      <c r="F294" s="45">
        <v>2</v>
      </c>
      <c r="G294" s="45">
        <v>636.95000000000005</v>
      </c>
      <c r="H294" s="46">
        <v>2.2957000000000001</v>
      </c>
      <c r="I294" s="47">
        <v>45321</v>
      </c>
      <c r="J294" s="48">
        <v>0.15453703703703703</v>
      </c>
      <c r="K294" s="45">
        <v>0</v>
      </c>
      <c r="L294" s="45">
        <v>0</v>
      </c>
      <c r="M294" s="45">
        <v>0</v>
      </c>
      <c r="N294" s="3">
        <f t="shared" ref="N294" si="227">AVERAGE(H294:H298)</f>
        <v>2.3001399999999999</v>
      </c>
      <c r="P294" s="56">
        <v>3</v>
      </c>
      <c r="Q294" s="56" t="s">
        <v>1</v>
      </c>
      <c r="R294" s="56">
        <v>14560</v>
      </c>
      <c r="S294" s="56">
        <v>112</v>
      </c>
      <c r="T294" s="56">
        <v>2</v>
      </c>
      <c r="U294" s="56">
        <v>2</v>
      </c>
      <c r="V294" s="56">
        <v>823.47</v>
      </c>
      <c r="W294" s="67">
        <v>2.5</v>
      </c>
      <c r="X294" s="57">
        <v>45323</v>
      </c>
      <c r="Y294" s="58">
        <v>0.23872685185185186</v>
      </c>
      <c r="Z294" s="56">
        <v>0</v>
      </c>
      <c r="AA294" s="56">
        <v>0</v>
      </c>
      <c r="AB294" s="56">
        <v>0</v>
      </c>
      <c r="AC294" s="4">
        <f t="shared" ref="AC294" si="228">AVERAGE(W294:W298)</f>
        <v>2.492</v>
      </c>
    </row>
    <row r="295" spans="1:29" x14ac:dyDescent="0.25">
      <c r="A295" s="45">
        <v>3</v>
      </c>
      <c r="B295" s="45" t="s">
        <v>1</v>
      </c>
      <c r="C295" s="45">
        <v>12992</v>
      </c>
      <c r="D295" s="45">
        <v>112</v>
      </c>
      <c r="E295" s="45">
        <v>2</v>
      </c>
      <c r="F295" s="45">
        <v>2</v>
      </c>
      <c r="G295" s="45">
        <v>636.83000000000004</v>
      </c>
      <c r="H295" s="49">
        <v>2.2961</v>
      </c>
      <c r="I295" s="47">
        <v>45321</v>
      </c>
      <c r="J295" s="48">
        <v>0.66317129629629634</v>
      </c>
      <c r="K295" s="45">
        <v>0</v>
      </c>
      <c r="L295" s="45">
        <v>0</v>
      </c>
      <c r="M295" s="45">
        <v>0</v>
      </c>
      <c r="N295" s="3">
        <f t="shared" ref="N295:N358" si="229">N294</f>
        <v>2.3001399999999999</v>
      </c>
      <c r="P295" s="56">
        <v>4</v>
      </c>
      <c r="Q295" s="56" t="s">
        <v>1</v>
      </c>
      <c r="R295" s="56">
        <v>14560</v>
      </c>
      <c r="S295" s="56">
        <v>112</v>
      </c>
      <c r="T295" s="56">
        <v>2</v>
      </c>
      <c r="U295" s="56">
        <v>2</v>
      </c>
      <c r="V295" s="56">
        <v>819.18</v>
      </c>
      <c r="W295" s="67">
        <v>2.5099999999999998</v>
      </c>
      <c r="X295" s="57">
        <v>45323</v>
      </c>
      <c r="Y295" s="58">
        <v>0.75706018518518514</v>
      </c>
      <c r="Z295" s="56">
        <v>0</v>
      </c>
      <c r="AA295" s="56">
        <v>0</v>
      </c>
      <c r="AB295" s="56">
        <v>0</v>
      </c>
      <c r="AC295" s="4">
        <f t="shared" ref="AC295:AC298" si="230">AC294</f>
        <v>2.492</v>
      </c>
    </row>
    <row r="296" spans="1:29" x14ac:dyDescent="0.25">
      <c r="A296" s="45">
        <v>4</v>
      </c>
      <c r="B296" s="45" t="s">
        <v>1</v>
      </c>
      <c r="C296" s="45">
        <v>12992</v>
      </c>
      <c r="D296" s="45">
        <v>112</v>
      </c>
      <c r="E296" s="45">
        <v>2</v>
      </c>
      <c r="F296" s="45">
        <v>2</v>
      </c>
      <c r="G296" s="45">
        <v>636.39</v>
      </c>
      <c r="H296" s="49">
        <v>2.2976999999999999</v>
      </c>
      <c r="I296" s="47">
        <v>45322</v>
      </c>
      <c r="J296" s="48">
        <v>0.17172453703703705</v>
      </c>
      <c r="K296" s="45">
        <v>0</v>
      </c>
      <c r="L296" s="45">
        <v>0</v>
      </c>
      <c r="M296" s="45">
        <v>0</v>
      </c>
      <c r="N296" s="3">
        <f t="shared" si="229"/>
        <v>2.3001399999999999</v>
      </c>
      <c r="P296" s="56">
        <v>0</v>
      </c>
      <c r="Q296" s="56" t="s">
        <v>1</v>
      </c>
      <c r="R296" s="56">
        <v>12960</v>
      </c>
      <c r="S296" s="56">
        <v>144</v>
      </c>
      <c r="T296" s="56">
        <v>1</v>
      </c>
      <c r="U296" s="56">
        <v>4</v>
      </c>
      <c r="V296" s="56">
        <v>583.16999999999996</v>
      </c>
      <c r="W296" s="67">
        <v>2.4900000000000002</v>
      </c>
      <c r="X296" s="57">
        <v>45322</v>
      </c>
      <c r="Y296" s="58">
        <v>5.6192129629629627E-2</v>
      </c>
      <c r="Z296" s="56">
        <v>0</v>
      </c>
      <c r="AA296" s="56">
        <v>0</v>
      </c>
      <c r="AB296" s="56">
        <v>0</v>
      </c>
      <c r="AC296" s="4">
        <f t="shared" si="230"/>
        <v>2.492</v>
      </c>
    </row>
    <row r="297" spans="1:29" x14ac:dyDescent="0.25">
      <c r="A297" s="45">
        <v>0</v>
      </c>
      <c r="B297" s="45" t="s">
        <v>1</v>
      </c>
      <c r="C297" s="45">
        <v>13776</v>
      </c>
      <c r="D297" s="45">
        <v>112</v>
      </c>
      <c r="E297" s="45">
        <v>2</v>
      </c>
      <c r="F297" s="45">
        <v>2</v>
      </c>
      <c r="G297" s="45">
        <v>755.96</v>
      </c>
      <c r="H297" s="46">
        <v>2.306</v>
      </c>
      <c r="I297" s="47">
        <v>45320</v>
      </c>
      <c r="J297" s="48">
        <v>2.78125E-2</v>
      </c>
      <c r="K297" s="45">
        <v>0</v>
      </c>
      <c r="L297" s="45">
        <v>0</v>
      </c>
      <c r="M297" s="45">
        <v>0</v>
      </c>
      <c r="N297" s="3">
        <f t="shared" si="229"/>
        <v>2.3001399999999999</v>
      </c>
      <c r="P297" s="56">
        <v>1</v>
      </c>
      <c r="Q297" s="56" t="s">
        <v>1</v>
      </c>
      <c r="R297" s="56">
        <v>12960</v>
      </c>
      <c r="S297" s="56">
        <v>144</v>
      </c>
      <c r="T297" s="56">
        <v>1</v>
      </c>
      <c r="U297" s="56">
        <v>4</v>
      </c>
      <c r="V297" s="56">
        <v>584.16</v>
      </c>
      <c r="W297" s="67">
        <v>2.48</v>
      </c>
      <c r="X297" s="57">
        <v>45322</v>
      </c>
      <c r="Y297" s="58">
        <v>0.57451388888888888</v>
      </c>
      <c r="Z297" s="56">
        <v>0</v>
      </c>
      <c r="AA297" s="56">
        <v>0</v>
      </c>
      <c r="AB297" s="56">
        <v>0</v>
      </c>
      <c r="AC297" s="4">
        <f t="shared" si="230"/>
        <v>2.492</v>
      </c>
    </row>
    <row r="298" spans="1:29" x14ac:dyDescent="0.25">
      <c r="A298" s="45">
        <v>1</v>
      </c>
      <c r="B298" s="45" t="s">
        <v>1</v>
      </c>
      <c r="C298" s="45">
        <v>13776</v>
      </c>
      <c r="D298" s="45">
        <v>112</v>
      </c>
      <c r="E298" s="45">
        <v>2</v>
      </c>
      <c r="F298" s="45">
        <v>2</v>
      </c>
      <c r="G298" s="45">
        <v>756.2</v>
      </c>
      <c r="H298" s="46">
        <v>2.3052000000000001</v>
      </c>
      <c r="I298" s="47">
        <v>45320</v>
      </c>
      <c r="J298" s="48">
        <v>0.48868055555555556</v>
      </c>
      <c r="K298" s="45">
        <v>0</v>
      </c>
      <c r="L298" s="45">
        <v>0</v>
      </c>
      <c r="M298" s="45">
        <v>0</v>
      </c>
      <c r="N298" s="3">
        <f t="shared" si="229"/>
        <v>2.3001399999999999</v>
      </c>
      <c r="P298" s="56">
        <v>2</v>
      </c>
      <c r="Q298" s="56" t="s">
        <v>1</v>
      </c>
      <c r="R298" s="56">
        <v>12960</v>
      </c>
      <c r="S298" s="56">
        <v>144</v>
      </c>
      <c r="T298" s="56">
        <v>1</v>
      </c>
      <c r="U298" s="56">
        <v>4</v>
      </c>
      <c r="V298" s="56">
        <v>584.29</v>
      </c>
      <c r="W298" s="67">
        <v>2.48</v>
      </c>
      <c r="X298" s="57">
        <v>45323</v>
      </c>
      <c r="Y298" s="58">
        <v>9.2893518518518514E-2</v>
      </c>
      <c r="Z298" s="56">
        <v>0</v>
      </c>
      <c r="AA298" s="56">
        <v>0</v>
      </c>
      <c r="AB298" s="56">
        <v>0</v>
      </c>
      <c r="AC298" s="4">
        <f t="shared" si="230"/>
        <v>2.492</v>
      </c>
    </row>
    <row r="299" spans="1:29" x14ac:dyDescent="0.25">
      <c r="A299" s="45">
        <v>2</v>
      </c>
      <c r="B299" s="45" t="s">
        <v>1</v>
      </c>
      <c r="C299" s="45">
        <v>13776</v>
      </c>
      <c r="D299" s="45">
        <v>112</v>
      </c>
      <c r="E299" s="45">
        <v>2</v>
      </c>
      <c r="F299" s="45">
        <v>2</v>
      </c>
      <c r="G299" s="45">
        <v>755.88</v>
      </c>
      <c r="H299" s="46">
        <v>2.3062</v>
      </c>
      <c r="I299" s="47">
        <v>45320</v>
      </c>
      <c r="J299" s="48">
        <v>0.99725694444444446</v>
      </c>
      <c r="K299" s="45">
        <v>0</v>
      </c>
      <c r="L299" s="45">
        <v>0</v>
      </c>
      <c r="M299" s="45">
        <v>0</v>
      </c>
      <c r="N299" s="3">
        <f t="shared" ref="N299" si="231">AVERAGE(H299:H303)</f>
        <v>2.3064799999999996</v>
      </c>
      <c r="P299" s="56">
        <v>3</v>
      </c>
      <c r="Q299" s="56" t="s">
        <v>1</v>
      </c>
      <c r="R299" s="56">
        <v>12960</v>
      </c>
      <c r="S299" s="56">
        <v>144</v>
      </c>
      <c r="T299" s="56">
        <v>1</v>
      </c>
      <c r="U299" s="56">
        <v>4</v>
      </c>
      <c r="V299" s="56">
        <v>583.28</v>
      </c>
      <c r="W299" s="67">
        <v>2.4900000000000002</v>
      </c>
      <c r="X299" s="57">
        <v>45323</v>
      </c>
      <c r="Y299" s="58">
        <v>0.61140046296296291</v>
      </c>
      <c r="Z299" s="56">
        <v>0</v>
      </c>
      <c r="AA299" s="56">
        <v>0</v>
      </c>
      <c r="AB299" s="56">
        <v>0</v>
      </c>
      <c r="AC299" s="4">
        <f t="shared" ref="AC299" si="232">AVERAGE(W299:W303)</f>
        <v>2.4900000000000002</v>
      </c>
    </row>
    <row r="300" spans="1:29" x14ac:dyDescent="0.25">
      <c r="A300" s="45">
        <v>3</v>
      </c>
      <c r="B300" s="45" t="s">
        <v>1</v>
      </c>
      <c r="C300" s="45">
        <v>13776</v>
      </c>
      <c r="D300" s="45">
        <v>112</v>
      </c>
      <c r="E300" s="45">
        <v>2</v>
      </c>
      <c r="F300" s="45">
        <v>2</v>
      </c>
      <c r="G300" s="45">
        <v>756.03</v>
      </c>
      <c r="H300" s="46">
        <v>2.3056999999999999</v>
      </c>
      <c r="I300" s="47">
        <v>45321</v>
      </c>
      <c r="J300" s="48">
        <v>0.50589120370370366</v>
      </c>
      <c r="K300" s="45">
        <v>0</v>
      </c>
      <c r="L300" s="45">
        <v>0</v>
      </c>
      <c r="M300" s="45">
        <v>0</v>
      </c>
      <c r="N300" s="3">
        <f t="shared" ref="N300:N363" si="233">N299</f>
        <v>2.3064799999999996</v>
      </c>
      <c r="P300" s="59">
        <v>0</v>
      </c>
      <c r="Q300" s="59" t="s">
        <v>1</v>
      </c>
      <c r="R300" s="59">
        <v>13824</v>
      </c>
      <c r="S300" s="59">
        <v>144</v>
      </c>
      <c r="T300" s="59">
        <v>1</v>
      </c>
      <c r="U300" s="59">
        <v>4</v>
      </c>
      <c r="V300" s="59">
        <v>708.12</v>
      </c>
      <c r="W300" s="68">
        <v>2.4900000000000002</v>
      </c>
      <c r="X300" s="60">
        <v>45321</v>
      </c>
      <c r="Y300" s="61">
        <v>0.9</v>
      </c>
      <c r="Z300" s="59">
        <v>0</v>
      </c>
      <c r="AA300" s="59">
        <v>0</v>
      </c>
      <c r="AB300" s="59">
        <v>0</v>
      </c>
      <c r="AC300" s="4">
        <f t="shared" ref="AC300:AC303" si="234">AC299</f>
        <v>2.4900000000000002</v>
      </c>
    </row>
    <row r="301" spans="1:29" x14ac:dyDescent="0.25">
      <c r="A301" s="45">
        <v>4</v>
      </c>
      <c r="B301" s="45" t="s">
        <v>1</v>
      </c>
      <c r="C301" s="45">
        <v>13776</v>
      </c>
      <c r="D301" s="45">
        <v>112</v>
      </c>
      <c r="E301" s="45">
        <v>2</v>
      </c>
      <c r="F301" s="45">
        <v>2</v>
      </c>
      <c r="G301" s="45">
        <v>756.22</v>
      </c>
      <c r="H301" s="49">
        <v>2.3052000000000001</v>
      </c>
      <c r="I301" s="47">
        <v>45322</v>
      </c>
      <c r="J301" s="48">
        <v>1.4467592592592593E-2</v>
      </c>
      <c r="K301" s="45">
        <v>0</v>
      </c>
      <c r="L301" s="45">
        <v>0</v>
      </c>
      <c r="M301" s="45">
        <v>0</v>
      </c>
      <c r="N301" s="3">
        <f t="shared" si="233"/>
        <v>2.3064799999999996</v>
      </c>
      <c r="P301" s="56">
        <v>1</v>
      </c>
      <c r="Q301" s="56" t="s">
        <v>1</v>
      </c>
      <c r="R301" s="56">
        <v>13824</v>
      </c>
      <c r="S301" s="56">
        <v>144</v>
      </c>
      <c r="T301" s="56">
        <v>1</v>
      </c>
      <c r="U301" s="56">
        <v>4</v>
      </c>
      <c r="V301" s="56">
        <v>708.51</v>
      </c>
      <c r="W301" s="67">
        <v>2.4900000000000002</v>
      </c>
      <c r="X301" s="57">
        <v>45322</v>
      </c>
      <c r="Y301" s="58">
        <v>0.41844907407407406</v>
      </c>
      <c r="Z301" s="56">
        <v>0</v>
      </c>
      <c r="AA301" s="56">
        <v>0</v>
      </c>
      <c r="AB301" s="56">
        <v>0</v>
      </c>
      <c r="AC301" s="4">
        <f t="shared" si="234"/>
        <v>2.4900000000000002</v>
      </c>
    </row>
    <row r="302" spans="1:29" x14ac:dyDescent="0.25">
      <c r="A302" s="45">
        <v>0</v>
      </c>
      <c r="B302" s="45" t="s">
        <v>1</v>
      </c>
      <c r="C302" s="45">
        <v>14560</v>
      </c>
      <c r="D302" s="45">
        <v>112</v>
      </c>
      <c r="E302" s="45">
        <v>2</v>
      </c>
      <c r="F302" s="45">
        <v>2</v>
      </c>
      <c r="G302" s="45">
        <v>892.12</v>
      </c>
      <c r="H302" s="46">
        <v>2.3069000000000002</v>
      </c>
      <c r="I302" s="47">
        <v>45319</v>
      </c>
      <c r="J302" s="48">
        <v>0.89979166666666666</v>
      </c>
      <c r="K302" s="45">
        <v>0</v>
      </c>
      <c r="L302" s="45">
        <v>0</v>
      </c>
      <c r="M302" s="45">
        <v>0</v>
      </c>
      <c r="N302" s="3">
        <f t="shared" si="233"/>
        <v>2.3064799999999996</v>
      </c>
      <c r="P302" s="56">
        <v>2</v>
      </c>
      <c r="Q302" s="56" t="s">
        <v>1</v>
      </c>
      <c r="R302" s="56">
        <v>13824</v>
      </c>
      <c r="S302" s="56">
        <v>144</v>
      </c>
      <c r="T302" s="56">
        <v>1</v>
      </c>
      <c r="U302" s="56">
        <v>4</v>
      </c>
      <c r="V302" s="56">
        <v>708.34</v>
      </c>
      <c r="W302" s="67">
        <v>2.4900000000000002</v>
      </c>
      <c r="X302" s="57">
        <v>45322</v>
      </c>
      <c r="Y302" s="58">
        <v>0.93653935185185189</v>
      </c>
      <c r="Z302" s="56">
        <v>0</v>
      </c>
      <c r="AA302" s="56">
        <v>0</v>
      </c>
      <c r="AB302" s="56">
        <v>0</v>
      </c>
      <c r="AC302" s="4">
        <f t="shared" si="234"/>
        <v>2.4900000000000002</v>
      </c>
    </row>
    <row r="303" spans="1:29" x14ac:dyDescent="0.25">
      <c r="A303" s="45">
        <v>1</v>
      </c>
      <c r="B303" s="45" t="s">
        <v>1</v>
      </c>
      <c r="C303" s="45">
        <v>14560</v>
      </c>
      <c r="D303" s="45">
        <v>112</v>
      </c>
      <c r="E303" s="45">
        <v>2</v>
      </c>
      <c r="F303" s="45">
        <v>2</v>
      </c>
      <c r="G303" s="45">
        <v>891.57</v>
      </c>
      <c r="H303" s="46">
        <v>2.3083999999999998</v>
      </c>
      <c r="I303" s="47">
        <v>45320</v>
      </c>
      <c r="J303" s="48">
        <v>0.3041550925925926</v>
      </c>
      <c r="K303" s="45">
        <v>0</v>
      </c>
      <c r="L303" s="45">
        <v>0</v>
      </c>
      <c r="M303" s="45">
        <v>0</v>
      </c>
      <c r="N303" s="3">
        <f t="shared" si="233"/>
        <v>2.3064799999999996</v>
      </c>
      <c r="P303" s="56">
        <v>3</v>
      </c>
      <c r="Q303" s="56" t="s">
        <v>1</v>
      </c>
      <c r="R303" s="56">
        <v>13824</v>
      </c>
      <c r="S303" s="56">
        <v>144</v>
      </c>
      <c r="T303" s="56">
        <v>1</v>
      </c>
      <c r="U303" s="56">
        <v>4</v>
      </c>
      <c r="V303" s="56">
        <v>707.86</v>
      </c>
      <c r="W303" s="67">
        <v>2.4900000000000002</v>
      </c>
      <c r="X303" s="57">
        <v>45323</v>
      </c>
      <c r="Y303" s="58">
        <v>0.45525462962962965</v>
      </c>
      <c r="Z303" s="56">
        <v>0</v>
      </c>
      <c r="AA303" s="56">
        <v>0</v>
      </c>
      <c r="AB303" s="56">
        <v>0</v>
      </c>
      <c r="AC303" s="4">
        <f t="shared" si="234"/>
        <v>2.4900000000000002</v>
      </c>
    </row>
    <row r="304" spans="1:29" x14ac:dyDescent="0.25">
      <c r="A304" s="45">
        <v>2</v>
      </c>
      <c r="B304" s="45" t="s">
        <v>1</v>
      </c>
      <c r="C304" s="45">
        <v>14560</v>
      </c>
      <c r="D304" s="45">
        <v>112</v>
      </c>
      <c r="E304" s="45">
        <v>2</v>
      </c>
      <c r="F304" s="45">
        <v>2</v>
      </c>
      <c r="G304" s="45">
        <v>891.78</v>
      </c>
      <c r="H304" s="46">
        <v>2.3077999999999999</v>
      </c>
      <c r="I304" s="47">
        <v>45320</v>
      </c>
      <c r="J304" s="48">
        <v>0.8127199074074074</v>
      </c>
      <c r="K304" s="45">
        <v>0</v>
      </c>
      <c r="L304" s="45">
        <v>0</v>
      </c>
      <c r="M304" s="45">
        <v>0</v>
      </c>
      <c r="N304" s="3">
        <f t="shared" ref="N304" si="235">AVERAGE(H304:H308)</f>
        <v>2.2793400000000004</v>
      </c>
      <c r="P304" s="56">
        <v>0</v>
      </c>
      <c r="Q304" s="56" t="s">
        <v>1</v>
      </c>
      <c r="R304" s="56">
        <v>14544</v>
      </c>
      <c r="S304" s="56">
        <v>144</v>
      </c>
      <c r="T304" s="56">
        <v>1</v>
      </c>
      <c r="U304" s="56">
        <v>4</v>
      </c>
      <c r="V304" s="56">
        <v>817.34</v>
      </c>
      <c r="W304" s="67">
        <v>2.5099999999999998</v>
      </c>
      <c r="X304" s="57">
        <v>45321</v>
      </c>
      <c r="Y304" s="58">
        <v>0.71695601851851853</v>
      </c>
      <c r="Z304" s="56">
        <v>0</v>
      </c>
      <c r="AA304" s="56">
        <v>0</v>
      </c>
      <c r="AB304" s="56">
        <v>0</v>
      </c>
      <c r="AC304" s="4">
        <f t="shared" ref="AC304" si="236">AVERAGE(W304:W308)</f>
        <v>2.5099999999999998</v>
      </c>
    </row>
    <row r="305" spans="1:29" x14ac:dyDescent="0.25">
      <c r="A305" s="45">
        <v>3</v>
      </c>
      <c r="B305" s="45" t="s">
        <v>1</v>
      </c>
      <c r="C305" s="45">
        <v>14560</v>
      </c>
      <c r="D305" s="45">
        <v>112</v>
      </c>
      <c r="E305" s="45">
        <v>2</v>
      </c>
      <c r="F305" s="45">
        <v>2</v>
      </c>
      <c r="G305" s="45">
        <v>891.64</v>
      </c>
      <c r="H305" s="46">
        <v>2.3081999999999998</v>
      </c>
      <c r="I305" s="47">
        <v>45321</v>
      </c>
      <c r="J305" s="48">
        <v>0.32127314814814817</v>
      </c>
      <c r="K305" s="45">
        <v>0</v>
      </c>
      <c r="L305" s="45">
        <v>0</v>
      </c>
      <c r="M305" s="45">
        <v>0</v>
      </c>
      <c r="N305" s="3">
        <f t="shared" ref="N305" si="237">N304</f>
        <v>2.2793400000000004</v>
      </c>
      <c r="P305" s="56">
        <v>1</v>
      </c>
      <c r="Q305" s="56" t="s">
        <v>1</v>
      </c>
      <c r="R305" s="56">
        <v>14544</v>
      </c>
      <c r="S305" s="56">
        <v>144</v>
      </c>
      <c r="T305" s="56">
        <v>1</v>
      </c>
      <c r="U305" s="56">
        <v>4</v>
      </c>
      <c r="V305" s="56">
        <v>816.75</v>
      </c>
      <c r="W305" s="67">
        <v>2.5099999999999998</v>
      </c>
      <c r="X305" s="57">
        <v>45322</v>
      </c>
      <c r="Y305" s="58">
        <v>0.23531250000000001</v>
      </c>
      <c r="Z305" s="56">
        <v>0</v>
      </c>
      <c r="AA305" s="56">
        <v>0</v>
      </c>
      <c r="AB305" s="56">
        <v>0</v>
      </c>
      <c r="AC305" s="4">
        <f t="shared" ref="AC305:AC308" si="238">AC304</f>
        <v>2.5099999999999998</v>
      </c>
    </row>
    <row r="306" spans="1:29" x14ac:dyDescent="0.25">
      <c r="A306" s="45">
        <v>4</v>
      </c>
      <c r="B306" s="45" t="s">
        <v>1</v>
      </c>
      <c r="C306" s="45">
        <v>14560</v>
      </c>
      <c r="D306" s="45">
        <v>112</v>
      </c>
      <c r="E306" s="45">
        <v>2</v>
      </c>
      <c r="F306" s="45">
        <v>2</v>
      </c>
      <c r="G306" s="45">
        <v>892.12</v>
      </c>
      <c r="H306" s="49">
        <v>2.3069000000000002</v>
      </c>
      <c r="I306" s="47">
        <v>45321</v>
      </c>
      <c r="J306" s="48">
        <v>0.82991898148148147</v>
      </c>
      <c r="K306" s="45">
        <v>0</v>
      </c>
      <c r="L306" s="45">
        <v>0</v>
      </c>
      <c r="M306" s="45">
        <v>0</v>
      </c>
      <c r="N306" s="3">
        <f t="shared" si="229"/>
        <v>2.2793400000000004</v>
      </c>
      <c r="P306" s="56">
        <v>2</v>
      </c>
      <c r="Q306" s="56" t="s">
        <v>1</v>
      </c>
      <c r="R306" s="56">
        <v>14544</v>
      </c>
      <c r="S306" s="56">
        <v>144</v>
      </c>
      <c r="T306" s="56">
        <v>1</v>
      </c>
      <c r="U306" s="56">
        <v>4</v>
      </c>
      <c r="V306" s="56">
        <v>815.92</v>
      </c>
      <c r="W306" s="67">
        <v>2.5099999999999998</v>
      </c>
      <c r="X306" s="57">
        <v>45322</v>
      </c>
      <c r="Y306" s="58">
        <v>0.7534953703703704</v>
      </c>
      <c r="Z306" s="56">
        <v>0</v>
      </c>
      <c r="AA306" s="56">
        <v>0</v>
      </c>
      <c r="AB306" s="56">
        <v>0</v>
      </c>
      <c r="AC306" s="4">
        <f t="shared" si="238"/>
        <v>2.5099999999999998</v>
      </c>
    </row>
    <row r="307" spans="1:29" x14ac:dyDescent="0.25">
      <c r="A307" s="45">
        <v>0</v>
      </c>
      <c r="B307" s="45" t="s">
        <v>1</v>
      </c>
      <c r="C307" s="45">
        <v>12960</v>
      </c>
      <c r="D307" s="45">
        <v>144</v>
      </c>
      <c r="E307" s="45">
        <v>1</v>
      </c>
      <c r="F307" s="45">
        <v>4</v>
      </c>
      <c r="G307" s="45">
        <v>648.86</v>
      </c>
      <c r="H307" s="46">
        <v>2.2368999999999999</v>
      </c>
      <c r="I307" s="47">
        <v>45320</v>
      </c>
      <c r="J307" s="48">
        <v>0.16116898148148148</v>
      </c>
      <c r="K307" s="45">
        <v>0</v>
      </c>
      <c r="L307" s="45">
        <v>0</v>
      </c>
      <c r="M307" s="45">
        <v>0</v>
      </c>
      <c r="N307" s="3">
        <f t="shared" si="229"/>
        <v>2.2793400000000004</v>
      </c>
      <c r="P307" s="56">
        <v>3</v>
      </c>
      <c r="Q307" s="56" t="s">
        <v>1</v>
      </c>
      <c r="R307" s="56">
        <v>14544</v>
      </c>
      <c r="S307" s="56">
        <v>144</v>
      </c>
      <c r="T307" s="56">
        <v>1</v>
      </c>
      <c r="U307" s="56">
        <v>4</v>
      </c>
      <c r="V307" s="56">
        <v>817.72</v>
      </c>
      <c r="W307" s="67">
        <v>2.5099999999999998</v>
      </c>
      <c r="X307" s="57">
        <v>45323</v>
      </c>
      <c r="Y307" s="58">
        <v>0.27221064814814816</v>
      </c>
      <c r="Z307" s="56">
        <v>0</v>
      </c>
      <c r="AA307" s="56">
        <v>0</v>
      </c>
      <c r="AB307" s="56">
        <v>0</v>
      </c>
      <c r="AC307" s="4">
        <f t="shared" si="238"/>
        <v>2.5099999999999998</v>
      </c>
    </row>
    <row r="308" spans="1:29" x14ac:dyDescent="0.25">
      <c r="A308" s="45">
        <v>1</v>
      </c>
      <c r="B308" s="45" t="s">
        <v>1</v>
      </c>
      <c r="C308" s="45">
        <v>12960</v>
      </c>
      <c r="D308" s="45">
        <v>144</v>
      </c>
      <c r="E308" s="45">
        <v>1</v>
      </c>
      <c r="F308" s="45">
        <v>4</v>
      </c>
      <c r="G308" s="45">
        <v>648.87</v>
      </c>
      <c r="H308" s="46">
        <v>2.2368999999999999</v>
      </c>
      <c r="I308" s="47">
        <v>45320</v>
      </c>
      <c r="J308" s="48">
        <v>0.66972222222222222</v>
      </c>
      <c r="K308" s="45">
        <v>0</v>
      </c>
      <c r="L308" s="45">
        <v>0</v>
      </c>
      <c r="M308" s="45">
        <v>0</v>
      </c>
      <c r="N308" s="3">
        <f t="shared" si="229"/>
        <v>2.2793400000000004</v>
      </c>
      <c r="P308" s="56">
        <v>4</v>
      </c>
      <c r="Q308" s="56" t="s">
        <v>1</v>
      </c>
      <c r="R308" s="56">
        <v>14544</v>
      </c>
      <c r="S308" s="56">
        <v>144</v>
      </c>
      <c r="T308" s="56">
        <v>1</v>
      </c>
      <c r="U308" s="56">
        <v>4</v>
      </c>
      <c r="V308" s="56">
        <v>815.89</v>
      </c>
      <c r="W308" s="67">
        <v>2.5099999999999998</v>
      </c>
      <c r="X308" s="57">
        <v>45323</v>
      </c>
      <c r="Y308" s="58">
        <v>0.7905092592592593</v>
      </c>
      <c r="Z308" s="56">
        <v>0</v>
      </c>
      <c r="AA308" s="56">
        <v>0</v>
      </c>
      <c r="AB308" s="56">
        <v>0</v>
      </c>
      <c r="AC308" s="4">
        <f t="shared" si="238"/>
        <v>2.5099999999999998</v>
      </c>
    </row>
    <row r="309" spans="1:29" x14ac:dyDescent="0.25">
      <c r="A309" s="45">
        <v>2</v>
      </c>
      <c r="B309" s="45" t="s">
        <v>1</v>
      </c>
      <c r="C309" s="45">
        <v>12960</v>
      </c>
      <c r="D309" s="45">
        <v>144</v>
      </c>
      <c r="E309" s="45">
        <v>1</v>
      </c>
      <c r="F309" s="45">
        <v>4</v>
      </c>
      <c r="G309" s="45">
        <v>648.88</v>
      </c>
      <c r="H309" s="46">
        <v>2.2368000000000001</v>
      </c>
      <c r="I309" s="47">
        <v>45321</v>
      </c>
      <c r="J309" s="48">
        <v>0.17829861111111112</v>
      </c>
      <c r="K309" s="45">
        <v>0</v>
      </c>
      <c r="L309" s="45">
        <v>0</v>
      </c>
      <c r="M309" s="45">
        <v>0</v>
      </c>
      <c r="N309" s="3">
        <f t="shared" ref="N309" si="239">AVERAGE(H309:H313)</f>
        <v>2.2202400000000004</v>
      </c>
      <c r="P309" s="56">
        <v>0</v>
      </c>
      <c r="Q309" s="56" t="s">
        <v>1</v>
      </c>
      <c r="R309" s="56">
        <v>12960</v>
      </c>
      <c r="S309" s="56">
        <v>144</v>
      </c>
      <c r="T309" s="56">
        <v>2</v>
      </c>
      <c r="U309" s="56">
        <v>2</v>
      </c>
      <c r="V309" s="56">
        <v>581.16</v>
      </c>
      <c r="W309" s="67">
        <v>2.5</v>
      </c>
      <c r="X309" s="57">
        <v>45322</v>
      </c>
      <c r="Y309" s="58">
        <v>6.4201388888888891E-2</v>
      </c>
      <c r="Z309" s="56">
        <v>0</v>
      </c>
      <c r="AA309" s="56">
        <v>0</v>
      </c>
      <c r="AB309" s="56">
        <v>0</v>
      </c>
      <c r="AC309" s="4">
        <f t="shared" ref="AC309" si="240">AVERAGE(W309:W313)</f>
        <v>2.496</v>
      </c>
    </row>
    <row r="310" spans="1:29" x14ac:dyDescent="0.25">
      <c r="A310" s="45">
        <v>3</v>
      </c>
      <c r="B310" s="45" t="s">
        <v>1</v>
      </c>
      <c r="C310" s="45">
        <v>12960</v>
      </c>
      <c r="D310" s="45">
        <v>144</v>
      </c>
      <c r="E310" s="45">
        <v>1</v>
      </c>
      <c r="F310" s="45">
        <v>4</v>
      </c>
      <c r="G310" s="45">
        <v>648.79999999999995</v>
      </c>
      <c r="H310" s="49">
        <v>2.2370999999999999</v>
      </c>
      <c r="I310" s="47">
        <v>45321</v>
      </c>
      <c r="J310" s="48">
        <v>0.68693287037037032</v>
      </c>
      <c r="K310" s="45">
        <v>0</v>
      </c>
      <c r="L310" s="45">
        <v>0</v>
      </c>
      <c r="M310" s="45">
        <v>0</v>
      </c>
      <c r="N310" s="3">
        <f t="shared" ref="N310" si="241">N309</f>
        <v>2.2202400000000004</v>
      </c>
      <c r="P310" s="56">
        <v>1</v>
      </c>
      <c r="Q310" s="56" t="s">
        <v>1</v>
      </c>
      <c r="R310" s="56">
        <v>12960</v>
      </c>
      <c r="S310" s="56">
        <v>144</v>
      </c>
      <c r="T310" s="56">
        <v>2</v>
      </c>
      <c r="U310" s="56">
        <v>2</v>
      </c>
      <c r="V310" s="56">
        <v>581.11</v>
      </c>
      <c r="W310" s="67">
        <v>2.5</v>
      </c>
      <c r="X310" s="57">
        <v>45322</v>
      </c>
      <c r="Y310" s="58">
        <v>0.5825231481481481</v>
      </c>
      <c r="Z310" s="56">
        <v>0</v>
      </c>
      <c r="AA310" s="56">
        <v>0</v>
      </c>
      <c r="AB310" s="56">
        <v>0</v>
      </c>
      <c r="AC310" s="4">
        <f t="shared" ref="AC310:AC313" si="242">AC309</f>
        <v>2.496</v>
      </c>
    </row>
    <row r="311" spans="1:29" x14ac:dyDescent="0.25">
      <c r="A311" s="45">
        <v>4</v>
      </c>
      <c r="B311" s="45" t="s">
        <v>1</v>
      </c>
      <c r="C311" s="45">
        <v>12960</v>
      </c>
      <c r="D311" s="45">
        <v>144</v>
      </c>
      <c r="E311" s="45">
        <v>1</v>
      </c>
      <c r="F311" s="45">
        <v>4</v>
      </c>
      <c r="G311" s="45">
        <v>649.13</v>
      </c>
      <c r="H311" s="49">
        <v>2.2360000000000002</v>
      </c>
      <c r="I311" s="47">
        <v>45322</v>
      </c>
      <c r="J311" s="48">
        <v>0.19547453703703704</v>
      </c>
      <c r="K311" s="45">
        <v>0</v>
      </c>
      <c r="L311" s="45">
        <v>0</v>
      </c>
      <c r="M311" s="45">
        <v>0</v>
      </c>
      <c r="N311" s="3">
        <f t="shared" si="233"/>
        <v>2.2202400000000004</v>
      </c>
      <c r="P311" s="56">
        <v>2</v>
      </c>
      <c r="Q311" s="56" t="s">
        <v>1</v>
      </c>
      <c r="R311" s="56">
        <v>12960</v>
      </c>
      <c r="S311" s="56">
        <v>144</v>
      </c>
      <c r="T311" s="56">
        <v>2</v>
      </c>
      <c r="U311" s="56">
        <v>2</v>
      </c>
      <c r="V311" s="56">
        <v>582.79999999999995</v>
      </c>
      <c r="W311" s="67">
        <v>2.4900000000000002</v>
      </c>
      <c r="X311" s="57">
        <v>45323</v>
      </c>
      <c r="Y311" s="58">
        <v>0.10092592592592593</v>
      </c>
      <c r="Z311" s="56">
        <v>0</v>
      </c>
      <c r="AA311" s="56">
        <v>0</v>
      </c>
      <c r="AB311" s="56">
        <v>0</v>
      </c>
      <c r="AC311" s="4">
        <f t="shared" si="242"/>
        <v>2.496</v>
      </c>
    </row>
    <row r="312" spans="1:29" x14ac:dyDescent="0.25">
      <c r="A312" s="45">
        <v>0</v>
      </c>
      <c r="B312" s="45" t="s">
        <v>1</v>
      </c>
      <c r="C312" s="45">
        <v>13824</v>
      </c>
      <c r="D312" s="45">
        <v>144</v>
      </c>
      <c r="E312" s="45">
        <v>1</v>
      </c>
      <c r="F312" s="45">
        <v>4</v>
      </c>
      <c r="G312" s="45">
        <v>802.2</v>
      </c>
      <c r="H312" s="46">
        <v>2.1958000000000002</v>
      </c>
      <c r="I312" s="47">
        <v>45320</v>
      </c>
      <c r="J312" s="48">
        <v>5.6458333333333333E-2</v>
      </c>
      <c r="K312" s="45">
        <v>0</v>
      </c>
      <c r="L312" s="45">
        <v>0</v>
      </c>
      <c r="M312" s="45">
        <v>0</v>
      </c>
      <c r="N312" s="3">
        <f t="shared" si="233"/>
        <v>2.2202400000000004</v>
      </c>
      <c r="P312" s="56">
        <v>3</v>
      </c>
      <c r="Q312" s="56" t="s">
        <v>1</v>
      </c>
      <c r="R312" s="56">
        <v>12960</v>
      </c>
      <c r="S312" s="56">
        <v>144</v>
      </c>
      <c r="T312" s="56">
        <v>2</v>
      </c>
      <c r="U312" s="56">
        <v>2</v>
      </c>
      <c r="V312" s="56">
        <v>586.07000000000005</v>
      </c>
      <c r="W312" s="67">
        <v>2.48</v>
      </c>
      <c r="X312" s="57">
        <v>45323</v>
      </c>
      <c r="Y312" s="58">
        <v>0.61946759259259254</v>
      </c>
      <c r="Z312" s="56">
        <v>0</v>
      </c>
      <c r="AA312" s="56">
        <v>0</v>
      </c>
      <c r="AB312" s="56">
        <v>0</v>
      </c>
      <c r="AC312" s="4">
        <f t="shared" si="242"/>
        <v>2.496</v>
      </c>
    </row>
    <row r="313" spans="1:29" x14ac:dyDescent="0.25">
      <c r="A313" s="45">
        <v>1</v>
      </c>
      <c r="B313" s="45" t="s">
        <v>1</v>
      </c>
      <c r="C313" s="45">
        <v>13824</v>
      </c>
      <c r="D313" s="45">
        <v>144</v>
      </c>
      <c r="E313" s="45">
        <v>1</v>
      </c>
      <c r="F313" s="45">
        <v>4</v>
      </c>
      <c r="G313" s="45">
        <v>802.32</v>
      </c>
      <c r="H313" s="46">
        <v>2.1955</v>
      </c>
      <c r="I313" s="47">
        <v>45320</v>
      </c>
      <c r="J313" s="48">
        <v>0.51732638888888893</v>
      </c>
      <c r="K313" s="45">
        <v>0</v>
      </c>
      <c r="L313" s="45">
        <v>0</v>
      </c>
      <c r="M313" s="45">
        <v>0</v>
      </c>
      <c r="N313" s="3">
        <f t="shared" si="233"/>
        <v>2.2202400000000004</v>
      </c>
      <c r="P313" s="59">
        <v>0</v>
      </c>
      <c r="Q313" s="59" t="s">
        <v>1</v>
      </c>
      <c r="R313" s="59">
        <v>13824</v>
      </c>
      <c r="S313" s="59">
        <v>144</v>
      </c>
      <c r="T313" s="59">
        <v>2</v>
      </c>
      <c r="U313" s="59">
        <v>2</v>
      </c>
      <c r="V313" s="59">
        <v>702.51</v>
      </c>
      <c r="W313" s="68">
        <v>2.5099999999999998</v>
      </c>
      <c r="X313" s="60">
        <v>45321</v>
      </c>
      <c r="Y313" s="61">
        <v>0.9095833333333333</v>
      </c>
      <c r="Z313" s="59">
        <v>0</v>
      </c>
      <c r="AA313" s="59">
        <v>0</v>
      </c>
      <c r="AB313" s="59">
        <v>0</v>
      </c>
      <c r="AC313" s="4">
        <f t="shared" si="242"/>
        <v>2.496</v>
      </c>
    </row>
    <row r="314" spans="1:29" x14ac:dyDescent="0.25">
      <c r="A314" s="45">
        <v>2</v>
      </c>
      <c r="B314" s="45" t="s">
        <v>1</v>
      </c>
      <c r="C314" s="45">
        <v>13824</v>
      </c>
      <c r="D314" s="45">
        <v>144</v>
      </c>
      <c r="E314" s="45">
        <v>1</v>
      </c>
      <c r="F314" s="45">
        <v>4</v>
      </c>
      <c r="G314" s="45">
        <v>802</v>
      </c>
      <c r="H314" s="46">
        <v>2.1964000000000001</v>
      </c>
      <c r="I314" s="47">
        <v>45321</v>
      </c>
      <c r="J314" s="48">
        <v>2.5891203703703704E-2</v>
      </c>
      <c r="K314" s="45">
        <v>0</v>
      </c>
      <c r="L314" s="45">
        <v>0</v>
      </c>
      <c r="M314" s="45">
        <v>0</v>
      </c>
      <c r="N314" s="3">
        <f t="shared" ref="N314" si="243">AVERAGE(H314:H318)</f>
        <v>2.21936</v>
      </c>
      <c r="P314" s="56">
        <v>1</v>
      </c>
      <c r="Q314" s="56" t="s">
        <v>1</v>
      </c>
      <c r="R314" s="56">
        <v>13824</v>
      </c>
      <c r="S314" s="56">
        <v>144</v>
      </c>
      <c r="T314" s="56">
        <v>2</v>
      </c>
      <c r="U314" s="56">
        <v>2</v>
      </c>
      <c r="V314" s="56">
        <v>702.15</v>
      </c>
      <c r="W314" s="67">
        <v>2.5099999999999998</v>
      </c>
      <c r="X314" s="57">
        <v>45322</v>
      </c>
      <c r="Y314" s="58">
        <v>0.42802083333333335</v>
      </c>
      <c r="Z314" s="56">
        <v>0</v>
      </c>
      <c r="AA314" s="56">
        <v>0</v>
      </c>
      <c r="AB314" s="56">
        <v>0</v>
      </c>
      <c r="AC314" s="4">
        <f t="shared" ref="AC314" si="244">AVERAGE(W314:W318)</f>
        <v>2.5099999999999998</v>
      </c>
    </row>
    <row r="315" spans="1:29" x14ac:dyDescent="0.25">
      <c r="A315" s="45">
        <v>3</v>
      </c>
      <c r="B315" s="45" t="s">
        <v>1</v>
      </c>
      <c r="C315" s="45">
        <v>13824</v>
      </c>
      <c r="D315" s="45">
        <v>144</v>
      </c>
      <c r="E315" s="45">
        <v>1</v>
      </c>
      <c r="F315" s="45">
        <v>4</v>
      </c>
      <c r="G315" s="45">
        <v>802.19</v>
      </c>
      <c r="H315" s="46">
        <v>2.1959</v>
      </c>
      <c r="I315" s="47">
        <v>45321</v>
      </c>
      <c r="J315" s="48">
        <v>0.53453703703703703</v>
      </c>
      <c r="K315" s="45">
        <v>0</v>
      </c>
      <c r="L315" s="45">
        <v>0</v>
      </c>
      <c r="M315" s="45">
        <v>0</v>
      </c>
      <c r="N315" s="3">
        <f t="shared" ref="N315" si="245">N314</f>
        <v>2.21936</v>
      </c>
      <c r="P315" s="56">
        <v>2</v>
      </c>
      <c r="Q315" s="56" t="s">
        <v>1</v>
      </c>
      <c r="R315" s="56">
        <v>13824</v>
      </c>
      <c r="S315" s="56">
        <v>144</v>
      </c>
      <c r="T315" s="56">
        <v>2</v>
      </c>
      <c r="U315" s="56">
        <v>2</v>
      </c>
      <c r="V315" s="56">
        <v>702.42</v>
      </c>
      <c r="W315" s="67">
        <v>2.5099999999999998</v>
      </c>
      <c r="X315" s="57">
        <v>45322</v>
      </c>
      <c r="Y315" s="58">
        <v>0.94612268518518516</v>
      </c>
      <c r="Z315" s="56">
        <v>0</v>
      </c>
      <c r="AA315" s="56">
        <v>0</v>
      </c>
      <c r="AB315" s="56">
        <v>0</v>
      </c>
      <c r="AC315" s="4">
        <f t="shared" ref="AC315:AC318" si="246">AC314</f>
        <v>2.5099999999999998</v>
      </c>
    </row>
    <row r="316" spans="1:29" x14ac:dyDescent="0.25">
      <c r="A316" s="45">
        <v>4</v>
      </c>
      <c r="B316" s="45" t="s">
        <v>1</v>
      </c>
      <c r="C316" s="45">
        <v>13824</v>
      </c>
      <c r="D316" s="45">
        <v>144</v>
      </c>
      <c r="E316" s="45">
        <v>1</v>
      </c>
      <c r="F316" s="45">
        <v>4</v>
      </c>
      <c r="G316" s="45">
        <v>801.86</v>
      </c>
      <c r="H316" s="49">
        <v>2.1968000000000001</v>
      </c>
      <c r="I316" s="47">
        <v>45322</v>
      </c>
      <c r="J316" s="48">
        <v>4.3090277777777776E-2</v>
      </c>
      <c r="K316" s="45">
        <v>0</v>
      </c>
      <c r="L316" s="45">
        <v>0</v>
      </c>
      <c r="M316" s="45">
        <v>0</v>
      </c>
      <c r="N316" s="3">
        <f t="shared" si="229"/>
        <v>2.21936</v>
      </c>
      <c r="P316" s="56">
        <v>3</v>
      </c>
      <c r="Q316" s="56" t="s">
        <v>1</v>
      </c>
      <c r="R316" s="56">
        <v>13824</v>
      </c>
      <c r="S316" s="56">
        <v>144</v>
      </c>
      <c r="T316" s="56">
        <v>2</v>
      </c>
      <c r="U316" s="56">
        <v>2</v>
      </c>
      <c r="V316" s="56">
        <v>703.8</v>
      </c>
      <c r="W316" s="67">
        <v>2.5</v>
      </c>
      <c r="X316" s="57">
        <v>45323</v>
      </c>
      <c r="Y316" s="58">
        <v>0.46486111111111111</v>
      </c>
      <c r="Z316" s="56">
        <v>0</v>
      </c>
      <c r="AA316" s="56">
        <v>0</v>
      </c>
      <c r="AB316" s="56">
        <v>0</v>
      </c>
      <c r="AC316" s="4">
        <f t="shared" si="246"/>
        <v>2.5099999999999998</v>
      </c>
    </row>
    <row r="317" spans="1:29" x14ac:dyDescent="0.25">
      <c r="A317" s="45">
        <v>0</v>
      </c>
      <c r="B317" s="45" t="s">
        <v>1</v>
      </c>
      <c r="C317" s="45">
        <v>14544</v>
      </c>
      <c r="D317" s="45">
        <v>144</v>
      </c>
      <c r="E317" s="45">
        <v>1</v>
      </c>
      <c r="F317" s="45">
        <v>4</v>
      </c>
      <c r="G317" s="45">
        <v>910.07</v>
      </c>
      <c r="H317" s="46">
        <v>2.254</v>
      </c>
      <c r="I317" s="47">
        <v>45319</v>
      </c>
      <c r="J317" s="48">
        <v>0.93269675925925921</v>
      </c>
      <c r="K317" s="45">
        <v>0</v>
      </c>
      <c r="L317" s="45">
        <v>0</v>
      </c>
      <c r="M317" s="45">
        <v>0</v>
      </c>
      <c r="N317" s="3">
        <f t="shared" si="229"/>
        <v>2.21936</v>
      </c>
      <c r="P317" s="56">
        <v>0</v>
      </c>
      <c r="Q317" s="56" t="s">
        <v>1</v>
      </c>
      <c r="R317" s="56">
        <v>14544</v>
      </c>
      <c r="S317" s="56">
        <v>144</v>
      </c>
      <c r="T317" s="56">
        <v>2</v>
      </c>
      <c r="U317" s="56">
        <v>2</v>
      </c>
      <c r="V317" s="56">
        <v>814.23</v>
      </c>
      <c r="W317" s="67">
        <v>2.52</v>
      </c>
      <c r="X317" s="57">
        <v>45321</v>
      </c>
      <c r="Y317" s="58">
        <v>0.72802083333333334</v>
      </c>
      <c r="Z317" s="56">
        <v>0</v>
      </c>
      <c r="AA317" s="56">
        <v>0</v>
      </c>
      <c r="AB317" s="56">
        <v>0</v>
      </c>
      <c r="AC317" s="4">
        <f t="shared" si="246"/>
        <v>2.5099999999999998</v>
      </c>
    </row>
    <row r="318" spans="1:29" x14ac:dyDescent="0.25">
      <c r="A318" s="45">
        <v>1</v>
      </c>
      <c r="B318" s="45" t="s">
        <v>1</v>
      </c>
      <c r="C318" s="45">
        <v>14544</v>
      </c>
      <c r="D318" s="45">
        <v>144</v>
      </c>
      <c r="E318" s="45">
        <v>1</v>
      </c>
      <c r="F318" s="45">
        <v>4</v>
      </c>
      <c r="G318" s="45">
        <v>910.17</v>
      </c>
      <c r="H318" s="46">
        <v>2.2536999999999998</v>
      </c>
      <c r="I318" s="47">
        <v>45320</v>
      </c>
      <c r="J318" s="48">
        <v>0.33704861111111112</v>
      </c>
      <c r="K318" s="45">
        <v>0</v>
      </c>
      <c r="L318" s="45">
        <v>0</v>
      </c>
      <c r="M318" s="45">
        <v>0</v>
      </c>
      <c r="N318" s="3">
        <f t="shared" si="229"/>
        <v>2.21936</v>
      </c>
      <c r="P318" s="56">
        <v>1</v>
      </c>
      <c r="Q318" s="56" t="s">
        <v>1</v>
      </c>
      <c r="R318" s="56">
        <v>14544</v>
      </c>
      <c r="S318" s="56">
        <v>144</v>
      </c>
      <c r="T318" s="56">
        <v>2</v>
      </c>
      <c r="U318" s="56">
        <v>2</v>
      </c>
      <c r="V318" s="56">
        <v>815.72</v>
      </c>
      <c r="W318" s="67">
        <v>2.5099999999999998</v>
      </c>
      <c r="X318" s="57">
        <v>45322</v>
      </c>
      <c r="Y318" s="58">
        <v>0.24640046296296297</v>
      </c>
      <c r="Z318" s="56">
        <v>0</v>
      </c>
      <c r="AA318" s="56">
        <v>0</v>
      </c>
      <c r="AB318" s="56">
        <v>0</v>
      </c>
      <c r="AC318" s="4">
        <f t="shared" si="246"/>
        <v>2.5099999999999998</v>
      </c>
    </row>
    <row r="319" spans="1:29" x14ac:dyDescent="0.25">
      <c r="A319" s="45">
        <v>2</v>
      </c>
      <c r="B319" s="45" t="s">
        <v>1</v>
      </c>
      <c r="C319" s="45">
        <v>14544</v>
      </c>
      <c r="D319" s="45">
        <v>144</v>
      </c>
      <c r="E319" s="45">
        <v>1</v>
      </c>
      <c r="F319" s="45">
        <v>4</v>
      </c>
      <c r="G319" s="45">
        <v>910.17</v>
      </c>
      <c r="H319" s="46">
        <v>2.2538</v>
      </c>
      <c r="I319" s="47">
        <v>45320</v>
      </c>
      <c r="J319" s="48">
        <v>0.84561342592592592</v>
      </c>
      <c r="K319" s="45">
        <v>0</v>
      </c>
      <c r="L319" s="45">
        <v>0</v>
      </c>
      <c r="M319" s="45">
        <v>0</v>
      </c>
      <c r="N319" s="3">
        <f t="shared" ref="N319" si="247">AVERAGE(H319:H323)</f>
        <v>2.2619599999999997</v>
      </c>
      <c r="P319" s="56">
        <v>2</v>
      </c>
      <c r="Q319" s="56" t="s">
        <v>1</v>
      </c>
      <c r="R319" s="56">
        <v>14544</v>
      </c>
      <c r="S319" s="56">
        <v>144</v>
      </c>
      <c r="T319" s="56">
        <v>2</v>
      </c>
      <c r="U319" s="56">
        <v>2</v>
      </c>
      <c r="V319" s="56">
        <v>813.97</v>
      </c>
      <c r="W319" s="67">
        <v>2.52</v>
      </c>
      <c r="X319" s="57">
        <v>45322</v>
      </c>
      <c r="Y319" s="58">
        <v>0.7645601851851852</v>
      </c>
      <c r="Z319" s="56">
        <v>0</v>
      </c>
      <c r="AA319" s="56">
        <v>0</v>
      </c>
      <c r="AB319" s="56">
        <v>0</v>
      </c>
      <c r="AC319" s="4">
        <f t="shared" ref="AC319" si="248">AVERAGE(W319:W323)</f>
        <v>2.496</v>
      </c>
    </row>
    <row r="320" spans="1:29" x14ac:dyDescent="0.25">
      <c r="A320" s="45">
        <v>3</v>
      </c>
      <c r="B320" s="45" t="s">
        <v>1</v>
      </c>
      <c r="C320" s="45">
        <v>14544</v>
      </c>
      <c r="D320" s="45">
        <v>144</v>
      </c>
      <c r="E320" s="45">
        <v>1</v>
      </c>
      <c r="F320" s="45">
        <v>4</v>
      </c>
      <c r="G320" s="45">
        <v>910.36</v>
      </c>
      <c r="H320" s="46">
        <v>2.2532999999999999</v>
      </c>
      <c r="I320" s="47">
        <v>45321</v>
      </c>
      <c r="J320" s="48">
        <v>0.35418981481481482</v>
      </c>
      <c r="K320" s="45">
        <v>0</v>
      </c>
      <c r="L320" s="45">
        <v>0</v>
      </c>
      <c r="M320" s="45">
        <v>0</v>
      </c>
      <c r="N320" s="3">
        <f t="shared" ref="N320" si="249">N319</f>
        <v>2.2619599999999997</v>
      </c>
      <c r="P320" s="56">
        <v>3</v>
      </c>
      <c r="Q320" s="56" t="s">
        <v>1</v>
      </c>
      <c r="R320" s="56">
        <v>14544</v>
      </c>
      <c r="S320" s="56">
        <v>144</v>
      </c>
      <c r="T320" s="56">
        <v>2</v>
      </c>
      <c r="U320" s="56">
        <v>2</v>
      </c>
      <c r="V320" s="56">
        <v>818.91</v>
      </c>
      <c r="W320" s="67">
        <v>2.5</v>
      </c>
      <c r="X320" s="57">
        <v>45323</v>
      </c>
      <c r="Y320" s="58">
        <v>0.28333333333333333</v>
      </c>
      <c r="Z320" s="56">
        <v>0</v>
      </c>
      <c r="AA320" s="56">
        <v>0</v>
      </c>
      <c r="AB320" s="56">
        <v>0</v>
      </c>
      <c r="AC320" s="4">
        <f t="shared" ref="AC320:AC323" si="250">AC319</f>
        <v>2.496</v>
      </c>
    </row>
    <row r="321" spans="1:29" x14ac:dyDescent="0.25">
      <c r="A321" s="45">
        <v>4</v>
      </c>
      <c r="B321" s="45" t="s">
        <v>1</v>
      </c>
      <c r="C321" s="45">
        <v>14544</v>
      </c>
      <c r="D321" s="45">
        <v>144</v>
      </c>
      <c r="E321" s="45">
        <v>1</v>
      </c>
      <c r="F321" s="45">
        <v>4</v>
      </c>
      <c r="G321" s="45">
        <v>910.08</v>
      </c>
      <c r="H321" s="49">
        <v>2.254</v>
      </c>
      <c r="I321" s="47">
        <v>45321</v>
      </c>
      <c r="J321" s="48">
        <v>0.86282407407407402</v>
      </c>
      <c r="K321" s="45">
        <v>0</v>
      </c>
      <c r="L321" s="45">
        <v>0</v>
      </c>
      <c r="M321" s="45">
        <v>0</v>
      </c>
      <c r="N321" s="3">
        <f t="shared" si="233"/>
        <v>2.2619599999999997</v>
      </c>
      <c r="P321" s="56">
        <v>4</v>
      </c>
      <c r="Q321" s="56" t="s">
        <v>1</v>
      </c>
      <c r="R321" s="56">
        <v>14544</v>
      </c>
      <c r="S321" s="56">
        <v>144</v>
      </c>
      <c r="T321" s="56">
        <v>2</v>
      </c>
      <c r="U321" s="56">
        <v>2</v>
      </c>
      <c r="V321" s="56">
        <v>815.97</v>
      </c>
      <c r="W321" s="67">
        <v>2.5099999999999998</v>
      </c>
      <c r="X321" s="57">
        <v>45323</v>
      </c>
      <c r="Y321" s="58">
        <v>0.80159722222222218</v>
      </c>
      <c r="Z321" s="56">
        <v>0</v>
      </c>
      <c r="AA321" s="56">
        <v>0</v>
      </c>
      <c r="AB321" s="56">
        <v>0</v>
      </c>
      <c r="AC321" s="4">
        <f t="shared" si="250"/>
        <v>2.496</v>
      </c>
    </row>
    <row r="322" spans="1:29" x14ac:dyDescent="0.25">
      <c r="A322" s="45">
        <v>0</v>
      </c>
      <c r="B322" s="45" t="s">
        <v>1</v>
      </c>
      <c r="C322" s="45">
        <v>12960</v>
      </c>
      <c r="D322" s="45">
        <v>144</v>
      </c>
      <c r="E322" s="45">
        <v>2</v>
      </c>
      <c r="F322" s="45">
        <v>2</v>
      </c>
      <c r="G322" s="45">
        <v>637.86</v>
      </c>
      <c r="H322" s="46">
        <v>2.2755000000000001</v>
      </c>
      <c r="I322" s="47">
        <v>45320</v>
      </c>
      <c r="J322" s="48">
        <v>0.16881944444444444</v>
      </c>
      <c r="K322" s="45">
        <v>0</v>
      </c>
      <c r="L322" s="45">
        <v>0</v>
      </c>
      <c r="M322" s="45">
        <v>0</v>
      </c>
      <c r="N322" s="3">
        <f t="shared" si="233"/>
        <v>2.2619599999999997</v>
      </c>
      <c r="P322" s="56">
        <v>0</v>
      </c>
      <c r="Q322" s="56" t="s">
        <v>1</v>
      </c>
      <c r="R322" s="56">
        <v>13024</v>
      </c>
      <c r="S322" s="56">
        <v>176</v>
      </c>
      <c r="T322" s="56">
        <v>1</v>
      </c>
      <c r="U322" s="56">
        <v>4</v>
      </c>
      <c r="V322" s="56">
        <v>594.86</v>
      </c>
      <c r="W322" s="67">
        <v>2.48</v>
      </c>
      <c r="X322" s="57">
        <v>45322</v>
      </c>
      <c r="Y322" s="58">
        <v>8.8611111111111113E-2</v>
      </c>
      <c r="Z322" s="56">
        <v>0</v>
      </c>
      <c r="AA322" s="56">
        <v>0</v>
      </c>
      <c r="AB322" s="56">
        <v>0</v>
      </c>
      <c r="AC322" s="4">
        <f t="shared" si="250"/>
        <v>2.496</v>
      </c>
    </row>
    <row r="323" spans="1:29" x14ac:dyDescent="0.25">
      <c r="A323" s="45">
        <v>1</v>
      </c>
      <c r="B323" s="45" t="s">
        <v>1</v>
      </c>
      <c r="C323" s="45">
        <v>12960</v>
      </c>
      <c r="D323" s="45">
        <v>144</v>
      </c>
      <c r="E323" s="45">
        <v>2</v>
      </c>
      <c r="F323" s="45">
        <v>2</v>
      </c>
      <c r="G323" s="45">
        <v>638.49</v>
      </c>
      <c r="H323" s="46">
        <v>2.2732000000000001</v>
      </c>
      <c r="I323" s="47">
        <v>45320</v>
      </c>
      <c r="J323" s="48">
        <v>0.67737268518518523</v>
      </c>
      <c r="K323" s="45">
        <v>0</v>
      </c>
      <c r="L323" s="45">
        <v>0</v>
      </c>
      <c r="M323" s="45">
        <v>0</v>
      </c>
      <c r="N323" s="3">
        <f t="shared" si="233"/>
        <v>2.2619599999999997</v>
      </c>
      <c r="P323" s="56">
        <v>1</v>
      </c>
      <c r="Q323" s="56" t="s">
        <v>1</v>
      </c>
      <c r="R323" s="56">
        <v>13024</v>
      </c>
      <c r="S323" s="56">
        <v>176</v>
      </c>
      <c r="T323" s="56">
        <v>1</v>
      </c>
      <c r="U323" s="56">
        <v>4</v>
      </c>
      <c r="V323" s="56">
        <v>596.45000000000005</v>
      </c>
      <c r="W323" s="67">
        <v>2.4700000000000002</v>
      </c>
      <c r="X323" s="57">
        <v>45322</v>
      </c>
      <c r="Y323" s="58">
        <v>0.60693287037037036</v>
      </c>
      <c r="Z323" s="56">
        <v>0</v>
      </c>
      <c r="AA323" s="56">
        <v>0</v>
      </c>
      <c r="AB323" s="56">
        <v>0</v>
      </c>
      <c r="AC323" s="4">
        <f t="shared" si="250"/>
        <v>2.496</v>
      </c>
    </row>
    <row r="324" spans="1:29" x14ac:dyDescent="0.25">
      <c r="A324" s="45">
        <v>2</v>
      </c>
      <c r="B324" s="45" t="s">
        <v>1</v>
      </c>
      <c r="C324" s="45">
        <v>12960</v>
      </c>
      <c r="D324" s="45">
        <v>144</v>
      </c>
      <c r="E324" s="45">
        <v>2</v>
      </c>
      <c r="F324" s="45">
        <v>2</v>
      </c>
      <c r="G324" s="45">
        <v>637.96</v>
      </c>
      <c r="H324" s="46">
        <v>2.2751000000000001</v>
      </c>
      <c r="I324" s="47">
        <v>45321</v>
      </c>
      <c r="J324" s="48">
        <v>0.18594907407407407</v>
      </c>
      <c r="K324" s="45">
        <v>0</v>
      </c>
      <c r="L324" s="45">
        <v>0</v>
      </c>
      <c r="M324" s="45">
        <v>0</v>
      </c>
      <c r="N324" s="3">
        <f t="shared" ref="N324" si="251">AVERAGE(H324:H328)</f>
        <v>2.2650200000000003</v>
      </c>
      <c r="P324" s="56">
        <v>2</v>
      </c>
      <c r="Q324" s="56" t="s">
        <v>1</v>
      </c>
      <c r="R324" s="56">
        <v>13024</v>
      </c>
      <c r="S324" s="56">
        <v>176</v>
      </c>
      <c r="T324" s="56">
        <v>1</v>
      </c>
      <c r="U324" s="56">
        <v>4</v>
      </c>
      <c r="V324" s="56">
        <v>597.12</v>
      </c>
      <c r="W324" s="67">
        <v>2.4700000000000002</v>
      </c>
      <c r="X324" s="57">
        <v>45323</v>
      </c>
      <c r="Y324" s="58">
        <v>0.12534722222222222</v>
      </c>
      <c r="Z324" s="56">
        <v>0</v>
      </c>
      <c r="AA324" s="56">
        <v>0</v>
      </c>
      <c r="AB324" s="56">
        <v>0</v>
      </c>
      <c r="AC324" s="4">
        <f t="shared" ref="AC324" si="252">AVERAGE(W324:W328)</f>
        <v>2.4720000000000004</v>
      </c>
    </row>
    <row r="325" spans="1:29" x14ac:dyDescent="0.25">
      <c r="A325" s="45">
        <v>3</v>
      </c>
      <c r="B325" s="45" t="s">
        <v>1</v>
      </c>
      <c r="C325" s="45">
        <v>12960</v>
      </c>
      <c r="D325" s="45">
        <v>144</v>
      </c>
      <c r="E325" s="45">
        <v>2</v>
      </c>
      <c r="F325" s="45">
        <v>2</v>
      </c>
      <c r="G325" s="45">
        <v>638.32000000000005</v>
      </c>
      <c r="H325" s="49">
        <v>2.2738999999999998</v>
      </c>
      <c r="I325" s="47">
        <v>45321</v>
      </c>
      <c r="J325" s="48">
        <v>0.69458333333333333</v>
      </c>
      <c r="K325" s="45">
        <v>0</v>
      </c>
      <c r="L325" s="45">
        <v>0</v>
      </c>
      <c r="M325" s="45">
        <v>0</v>
      </c>
      <c r="N325" s="3">
        <f t="shared" ref="N325" si="253">N324</f>
        <v>2.2650200000000003</v>
      </c>
      <c r="P325" s="56">
        <v>3</v>
      </c>
      <c r="Q325" s="56" t="s">
        <v>1</v>
      </c>
      <c r="R325" s="56">
        <v>13024</v>
      </c>
      <c r="S325" s="56">
        <v>176</v>
      </c>
      <c r="T325" s="56">
        <v>1</v>
      </c>
      <c r="U325" s="56">
        <v>4</v>
      </c>
      <c r="V325" s="56">
        <v>597.07000000000005</v>
      </c>
      <c r="W325" s="67">
        <v>2.4700000000000002</v>
      </c>
      <c r="X325" s="57">
        <v>45323</v>
      </c>
      <c r="Y325" s="58">
        <v>0.64385416666666662</v>
      </c>
      <c r="Z325" s="56">
        <v>0</v>
      </c>
      <c r="AA325" s="56">
        <v>0</v>
      </c>
      <c r="AB325" s="56">
        <v>0</v>
      </c>
      <c r="AC325" s="4">
        <f t="shared" ref="AC325:AC328" si="254">AC324</f>
        <v>2.4720000000000004</v>
      </c>
    </row>
    <row r="326" spans="1:29" x14ac:dyDescent="0.25">
      <c r="A326" s="45">
        <v>4</v>
      </c>
      <c r="B326" s="45" t="s">
        <v>1</v>
      </c>
      <c r="C326" s="45">
        <v>12960</v>
      </c>
      <c r="D326" s="45">
        <v>144</v>
      </c>
      <c r="E326" s="45">
        <v>2</v>
      </c>
      <c r="F326" s="45">
        <v>2</v>
      </c>
      <c r="G326" s="45">
        <v>638.42999999999995</v>
      </c>
      <c r="H326" s="49">
        <v>2.2734000000000001</v>
      </c>
      <c r="I326" s="47">
        <v>45322</v>
      </c>
      <c r="J326" s="48">
        <v>0.20313657407407407</v>
      </c>
      <c r="K326" s="45">
        <v>0</v>
      </c>
      <c r="L326" s="45">
        <v>0</v>
      </c>
      <c r="M326" s="45">
        <v>0</v>
      </c>
      <c r="N326" s="3">
        <f t="shared" si="229"/>
        <v>2.2650200000000003</v>
      </c>
      <c r="P326" s="56">
        <v>0</v>
      </c>
      <c r="Q326" s="56" t="s">
        <v>1</v>
      </c>
      <c r="R326" s="56">
        <v>13728</v>
      </c>
      <c r="S326" s="56">
        <v>176</v>
      </c>
      <c r="T326" s="56">
        <v>1</v>
      </c>
      <c r="U326" s="56">
        <v>4</v>
      </c>
      <c r="V326" s="56">
        <v>698.69</v>
      </c>
      <c r="W326" s="67">
        <v>2.4700000000000002</v>
      </c>
      <c r="X326" s="57">
        <v>45321</v>
      </c>
      <c r="Y326" s="58">
        <v>0.93827546296296294</v>
      </c>
      <c r="Z326" s="56">
        <v>0</v>
      </c>
      <c r="AA326" s="56">
        <v>0</v>
      </c>
      <c r="AB326" s="56">
        <v>0</v>
      </c>
      <c r="AC326" s="4">
        <f t="shared" si="254"/>
        <v>2.4720000000000004</v>
      </c>
    </row>
    <row r="327" spans="1:29" x14ac:dyDescent="0.25">
      <c r="A327" s="45">
        <v>0</v>
      </c>
      <c r="B327" s="45" t="s">
        <v>1</v>
      </c>
      <c r="C327" s="45">
        <v>13824</v>
      </c>
      <c r="D327" s="45">
        <v>144</v>
      </c>
      <c r="E327" s="45">
        <v>2</v>
      </c>
      <c r="F327" s="45">
        <v>2</v>
      </c>
      <c r="G327" s="45">
        <v>782.17</v>
      </c>
      <c r="H327" s="46">
        <v>2.2521</v>
      </c>
      <c r="I327" s="47">
        <v>45320</v>
      </c>
      <c r="J327" s="48">
        <v>6.581018518518518E-2</v>
      </c>
      <c r="K327" s="45">
        <v>0</v>
      </c>
      <c r="L327" s="45">
        <v>0</v>
      </c>
      <c r="M327" s="45">
        <v>0</v>
      </c>
      <c r="N327" s="3">
        <f t="shared" si="229"/>
        <v>2.2650200000000003</v>
      </c>
      <c r="P327" s="56">
        <v>1</v>
      </c>
      <c r="Q327" s="56" t="s">
        <v>1</v>
      </c>
      <c r="R327" s="56">
        <v>13728</v>
      </c>
      <c r="S327" s="56">
        <v>176</v>
      </c>
      <c r="T327" s="56">
        <v>1</v>
      </c>
      <c r="U327" s="56">
        <v>4</v>
      </c>
      <c r="V327" s="56">
        <v>698.15</v>
      </c>
      <c r="W327" s="67">
        <v>2.4700000000000002</v>
      </c>
      <c r="X327" s="57">
        <v>45322</v>
      </c>
      <c r="Y327" s="58">
        <v>0.45659722222222221</v>
      </c>
      <c r="Z327" s="56">
        <v>0</v>
      </c>
      <c r="AA327" s="56">
        <v>0</v>
      </c>
      <c r="AB327" s="56">
        <v>0</v>
      </c>
      <c r="AC327" s="4">
        <f t="shared" si="254"/>
        <v>2.4720000000000004</v>
      </c>
    </row>
    <row r="328" spans="1:29" x14ac:dyDescent="0.25">
      <c r="A328" s="45">
        <v>1</v>
      </c>
      <c r="B328" s="45" t="s">
        <v>1</v>
      </c>
      <c r="C328" s="45">
        <v>13824</v>
      </c>
      <c r="D328" s="45">
        <v>144</v>
      </c>
      <c r="E328" s="45">
        <v>2</v>
      </c>
      <c r="F328" s="45">
        <v>2</v>
      </c>
      <c r="G328" s="45">
        <v>782.68</v>
      </c>
      <c r="H328" s="46">
        <v>2.2505999999999999</v>
      </c>
      <c r="I328" s="47">
        <v>45320</v>
      </c>
      <c r="J328" s="48">
        <v>0.52668981481481481</v>
      </c>
      <c r="K328" s="45">
        <v>0</v>
      </c>
      <c r="L328" s="45">
        <v>0</v>
      </c>
      <c r="M328" s="45">
        <v>0</v>
      </c>
      <c r="N328" s="3">
        <f t="shared" si="229"/>
        <v>2.2650200000000003</v>
      </c>
      <c r="P328" s="56">
        <v>2</v>
      </c>
      <c r="Q328" s="56" t="s">
        <v>1</v>
      </c>
      <c r="R328" s="56">
        <v>13728</v>
      </c>
      <c r="S328" s="56">
        <v>176</v>
      </c>
      <c r="T328" s="56">
        <v>1</v>
      </c>
      <c r="U328" s="56">
        <v>4</v>
      </c>
      <c r="V328" s="56">
        <v>696.68</v>
      </c>
      <c r="W328" s="67">
        <v>2.48</v>
      </c>
      <c r="X328" s="57">
        <v>45322</v>
      </c>
      <c r="Y328" s="58">
        <v>0.97480324074074076</v>
      </c>
      <c r="Z328" s="56">
        <v>0</v>
      </c>
      <c r="AA328" s="56">
        <v>0</v>
      </c>
      <c r="AB328" s="56">
        <v>0</v>
      </c>
      <c r="AC328" s="4">
        <f t="shared" si="254"/>
        <v>2.4720000000000004</v>
      </c>
    </row>
    <row r="329" spans="1:29" x14ac:dyDescent="0.25">
      <c r="A329" s="45">
        <v>2</v>
      </c>
      <c r="B329" s="45" t="s">
        <v>1</v>
      </c>
      <c r="C329" s="45">
        <v>13824</v>
      </c>
      <c r="D329" s="45">
        <v>144</v>
      </c>
      <c r="E329" s="45">
        <v>2</v>
      </c>
      <c r="F329" s="45">
        <v>2</v>
      </c>
      <c r="G329" s="45">
        <v>782</v>
      </c>
      <c r="H329" s="46">
        <v>2.2526000000000002</v>
      </c>
      <c r="I329" s="47">
        <v>45321</v>
      </c>
      <c r="J329" s="48">
        <v>3.5243055555555555E-2</v>
      </c>
      <c r="K329" s="45">
        <v>0</v>
      </c>
      <c r="L329" s="45">
        <v>0</v>
      </c>
      <c r="M329" s="45">
        <v>0</v>
      </c>
      <c r="N329" s="3">
        <f t="shared" ref="N329" si="255">AVERAGE(H329:H333)</f>
        <v>2.26858</v>
      </c>
      <c r="P329" s="56">
        <v>3</v>
      </c>
      <c r="Q329" s="56" t="s">
        <v>1</v>
      </c>
      <c r="R329" s="56">
        <v>13728</v>
      </c>
      <c r="S329" s="56">
        <v>176</v>
      </c>
      <c r="T329" s="56">
        <v>1</v>
      </c>
      <c r="U329" s="56">
        <v>4</v>
      </c>
      <c r="V329" s="56">
        <v>694.78</v>
      </c>
      <c r="W329" s="67">
        <v>2.48</v>
      </c>
      <c r="X329" s="57">
        <v>45323</v>
      </c>
      <c r="Y329" s="58">
        <v>0.49343749999999997</v>
      </c>
      <c r="Z329" s="56">
        <v>0</v>
      </c>
      <c r="AA329" s="56">
        <v>0</v>
      </c>
      <c r="AB329" s="56">
        <v>0</v>
      </c>
      <c r="AC329" s="4">
        <f t="shared" ref="AC329" si="256">AVERAGE(W329:W333)</f>
        <v>2.492</v>
      </c>
    </row>
    <row r="330" spans="1:29" x14ac:dyDescent="0.25">
      <c r="A330" s="45">
        <v>3</v>
      </c>
      <c r="B330" s="45" t="s">
        <v>1</v>
      </c>
      <c r="C330" s="45">
        <v>13824</v>
      </c>
      <c r="D330" s="45">
        <v>144</v>
      </c>
      <c r="E330" s="45">
        <v>2</v>
      </c>
      <c r="F330" s="45">
        <v>2</v>
      </c>
      <c r="G330" s="45">
        <v>782.16</v>
      </c>
      <c r="H330" s="46">
        <v>2.2521</v>
      </c>
      <c r="I330" s="47">
        <v>45321</v>
      </c>
      <c r="J330" s="48">
        <v>0.54388888888888887</v>
      </c>
      <c r="K330" s="45">
        <v>0</v>
      </c>
      <c r="L330" s="45">
        <v>0</v>
      </c>
      <c r="M330" s="45">
        <v>0</v>
      </c>
      <c r="N330" s="3">
        <f t="shared" ref="N330" si="257">N329</f>
        <v>2.26858</v>
      </c>
      <c r="P330" s="56">
        <v>0</v>
      </c>
      <c r="Q330" s="56" t="s">
        <v>1</v>
      </c>
      <c r="R330" s="56">
        <v>14608</v>
      </c>
      <c r="S330" s="56">
        <v>176</v>
      </c>
      <c r="T330" s="56">
        <v>1</v>
      </c>
      <c r="U330" s="56">
        <v>4</v>
      </c>
      <c r="V330" s="56">
        <v>831.44</v>
      </c>
      <c r="W330" s="67">
        <v>2.5</v>
      </c>
      <c r="X330" s="57">
        <v>45321</v>
      </c>
      <c r="Y330" s="58">
        <v>0.7616087962962963</v>
      </c>
      <c r="Z330" s="56">
        <v>0</v>
      </c>
      <c r="AA330" s="56">
        <v>0</v>
      </c>
      <c r="AB330" s="56">
        <v>0</v>
      </c>
      <c r="AC330" s="4">
        <f t="shared" ref="AC330:AC333" si="258">AC329</f>
        <v>2.492</v>
      </c>
    </row>
    <row r="331" spans="1:29" x14ac:dyDescent="0.25">
      <c r="A331" s="45">
        <v>4</v>
      </c>
      <c r="B331" s="45" t="s">
        <v>1</v>
      </c>
      <c r="C331" s="45">
        <v>13824</v>
      </c>
      <c r="D331" s="45">
        <v>144</v>
      </c>
      <c r="E331" s="45">
        <v>2</v>
      </c>
      <c r="F331" s="45">
        <v>2</v>
      </c>
      <c r="G331" s="45">
        <v>782.11</v>
      </c>
      <c r="H331" s="49">
        <v>2.2522000000000002</v>
      </c>
      <c r="I331" s="47">
        <v>45322</v>
      </c>
      <c r="J331" s="48">
        <v>5.244212962962963E-2</v>
      </c>
      <c r="K331" s="45">
        <v>0</v>
      </c>
      <c r="L331" s="45">
        <v>0</v>
      </c>
      <c r="M331" s="45">
        <v>0</v>
      </c>
      <c r="N331" s="3">
        <f t="shared" si="233"/>
        <v>2.26858</v>
      </c>
      <c r="P331" s="56">
        <v>1</v>
      </c>
      <c r="Q331" s="56" t="s">
        <v>1</v>
      </c>
      <c r="R331" s="56">
        <v>14608</v>
      </c>
      <c r="S331" s="56">
        <v>176</v>
      </c>
      <c r="T331" s="56">
        <v>1</v>
      </c>
      <c r="U331" s="56">
        <v>4</v>
      </c>
      <c r="V331" s="56">
        <v>833.28</v>
      </c>
      <c r="W331" s="67">
        <v>2.4900000000000002</v>
      </c>
      <c r="X331" s="57">
        <v>45322</v>
      </c>
      <c r="Y331" s="58">
        <v>0.2800347222222222</v>
      </c>
      <c r="Z331" s="56">
        <v>0</v>
      </c>
      <c r="AA331" s="56">
        <v>0</v>
      </c>
      <c r="AB331" s="56">
        <v>0</v>
      </c>
      <c r="AC331" s="4">
        <f t="shared" si="258"/>
        <v>2.492</v>
      </c>
    </row>
    <row r="332" spans="1:29" x14ac:dyDescent="0.25">
      <c r="A332" s="45">
        <v>0</v>
      </c>
      <c r="B332" s="45" t="s">
        <v>1</v>
      </c>
      <c r="C332" s="45">
        <v>14544</v>
      </c>
      <c r="D332" s="45">
        <v>144</v>
      </c>
      <c r="E332" s="45">
        <v>2</v>
      </c>
      <c r="F332" s="45">
        <v>2</v>
      </c>
      <c r="G332" s="45">
        <v>894.34</v>
      </c>
      <c r="H332" s="46">
        <v>2.2936999999999999</v>
      </c>
      <c r="I332" s="47">
        <v>45319</v>
      </c>
      <c r="J332" s="48">
        <v>0.94337962962962962</v>
      </c>
      <c r="K332" s="45">
        <v>0</v>
      </c>
      <c r="L332" s="45">
        <v>0</v>
      </c>
      <c r="M332" s="45">
        <v>0</v>
      </c>
      <c r="N332" s="3">
        <f t="shared" si="233"/>
        <v>2.26858</v>
      </c>
      <c r="P332" s="59">
        <v>2</v>
      </c>
      <c r="Q332" s="59" t="s">
        <v>1</v>
      </c>
      <c r="R332" s="59">
        <v>14608</v>
      </c>
      <c r="S332" s="59">
        <v>176</v>
      </c>
      <c r="T332" s="59">
        <v>1</v>
      </c>
      <c r="U332" s="59">
        <v>4</v>
      </c>
      <c r="V332" s="59">
        <v>833.61</v>
      </c>
      <c r="W332" s="69">
        <v>2.4900000000000002</v>
      </c>
      <c r="X332" s="60">
        <v>45322</v>
      </c>
      <c r="Y332" s="61">
        <v>0.7981018518518519</v>
      </c>
      <c r="Z332" s="59">
        <v>0</v>
      </c>
      <c r="AA332" s="59">
        <v>0</v>
      </c>
      <c r="AB332" s="59">
        <v>0</v>
      </c>
      <c r="AC332" s="4">
        <f t="shared" si="258"/>
        <v>2.492</v>
      </c>
    </row>
    <row r="333" spans="1:29" x14ac:dyDescent="0.25">
      <c r="A333" s="45">
        <v>1</v>
      </c>
      <c r="B333" s="45" t="s">
        <v>1</v>
      </c>
      <c r="C333" s="45">
        <v>14544</v>
      </c>
      <c r="D333" s="45">
        <v>144</v>
      </c>
      <c r="E333" s="45">
        <v>2</v>
      </c>
      <c r="F333" s="45">
        <v>2</v>
      </c>
      <c r="G333" s="45">
        <v>894.87</v>
      </c>
      <c r="H333" s="46">
        <v>2.2923</v>
      </c>
      <c r="I333" s="47">
        <v>45320</v>
      </c>
      <c r="J333" s="48">
        <v>0.34774305555555557</v>
      </c>
      <c r="K333" s="45">
        <v>0</v>
      </c>
      <c r="L333" s="45">
        <v>0</v>
      </c>
      <c r="M333" s="45">
        <v>0</v>
      </c>
      <c r="N333" s="3">
        <f t="shared" si="233"/>
        <v>2.26858</v>
      </c>
      <c r="P333" s="59">
        <v>3</v>
      </c>
      <c r="Q333" s="59" t="s">
        <v>1</v>
      </c>
      <c r="R333" s="59">
        <v>14608</v>
      </c>
      <c r="S333" s="59">
        <v>176</v>
      </c>
      <c r="T333" s="59">
        <v>1</v>
      </c>
      <c r="U333" s="59">
        <v>4</v>
      </c>
      <c r="V333" s="59">
        <v>832.58</v>
      </c>
      <c r="W333" s="69">
        <v>2.5</v>
      </c>
      <c r="X333" s="60">
        <v>45323</v>
      </c>
      <c r="Y333" s="61">
        <v>0.31692129629629628</v>
      </c>
      <c r="Z333" s="59">
        <v>0</v>
      </c>
      <c r="AA333" s="59">
        <v>0</v>
      </c>
      <c r="AB333" s="59">
        <v>0</v>
      </c>
      <c r="AC333" s="4">
        <f t="shared" si="258"/>
        <v>2.492</v>
      </c>
    </row>
    <row r="334" spans="1:29" x14ac:dyDescent="0.25">
      <c r="A334" s="45">
        <v>2</v>
      </c>
      <c r="B334" s="45" t="s">
        <v>1</v>
      </c>
      <c r="C334" s="45">
        <v>14544</v>
      </c>
      <c r="D334" s="45">
        <v>144</v>
      </c>
      <c r="E334" s="45">
        <v>2</v>
      </c>
      <c r="F334" s="45">
        <v>2</v>
      </c>
      <c r="G334" s="45">
        <v>894.53</v>
      </c>
      <c r="H334" s="46">
        <v>2.2932000000000001</v>
      </c>
      <c r="I334" s="47">
        <v>45320</v>
      </c>
      <c r="J334" s="48">
        <v>0.85630787037037037</v>
      </c>
      <c r="K334" s="45">
        <v>0</v>
      </c>
      <c r="L334" s="45">
        <v>0</v>
      </c>
      <c r="M334" s="45">
        <v>0</v>
      </c>
      <c r="N334" s="3">
        <f t="shared" ref="N334" si="259">AVERAGE(H334:H338)</f>
        <v>2.2527399999999997</v>
      </c>
      <c r="P334" s="59">
        <v>4</v>
      </c>
      <c r="Q334" s="59" t="s">
        <v>1</v>
      </c>
      <c r="R334" s="59">
        <v>14608</v>
      </c>
      <c r="S334" s="59">
        <v>176</v>
      </c>
      <c r="T334" s="59">
        <v>1</v>
      </c>
      <c r="U334" s="59">
        <v>4</v>
      </c>
      <c r="V334" s="59">
        <v>833.63</v>
      </c>
      <c r="W334" s="69">
        <v>2.4900000000000002</v>
      </c>
      <c r="X334" s="60">
        <v>45323</v>
      </c>
      <c r="Y334" s="61">
        <v>0.83516203703703706</v>
      </c>
      <c r="Z334" s="59">
        <v>0</v>
      </c>
      <c r="AA334" s="59">
        <v>0</v>
      </c>
      <c r="AB334" s="59">
        <v>0</v>
      </c>
      <c r="AC334" s="4">
        <f t="shared" ref="AC334" si="260">AVERAGE(W334:W338)</f>
        <v>2.4780000000000002</v>
      </c>
    </row>
    <row r="335" spans="1:29" x14ac:dyDescent="0.25">
      <c r="A335" s="45">
        <v>3</v>
      </c>
      <c r="B335" s="45" t="s">
        <v>1</v>
      </c>
      <c r="C335" s="45">
        <v>14544</v>
      </c>
      <c r="D335" s="45">
        <v>144</v>
      </c>
      <c r="E335" s="45">
        <v>2</v>
      </c>
      <c r="F335" s="45">
        <v>2</v>
      </c>
      <c r="G335" s="45">
        <v>894.25</v>
      </c>
      <c r="H335" s="46">
        <v>2.2938999999999998</v>
      </c>
      <c r="I335" s="47">
        <v>45321</v>
      </c>
      <c r="J335" s="48">
        <v>0.36487268518518517</v>
      </c>
      <c r="K335" s="45">
        <v>0</v>
      </c>
      <c r="L335" s="45">
        <v>0</v>
      </c>
      <c r="M335" s="45">
        <v>0</v>
      </c>
      <c r="N335" s="3">
        <f t="shared" ref="N335" si="261">N334</f>
        <v>2.2527399999999997</v>
      </c>
      <c r="P335" s="59">
        <v>0</v>
      </c>
      <c r="Q335" s="59" t="s">
        <v>1</v>
      </c>
      <c r="R335" s="59">
        <v>13024</v>
      </c>
      <c r="S335" s="59">
        <v>176</v>
      </c>
      <c r="T335" s="59">
        <v>2</v>
      </c>
      <c r="U335" s="59">
        <v>2</v>
      </c>
      <c r="V335" s="59">
        <v>602.30999999999995</v>
      </c>
      <c r="W335" s="69">
        <v>2.4500000000000002</v>
      </c>
      <c r="X335" s="60">
        <v>45322</v>
      </c>
      <c r="Y335" s="61">
        <v>9.6875000000000003E-2</v>
      </c>
      <c r="Z335" s="59">
        <v>0</v>
      </c>
      <c r="AA335" s="59">
        <v>0</v>
      </c>
      <c r="AB335" s="59">
        <v>0</v>
      </c>
      <c r="AC335" s="4">
        <f t="shared" ref="AC335:AC338" si="262">AC334</f>
        <v>2.4780000000000002</v>
      </c>
    </row>
    <row r="336" spans="1:29" x14ac:dyDescent="0.25">
      <c r="A336" s="45">
        <v>4</v>
      </c>
      <c r="B336" s="45" t="s">
        <v>1</v>
      </c>
      <c r="C336" s="45">
        <v>14544</v>
      </c>
      <c r="D336" s="45">
        <v>144</v>
      </c>
      <c r="E336" s="45">
        <v>2</v>
      </c>
      <c r="F336" s="45">
        <v>2</v>
      </c>
      <c r="G336" s="45">
        <v>894.3</v>
      </c>
      <c r="H336" s="49">
        <v>2.2936999999999999</v>
      </c>
      <c r="I336" s="47">
        <v>45321</v>
      </c>
      <c r="J336" s="48">
        <v>0.87351851851851847</v>
      </c>
      <c r="K336" s="45">
        <v>0</v>
      </c>
      <c r="L336" s="45">
        <v>0</v>
      </c>
      <c r="M336" s="45">
        <v>0</v>
      </c>
      <c r="N336" s="3">
        <f t="shared" si="229"/>
        <v>2.2527399999999997</v>
      </c>
      <c r="P336" s="59">
        <v>1</v>
      </c>
      <c r="Q336" s="59" t="s">
        <v>1</v>
      </c>
      <c r="R336" s="59">
        <v>13024</v>
      </c>
      <c r="S336" s="59">
        <v>176</v>
      </c>
      <c r="T336" s="59">
        <v>2</v>
      </c>
      <c r="U336" s="59">
        <v>2</v>
      </c>
      <c r="V336" s="59">
        <v>591.65</v>
      </c>
      <c r="W336" s="69">
        <v>2.4900000000000002</v>
      </c>
      <c r="X336" s="60">
        <v>45322</v>
      </c>
      <c r="Y336" s="61">
        <v>0.61506944444444445</v>
      </c>
      <c r="Z336" s="59">
        <v>0</v>
      </c>
      <c r="AA336" s="59">
        <v>0</v>
      </c>
      <c r="AB336" s="59">
        <v>0</v>
      </c>
      <c r="AC336" s="4">
        <f t="shared" si="262"/>
        <v>2.4780000000000002</v>
      </c>
    </row>
    <row r="337" spans="1:29" x14ac:dyDescent="0.25">
      <c r="A337" s="45">
        <v>0</v>
      </c>
      <c r="B337" s="45" t="s">
        <v>1</v>
      </c>
      <c r="C337" s="45">
        <v>13024</v>
      </c>
      <c r="D337" s="45">
        <v>176</v>
      </c>
      <c r="E337" s="45">
        <v>1</v>
      </c>
      <c r="F337" s="45">
        <v>4</v>
      </c>
      <c r="G337" s="45">
        <v>672.12</v>
      </c>
      <c r="H337" s="46">
        <v>2.1917</v>
      </c>
      <c r="I337" s="47">
        <v>45320</v>
      </c>
      <c r="J337" s="48">
        <v>0.19245370370370371</v>
      </c>
      <c r="K337" s="45">
        <v>0</v>
      </c>
      <c r="L337" s="45">
        <v>0</v>
      </c>
      <c r="M337" s="45">
        <v>0</v>
      </c>
      <c r="N337" s="3">
        <f t="shared" si="229"/>
        <v>2.2527399999999997</v>
      </c>
      <c r="P337" s="59">
        <v>2</v>
      </c>
      <c r="Q337" s="59" t="s">
        <v>1</v>
      </c>
      <c r="R337" s="59">
        <v>13024</v>
      </c>
      <c r="S337" s="59">
        <v>176</v>
      </c>
      <c r="T337" s="59">
        <v>2</v>
      </c>
      <c r="U337" s="59">
        <v>2</v>
      </c>
      <c r="V337" s="59">
        <v>593.48</v>
      </c>
      <c r="W337" s="69">
        <v>2.48</v>
      </c>
      <c r="X337" s="60">
        <v>45323</v>
      </c>
      <c r="Y337" s="61">
        <v>0.13350694444444444</v>
      </c>
      <c r="Z337" s="59">
        <v>0</v>
      </c>
      <c r="AA337" s="59">
        <v>0</v>
      </c>
      <c r="AB337" s="59">
        <v>0</v>
      </c>
      <c r="AC337" s="4">
        <f t="shared" si="262"/>
        <v>2.4780000000000002</v>
      </c>
    </row>
    <row r="338" spans="1:29" x14ac:dyDescent="0.25">
      <c r="A338" s="45">
        <v>1</v>
      </c>
      <c r="B338" s="45" t="s">
        <v>1</v>
      </c>
      <c r="C338" s="45">
        <v>13024</v>
      </c>
      <c r="D338" s="45">
        <v>176</v>
      </c>
      <c r="E338" s="45">
        <v>1</v>
      </c>
      <c r="F338" s="45">
        <v>4</v>
      </c>
      <c r="G338" s="45">
        <v>672.26</v>
      </c>
      <c r="H338" s="46">
        <v>2.1911999999999998</v>
      </c>
      <c r="I338" s="47">
        <v>45320</v>
      </c>
      <c r="J338" s="48">
        <v>0.70101851851851849</v>
      </c>
      <c r="K338" s="45">
        <v>0</v>
      </c>
      <c r="L338" s="45">
        <v>0</v>
      </c>
      <c r="M338" s="45">
        <v>0</v>
      </c>
      <c r="N338" s="3">
        <f t="shared" si="229"/>
        <v>2.2527399999999997</v>
      </c>
      <c r="P338" s="59">
        <v>3</v>
      </c>
      <c r="Q338" s="59" t="s">
        <v>1</v>
      </c>
      <c r="R338" s="59">
        <v>13024</v>
      </c>
      <c r="S338" s="59">
        <v>176</v>
      </c>
      <c r="T338" s="59">
        <v>2</v>
      </c>
      <c r="U338" s="59">
        <v>2</v>
      </c>
      <c r="V338" s="59">
        <v>594.29</v>
      </c>
      <c r="W338" s="69">
        <v>2.48</v>
      </c>
      <c r="X338" s="60">
        <v>45323</v>
      </c>
      <c r="Y338" s="61">
        <v>0.65202546296296293</v>
      </c>
      <c r="Z338" s="59">
        <v>0</v>
      </c>
      <c r="AA338" s="59">
        <v>0</v>
      </c>
      <c r="AB338" s="59">
        <v>0</v>
      </c>
      <c r="AC338" s="4">
        <f t="shared" si="262"/>
        <v>2.4780000000000002</v>
      </c>
    </row>
    <row r="339" spans="1:29" x14ac:dyDescent="0.25">
      <c r="A339" s="45">
        <v>2</v>
      </c>
      <c r="B339" s="45" t="s">
        <v>1</v>
      </c>
      <c r="C339" s="45">
        <v>13024</v>
      </c>
      <c r="D339" s="45">
        <v>176</v>
      </c>
      <c r="E339" s="45">
        <v>1</v>
      </c>
      <c r="F339" s="45">
        <v>4</v>
      </c>
      <c r="G339" s="45">
        <v>671.9</v>
      </c>
      <c r="H339" s="46">
        <v>2.1922999999999999</v>
      </c>
      <c r="I339" s="47">
        <v>45321</v>
      </c>
      <c r="J339" s="48">
        <v>0.20960648148148148</v>
      </c>
      <c r="K339" s="45">
        <v>0</v>
      </c>
      <c r="L339" s="45">
        <v>0</v>
      </c>
      <c r="M339" s="45">
        <v>0</v>
      </c>
      <c r="N339" s="3">
        <f t="shared" ref="N339" si="263">AVERAGE(H339:H343)</f>
        <v>2.1960600000000001</v>
      </c>
      <c r="P339" s="59">
        <v>0</v>
      </c>
      <c r="Q339" s="59" t="s">
        <v>1</v>
      </c>
      <c r="R339" s="59">
        <v>13728</v>
      </c>
      <c r="S339" s="59">
        <v>176</v>
      </c>
      <c r="T339" s="59">
        <v>2</v>
      </c>
      <c r="U339" s="59">
        <v>2</v>
      </c>
      <c r="V339" s="59">
        <v>695.59</v>
      </c>
      <c r="W339" s="69">
        <v>2.48</v>
      </c>
      <c r="X339" s="60">
        <v>45321</v>
      </c>
      <c r="Y339" s="61">
        <v>0.94775462962962964</v>
      </c>
      <c r="Z339" s="59">
        <v>0</v>
      </c>
      <c r="AA339" s="59">
        <v>0</v>
      </c>
      <c r="AB339" s="59">
        <v>0</v>
      </c>
      <c r="AC339" s="4">
        <f t="shared" ref="AC339" si="264">AVERAGE(W339:W343)</f>
        <v>2.48</v>
      </c>
    </row>
    <row r="340" spans="1:29" x14ac:dyDescent="0.25">
      <c r="A340" s="45">
        <v>3</v>
      </c>
      <c r="B340" s="45" t="s">
        <v>1</v>
      </c>
      <c r="C340" s="45">
        <v>13024</v>
      </c>
      <c r="D340" s="45">
        <v>176</v>
      </c>
      <c r="E340" s="45">
        <v>1</v>
      </c>
      <c r="F340" s="45">
        <v>4</v>
      </c>
      <c r="G340" s="45">
        <v>672.6</v>
      </c>
      <c r="H340" s="49">
        <v>2.1901000000000002</v>
      </c>
      <c r="I340" s="47">
        <v>45321</v>
      </c>
      <c r="J340" s="48">
        <v>0.71824074074074074</v>
      </c>
      <c r="K340" s="45">
        <v>0</v>
      </c>
      <c r="L340" s="45">
        <v>0</v>
      </c>
      <c r="M340" s="45">
        <v>0</v>
      </c>
      <c r="N340" s="3">
        <f t="shared" ref="N340" si="265">N339</f>
        <v>2.1960600000000001</v>
      </c>
      <c r="P340" s="59">
        <v>1</v>
      </c>
      <c r="Q340" s="59" t="s">
        <v>1</v>
      </c>
      <c r="R340" s="59">
        <v>13728</v>
      </c>
      <c r="S340" s="59">
        <v>176</v>
      </c>
      <c r="T340" s="59">
        <v>2</v>
      </c>
      <c r="U340" s="59">
        <v>2</v>
      </c>
      <c r="V340" s="59">
        <v>701.17</v>
      </c>
      <c r="W340" s="69">
        <v>2.46</v>
      </c>
      <c r="X340" s="60">
        <v>45322</v>
      </c>
      <c r="Y340" s="61">
        <v>0.46614583333333331</v>
      </c>
      <c r="Z340" s="59">
        <v>0</v>
      </c>
      <c r="AA340" s="59">
        <v>0</v>
      </c>
      <c r="AB340" s="59">
        <v>0</v>
      </c>
      <c r="AC340" s="4">
        <f t="shared" ref="AC340:AC343" si="266">AC339</f>
        <v>2.48</v>
      </c>
    </row>
    <row r="341" spans="1:29" x14ac:dyDescent="0.25">
      <c r="A341" s="45">
        <v>4</v>
      </c>
      <c r="B341" s="45" t="s">
        <v>1</v>
      </c>
      <c r="C341" s="45">
        <v>13024</v>
      </c>
      <c r="D341" s="45">
        <v>176</v>
      </c>
      <c r="E341" s="45">
        <v>1</v>
      </c>
      <c r="F341" s="45">
        <v>4</v>
      </c>
      <c r="G341" s="45">
        <v>672.47</v>
      </c>
      <c r="H341" s="49">
        <v>2.1905000000000001</v>
      </c>
      <c r="I341" s="47">
        <v>45322</v>
      </c>
      <c r="J341" s="48">
        <v>0.22679398148148147</v>
      </c>
      <c r="K341" s="45">
        <v>0</v>
      </c>
      <c r="L341" s="45">
        <v>0</v>
      </c>
      <c r="M341" s="45">
        <v>0</v>
      </c>
      <c r="N341" s="3">
        <f t="shared" si="233"/>
        <v>2.1960600000000001</v>
      </c>
      <c r="P341" s="59">
        <v>2</v>
      </c>
      <c r="Q341" s="59" t="s">
        <v>1</v>
      </c>
      <c r="R341" s="59">
        <v>13728</v>
      </c>
      <c r="S341" s="59">
        <v>176</v>
      </c>
      <c r="T341" s="59">
        <v>2</v>
      </c>
      <c r="U341" s="59">
        <v>2</v>
      </c>
      <c r="V341" s="59">
        <v>695.55</v>
      </c>
      <c r="W341" s="69">
        <v>2.48</v>
      </c>
      <c r="X341" s="60">
        <v>45322</v>
      </c>
      <c r="Y341" s="61">
        <v>0.98429398148148151</v>
      </c>
      <c r="Z341" s="59">
        <v>0</v>
      </c>
      <c r="AA341" s="59">
        <v>0</v>
      </c>
      <c r="AB341" s="59">
        <v>0</v>
      </c>
      <c r="AC341" s="4">
        <f t="shared" si="266"/>
        <v>2.48</v>
      </c>
    </row>
    <row r="342" spans="1:29" x14ac:dyDescent="0.25">
      <c r="A342" s="45">
        <v>0</v>
      </c>
      <c r="B342" s="45" t="s">
        <v>1</v>
      </c>
      <c r="C342" s="45">
        <v>13728</v>
      </c>
      <c r="D342" s="45">
        <v>176</v>
      </c>
      <c r="E342" s="45">
        <v>1</v>
      </c>
      <c r="F342" s="45">
        <v>4</v>
      </c>
      <c r="G342" s="45">
        <v>782.69</v>
      </c>
      <c r="H342" s="46">
        <v>2.2040000000000002</v>
      </c>
      <c r="I342" s="47">
        <v>45320</v>
      </c>
      <c r="J342" s="48">
        <v>9.3668981481481478E-2</v>
      </c>
      <c r="K342" s="45">
        <v>0</v>
      </c>
      <c r="L342" s="45">
        <v>0</v>
      </c>
      <c r="M342" s="45">
        <v>0</v>
      </c>
      <c r="N342" s="3">
        <f t="shared" si="233"/>
        <v>2.1960600000000001</v>
      </c>
      <c r="P342" s="59">
        <v>3</v>
      </c>
      <c r="Q342" s="59" t="s">
        <v>1</v>
      </c>
      <c r="R342" s="59">
        <v>13728</v>
      </c>
      <c r="S342" s="59">
        <v>176</v>
      </c>
      <c r="T342" s="59">
        <v>2</v>
      </c>
      <c r="U342" s="59">
        <v>2</v>
      </c>
      <c r="V342" s="59">
        <v>690.77</v>
      </c>
      <c r="W342" s="69">
        <v>2.5</v>
      </c>
      <c r="X342" s="60">
        <v>45323</v>
      </c>
      <c r="Y342" s="61">
        <v>0.50287037037037041</v>
      </c>
      <c r="Z342" s="59">
        <v>0</v>
      </c>
      <c r="AA342" s="59">
        <v>0</v>
      </c>
      <c r="AB342" s="59">
        <v>0</v>
      </c>
      <c r="AC342" s="4">
        <f t="shared" si="266"/>
        <v>2.48</v>
      </c>
    </row>
    <row r="343" spans="1:29" x14ac:dyDescent="0.25">
      <c r="A343" s="45">
        <v>1</v>
      </c>
      <c r="B343" s="45" t="s">
        <v>1</v>
      </c>
      <c r="C343" s="45">
        <v>13728</v>
      </c>
      <c r="D343" s="45">
        <v>176</v>
      </c>
      <c r="E343" s="45">
        <v>1</v>
      </c>
      <c r="F343" s="45">
        <v>4</v>
      </c>
      <c r="G343" s="45">
        <v>782.89</v>
      </c>
      <c r="H343" s="46">
        <v>2.2033999999999998</v>
      </c>
      <c r="I343" s="47">
        <v>45320</v>
      </c>
      <c r="J343" s="48">
        <v>0.55456018518518524</v>
      </c>
      <c r="K343" s="45">
        <v>0</v>
      </c>
      <c r="L343" s="45">
        <v>0</v>
      </c>
      <c r="M343" s="45">
        <v>0</v>
      </c>
      <c r="N343" s="3">
        <f t="shared" si="233"/>
        <v>2.1960600000000001</v>
      </c>
      <c r="P343" s="59">
        <v>0</v>
      </c>
      <c r="Q343" s="59" t="s">
        <v>1</v>
      </c>
      <c r="R343" s="59">
        <v>14608</v>
      </c>
      <c r="S343" s="59">
        <v>176</v>
      </c>
      <c r="T343" s="59">
        <v>2</v>
      </c>
      <c r="U343" s="59">
        <v>2</v>
      </c>
      <c r="V343" s="59">
        <v>839.06</v>
      </c>
      <c r="W343" s="69">
        <v>2.48</v>
      </c>
      <c r="X343" s="60">
        <v>45321</v>
      </c>
      <c r="Y343" s="61">
        <v>0.772974537037037</v>
      </c>
      <c r="Z343" s="59">
        <v>0</v>
      </c>
      <c r="AA343" s="59">
        <v>0</v>
      </c>
      <c r="AB343" s="59">
        <v>0</v>
      </c>
      <c r="AC343" s="4">
        <f t="shared" si="266"/>
        <v>2.48</v>
      </c>
    </row>
    <row r="344" spans="1:29" x14ac:dyDescent="0.25">
      <c r="A344" s="45">
        <v>2</v>
      </c>
      <c r="B344" s="45" t="s">
        <v>1</v>
      </c>
      <c r="C344" s="45">
        <v>13728</v>
      </c>
      <c r="D344" s="45">
        <v>176</v>
      </c>
      <c r="E344" s="45">
        <v>1</v>
      </c>
      <c r="F344" s="45">
        <v>4</v>
      </c>
      <c r="G344" s="45">
        <v>782.75</v>
      </c>
      <c r="H344" s="46">
        <v>2.2038000000000002</v>
      </c>
      <c r="I344" s="47">
        <v>45321</v>
      </c>
      <c r="J344" s="48">
        <v>6.311342592592592E-2</v>
      </c>
      <c r="K344" s="45">
        <v>0</v>
      </c>
      <c r="L344" s="45">
        <v>0</v>
      </c>
      <c r="M344" s="45">
        <v>0</v>
      </c>
      <c r="N344" s="3">
        <f t="shared" ref="N344" si="267">AVERAGE(H344:H348)</f>
        <v>2.2075800000000001</v>
      </c>
      <c r="P344" s="59">
        <v>1</v>
      </c>
      <c r="Q344" s="59" t="s">
        <v>1</v>
      </c>
      <c r="R344" s="59">
        <v>14608</v>
      </c>
      <c r="S344" s="59">
        <v>176</v>
      </c>
      <c r="T344" s="59">
        <v>2</v>
      </c>
      <c r="U344" s="59">
        <v>2</v>
      </c>
      <c r="V344" s="59">
        <v>828.41</v>
      </c>
      <c r="W344" s="69">
        <v>2.5099999999999998</v>
      </c>
      <c r="X344" s="60">
        <v>45322</v>
      </c>
      <c r="Y344" s="61">
        <v>0.29128472222222224</v>
      </c>
      <c r="Z344" s="59">
        <v>0</v>
      </c>
      <c r="AA344" s="59">
        <v>0</v>
      </c>
      <c r="AB344" s="59">
        <v>0</v>
      </c>
      <c r="AC344" s="4">
        <f t="shared" ref="AC344" si="268">AVERAGE(W344:W348)</f>
        <v>2.5049999999999999</v>
      </c>
    </row>
    <row r="345" spans="1:29" x14ac:dyDescent="0.25">
      <c r="A345" s="45">
        <v>3</v>
      </c>
      <c r="B345" s="45" t="s">
        <v>1</v>
      </c>
      <c r="C345" s="45">
        <v>13728</v>
      </c>
      <c r="D345" s="45">
        <v>176</v>
      </c>
      <c r="E345" s="45">
        <v>1</v>
      </c>
      <c r="F345" s="45">
        <v>4</v>
      </c>
      <c r="G345" s="45">
        <v>783.2</v>
      </c>
      <c r="H345" s="46">
        <v>2.2025999999999999</v>
      </c>
      <c r="I345" s="47">
        <v>45321</v>
      </c>
      <c r="J345" s="48">
        <v>0.57177083333333334</v>
      </c>
      <c r="K345" s="45">
        <v>0</v>
      </c>
      <c r="L345" s="45">
        <v>0</v>
      </c>
      <c r="M345" s="45">
        <v>0</v>
      </c>
      <c r="N345" s="3">
        <f t="shared" ref="N345" si="269">N344</f>
        <v>2.2075800000000001</v>
      </c>
      <c r="P345" s="59">
        <v>2</v>
      </c>
      <c r="Q345" s="59" t="s">
        <v>1</v>
      </c>
      <c r="R345" s="59">
        <v>14608</v>
      </c>
      <c r="S345" s="59">
        <v>176</v>
      </c>
      <c r="T345" s="59">
        <v>2</v>
      </c>
      <c r="U345" s="59">
        <v>2</v>
      </c>
      <c r="V345" s="59">
        <v>834.44</v>
      </c>
      <c r="W345" s="69">
        <v>2.4900000000000002</v>
      </c>
      <c r="X345" s="60">
        <v>45322</v>
      </c>
      <c r="Y345" s="61">
        <v>0.80942129629629633</v>
      </c>
      <c r="Z345" s="59">
        <v>0</v>
      </c>
      <c r="AA345" s="59">
        <v>0</v>
      </c>
      <c r="AB345" s="59">
        <v>0</v>
      </c>
      <c r="AC345" s="4">
        <f t="shared" ref="AC345:AC347" si="270">AC344</f>
        <v>2.5049999999999999</v>
      </c>
    </row>
    <row r="346" spans="1:29" x14ac:dyDescent="0.25">
      <c r="A346" s="45">
        <v>4</v>
      </c>
      <c r="B346" s="45" t="s">
        <v>1</v>
      </c>
      <c r="C346" s="45">
        <v>13728</v>
      </c>
      <c r="D346" s="45">
        <v>176</v>
      </c>
      <c r="E346" s="45">
        <v>1</v>
      </c>
      <c r="F346" s="45">
        <v>4</v>
      </c>
      <c r="G346" s="45">
        <v>782.51</v>
      </c>
      <c r="H346" s="49">
        <v>2.2044999999999999</v>
      </c>
      <c r="I346" s="47">
        <v>45322</v>
      </c>
      <c r="J346" s="48">
        <v>8.0312499999999995E-2</v>
      </c>
      <c r="K346" s="45">
        <v>0</v>
      </c>
      <c r="L346" s="45">
        <v>0</v>
      </c>
      <c r="M346" s="45">
        <v>0</v>
      </c>
      <c r="N346" s="3">
        <f t="shared" si="229"/>
        <v>2.2075800000000001</v>
      </c>
      <c r="P346" s="59">
        <v>3</v>
      </c>
      <c r="Q346" s="59" t="s">
        <v>1</v>
      </c>
      <c r="R346" s="59">
        <v>14608</v>
      </c>
      <c r="S346" s="59">
        <v>176</v>
      </c>
      <c r="T346" s="59">
        <v>2</v>
      </c>
      <c r="U346" s="59">
        <v>2</v>
      </c>
      <c r="V346" s="59">
        <v>829.36</v>
      </c>
      <c r="W346" s="69">
        <v>2.5099999999999998</v>
      </c>
      <c r="X346" s="60">
        <v>45323</v>
      </c>
      <c r="Y346" s="61">
        <v>0.32818287037037036</v>
      </c>
      <c r="Z346" s="59">
        <v>0</v>
      </c>
      <c r="AA346" s="59">
        <v>0</v>
      </c>
      <c r="AB346" s="59">
        <v>0</v>
      </c>
      <c r="AC346" s="4">
        <f t="shared" si="270"/>
        <v>2.5049999999999999</v>
      </c>
    </row>
    <row r="347" spans="1:29" x14ac:dyDescent="0.25">
      <c r="A347" s="45">
        <v>0</v>
      </c>
      <c r="B347" s="45" t="s">
        <v>1</v>
      </c>
      <c r="C347" s="45">
        <v>14608</v>
      </c>
      <c r="D347" s="45">
        <v>176</v>
      </c>
      <c r="E347" s="45">
        <v>1</v>
      </c>
      <c r="F347" s="45">
        <v>4</v>
      </c>
      <c r="G347" s="45">
        <v>938.79</v>
      </c>
      <c r="H347" s="46">
        <v>2.214</v>
      </c>
      <c r="I347" s="47">
        <v>45319</v>
      </c>
      <c r="J347" s="48">
        <v>0.97638888888888886</v>
      </c>
      <c r="K347" s="45">
        <v>0</v>
      </c>
      <c r="L347" s="45">
        <v>0</v>
      </c>
      <c r="M347" s="45">
        <v>0</v>
      </c>
      <c r="N347" s="3">
        <f t="shared" si="229"/>
        <v>2.2075800000000001</v>
      </c>
      <c r="P347" s="59">
        <v>4</v>
      </c>
      <c r="Q347" s="59" t="s">
        <v>1</v>
      </c>
      <c r="R347" s="59">
        <v>14608</v>
      </c>
      <c r="S347" s="59">
        <v>176</v>
      </c>
      <c r="T347" s="59">
        <v>2</v>
      </c>
      <c r="U347" s="59">
        <v>2</v>
      </c>
      <c r="V347" s="59">
        <v>829.52</v>
      </c>
      <c r="W347" s="69">
        <v>2.5099999999999998</v>
      </c>
      <c r="X347" s="60">
        <v>45323</v>
      </c>
      <c r="Y347" s="61">
        <v>0.84641203703703705</v>
      </c>
      <c r="Z347" s="59">
        <v>0</v>
      </c>
      <c r="AA347" s="59">
        <v>0</v>
      </c>
      <c r="AB347" s="59">
        <v>0</v>
      </c>
      <c r="AC347" s="4">
        <f t="shared" si="270"/>
        <v>2.5049999999999999</v>
      </c>
    </row>
    <row r="348" spans="1:29" x14ac:dyDescent="0.25">
      <c r="A348" s="45">
        <v>1</v>
      </c>
      <c r="B348" s="45" t="s">
        <v>1</v>
      </c>
      <c r="C348" s="45">
        <v>14608</v>
      </c>
      <c r="D348" s="45">
        <v>176</v>
      </c>
      <c r="E348" s="45">
        <v>1</v>
      </c>
      <c r="F348" s="45">
        <v>4</v>
      </c>
      <c r="G348" s="45">
        <v>939.23</v>
      </c>
      <c r="H348" s="46">
        <v>2.2130000000000001</v>
      </c>
      <c r="I348" s="47">
        <v>45320</v>
      </c>
      <c r="J348" s="48">
        <v>0.38075231481481481</v>
      </c>
      <c r="K348" s="45">
        <v>0</v>
      </c>
      <c r="L348" s="45">
        <v>0</v>
      </c>
      <c r="M348" s="45">
        <v>0</v>
      </c>
      <c r="N348" s="3">
        <f t="shared" si="229"/>
        <v>2.2075800000000001</v>
      </c>
      <c r="P348" s="50"/>
      <c r="Q348" s="50"/>
      <c r="R348" s="50"/>
      <c r="S348" s="50"/>
      <c r="T348" s="50"/>
      <c r="U348" s="50"/>
      <c r="V348" s="50"/>
      <c r="W348" s="64"/>
      <c r="X348" s="51"/>
      <c r="Y348" s="52"/>
      <c r="Z348" s="50"/>
      <c r="AA348" s="50"/>
      <c r="AB348" s="50"/>
    </row>
    <row r="349" spans="1:29" x14ac:dyDescent="0.25">
      <c r="A349" s="45">
        <v>2</v>
      </c>
      <c r="B349" s="45" t="s">
        <v>1</v>
      </c>
      <c r="C349" s="45">
        <v>14608</v>
      </c>
      <c r="D349" s="45">
        <v>176</v>
      </c>
      <c r="E349" s="45">
        <v>1</v>
      </c>
      <c r="F349" s="45">
        <v>4</v>
      </c>
      <c r="G349" s="45">
        <v>939.04</v>
      </c>
      <c r="H349" s="46">
        <v>2.2134</v>
      </c>
      <c r="I349" s="47">
        <v>45320</v>
      </c>
      <c r="J349" s="48">
        <v>0.88931712962962961</v>
      </c>
      <c r="K349" s="45">
        <v>0</v>
      </c>
      <c r="L349" s="45">
        <v>0</v>
      </c>
      <c r="M349" s="45">
        <v>0</v>
      </c>
      <c r="N349" s="3">
        <f t="shared" ref="N349" si="271">AVERAGE(H349:H353)</f>
        <v>2.2309599999999996</v>
      </c>
    </row>
    <row r="350" spans="1:29" x14ac:dyDescent="0.25">
      <c r="A350" s="45">
        <v>3</v>
      </c>
      <c r="B350" s="45" t="s">
        <v>1</v>
      </c>
      <c r="C350" s="45">
        <v>14608</v>
      </c>
      <c r="D350" s="45">
        <v>176</v>
      </c>
      <c r="E350" s="45">
        <v>1</v>
      </c>
      <c r="F350" s="45">
        <v>4</v>
      </c>
      <c r="G350" s="45">
        <v>938.93</v>
      </c>
      <c r="H350" s="46">
        <v>2.2136999999999998</v>
      </c>
      <c r="I350" s="47">
        <v>45321</v>
      </c>
      <c r="J350" s="48">
        <v>0.39788194444444447</v>
      </c>
      <c r="K350" s="45">
        <v>0</v>
      </c>
      <c r="L350" s="45">
        <v>0</v>
      </c>
      <c r="M350" s="45">
        <v>0</v>
      </c>
      <c r="N350" s="3">
        <f t="shared" ref="N350" si="272">N349</f>
        <v>2.2309599999999996</v>
      </c>
    </row>
    <row r="351" spans="1:29" x14ac:dyDescent="0.25">
      <c r="A351" s="45">
        <v>4</v>
      </c>
      <c r="B351" s="45" t="s">
        <v>1</v>
      </c>
      <c r="C351" s="45">
        <v>14608</v>
      </c>
      <c r="D351" s="45">
        <v>176</v>
      </c>
      <c r="E351" s="45">
        <v>1</v>
      </c>
      <c r="F351" s="45">
        <v>4</v>
      </c>
      <c r="G351" s="45">
        <v>938.69</v>
      </c>
      <c r="H351" s="49">
        <v>2.2143000000000002</v>
      </c>
      <c r="I351" s="47">
        <v>45321</v>
      </c>
      <c r="J351" s="48">
        <v>0.90651620370370367</v>
      </c>
      <c r="K351" s="45">
        <v>0</v>
      </c>
      <c r="L351" s="45">
        <v>0</v>
      </c>
      <c r="M351" s="45">
        <v>0</v>
      </c>
      <c r="N351" s="3">
        <f t="shared" si="233"/>
        <v>2.2309599999999996</v>
      </c>
    </row>
    <row r="352" spans="1:29" x14ac:dyDescent="0.25">
      <c r="A352" s="45">
        <v>0</v>
      </c>
      <c r="B352" s="45" t="s">
        <v>1</v>
      </c>
      <c r="C352" s="45">
        <v>13024</v>
      </c>
      <c r="D352" s="45">
        <v>176</v>
      </c>
      <c r="E352" s="45">
        <v>2</v>
      </c>
      <c r="F352" s="45">
        <v>2</v>
      </c>
      <c r="G352" s="45">
        <v>652.66</v>
      </c>
      <c r="H352" s="46">
        <v>2.2570000000000001</v>
      </c>
      <c r="I352" s="47">
        <v>45320</v>
      </c>
      <c r="J352" s="48">
        <v>0.20027777777777778</v>
      </c>
      <c r="K352" s="45">
        <v>0</v>
      </c>
      <c r="L352" s="45">
        <v>0</v>
      </c>
      <c r="M352" s="45">
        <v>0</v>
      </c>
      <c r="N352" s="3">
        <f t="shared" si="233"/>
        <v>2.2309599999999996</v>
      </c>
    </row>
    <row r="353" spans="1:14" x14ac:dyDescent="0.25">
      <c r="A353" s="45">
        <v>1</v>
      </c>
      <c r="B353" s="45" t="s">
        <v>1</v>
      </c>
      <c r="C353" s="45">
        <v>13024</v>
      </c>
      <c r="D353" s="45">
        <v>176</v>
      </c>
      <c r="E353" s="45">
        <v>2</v>
      </c>
      <c r="F353" s="45">
        <v>2</v>
      </c>
      <c r="G353" s="45">
        <v>652.83000000000004</v>
      </c>
      <c r="H353" s="46">
        <v>2.2564000000000002</v>
      </c>
      <c r="I353" s="47">
        <v>45320</v>
      </c>
      <c r="J353" s="48">
        <v>0.70884259259259264</v>
      </c>
      <c r="K353" s="45">
        <v>0</v>
      </c>
      <c r="L353" s="45">
        <v>0</v>
      </c>
      <c r="M353" s="45">
        <v>0</v>
      </c>
      <c r="N353" s="3">
        <f t="shared" si="233"/>
        <v>2.2309599999999996</v>
      </c>
    </row>
    <row r="354" spans="1:14" x14ac:dyDescent="0.25">
      <c r="A354" s="45">
        <v>2</v>
      </c>
      <c r="B354" s="45" t="s">
        <v>1</v>
      </c>
      <c r="C354" s="45">
        <v>13024</v>
      </c>
      <c r="D354" s="45">
        <v>176</v>
      </c>
      <c r="E354" s="45">
        <v>2</v>
      </c>
      <c r="F354" s="45">
        <v>2</v>
      </c>
      <c r="G354" s="45">
        <v>652.87</v>
      </c>
      <c r="H354" s="46">
        <v>2.2563</v>
      </c>
      <c r="I354" s="47">
        <v>45321</v>
      </c>
      <c r="J354" s="48">
        <v>0.21743055555555554</v>
      </c>
      <c r="K354" s="45">
        <v>0</v>
      </c>
      <c r="L354" s="45">
        <v>0</v>
      </c>
      <c r="M354" s="45">
        <v>0</v>
      </c>
      <c r="N354" s="3">
        <f t="shared" ref="N354" si="273">AVERAGE(H354:H358)</f>
        <v>2.2612999999999999</v>
      </c>
    </row>
    <row r="355" spans="1:14" x14ac:dyDescent="0.25">
      <c r="A355" s="45">
        <v>3</v>
      </c>
      <c r="B355" s="45" t="s">
        <v>1</v>
      </c>
      <c r="C355" s="45">
        <v>13024</v>
      </c>
      <c r="D355" s="45">
        <v>176</v>
      </c>
      <c r="E355" s="45">
        <v>2</v>
      </c>
      <c r="F355" s="45">
        <v>2</v>
      </c>
      <c r="G355" s="45">
        <v>653.12</v>
      </c>
      <c r="H355" s="49">
        <v>2.2553999999999998</v>
      </c>
      <c r="I355" s="47">
        <v>45321</v>
      </c>
      <c r="J355" s="48">
        <v>0.72606481481481477</v>
      </c>
      <c r="K355" s="45">
        <v>0</v>
      </c>
      <c r="L355" s="45">
        <v>0</v>
      </c>
      <c r="M355" s="45">
        <v>0</v>
      </c>
      <c r="N355" s="3">
        <f t="shared" ref="N355" si="274">N354</f>
        <v>2.2612999999999999</v>
      </c>
    </row>
    <row r="356" spans="1:14" x14ac:dyDescent="0.25">
      <c r="A356" s="45">
        <v>4</v>
      </c>
      <c r="B356" s="45" t="s">
        <v>1</v>
      </c>
      <c r="C356" s="45">
        <v>13024</v>
      </c>
      <c r="D356" s="45">
        <v>176</v>
      </c>
      <c r="E356" s="45">
        <v>2</v>
      </c>
      <c r="F356" s="45">
        <v>2</v>
      </c>
      <c r="G356" s="45">
        <v>652.95000000000005</v>
      </c>
      <c r="H356" s="49">
        <v>2.2559999999999998</v>
      </c>
      <c r="I356" s="47">
        <v>45322</v>
      </c>
      <c r="J356" s="48">
        <v>0.23461805555555557</v>
      </c>
      <c r="K356" s="45">
        <v>0</v>
      </c>
      <c r="L356" s="45">
        <v>0</v>
      </c>
      <c r="M356" s="45">
        <v>0</v>
      </c>
      <c r="N356" s="3">
        <f t="shared" si="229"/>
        <v>2.2612999999999999</v>
      </c>
    </row>
    <row r="357" spans="1:14" x14ac:dyDescent="0.25">
      <c r="A357" s="45">
        <v>0</v>
      </c>
      <c r="B357" s="45" t="s">
        <v>1</v>
      </c>
      <c r="C357" s="45">
        <v>13728</v>
      </c>
      <c r="D357" s="45">
        <v>176</v>
      </c>
      <c r="E357" s="45">
        <v>2</v>
      </c>
      <c r="F357" s="45">
        <v>2</v>
      </c>
      <c r="G357" s="45">
        <v>759.86</v>
      </c>
      <c r="H357" s="46">
        <v>2.2702</v>
      </c>
      <c r="I357" s="47">
        <v>45320</v>
      </c>
      <c r="J357" s="48">
        <v>0.10275462962962963</v>
      </c>
      <c r="K357" s="45">
        <v>0</v>
      </c>
      <c r="L357" s="45">
        <v>0</v>
      </c>
      <c r="M357" s="45">
        <v>0</v>
      </c>
      <c r="N357" s="3">
        <f t="shared" si="229"/>
        <v>2.2612999999999999</v>
      </c>
    </row>
    <row r="358" spans="1:14" x14ac:dyDescent="0.25">
      <c r="A358" s="45">
        <v>1</v>
      </c>
      <c r="B358" s="45" t="s">
        <v>1</v>
      </c>
      <c r="C358" s="45">
        <v>13728</v>
      </c>
      <c r="D358" s="45">
        <v>176</v>
      </c>
      <c r="E358" s="45">
        <v>2</v>
      </c>
      <c r="F358" s="45">
        <v>2</v>
      </c>
      <c r="G358" s="45">
        <v>760.41</v>
      </c>
      <c r="H358" s="46">
        <v>2.2686000000000002</v>
      </c>
      <c r="I358" s="47">
        <v>45320</v>
      </c>
      <c r="J358" s="48">
        <v>0.56365740740740744</v>
      </c>
      <c r="K358" s="45">
        <v>0</v>
      </c>
      <c r="L358" s="45">
        <v>0</v>
      </c>
      <c r="M358" s="45">
        <v>0</v>
      </c>
      <c r="N358" s="3">
        <f t="shared" si="229"/>
        <v>2.2612999999999999</v>
      </c>
    </row>
    <row r="359" spans="1:14" x14ac:dyDescent="0.25">
      <c r="A359" s="45">
        <v>2</v>
      </c>
      <c r="B359" s="45" t="s">
        <v>1</v>
      </c>
      <c r="C359" s="45">
        <v>13728</v>
      </c>
      <c r="D359" s="45">
        <v>176</v>
      </c>
      <c r="E359" s="45">
        <v>2</v>
      </c>
      <c r="F359" s="45">
        <v>2</v>
      </c>
      <c r="G359" s="45">
        <v>760.54</v>
      </c>
      <c r="H359" s="46">
        <v>2.2682000000000002</v>
      </c>
      <c r="I359" s="47">
        <v>45321</v>
      </c>
      <c r="J359" s="48">
        <v>7.2210648148148149E-2</v>
      </c>
      <c r="K359" s="45">
        <v>0</v>
      </c>
      <c r="L359" s="45">
        <v>0</v>
      </c>
      <c r="M359" s="45">
        <v>0</v>
      </c>
      <c r="N359" s="3">
        <f t="shared" ref="N359" si="275">AVERAGE(H359:H363)</f>
        <v>2.27244</v>
      </c>
    </row>
    <row r="360" spans="1:14" x14ac:dyDescent="0.25">
      <c r="A360" s="45">
        <v>3</v>
      </c>
      <c r="B360" s="45" t="s">
        <v>1</v>
      </c>
      <c r="C360" s="45">
        <v>13728</v>
      </c>
      <c r="D360" s="45">
        <v>176</v>
      </c>
      <c r="E360" s="45">
        <v>2</v>
      </c>
      <c r="F360" s="45">
        <v>2</v>
      </c>
      <c r="G360" s="45">
        <v>760.92</v>
      </c>
      <c r="H360" s="46">
        <v>2.2671000000000001</v>
      </c>
      <c r="I360" s="47">
        <v>45321</v>
      </c>
      <c r="J360" s="48">
        <v>0.58086805555555554</v>
      </c>
      <c r="K360" s="45">
        <v>0</v>
      </c>
      <c r="L360" s="45">
        <v>0</v>
      </c>
      <c r="M360" s="45">
        <v>0</v>
      </c>
      <c r="N360" s="3">
        <f t="shared" ref="N360" si="276">N359</f>
        <v>2.27244</v>
      </c>
    </row>
    <row r="361" spans="1:14" x14ac:dyDescent="0.25">
      <c r="A361" s="45">
        <v>4</v>
      </c>
      <c r="B361" s="45" t="s">
        <v>1</v>
      </c>
      <c r="C361" s="45">
        <v>13728</v>
      </c>
      <c r="D361" s="45">
        <v>176</v>
      </c>
      <c r="E361" s="45">
        <v>2</v>
      </c>
      <c r="F361" s="45">
        <v>2</v>
      </c>
      <c r="G361" s="45">
        <v>760.31</v>
      </c>
      <c r="H361" s="49">
        <v>2.2688999999999999</v>
      </c>
      <c r="I361" s="47">
        <v>45322</v>
      </c>
      <c r="J361" s="48">
        <v>8.9409722222222224E-2</v>
      </c>
      <c r="K361" s="45">
        <v>0</v>
      </c>
      <c r="L361" s="45">
        <v>0</v>
      </c>
      <c r="M361" s="45">
        <v>0</v>
      </c>
      <c r="N361" s="3">
        <f t="shared" si="233"/>
        <v>2.27244</v>
      </c>
    </row>
    <row r="362" spans="1:14" x14ac:dyDescent="0.25">
      <c r="A362" s="45">
        <v>0</v>
      </c>
      <c r="B362" s="45" t="s">
        <v>1</v>
      </c>
      <c r="C362" s="45">
        <v>14608</v>
      </c>
      <c r="D362" s="45">
        <v>176</v>
      </c>
      <c r="E362" s="45">
        <v>2</v>
      </c>
      <c r="F362" s="45">
        <v>2</v>
      </c>
      <c r="G362" s="45">
        <v>911.94</v>
      </c>
      <c r="H362" s="46">
        <v>2.2791999999999999</v>
      </c>
      <c r="I362" s="47">
        <v>45319</v>
      </c>
      <c r="J362" s="48">
        <v>0.98728009259259264</v>
      </c>
      <c r="K362" s="45">
        <v>0</v>
      </c>
      <c r="L362" s="45">
        <v>0</v>
      </c>
      <c r="M362" s="45">
        <v>0</v>
      </c>
      <c r="N362" s="3">
        <f t="shared" si="233"/>
        <v>2.27244</v>
      </c>
    </row>
    <row r="363" spans="1:14" x14ac:dyDescent="0.25">
      <c r="A363" s="45">
        <v>1</v>
      </c>
      <c r="B363" s="45" t="s">
        <v>1</v>
      </c>
      <c r="C363" s="45">
        <v>14608</v>
      </c>
      <c r="D363" s="45">
        <v>176</v>
      </c>
      <c r="E363" s="45">
        <v>2</v>
      </c>
      <c r="F363" s="45">
        <v>2</v>
      </c>
      <c r="G363" s="45">
        <v>912.12</v>
      </c>
      <c r="H363" s="46">
        <v>2.2787999999999999</v>
      </c>
      <c r="I363" s="47">
        <v>45320</v>
      </c>
      <c r="J363" s="48">
        <v>0.39165509259259257</v>
      </c>
      <c r="K363" s="45">
        <v>0</v>
      </c>
      <c r="L363" s="45">
        <v>0</v>
      </c>
      <c r="M363" s="45">
        <v>0</v>
      </c>
      <c r="N363" s="3">
        <f t="shared" si="233"/>
        <v>2.27244</v>
      </c>
    </row>
    <row r="364" spans="1:14" x14ac:dyDescent="0.25">
      <c r="A364" s="45">
        <v>2</v>
      </c>
      <c r="B364" s="45" t="s">
        <v>1</v>
      </c>
      <c r="C364" s="45">
        <v>14608</v>
      </c>
      <c r="D364" s="45">
        <v>176</v>
      </c>
      <c r="E364" s="45">
        <v>2</v>
      </c>
      <c r="F364" s="45">
        <v>2</v>
      </c>
      <c r="G364" s="45">
        <v>912.36</v>
      </c>
      <c r="H364" s="46">
        <v>2.2780999999999998</v>
      </c>
      <c r="I364" s="47">
        <v>45320</v>
      </c>
      <c r="J364" s="48">
        <v>0.90021990740740743</v>
      </c>
      <c r="K364" s="45">
        <v>0</v>
      </c>
      <c r="L364" s="45">
        <v>0</v>
      </c>
      <c r="M364" s="45">
        <v>0</v>
      </c>
      <c r="N364" s="3">
        <f t="shared" ref="N364" si="277">AVERAGE(H364:H368)</f>
        <v>2.2666599999999999</v>
      </c>
    </row>
    <row r="365" spans="1:14" x14ac:dyDescent="0.25">
      <c r="A365" s="45">
        <v>3</v>
      </c>
      <c r="B365" s="45" t="s">
        <v>1</v>
      </c>
      <c r="C365" s="45">
        <v>14608</v>
      </c>
      <c r="D365" s="45">
        <v>176</v>
      </c>
      <c r="E365" s="45">
        <v>2</v>
      </c>
      <c r="F365" s="45">
        <v>2</v>
      </c>
      <c r="G365" s="45">
        <v>911.87</v>
      </c>
      <c r="H365" s="46">
        <v>2.2793999999999999</v>
      </c>
      <c r="I365" s="47">
        <v>45321</v>
      </c>
      <c r="J365" s="48">
        <v>0.40878472222222223</v>
      </c>
      <c r="K365" s="45">
        <v>0</v>
      </c>
      <c r="L365" s="45">
        <v>0</v>
      </c>
      <c r="M365" s="45">
        <v>0</v>
      </c>
      <c r="N365" s="3">
        <f t="shared" ref="N365:N366" si="278">N364</f>
        <v>2.2666599999999999</v>
      </c>
    </row>
    <row r="366" spans="1:14" x14ac:dyDescent="0.25">
      <c r="A366" s="45">
        <v>4</v>
      </c>
      <c r="B366" s="45" t="s">
        <v>1</v>
      </c>
      <c r="C366" s="45">
        <v>14608</v>
      </c>
      <c r="D366" s="45">
        <v>176</v>
      </c>
      <c r="E366" s="45">
        <v>2</v>
      </c>
      <c r="F366" s="45">
        <v>2</v>
      </c>
      <c r="G366" s="45">
        <v>912.37</v>
      </c>
      <c r="H366" s="49">
        <v>2.2780999999999998</v>
      </c>
      <c r="I366" s="47">
        <v>45321</v>
      </c>
      <c r="J366" s="48">
        <v>0.91741898148148149</v>
      </c>
      <c r="K366" s="45">
        <v>0</v>
      </c>
      <c r="L366" s="45">
        <v>0</v>
      </c>
      <c r="M366" s="45">
        <v>0</v>
      </c>
      <c r="N366" s="3">
        <f t="shared" si="278"/>
        <v>2.2666599999999999</v>
      </c>
    </row>
    <row r="367" spans="1:14" x14ac:dyDescent="0.25">
      <c r="A367">
        <v>0</v>
      </c>
      <c r="B367" t="s">
        <v>1</v>
      </c>
      <c r="C367">
        <v>13056</v>
      </c>
      <c r="D367">
        <v>64</v>
      </c>
      <c r="E367" s="70">
        <v>4</v>
      </c>
      <c r="F367" s="70">
        <v>1</v>
      </c>
      <c r="G367">
        <v>658.41</v>
      </c>
      <c r="H367" s="24">
        <v>2.2538</v>
      </c>
      <c r="I367" s="1">
        <v>45318</v>
      </c>
      <c r="J367" s="2">
        <v>0.22174768518518517</v>
      </c>
      <c r="K367">
        <v>0</v>
      </c>
      <c r="L367">
        <v>0</v>
      </c>
      <c r="M367">
        <v>0</v>
      </c>
    </row>
    <row r="368" spans="1:14" x14ac:dyDescent="0.25">
      <c r="A368">
        <v>0</v>
      </c>
      <c r="B368" t="s">
        <v>1</v>
      </c>
      <c r="C368">
        <v>13824</v>
      </c>
      <c r="D368">
        <v>64</v>
      </c>
      <c r="E368" s="70">
        <v>4</v>
      </c>
      <c r="F368" s="70">
        <v>1</v>
      </c>
      <c r="G368">
        <v>785.01</v>
      </c>
      <c r="H368" s="24">
        <v>2.2439</v>
      </c>
      <c r="I368" s="1">
        <v>45318</v>
      </c>
      <c r="J368" s="2">
        <v>0.14182870370370371</v>
      </c>
      <c r="K368">
        <v>0</v>
      </c>
      <c r="L368">
        <v>0</v>
      </c>
      <c r="M368">
        <v>0</v>
      </c>
    </row>
    <row r="369" spans="1:13" x14ac:dyDescent="0.25">
      <c r="A369">
        <v>0</v>
      </c>
      <c r="B369" t="s">
        <v>1</v>
      </c>
      <c r="C369">
        <v>14592</v>
      </c>
      <c r="D369">
        <v>64</v>
      </c>
      <c r="E369" s="70">
        <v>4</v>
      </c>
      <c r="F369" s="70">
        <v>1</v>
      </c>
      <c r="G369">
        <v>911.13</v>
      </c>
      <c r="H369" s="24">
        <v>2.2736999999999998</v>
      </c>
      <c r="I369" s="1">
        <v>45318</v>
      </c>
      <c r="J369" s="2">
        <v>4.7372685185185184E-2</v>
      </c>
      <c r="K369">
        <v>0</v>
      </c>
      <c r="L369">
        <v>0</v>
      </c>
      <c r="M369">
        <v>0</v>
      </c>
    </row>
    <row r="370" spans="1:13" x14ac:dyDescent="0.25">
      <c r="A370">
        <v>0</v>
      </c>
      <c r="B370" t="s">
        <v>1</v>
      </c>
      <c r="C370">
        <v>13056</v>
      </c>
      <c r="D370">
        <v>96</v>
      </c>
      <c r="E370" s="70">
        <v>4</v>
      </c>
      <c r="F370" s="70">
        <v>1</v>
      </c>
      <c r="G370">
        <v>663.55</v>
      </c>
      <c r="H370" s="24">
        <v>2.2364000000000002</v>
      </c>
      <c r="I370" s="1">
        <v>45318</v>
      </c>
      <c r="J370" s="2">
        <v>0.26922453703703703</v>
      </c>
      <c r="K370">
        <v>0</v>
      </c>
      <c r="L370">
        <v>0</v>
      </c>
      <c r="M370">
        <v>0</v>
      </c>
    </row>
    <row r="371" spans="1:13" x14ac:dyDescent="0.25">
      <c r="A371">
        <v>0</v>
      </c>
      <c r="B371" t="s">
        <v>1</v>
      </c>
      <c r="C371">
        <v>13824</v>
      </c>
      <c r="D371">
        <v>96</v>
      </c>
      <c r="E371" s="70">
        <v>4</v>
      </c>
      <c r="F371" s="70">
        <v>1</v>
      </c>
      <c r="G371">
        <v>789.98</v>
      </c>
      <c r="H371" s="24">
        <v>2.2298</v>
      </c>
      <c r="I371" s="1">
        <v>45318</v>
      </c>
      <c r="J371" s="2">
        <v>0.19784722222222223</v>
      </c>
      <c r="K371">
        <v>0</v>
      </c>
      <c r="L371">
        <v>0</v>
      </c>
      <c r="M371">
        <v>0</v>
      </c>
    </row>
    <row r="372" spans="1:13" x14ac:dyDescent="0.25">
      <c r="A372">
        <v>0</v>
      </c>
      <c r="B372" t="s">
        <v>1</v>
      </c>
      <c r="C372">
        <v>14592</v>
      </c>
      <c r="D372">
        <v>96</v>
      </c>
      <c r="E372" s="70">
        <v>4</v>
      </c>
      <c r="F372" s="70">
        <v>1</v>
      </c>
      <c r="G372">
        <v>917.14</v>
      </c>
      <c r="H372" s="24">
        <v>2.2587999999999999</v>
      </c>
      <c r="I372" s="1">
        <v>45318</v>
      </c>
      <c r="J372" s="2">
        <v>0.11329861111111111</v>
      </c>
      <c r="K372">
        <v>0</v>
      </c>
      <c r="L372">
        <v>0</v>
      </c>
      <c r="M372">
        <v>0</v>
      </c>
    </row>
  </sheetData>
  <sortState xmlns:xlrd2="http://schemas.microsoft.com/office/spreadsheetml/2017/richdata2" ref="P4:AB347">
    <sortCondition ref="S4:S347"/>
    <sortCondition ref="T4:T347"/>
    <sortCondition ref="R4:R347"/>
    <sortCondition ref="P4:P347"/>
  </sortState>
  <mergeCells count="8">
    <mergeCell ref="Z2:AB2"/>
    <mergeCell ref="Z1:AB1"/>
    <mergeCell ref="A1:D1"/>
    <mergeCell ref="A2:B2"/>
    <mergeCell ref="K2:M2"/>
    <mergeCell ref="K1:M1"/>
    <mergeCell ref="P1:S1"/>
    <mergeCell ref="P2:Q2"/>
  </mergeCells>
  <conditionalFormatting sqref="N1:N1048576">
    <cfRule type="colorScale" priority="2">
      <colorScale>
        <cfvo type="min"/>
        <cfvo type="percentile" val="50"/>
        <cfvo type="max"/>
        <color rgb="FFF8696B"/>
        <color rgb="FFFFEB84"/>
        <color rgb="FF63BE7B"/>
      </colorScale>
    </cfRule>
  </conditionalFormatting>
  <conditionalFormatting sqref="AD1:AD1048576">
    <cfRule type="colorScale" priority="4">
      <colorScale>
        <cfvo type="min"/>
        <cfvo type="percentile" val="50"/>
        <cfvo type="max"/>
        <color rgb="FFF8696B"/>
        <color rgb="FFFFEB84"/>
        <color rgb="FF63BE7B"/>
      </colorScale>
    </cfRule>
  </conditionalFormatting>
  <conditionalFormatting sqref="AD244 AD249 AD254 AD259 AD264 AD269">
    <cfRule type="colorScale" priority="5">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EB6D-AFEB-4A5E-B00F-A8E706FA52BD}">
  <dimension ref="A1:Z228"/>
  <sheetViews>
    <sheetView tabSelected="1" zoomScaleNormal="100" workbookViewId="0">
      <selection activeCell="W8" sqref="W8"/>
    </sheetView>
  </sheetViews>
  <sheetFormatPr defaultColWidth="8.85546875" defaultRowHeight="15" x14ac:dyDescent="0.25"/>
  <cols>
    <col min="1" max="4" width="9.140625" style="18"/>
    <col min="5" max="5" width="9.140625" style="3"/>
    <col min="7" max="10" width="9.140625" style="18"/>
    <col min="11" max="11" width="9.140625" style="3"/>
  </cols>
  <sheetData>
    <row r="1" spans="1:26" x14ac:dyDescent="0.25">
      <c r="A1" s="84" t="s">
        <v>52</v>
      </c>
      <c r="B1" s="84"/>
      <c r="C1" s="84"/>
      <c r="D1" s="84"/>
      <c r="E1" s="84"/>
      <c r="G1" s="84" t="s">
        <v>32</v>
      </c>
      <c r="H1" s="84"/>
      <c r="I1" s="84"/>
      <c r="J1" s="84"/>
      <c r="K1" s="84"/>
    </row>
    <row r="2" spans="1:26" x14ac:dyDescent="0.25">
      <c r="A2" s="21">
        <f>INDEX(A4:A500,MATCH(MAX(E4:E500),E4:E500,0))</f>
        <v>14560</v>
      </c>
      <c r="B2" s="21">
        <f>INDEX(B4:B500,MATCH(MAX(E4:E500),E4:E500,0))</f>
        <v>112</v>
      </c>
      <c r="C2" s="21">
        <f>INDEX(C4:C500,MATCH(MAX(E4:E500),E4:E500,0))</f>
        <v>2</v>
      </c>
      <c r="D2" s="21">
        <f>INDEX(D4:D500,MATCH(MAX(E4:E500),E4:E500,0))</f>
        <v>2</v>
      </c>
      <c r="E2" s="5">
        <f>MAX(E4:E500)</f>
        <v>2.3064799999999996</v>
      </c>
      <c r="G2" s="21">
        <f>INDEX(G4:G500,MATCH(MAX(K4:K500),K4:K500,0))</f>
        <v>14592</v>
      </c>
      <c r="H2" s="21">
        <f>INDEX(H4:H500,MATCH(MAX(K4:K500),K4:K500,0))</f>
        <v>64</v>
      </c>
      <c r="I2" s="21">
        <f>INDEX(I4:I500,MATCH(MAX(K4:K500),K4:K500,0))</f>
        <v>1</v>
      </c>
      <c r="J2" s="21">
        <f>INDEX(J4:J500,MATCH(MAX(K4:K500),K4:K500,0))</f>
        <v>4</v>
      </c>
      <c r="K2" s="5">
        <f>MAX(K4:K500)</f>
        <v>2.56</v>
      </c>
    </row>
    <row r="3" spans="1:26" x14ac:dyDescent="0.25">
      <c r="A3" s="21" t="s">
        <v>12</v>
      </c>
      <c r="B3" s="21" t="s">
        <v>13</v>
      </c>
      <c r="C3" s="21" t="s">
        <v>14</v>
      </c>
      <c r="D3" s="21" t="s">
        <v>15</v>
      </c>
      <c r="E3" s="10" t="s">
        <v>51</v>
      </c>
      <c r="G3" s="21" t="s">
        <v>12</v>
      </c>
      <c r="H3" s="21" t="s">
        <v>13</v>
      </c>
      <c r="I3" s="21" t="s">
        <v>14</v>
      </c>
      <c r="J3" s="21" t="s">
        <v>15</v>
      </c>
      <c r="K3" s="10" t="s">
        <v>51</v>
      </c>
    </row>
    <row r="4" spans="1:26" x14ac:dyDescent="0.25">
      <c r="A4" s="18" cm="1">
        <f t="array" ref="A4:E212">_xlfn.CHOOSECOLS(_xlfn._xlws.FILTER('825 params 1 node, RAW'!A4:N500,'825 params 1 node, RAW'!A4:A500=0),3,4,5,6,14)</f>
        <v>13056</v>
      </c>
      <c r="B4" s="18">
        <v>32</v>
      </c>
      <c r="C4" s="18">
        <v>1</v>
      </c>
      <c r="D4" s="18">
        <v>4</v>
      </c>
      <c r="E4" s="3">
        <v>2.1846999999999999</v>
      </c>
      <c r="G4" s="18" cm="1">
        <f t="array" ref="G4:K228">_xlfn.CHOOSECOLS(_xlfn._xlws.FILTER('825 params 1 node, RAW'!P4:AC500,'825 params 1 node, RAW'!P4:P500=0),3,4,5,6,14)</f>
        <v>13056</v>
      </c>
      <c r="H4" s="18">
        <v>32</v>
      </c>
      <c r="I4" s="18">
        <v>1</v>
      </c>
      <c r="J4" s="18">
        <v>4</v>
      </c>
      <c r="K4" s="3">
        <v>2.4468000000000001</v>
      </c>
      <c r="N4">
        <v>13056</v>
      </c>
      <c r="P4">
        <v>32</v>
      </c>
      <c r="Q4">
        <v>1</v>
      </c>
      <c r="R4">
        <v>4</v>
      </c>
      <c r="S4">
        <v>2.1846999999999999</v>
      </c>
      <c r="U4">
        <v>13056</v>
      </c>
      <c r="W4">
        <v>32</v>
      </c>
      <c r="X4">
        <v>1</v>
      </c>
      <c r="Y4">
        <v>4</v>
      </c>
      <c r="Z4">
        <v>2.4468000000000001</v>
      </c>
    </row>
    <row r="5" spans="1:26" x14ac:dyDescent="0.25">
      <c r="A5" s="18">
        <v>13824</v>
      </c>
      <c r="B5" s="18">
        <v>32</v>
      </c>
      <c r="C5" s="18">
        <v>1</v>
      </c>
      <c r="D5" s="18">
        <v>4</v>
      </c>
      <c r="E5" s="3">
        <v>2.1521800000000004</v>
      </c>
      <c r="G5" s="18">
        <v>13824</v>
      </c>
      <c r="H5" s="18">
        <v>32</v>
      </c>
      <c r="I5" s="18">
        <v>1</v>
      </c>
      <c r="J5" s="18">
        <v>4</v>
      </c>
      <c r="K5" s="3">
        <v>2.4348399999999999</v>
      </c>
      <c r="N5">
        <v>13824</v>
      </c>
      <c r="P5">
        <v>32</v>
      </c>
      <c r="Q5">
        <v>1</v>
      </c>
      <c r="R5">
        <v>4</v>
      </c>
      <c r="S5">
        <v>2.1521800000000004</v>
      </c>
      <c r="U5">
        <v>13824</v>
      </c>
      <c r="W5">
        <v>32</v>
      </c>
      <c r="X5">
        <v>1</v>
      </c>
      <c r="Y5">
        <v>4</v>
      </c>
      <c r="Z5">
        <v>2.4348399999999999</v>
      </c>
    </row>
    <row r="6" spans="1:26" x14ac:dyDescent="0.25">
      <c r="A6" s="18">
        <v>14592</v>
      </c>
      <c r="B6" s="18">
        <v>32</v>
      </c>
      <c r="C6" s="18">
        <v>1</v>
      </c>
      <c r="D6" s="18">
        <v>4</v>
      </c>
      <c r="E6" s="3">
        <v>2.1974800000000001</v>
      </c>
      <c r="G6" s="18">
        <v>14592</v>
      </c>
      <c r="H6" s="18">
        <v>32</v>
      </c>
      <c r="I6" s="18">
        <v>1</v>
      </c>
      <c r="J6" s="18">
        <v>4</v>
      </c>
      <c r="K6" s="3">
        <v>2.4591400000000001</v>
      </c>
      <c r="N6">
        <v>14592</v>
      </c>
      <c r="P6">
        <v>32</v>
      </c>
      <c r="Q6">
        <v>1</v>
      </c>
      <c r="R6">
        <v>4</v>
      </c>
      <c r="S6">
        <v>2.1974800000000001</v>
      </c>
      <c r="U6">
        <v>14592</v>
      </c>
      <c r="W6">
        <v>32</v>
      </c>
      <c r="X6">
        <v>1</v>
      </c>
      <c r="Y6">
        <v>4</v>
      </c>
      <c r="Z6">
        <v>2.4591400000000001</v>
      </c>
    </row>
    <row r="7" spans="1:26" x14ac:dyDescent="0.25">
      <c r="A7" s="18">
        <v>13056</v>
      </c>
      <c r="B7" s="18">
        <v>32</v>
      </c>
      <c r="C7" s="18">
        <v>2</v>
      </c>
      <c r="D7" s="18">
        <v>2</v>
      </c>
      <c r="E7" s="3">
        <v>2.1979800000000003</v>
      </c>
      <c r="G7" s="18">
        <v>13056</v>
      </c>
      <c r="H7" s="18">
        <v>32</v>
      </c>
      <c r="I7" s="18">
        <v>2</v>
      </c>
      <c r="J7" s="18">
        <v>2</v>
      </c>
      <c r="K7" s="3">
        <v>2.4295</v>
      </c>
      <c r="N7">
        <v>13056</v>
      </c>
      <c r="P7">
        <v>32</v>
      </c>
      <c r="Q7">
        <v>2</v>
      </c>
      <c r="R7">
        <v>2</v>
      </c>
      <c r="S7">
        <v>2.1979800000000003</v>
      </c>
      <c r="U7">
        <v>13056</v>
      </c>
      <c r="W7">
        <v>32</v>
      </c>
      <c r="X7">
        <v>2</v>
      </c>
      <c r="Y7">
        <v>2</v>
      </c>
      <c r="Z7">
        <v>2.4295</v>
      </c>
    </row>
    <row r="8" spans="1:26" x14ac:dyDescent="0.25">
      <c r="A8" s="18">
        <v>13824</v>
      </c>
      <c r="B8" s="18">
        <v>32</v>
      </c>
      <c r="C8" s="18">
        <v>2</v>
      </c>
      <c r="D8" s="18">
        <v>2</v>
      </c>
      <c r="E8" s="3">
        <v>2.1744399999999997</v>
      </c>
      <c r="G8" s="18">
        <v>13824</v>
      </c>
      <c r="H8" s="18">
        <v>32</v>
      </c>
      <c r="I8" s="18">
        <v>2</v>
      </c>
      <c r="J8" s="18">
        <v>2</v>
      </c>
      <c r="K8" s="3">
        <v>2.4365600000000001</v>
      </c>
      <c r="N8">
        <v>13824</v>
      </c>
      <c r="P8">
        <v>32</v>
      </c>
      <c r="Q8">
        <v>2</v>
      </c>
      <c r="R8">
        <v>2</v>
      </c>
      <c r="S8">
        <v>2.1744399999999997</v>
      </c>
      <c r="U8">
        <v>13824</v>
      </c>
      <c r="W8">
        <v>32</v>
      </c>
      <c r="X8">
        <v>2</v>
      </c>
      <c r="Y8">
        <v>2</v>
      </c>
      <c r="Z8">
        <v>2.4365600000000001</v>
      </c>
    </row>
    <row r="9" spans="1:26" x14ac:dyDescent="0.25">
      <c r="A9" s="18">
        <v>14592</v>
      </c>
      <c r="B9" s="18">
        <v>32</v>
      </c>
      <c r="C9" s="18">
        <v>2</v>
      </c>
      <c r="D9" s="18">
        <v>2</v>
      </c>
      <c r="E9" s="3">
        <v>2.2109800000000002</v>
      </c>
      <c r="G9" s="18">
        <v>14592</v>
      </c>
      <c r="H9" s="18">
        <v>32</v>
      </c>
      <c r="I9" s="18">
        <v>2</v>
      </c>
      <c r="J9" s="18">
        <v>2</v>
      </c>
      <c r="K9" s="3">
        <v>2.4411399999999999</v>
      </c>
      <c r="N9">
        <v>14592</v>
      </c>
      <c r="P9">
        <v>32</v>
      </c>
      <c r="Q9">
        <v>2</v>
      </c>
      <c r="R9">
        <v>2</v>
      </c>
      <c r="S9">
        <v>2.2109800000000002</v>
      </c>
      <c r="U9">
        <v>14592</v>
      </c>
      <c r="W9">
        <v>32</v>
      </c>
      <c r="X9">
        <v>2</v>
      </c>
      <c r="Y9">
        <v>2</v>
      </c>
      <c r="Z9">
        <v>2.4411399999999999</v>
      </c>
    </row>
    <row r="10" spans="1:26" x14ac:dyDescent="0.25">
      <c r="A10" s="18">
        <v>13056</v>
      </c>
      <c r="B10" s="18">
        <v>64</v>
      </c>
      <c r="C10" s="18">
        <v>1</v>
      </c>
      <c r="D10" s="18">
        <v>4</v>
      </c>
      <c r="E10" s="3">
        <v>2.1722399999999999</v>
      </c>
      <c r="G10" s="18">
        <v>13056</v>
      </c>
      <c r="H10" s="18">
        <v>64</v>
      </c>
      <c r="I10" s="18">
        <v>1</v>
      </c>
      <c r="J10" s="18">
        <v>4</v>
      </c>
      <c r="K10" s="3">
        <v>2.5428199999999999</v>
      </c>
      <c r="N10">
        <v>13056</v>
      </c>
      <c r="P10">
        <v>64</v>
      </c>
      <c r="Q10">
        <v>1</v>
      </c>
      <c r="R10">
        <v>4</v>
      </c>
      <c r="S10">
        <v>2.1722399999999999</v>
      </c>
      <c r="U10">
        <v>13056</v>
      </c>
      <c r="W10">
        <v>64</v>
      </c>
      <c r="X10">
        <v>1</v>
      </c>
      <c r="Y10">
        <v>4</v>
      </c>
      <c r="Z10">
        <v>2.5428199999999999</v>
      </c>
    </row>
    <row r="11" spans="1:26" x14ac:dyDescent="0.25">
      <c r="A11" s="18">
        <v>13824</v>
      </c>
      <c r="B11" s="18">
        <v>64</v>
      </c>
      <c r="C11" s="18">
        <v>1</v>
      </c>
      <c r="D11" s="18">
        <v>4</v>
      </c>
      <c r="E11" s="3">
        <v>2.1502400000000002</v>
      </c>
      <c r="G11" s="18">
        <v>13824</v>
      </c>
      <c r="H11" s="18">
        <v>64</v>
      </c>
      <c r="I11" s="18">
        <v>1</v>
      </c>
      <c r="J11" s="18">
        <v>4</v>
      </c>
      <c r="K11" s="3">
        <v>2.5362399999999998</v>
      </c>
      <c r="N11">
        <v>13824</v>
      </c>
      <c r="P11">
        <v>64</v>
      </c>
      <c r="Q11">
        <v>1</v>
      </c>
      <c r="R11">
        <v>4</v>
      </c>
      <c r="S11">
        <v>2.1502400000000002</v>
      </c>
      <c r="U11">
        <v>13824</v>
      </c>
      <c r="W11">
        <v>64</v>
      </c>
      <c r="X11">
        <v>1</v>
      </c>
      <c r="Y11">
        <v>4</v>
      </c>
      <c r="Z11">
        <v>2.5362399999999998</v>
      </c>
    </row>
    <row r="12" spans="1:26" x14ac:dyDescent="0.25">
      <c r="A12" s="18">
        <v>14592</v>
      </c>
      <c r="B12" s="18">
        <v>64</v>
      </c>
      <c r="C12" s="18">
        <v>1</v>
      </c>
      <c r="D12" s="18">
        <v>4</v>
      </c>
      <c r="E12" s="3">
        <v>2.1899199999999999</v>
      </c>
      <c r="G12" s="18">
        <v>14592</v>
      </c>
      <c r="H12" s="18">
        <v>64</v>
      </c>
      <c r="I12" s="18">
        <v>1</v>
      </c>
      <c r="J12" s="18">
        <v>4</v>
      </c>
      <c r="K12" s="3">
        <v>2.56</v>
      </c>
      <c r="N12">
        <v>14592</v>
      </c>
      <c r="P12">
        <v>64</v>
      </c>
      <c r="Q12">
        <v>1</v>
      </c>
      <c r="R12">
        <v>4</v>
      </c>
      <c r="S12">
        <v>2.1899199999999999</v>
      </c>
      <c r="U12">
        <v>14592</v>
      </c>
      <c r="W12">
        <v>64</v>
      </c>
      <c r="X12">
        <v>1</v>
      </c>
      <c r="Y12">
        <v>4</v>
      </c>
      <c r="Z12">
        <v>2.56</v>
      </c>
    </row>
    <row r="13" spans="1:26" x14ac:dyDescent="0.25">
      <c r="A13" s="18">
        <v>13056</v>
      </c>
      <c r="B13" s="18">
        <v>64</v>
      </c>
      <c r="C13" s="18">
        <v>2</v>
      </c>
      <c r="D13" s="18">
        <v>2</v>
      </c>
      <c r="E13" s="3">
        <v>2.26796</v>
      </c>
      <c r="G13" s="18">
        <v>13056</v>
      </c>
      <c r="H13" s="18">
        <v>64</v>
      </c>
      <c r="I13" s="18">
        <v>2</v>
      </c>
      <c r="J13" s="18">
        <v>2</v>
      </c>
      <c r="K13" s="3">
        <v>2.5380600000000002</v>
      </c>
      <c r="N13">
        <v>13056</v>
      </c>
      <c r="P13">
        <v>64</v>
      </c>
      <c r="Q13">
        <v>2</v>
      </c>
      <c r="R13">
        <v>2</v>
      </c>
      <c r="S13">
        <v>2.26796</v>
      </c>
      <c r="U13">
        <v>13056</v>
      </c>
      <c r="W13">
        <v>64</v>
      </c>
      <c r="X13">
        <v>2</v>
      </c>
      <c r="Y13">
        <v>2</v>
      </c>
      <c r="Z13">
        <v>2.5380600000000002</v>
      </c>
    </row>
    <row r="14" spans="1:26" x14ac:dyDescent="0.25">
      <c r="A14" s="18">
        <v>13824</v>
      </c>
      <c r="B14" s="18">
        <v>64</v>
      </c>
      <c r="C14" s="18">
        <v>2</v>
      </c>
      <c r="D14" s="18">
        <v>2</v>
      </c>
      <c r="E14" s="3">
        <v>2.2498399999999998</v>
      </c>
      <c r="G14" s="18">
        <v>13824</v>
      </c>
      <c r="H14" s="18">
        <v>64</v>
      </c>
      <c r="I14" s="18">
        <v>2</v>
      </c>
      <c r="J14" s="18">
        <v>2</v>
      </c>
      <c r="K14" s="3">
        <v>2.54054</v>
      </c>
      <c r="N14">
        <v>13824</v>
      </c>
      <c r="P14">
        <v>64</v>
      </c>
      <c r="Q14">
        <v>2</v>
      </c>
      <c r="R14">
        <v>2</v>
      </c>
      <c r="S14">
        <v>2.2498399999999998</v>
      </c>
      <c r="U14">
        <v>13824</v>
      </c>
      <c r="W14">
        <v>64</v>
      </c>
      <c r="X14">
        <v>2</v>
      </c>
      <c r="Y14">
        <v>2</v>
      </c>
      <c r="Z14">
        <v>2.54054</v>
      </c>
    </row>
    <row r="15" spans="1:26" x14ac:dyDescent="0.25">
      <c r="A15" s="18">
        <v>14592</v>
      </c>
      <c r="B15" s="18">
        <v>64</v>
      </c>
      <c r="C15" s="18">
        <v>2</v>
      </c>
      <c r="D15" s="18">
        <v>2</v>
      </c>
      <c r="E15" s="3">
        <v>2.2786999999999997</v>
      </c>
      <c r="G15" s="18">
        <v>14592</v>
      </c>
      <c r="H15" s="18">
        <v>64</v>
      </c>
      <c r="I15" s="18">
        <v>2</v>
      </c>
      <c r="J15" s="18">
        <v>2</v>
      </c>
      <c r="K15" s="3">
        <v>2.5499999999999998</v>
      </c>
      <c r="N15">
        <v>14592</v>
      </c>
      <c r="P15">
        <v>64</v>
      </c>
      <c r="Q15">
        <v>2</v>
      </c>
      <c r="R15">
        <v>2</v>
      </c>
      <c r="S15">
        <v>2.2786999999999997</v>
      </c>
      <c r="U15">
        <v>14592</v>
      </c>
      <c r="W15">
        <v>64</v>
      </c>
      <c r="X15">
        <v>2</v>
      </c>
      <c r="Y15">
        <v>2</v>
      </c>
      <c r="Z15">
        <v>2.5499999999999998</v>
      </c>
    </row>
    <row r="16" spans="1:26" x14ac:dyDescent="0.25">
      <c r="A16" s="18">
        <v>13056</v>
      </c>
      <c r="B16" s="18">
        <v>96</v>
      </c>
      <c r="C16" s="18">
        <v>1</v>
      </c>
      <c r="D16" s="18">
        <v>4</v>
      </c>
      <c r="E16" s="3">
        <v>2.23068</v>
      </c>
      <c r="G16" s="18">
        <v>13056</v>
      </c>
      <c r="H16" s="18">
        <v>96</v>
      </c>
      <c r="I16" s="18">
        <v>1</v>
      </c>
      <c r="J16" s="18">
        <v>4</v>
      </c>
      <c r="K16" s="3">
        <v>2.5272800000000002</v>
      </c>
      <c r="N16">
        <v>13056</v>
      </c>
      <c r="P16">
        <v>96</v>
      </c>
      <c r="Q16">
        <v>1</v>
      </c>
      <c r="R16">
        <v>4</v>
      </c>
      <c r="S16">
        <v>2.23068</v>
      </c>
      <c r="U16">
        <v>13056</v>
      </c>
      <c r="W16">
        <v>96</v>
      </c>
      <c r="X16">
        <v>1</v>
      </c>
      <c r="Y16">
        <v>4</v>
      </c>
      <c r="Z16">
        <v>2.5272800000000002</v>
      </c>
    </row>
    <row r="17" spans="1:26" x14ac:dyDescent="0.25">
      <c r="A17" s="18">
        <v>13824</v>
      </c>
      <c r="B17" s="18">
        <v>96</v>
      </c>
      <c r="C17" s="18">
        <v>1</v>
      </c>
      <c r="D17" s="18">
        <v>4</v>
      </c>
      <c r="E17" s="3">
        <v>2.2105000000000006</v>
      </c>
      <c r="G17" s="18">
        <v>13824</v>
      </c>
      <c r="H17" s="18">
        <v>96</v>
      </c>
      <c r="I17" s="18">
        <v>1</v>
      </c>
      <c r="J17" s="18">
        <v>4</v>
      </c>
      <c r="K17" s="3">
        <v>2.5344600000000002</v>
      </c>
      <c r="N17">
        <v>13824</v>
      </c>
      <c r="P17">
        <v>96</v>
      </c>
      <c r="Q17">
        <v>1</v>
      </c>
      <c r="R17">
        <v>4</v>
      </c>
      <c r="S17">
        <v>2.2105000000000006</v>
      </c>
      <c r="U17">
        <v>13824</v>
      </c>
      <c r="W17">
        <v>96</v>
      </c>
      <c r="X17">
        <v>1</v>
      </c>
      <c r="Y17">
        <v>4</v>
      </c>
      <c r="Z17">
        <v>2.5344600000000002</v>
      </c>
    </row>
    <row r="18" spans="1:26" x14ac:dyDescent="0.25">
      <c r="A18" s="18">
        <v>14592</v>
      </c>
      <c r="B18" s="18">
        <v>96</v>
      </c>
      <c r="C18" s="18">
        <v>1</v>
      </c>
      <c r="D18" s="18">
        <v>4</v>
      </c>
      <c r="E18" s="3">
        <v>2.2502</v>
      </c>
      <c r="G18" s="18">
        <v>14592</v>
      </c>
      <c r="H18" s="18">
        <v>96</v>
      </c>
      <c r="I18" s="18">
        <v>1</v>
      </c>
      <c r="J18" s="18">
        <v>4</v>
      </c>
      <c r="K18" s="3">
        <v>2.5439999999999996</v>
      </c>
      <c r="N18">
        <v>14592</v>
      </c>
      <c r="P18">
        <v>96</v>
      </c>
      <c r="Q18">
        <v>1</v>
      </c>
      <c r="R18">
        <v>4</v>
      </c>
      <c r="S18">
        <v>2.2502</v>
      </c>
      <c r="U18">
        <v>14592</v>
      </c>
      <c r="W18">
        <v>96</v>
      </c>
      <c r="X18">
        <v>1</v>
      </c>
      <c r="Y18">
        <v>4</v>
      </c>
      <c r="Z18">
        <v>2.5439999999999996</v>
      </c>
    </row>
    <row r="19" spans="1:26" x14ac:dyDescent="0.25">
      <c r="A19" s="18">
        <v>13056</v>
      </c>
      <c r="B19" s="18">
        <v>96</v>
      </c>
      <c r="C19" s="18">
        <v>2</v>
      </c>
      <c r="D19" s="18">
        <v>2</v>
      </c>
      <c r="E19" s="3">
        <v>2.2754400000000001</v>
      </c>
      <c r="G19" s="18">
        <v>13056</v>
      </c>
      <c r="H19" s="18">
        <v>96</v>
      </c>
      <c r="I19" s="18">
        <v>2</v>
      </c>
      <c r="J19" s="18">
        <v>2</v>
      </c>
      <c r="K19" s="3">
        <v>2.52372</v>
      </c>
      <c r="N19">
        <v>13056</v>
      </c>
      <c r="P19">
        <v>96</v>
      </c>
      <c r="Q19">
        <v>2</v>
      </c>
      <c r="R19">
        <v>2</v>
      </c>
      <c r="S19">
        <v>2.2754400000000001</v>
      </c>
      <c r="U19">
        <v>13056</v>
      </c>
      <c r="W19">
        <v>96</v>
      </c>
      <c r="X19">
        <v>2</v>
      </c>
      <c r="Y19">
        <v>2</v>
      </c>
      <c r="Z19">
        <v>2.52372</v>
      </c>
    </row>
    <row r="20" spans="1:26" x14ac:dyDescent="0.25">
      <c r="A20" s="18">
        <v>13824</v>
      </c>
      <c r="B20" s="18">
        <v>96</v>
      </c>
      <c r="C20" s="18">
        <v>2</v>
      </c>
      <c r="D20" s="18">
        <v>2</v>
      </c>
      <c r="E20" s="3">
        <v>2.26356</v>
      </c>
      <c r="G20" s="18">
        <v>13824</v>
      </c>
      <c r="H20" s="18">
        <v>96</v>
      </c>
      <c r="I20" s="18">
        <v>2</v>
      </c>
      <c r="J20" s="18">
        <v>2</v>
      </c>
      <c r="K20" s="3">
        <v>2.5355400000000001</v>
      </c>
      <c r="N20">
        <v>13824</v>
      </c>
      <c r="P20">
        <v>96</v>
      </c>
      <c r="Q20">
        <v>2</v>
      </c>
      <c r="R20">
        <v>2</v>
      </c>
      <c r="S20">
        <v>2.26356</v>
      </c>
      <c r="U20">
        <v>13824</v>
      </c>
      <c r="W20">
        <v>96</v>
      </c>
      <c r="X20">
        <v>2</v>
      </c>
      <c r="Y20">
        <v>2</v>
      </c>
      <c r="Z20">
        <v>2.5355400000000001</v>
      </c>
    </row>
    <row r="21" spans="1:26" x14ac:dyDescent="0.25">
      <c r="A21" s="18">
        <v>14592</v>
      </c>
      <c r="B21" s="18">
        <v>96</v>
      </c>
      <c r="C21" s="18">
        <v>2</v>
      </c>
      <c r="D21" s="18">
        <v>2</v>
      </c>
      <c r="E21" s="3">
        <v>2.2926400000000005</v>
      </c>
      <c r="G21" s="18">
        <v>14592</v>
      </c>
      <c r="H21" s="18">
        <v>96</v>
      </c>
      <c r="I21" s="18">
        <v>2</v>
      </c>
      <c r="J21" s="18">
        <v>2</v>
      </c>
      <c r="K21" s="3">
        <v>2.5499999999999998</v>
      </c>
      <c r="N21">
        <v>14592</v>
      </c>
      <c r="P21">
        <v>96</v>
      </c>
      <c r="Q21">
        <v>2</v>
      </c>
      <c r="R21">
        <v>2</v>
      </c>
      <c r="S21">
        <v>2.2926400000000005</v>
      </c>
      <c r="U21">
        <v>14592</v>
      </c>
      <c r="W21">
        <v>96</v>
      </c>
      <c r="X21">
        <v>2</v>
      </c>
      <c r="Y21">
        <v>2</v>
      </c>
      <c r="Z21">
        <v>2.5499999999999998</v>
      </c>
    </row>
    <row r="22" spans="1:26" x14ac:dyDescent="0.25">
      <c r="A22" s="18">
        <v>13056</v>
      </c>
      <c r="B22" s="18">
        <v>128</v>
      </c>
      <c r="C22" s="18">
        <v>1</v>
      </c>
      <c r="D22" s="18">
        <v>4</v>
      </c>
      <c r="E22" s="3">
        <v>2.1858399999999998</v>
      </c>
      <c r="G22" s="18">
        <v>13056</v>
      </c>
      <c r="H22" s="18">
        <v>128</v>
      </c>
      <c r="I22" s="18">
        <v>1</v>
      </c>
      <c r="J22" s="18">
        <v>4</v>
      </c>
      <c r="K22" s="3">
        <v>2.4899399999999998</v>
      </c>
      <c r="N22">
        <v>13056</v>
      </c>
      <c r="P22">
        <v>128</v>
      </c>
      <c r="Q22">
        <v>1</v>
      </c>
      <c r="R22">
        <v>4</v>
      </c>
      <c r="S22">
        <v>2.1858399999999998</v>
      </c>
      <c r="U22">
        <v>13056</v>
      </c>
      <c r="W22">
        <v>128</v>
      </c>
      <c r="X22">
        <v>1</v>
      </c>
      <c r="Y22">
        <v>4</v>
      </c>
      <c r="Z22">
        <v>2.4899399999999998</v>
      </c>
    </row>
    <row r="23" spans="1:26" x14ac:dyDescent="0.25">
      <c r="A23" s="18">
        <v>13824</v>
      </c>
      <c r="B23" s="18">
        <v>128</v>
      </c>
      <c r="C23" s="18">
        <v>1</v>
      </c>
      <c r="D23" s="18">
        <v>4</v>
      </c>
      <c r="E23" s="3">
        <v>2.1674600000000002</v>
      </c>
      <c r="G23" s="18">
        <v>13824</v>
      </c>
      <c r="H23" s="18">
        <v>128</v>
      </c>
      <c r="I23" s="18">
        <v>1</v>
      </c>
      <c r="J23" s="18">
        <v>4</v>
      </c>
      <c r="K23" s="3">
        <v>2.4892000000000003</v>
      </c>
      <c r="N23">
        <v>13824</v>
      </c>
      <c r="P23">
        <v>128</v>
      </c>
      <c r="Q23">
        <v>1</v>
      </c>
      <c r="R23">
        <v>4</v>
      </c>
      <c r="S23">
        <v>2.1674600000000002</v>
      </c>
      <c r="U23">
        <v>13824</v>
      </c>
      <c r="W23">
        <v>128</v>
      </c>
      <c r="X23">
        <v>1</v>
      </c>
      <c r="Y23">
        <v>4</v>
      </c>
      <c r="Z23">
        <v>2.4892000000000003</v>
      </c>
    </row>
    <row r="24" spans="1:26" x14ac:dyDescent="0.25">
      <c r="A24" s="18">
        <v>14592</v>
      </c>
      <c r="B24" s="18">
        <v>128</v>
      </c>
      <c r="C24" s="18">
        <v>1</v>
      </c>
      <c r="D24" s="18">
        <v>4</v>
      </c>
      <c r="E24" s="3">
        <v>2.2083400000000002</v>
      </c>
      <c r="G24" s="18">
        <v>14592</v>
      </c>
      <c r="H24" s="18">
        <v>128</v>
      </c>
      <c r="I24" s="18">
        <v>1</v>
      </c>
      <c r="J24" s="18">
        <v>4</v>
      </c>
      <c r="K24" s="3">
        <v>2.5099999999999998</v>
      </c>
      <c r="N24">
        <v>14592</v>
      </c>
      <c r="P24">
        <v>128</v>
      </c>
      <c r="Q24">
        <v>1</v>
      </c>
      <c r="R24">
        <v>4</v>
      </c>
      <c r="S24">
        <v>2.2083400000000002</v>
      </c>
      <c r="U24">
        <v>14592</v>
      </c>
      <c r="W24">
        <v>128</v>
      </c>
      <c r="X24">
        <v>1</v>
      </c>
      <c r="Y24">
        <v>4</v>
      </c>
      <c r="Z24">
        <v>2.5099999999999998</v>
      </c>
    </row>
    <row r="25" spans="1:26" x14ac:dyDescent="0.25">
      <c r="A25" s="18">
        <v>13056</v>
      </c>
      <c r="B25" s="18">
        <v>128</v>
      </c>
      <c r="C25" s="18">
        <v>2</v>
      </c>
      <c r="D25" s="18">
        <v>2</v>
      </c>
      <c r="E25" s="3">
        <v>2.2707600000000001</v>
      </c>
      <c r="G25" s="18">
        <v>13056</v>
      </c>
      <c r="H25" s="18">
        <v>128</v>
      </c>
      <c r="I25" s="18">
        <v>2</v>
      </c>
      <c r="J25" s="18">
        <v>2</v>
      </c>
      <c r="K25" s="3">
        <v>2.4960399999999998</v>
      </c>
      <c r="N25">
        <v>13056</v>
      </c>
      <c r="P25">
        <v>128</v>
      </c>
      <c r="Q25">
        <v>2</v>
      </c>
      <c r="R25">
        <v>2</v>
      </c>
      <c r="S25">
        <v>2.2707600000000001</v>
      </c>
      <c r="U25">
        <v>13056</v>
      </c>
      <c r="W25">
        <v>128</v>
      </c>
      <c r="X25">
        <v>2</v>
      </c>
      <c r="Y25">
        <v>2</v>
      </c>
      <c r="Z25">
        <v>2.4960399999999998</v>
      </c>
    </row>
    <row r="26" spans="1:26" x14ac:dyDescent="0.25">
      <c r="A26" s="18">
        <v>13824</v>
      </c>
      <c r="B26" s="18">
        <v>128</v>
      </c>
      <c r="C26" s="18">
        <v>2</v>
      </c>
      <c r="D26" s="18">
        <v>2</v>
      </c>
      <c r="E26" s="3">
        <v>2.2563000000000004</v>
      </c>
      <c r="G26" s="18">
        <v>13824</v>
      </c>
      <c r="H26" s="18">
        <v>128</v>
      </c>
      <c r="I26" s="18">
        <v>2</v>
      </c>
      <c r="J26" s="18">
        <v>2</v>
      </c>
      <c r="K26" s="3">
        <v>2.5076000000000001</v>
      </c>
      <c r="N26">
        <v>13824</v>
      </c>
      <c r="P26">
        <v>128</v>
      </c>
      <c r="Q26">
        <v>2</v>
      </c>
      <c r="R26">
        <v>2</v>
      </c>
      <c r="S26">
        <v>2.2563000000000004</v>
      </c>
      <c r="U26">
        <v>13824</v>
      </c>
      <c r="W26">
        <v>128</v>
      </c>
      <c r="X26">
        <v>2</v>
      </c>
      <c r="Y26">
        <v>2</v>
      </c>
      <c r="Z26">
        <v>2.5076000000000001</v>
      </c>
    </row>
    <row r="27" spans="1:26" x14ac:dyDescent="0.25">
      <c r="A27" s="18">
        <v>14592</v>
      </c>
      <c r="B27" s="18">
        <v>128</v>
      </c>
      <c r="C27" s="18">
        <v>2</v>
      </c>
      <c r="D27" s="18">
        <v>2</v>
      </c>
      <c r="E27" s="3">
        <v>2.2874399999999997</v>
      </c>
      <c r="G27" s="18">
        <v>14592</v>
      </c>
      <c r="H27" s="18">
        <v>128</v>
      </c>
      <c r="I27" s="18">
        <v>2</v>
      </c>
      <c r="J27" s="18">
        <v>2</v>
      </c>
      <c r="K27" s="3">
        <v>2.516</v>
      </c>
      <c r="N27">
        <v>14592</v>
      </c>
      <c r="P27">
        <v>128</v>
      </c>
      <c r="Q27">
        <v>2</v>
      </c>
      <c r="R27">
        <v>2</v>
      </c>
      <c r="S27">
        <v>2.2874399999999997</v>
      </c>
      <c r="U27">
        <v>14592</v>
      </c>
      <c r="W27">
        <v>128</v>
      </c>
      <c r="X27">
        <v>2</v>
      </c>
      <c r="Y27">
        <v>2</v>
      </c>
      <c r="Z27">
        <v>2.516</v>
      </c>
    </row>
    <row r="28" spans="1:26" x14ac:dyDescent="0.25">
      <c r="A28" s="18">
        <v>12960</v>
      </c>
      <c r="B28" s="18">
        <v>160</v>
      </c>
      <c r="C28" s="18">
        <v>1</v>
      </c>
      <c r="D28" s="18">
        <v>4</v>
      </c>
      <c r="E28" s="3">
        <v>2.2085400000000002</v>
      </c>
      <c r="G28" s="18">
        <v>12960</v>
      </c>
      <c r="H28" s="18">
        <v>160</v>
      </c>
      <c r="I28" s="18">
        <v>1</v>
      </c>
      <c r="J28" s="18">
        <v>4</v>
      </c>
      <c r="K28" s="3">
        <v>2.4762</v>
      </c>
      <c r="N28">
        <v>12960</v>
      </c>
      <c r="P28">
        <v>160</v>
      </c>
      <c r="Q28">
        <v>1</v>
      </c>
      <c r="R28">
        <v>4</v>
      </c>
      <c r="S28">
        <v>2.2085400000000002</v>
      </c>
      <c r="U28">
        <v>12960</v>
      </c>
      <c r="W28">
        <v>160</v>
      </c>
      <c r="X28">
        <v>1</v>
      </c>
      <c r="Y28">
        <v>4</v>
      </c>
      <c r="Z28">
        <v>2.4762</v>
      </c>
    </row>
    <row r="29" spans="1:26" x14ac:dyDescent="0.25">
      <c r="A29" s="18">
        <v>13760</v>
      </c>
      <c r="B29" s="18">
        <v>160</v>
      </c>
      <c r="C29" s="18">
        <v>1</v>
      </c>
      <c r="D29" s="18">
        <v>4</v>
      </c>
      <c r="E29" s="3">
        <v>2.2121400000000002</v>
      </c>
      <c r="G29" s="18">
        <v>13760</v>
      </c>
      <c r="H29" s="18">
        <v>160</v>
      </c>
      <c r="I29" s="18">
        <v>1</v>
      </c>
      <c r="J29" s="18">
        <v>4</v>
      </c>
      <c r="K29" s="3">
        <v>2.4859200000000001</v>
      </c>
      <c r="N29">
        <v>13760</v>
      </c>
      <c r="P29">
        <v>160</v>
      </c>
      <c r="Q29">
        <v>1</v>
      </c>
      <c r="R29">
        <v>4</v>
      </c>
      <c r="S29">
        <v>2.2121400000000002</v>
      </c>
      <c r="U29">
        <v>13760</v>
      </c>
      <c r="W29">
        <v>160</v>
      </c>
      <c r="X29">
        <v>1</v>
      </c>
      <c r="Y29">
        <v>4</v>
      </c>
      <c r="Z29">
        <v>2.4859200000000001</v>
      </c>
    </row>
    <row r="30" spans="1:26" x14ac:dyDescent="0.25">
      <c r="A30" s="18">
        <v>14560</v>
      </c>
      <c r="B30" s="18">
        <v>160</v>
      </c>
      <c r="C30" s="18">
        <v>1</v>
      </c>
      <c r="D30" s="18">
        <v>4</v>
      </c>
      <c r="E30" s="3">
        <v>2.2221400000000004</v>
      </c>
      <c r="G30" s="18">
        <v>14560</v>
      </c>
      <c r="H30" s="18">
        <v>160</v>
      </c>
      <c r="I30" s="18">
        <v>1</v>
      </c>
      <c r="J30" s="18">
        <v>4</v>
      </c>
      <c r="K30" s="3">
        <v>2.496</v>
      </c>
      <c r="N30">
        <v>14560</v>
      </c>
      <c r="P30">
        <v>160</v>
      </c>
      <c r="Q30">
        <v>1</v>
      </c>
      <c r="R30">
        <v>4</v>
      </c>
      <c r="S30">
        <v>2.2221400000000004</v>
      </c>
      <c r="U30">
        <v>14560</v>
      </c>
      <c r="W30">
        <v>160</v>
      </c>
      <c r="X30">
        <v>1</v>
      </c>
      <c r="Y30">
        <v>4</v>
      </c>
      <c r="Z30">
        <v>2.496</v>
      </c>
    </row>
    <row r="31" spans="1:26" x14ac:dyDescent="0.25">
      <c r="A31" s="18">
        <v>12960</v>
      </c>
      <c r="B31" s="18">
        <v>160</v>
      </c>
      <c r="C31" s="18">
        <v>2</v>
      </c>
      <c r="D31" s="18">
        <v>2</v>
      </c>
      <c r="E31" s="3">
        <v>2.2588400000000002</v>
      </c>
      <c r="G31" s="18">
        <v>12960</v>
      </c>
      <c r="H31" s="18">
        <v>160</v>
      </c>
      <c r="I31" s="18">
        <v>2</v>
      </c>
      <c r="J31" s="18">
        <v>2</v>
      </c>
      <c r="K31" s="3">
        <v>2.4860000000000002</v>
      </c>
      <c r="N31">
        <v>12960</v>
      </c>
      <c r="P31">
        <v>160</v>
      </c>
      <c r="Q31">
        <v>2</v>
      </c>
      <c r="R31">
        <v>2</v>
      </c>
      <c r="S31">
        <v>2.2588400000000002</v>
      </c>
      <c r="U31">
        <v>12960</v>
      </c>
      <c r="W31">
        <v>160</v>
      </c>
      <c r="X31">
        <v>2</v>
      </c>
      <c r="Y31">
        <v>2</v>
      </c>
      <c r="Z31">
        <v>2.4860000000000002</v>
      </c>
    </row>
    <row r="32" spans="1:26" x14ac:dyDescent="0.25">
      <c r="A32" s="18">
        <v>13760</v>
      </c>
      <c r="B32" s="18">
        <v>160</v>
      </c>
      <c r="C32" s="18">
        <v>2</v>
      </c>
      <c r="D32" s="18">
        <v>2</v>
      </c>
      <c r="E32" s="3">
        <v>2.28328</v>
      </c>
      <c r="G32" s="18">
        <v>13760</v>
      </c>
      <c r="H32" s="18">
        <v>160</v>
      </c>
      <c r="I32" s="18">
        <v>2</v>
      </c>
      <c r="J32" s="18">
        <v>2</v>
      </c>
      <c r="K32" s="3">
        <v>2.4861000000000004</v>
      </c>
      <c r="N32">
        <v>13760</v>
      </c>
      <c r="P32">
        <v>160</v>
      </c>
      <c r="Q32">
        <v>2</v>
      </c>
      <c r="R32">
        <v>2</v>
      </c>
      <c r="S32">
        <v>2.28328</v>
      </c>
      <c r="U32">
        <v>13760</v>
      </c>
      <c r="W32">
        <v>160</v>
      </c>
      <c r="X32">
        <v>2</v>
      </c>
      <c r="Y32">
        <v>2</v>
      </c>
      <c r="Z32">
        <v>2.4861000000000004</v>
      </c>
    </row>
    <row r="33" spans="1:26" x14ac:dyDescent="0.25">
      <c r="A33" s="18">
        <v>14560</v>
      </c>
      <c r="B33" s="18">
        <v>160</v>
      </c>
      <c r="C33" s="18">
        <v>2</v>
      </c>
      <c r="D33" s="18">
        <v>2</v>
      </c>
      <c r="E33" s="3">
        <v>2.29182</v>
      </c>
      <c r="G33" s="18">
        <v>14560</v>
      </c>
      <c r="H33" s="18">
        <v>160</v>
      </c>
      <c r="I33" s="18">
        <v>2</v>
      </c>
      <c r="J33" s="18">
        <v>2</v>
      </c>
      <c r="K33" s="3">
        <v>2.5159999999999996</v>
      </c>
      <c r="N33">
        <v>14560</v>
      </c>
      <c r="P33">
        <v>160</v>
      </c>
      <c r="Q33">
        <v>2</v>
      </c>
      <c r="R33">
        <v>2</v>
      </c>
      <c r="S33">
        <v>2.29182</v>
      </c>
      <c r="U33">
        <v>14560</v>
      </c>
      <c r="W33">
        <v>160</v>
      </c>
      <c r="X33">
        <v>2</v>
      </c>
      <c r="Y33">
        <v>2</v>
      </c>
      <c r="Z33">
        <v>2.5159999999999996</v>
      </c>
    </row>
    <row r="34" spans="1:26" x14ac:dyDescent="0.25">
      <c r="A34" s="18">
        <v>13056</v>
      </c>
      <c r="B34" s="18">
        <v>192</v>
      </c>
      <c r="C34" s="18">
        <v>1</v>
      </c>
      <c r="D34" s="18">
        <v>4</v>
      </c>
      <c r="E34" s="3">
        <v>2.1823600000000001</v>
      </c>
      <c r="G34" s="18">
        <v>13056</v>
      </c>
      <c r="H34" s="18">
        <v>192</v>
      </c>
      <c r="I34" s="18">
        <v>1</v>
      </c>
      <c r="J34" s="18">
        <v>4</v>
      </c>
      <c r="K34" s="3">
        <v>2.4493199999999997</v>
      </c>
      <c r="N34">
        <v>13056</v>
      </c>
      <c r="P34">
        <v>192</v>
      </c>
      <c r="Q34">
        <v>1</v>
      </c>
      <c r="R34">
        <v>4</v>
      </c>
      <c r="S34">
        <v>2.1823600000000001</v>
      </c>
      <c r="U34">
        <v>13056</v>
      </c>
      <c r="W34">
        <v>192</v>
      </c>
      <c r="X34">
        <v>1</v>
      </c>
      <c r="Y34">
        <v>4</v>
      </c>
      <c r="Z34">
        <v>2.4493199999999997</v>
      </c>
    </row>
    <row r="35" spans="1:26" x14ac:dyDescent="0.25">
      <c r="A35" s="18">
        <v>13824</v>
      </c>
      <c r="B35" s="18">
        <v>192</v>
      </c>
      <c r="C35" s="18">
        <v>1</v>
      </c>
      <c r="D35" s="18">
        <v>4</v>
      </c>
      <c r="E35" s="3">
        <v>2.1698200000000001</v>
      </c>
      <c r="G35" s="18">
        <v>13824</v>
      </c>
      <c r="H35" s="18">
        <v>192</v>
      </c>
      <c r="I35" s="18">
        <v>1</v>
      </c>
      <c r="J35" s="18">
        <v>4</v>
      </c>
      <c r="K35" s="3">
        <v>2.4587399999999997</v>
      </c>
      <c r="N35">
        <v>13824</v>
      </c>
      <c r="P35">
        <v>192</v>
      </c>
      <c r="Q35">
        <v>1</v>
      </c>
      <c r="R35">
        <v>4</v>
      </c>
      <c r="S35">
        <v>2.1698200000000001</v>
      </c>
      <c r="U35">
        <v>13824</v>
      </c>
      <c r="W35">
        <v>192</v>
      </c>
      <c r="X35">
        <v>1</v>
      </c>
      <c r="Y35">
        <v>4</v>
      </c>
      <c r="Z35">
        <v>2.4587399999999997</v>
      </c>
    </row>
    <row r="36" spans="1:26" x14ac:dyDescent="0.25">
      <c r="A36" s="18">
        <v>14592</v>
      </c>
      <c r="B36" s="18">
        <v>192</v>
      </c>
      <c r="C36" s="18">
        <v>1</v>
      </c>
      <c r="D36" s="18">
        <v>4</v>
      </c>
      <c r="E36" s="3">
        <v>2.20764</v>
      </c>
      <c r="G36" s="18">
        <v>14592</v>
      </c>
      <c r="H36" s="18">
        <v>192</v>
      </c>
      <c r="I36" s="18">
        <v>1</v>
      </c>
      <c r="J36" s="18">
        <v>4</v>
      </c>
      <c r="K36" s="3">
        <v>2.4778199999999999</v>
      </c>
      <c r="N36">
        <v>14592</v>
      </c>
      <c r="P36">
        <v>192</v>
      </c>
      <c r="Q36">
        <v>1</v>
      </c>
      <c r="R36">
        <v>4</v>
      </c>
      <c r="S36">
        <v>2.20764</v>
      </c>
      <c r="U36">
        <v>14592</v>
      </c>
      <c r="W36">
        <v>192</v>
      </c>
      <c r="X36">
        <v>1</v>
      </c>
      <c r="Y36">
        <v>4</v>
      </c>
      <c r="Z36">
        <v>2.4778199999999999</v>
      </c>
    </row>
    <row r="37" spans="1:26" x14ac:dyDescent="0.25">
      <c r="A37" s="18">
        <v>13056</v>
      </c>
      <c r="B37" s="18">
        <v>192</v>
      </c>
      <c r="C37" s="18">
        <v>2</v>
      </c>
      <c r="D37" s="18">
        <v>2</v>
      </c>
      <c r="E37" s="3">
        <v>2.23922</v>
      </c>
      <c r="G37" s="18">
        <v>13056</v>
      </c>
      <c r="H37" s="18">
        <v>192</v>
      </c>
      <c r="I37" s="18">
        <v>2</v>
      </c>
      <c r="J37" s="18">
        <v>2</v>
      </c>
      <c r="K37" s="3">
        <v>2.4546400000000004</v>
      </c>
      <c r="N37">
        <v>13056</v>
      </c>
      <c r="P37">
        <v>192</v>
      </c>
      <c r="Q37">
        <v>2</v>
      </c>
      <c r="R37">
        <v>2</v>
      </c>
      <c r="S37">
        <v>2.23922</v>
      </c>
      <c r="U37">
        <v>13056</v>
      </c>
      <c r="W37">
        <v>192</v>
      </c>
      <c r="X37">
        <v>2</v>
      </c>
      <c r="Y37">
        <v>2</v>
      </c>
      <c r="Z37">
        <v>2.4546400000000004</v>
      </c>
    </row>
    <row r="38" spans="1:26" x14ac:dyDescent="0.25">
      <c r="A38" s="18">
        <v>13824</v>
      </c>
      <c r="B38" s="18">
        <v>192</v>
      </c>
      <c r="C38" s="18">
        <v>2</v>
      </c>
      <c r="D38" s="18">
        <v>2</v>
      </c>
      <c r="E38" s="3">
        <v>2.2296799999999997</v>
      </c>
      <c r="G38" s="18">
        <v>13824</v>
      </c>
      <c r="H38" s="18">
        <v>192</v>
      </c>
      <c r="I38" s="18">
        <v>2</v>
      </c>
      <c r="J38" s="18">
        <v>2</v>
      </c>
      <c r="K38" s="3">
        <v>2.4817200000000001</v>
      </c>
      <c r="N38">
        <v>13824</v>
      </c>
      <c r="P38">
        <v>192</v>
      </c>
      <c r="Q38">
        <v>2</v>
      </c>
      <c r="R38">
        <v>2</v>
      </c>
      <c r="S38">
        <v>2.2296799999999997</v>
      </c>
      <c r="U38">
        <v>13824</v>
      </c>
      <c r="W38">
        <v>192</v>
      </c>
      <c r="X38">
        <v>2</v>
      </c>
      <c r="Y38">
        <v>2</v>
      </c>
      <c r="Z38">
        <v>2.4817200000000001</v>
      </c>
    </row>
    <row r="39" spans="1:26" x14ac:dyDescent="0.25">
      <c r="A39" s="18">
        <v>14592</v>
      </c>
      <c r="B39" s="18">
        <v>192</v>
      </c>
      <c r="C39" s="18">
        <v>2</v>
      </c>
      <c r="D39" s="18">
        <v>2</v>
      </c>
      <c r="E39" s="3">
        <v>2.2574199999999998</v>
      </c>
      <c r="G39" s="18">
        <v>14592</v>
      </c>
      <c r="H39" s="18">
        <v>192</v>
      </c>
      <c r="I39" s="18">
        <v>2</v>
      </c>
      <c r="J39" s="18">
        <v>2</v>
      </c>
      <c r="K39" s="3">
        <v>2.4916000000000005</v>
      </c>
      <c r="N39">
        <v>14592</v>
      </c>
      <c r="P39">
        <v>192</v>
      </c>
      <c r="Q39">
        <v>2</v>
      </c>
      <c r="R39">
        <v>2</v>
      </c>
      <c r="S39">
        <v>2.2574199999999998</v>
      </c>
      <c r="U39">
        <v>14592</v>
      </c>
      <c r="W39">
        <v>192</v>
      </c>
      <c r="X39">
        <v>2</v>
      </c>
      <c r="Y39">
        <v>2</v>
      </c>
      <c r="Z39">
        <v>2.4916000000000005</v>
      </c>
    </row>
    <row r="40" spans="1:26" x14ac:dyDescent="0.25">
      <c r="A40" s="18">
        <v>12992</v>
      </c>
      <c r="B40" s="18">
        <v>224</v>
      </c>
      <c r="C40" s="18">
        <v>1</v>
      </c>
      <c r="D40" s="18">
        <v>4</v>
      </c>
      <c r="E40" s="3">
        <v>2.1608399999999994</v>
      </c>
      <c r="G40" s="18">
        <v>0</v>
      </c>
      <c r="H40" s="18">
        <v>0</v>
      </c>
      <c r="I40" s="18">
        <v>0</v>
      </c>
      <c r="J40" s="18">
        <v>0</v>
      </c>
      <c r="K40" s="3">
        <v>2.4133749999999998</v>
      </c>
      <c r="N40">
        <v>12992</v>
      </c>
      <c r="P40">
        <v>224</v>
      </c>
      <c r="Q40">
        <v>1</v>
      </c>
      <c r="R40">
        <v>4</v>
      </c>
      <c r="S40">
        <v>2.1608399999999994</v>
      </c>
      <c r="U40">
        <v>0</v>
      </c>
      <c r="W40">
        <v>0</v>
      </c>
      <c r="X40">
        <v>0</v>
      </c>
      <c r="Y40">
        <v>0</v>
      </c>
      <c r="Z40">
        <v>2.4133749999999998</v>
      </c>
    </row>
    <row r="41" spans="1:26" x14ac:dyDescent="0.25">
      <c r="A41" s="18">
        <v>13664</v>
      </c>
      <c r="B41" s="18">
        <v>224</v>
      </c>
      <c r="C41" s="18">
        <v>1</v>
      </c>
      <c r="D41" s="18">
        <v>4</v>
      </c>
      <c r="E41" s="3">
        <v>2.1776</v>
      </c>
      <c r="G41" s="18">
        <v>13664</v>
      </c>
      <c r="H41" s="18">
        <v>224</v>
      </c>
      <c r="I41" s="18">
        <v>1</v>
      </c>
      <c r="J41" s="18">
        <v>4</v>
      </c>
      <c r="K41" s="3">
        <v>2.4346999999999999</v>
      </c>
      <c r="N41">
        <v>13664</v>
      </c>
      <c r="P41">
        <v>224</v>
      </c>
      <c r="Q41">
        <v>1</v>
      </c>
      <c r="R41">
        <v>4</v>
      </c>
      <c r="S41">
        <v>2.1776</v>
      </c>
      <c r="U41">
        <v>13664</v>
      </c>
      <c r="W41">
        <v>224</v>
      </c>
      <c r="X41">
        <v>1</v>
      </c>
      <c r="Y41">
        <v>4</v>
      </c>
      <c r="Z41">
        <v>2.4346999999999999</v>
      </c>
    </row>
    <row r="42" spans="1:26" x14ac:dyDescent="0.25">
      <c r="A42" s="18">
        <v>14560</v>
      </c>
      <c r="B42" s="18">
        <v>224</v>
      </c>
      <c r="C42" s="18">
        <v>1</v>
      </c>
      <c r="D42" s="18">
        <v>4</v>
      </c>
      <c r="E42" s="3">
        <v>2.1826999999999996</v>
      </c>
      <c r="G42" s="18">
        <v>14560</v>
      </c>
      <c r="H42" s="18">
        <v>224</v>
      </c>
      <c r="I42" s="18">
        <v>1</v>
      </c>
      <c r="J42" s="18">
        <v>4</v>
      </c>
      <c r="K42" s="3">
        <v>2.4478999999999997</v>
      </c>
      <c r="N42">
        <v>14560</v>
      </c>
      <c r="P42">
        <v>224</v>
      </c>
      <c r="Q42">
        <v>1</v>
      </c>
      <c r="R42">
        <v>4</v>
      </c>
      <c r="S42">
        <v>2.1826999999999996</v>
      </c>
      <c r="U42">
        <v>14560</v>
      </c>
      <c r="W42">
        <v>224</v>
      </c>
      <c r="X42">
        <v>1</v>
      </c>
      <c r="Y42">
        <v>4</v>
      </c>
      <c r="Z42">
        <v>2.4478999999999997</v>
      </c>
    </row>
    <row r="43" spans="1:26" x14ac:dyDescent="0.25">
      <c r="A43" s="18">
        <v>12992</v>
      </c>
      <c r="B43" s="18">
        <v>224</v>
      </c>
      <c r="C43" s="18">
        <v>2</v>
      </c>
      <c r="D43" s="18">
        <v>2</v>
      </c>
      <c r="E43" s="3">
        <v>2.2286200000000003</v>
      </c>
      <c r="G43" s="18">
        <v>0</v>
      </c>
      <c r="H43" s="18">
        <v>0</v>
      </c>
      <c r="I43" s="18">
        <v>0</v>
      </c>
      <c r="J43" s="18">
        <v>0</v>
      </c>
      <c r="K43" s="3">
        <v>2.435575</v>
      </c>
      <c r="N43">
        <v>12992</v>
      </c>
      <c r="P43">
        <v>224</v>
      </c>
      <c r="Q43">
        <v>2</v>
      </c>
      <c r="R43">
        <v>2</v>
      </c>
      <c r="S43">
        <v>2.2286200000000003</v>
      </c>
      <c r="U43">
        <v>0</v>
      </c>
      <c r="W43">
        <v>0</v>
      </c>
      <c r="X43">
        <v>0</v>
      </c>
      <c r="Y43">
        <v>0</v>
      </c>
      <c r="Z43">
        <v>2.435575</v>
      </c>
    </row>
    <row r="44" spans="1:26" x14ac:dyDescent="0.25">
      <c r="A44" s="18">
        <v>13664</v>
      </c>
      <c r="B44" s="18">
        <v>224</v>
      </c>
      <c r="C44" s="18">
        <v>2</v>
      </c>
      <c r="D44" s="18">
        <v>2</v>
      </c>
      <c r="E44" s="3">
        <v>2.2394400000000001</v>
      </c>
      <c r="G44" s="18">
        <v>13664</v>
      </c>
      <c r="H44" s="18">
        <v>224</v>
      </c>
      <c r="I44" s="18">
        <v>2</v>
      </c>
      <c r="J44" s="18">
        <v>2</v>
      </c>
      <c r="K44" s="3">
        <v>2.4570199999999995</v>
      </c>
      <c r="N44">
        <v>13664</v>
      </c>
      <c r="P44">
        <v>224</v>
      </c>
      <c r="Q44">
        <v>2</v>
      </c>
      <c r="R44">
        <v>2</v>
      </c>
      <c r="S44">
        <v>2.2394400000000001</v>
      </c>
      <c r="U44">
        <v>13664</v>
      </c>
      <c r="W44">
        <v>224</v>
      </c>
      <c r="X44">
        <v>2</v>
      </c>
      <c r="Y44">
        <v>2</v>
      </c>
      <c r="Z44">
        <v>2.4570199999999995</v>
      </c>
    </row>
    <row r="45" spans="1:26" x14ac:dyDescent="0.25">
      <c r="A45" s="18">
        <v>14560</v>
      </c>
      <c r="B45" s="18">
        <v>224</v>
      </c>
      <c r="C45" s="18">
        <v>2</v>
      </c>
      <c r="D45" s="18">
        <v>2</v>
      </c>
      <c r="E45" s="3">
        <v>2.2313999999999998</v>
      </c>
      <c r="G45" s="18">
        <v>14560</v>
      </c>
      <c r="H45" s="18">
        <v>224</v>
      </c>
      <c r="I45" s="18">
        <v>2</v>
      </c>
      <c r="J45" s="18">
        <v>2</v>
      </c>
      <c r="K45" s="3">
        <v>2.4708800000000002</v>
      </c>
      <c r="N45">
        <v>14560</v>
      </c>
      <c r="P45">
        <v>224</v>
      </c>
      <c r="Q45">
        <v>2</v>
      </c>
      <c r="R45">
        <v>2</v>
      </c>
      <c r="S45">
        <v>2.2313999999999998</v>
      </c>
      <c r="U45">
        <v>14560</v>
      </c>
      <c r="W45">
        <v>224</v>
      </c>
      <c r="X45">
        <v>2</v>
      </c>
      <c r="Y45">
        <v>2</v>
      </c>
      <c r="Z45">
        <v>2.4708800000000002</v>
      </c>
    </row>
    <row r="46" spans="1:26" x14ac:dyDescent="0.25">
      <c r="A46" s="18">
        <v>13056</v>
      </c>
      <c r="B46" s="18">
        <v>256</v>
      </c>
      <c r="C46" s="18">
        <v>1</v>
      </c>
      <c r="D46" s="18">
        <v>4</v>
      </c>
      <c r="E46" s="3">
        <v>2.1158000000000001</v>
      </c>
      <c r="G46" s="18">
        <v>13056</v>
      </c>
      <c r="H46" s="18">
        <v>256</v>
      </c>
      <c r="I46" s="18">
        <v>1</v>
      </c>
      <c r="J46" s="18">
        <v>4</v>
      </c>
      <c r="K46" s="3">
        <v>2.3780400000000004</v>
      </c>
      <c r="N46">
        <v>13056</v>
      </c>
      <c r="P46">
        <v>256</v>
      </c>
      <c r="Q46">
        <v>1</v>
      </c>
      <c r="R46">
        <v>4</v>
      </c>
      <c r="S46">
        <v>2.1158000000000001</v>
      </c>
      <c r="U46">
        <v>13056</v>
      </c>
      <c r="W46">
        <v>256</v>
      </c>
      <c r="X46">
        <v>1</v>
      </c>
      <c r="Y46">
        <v>4</v>
      </c>
      <c r="Z46">
        <v>2.3780400000000004</v>
      </c>
    </row>
    <row r="47" spans="1:26" x14ac:dyDescent="0.25">
      <c r="A47" s="18">
        <v>13824</v>
      </c>
      <c r="B47" s="18">
        <v>256</v>
      </c>
      <c r="C47" s="18">
        <v>1</v>
      </c>
      <c r="D47" s="18">
        <v>4</v>
      </c>
      <c r="E47" s="3">
        <v>2.1076199999999998</v>
      </c>
      <c r="G47" s="18">
        <v>13824</v>
      </c>
      <c r="H47" s="18">
        <v>256</v>
      </c>
      <c r="I47" s="18">
        <v>1</v>
      </c>
      <c r="J47" s="18">
        <v>4</v>
      </c>
      <c r="K47" s="3">
        <v>2.3855</v>
      </c>
      <c r="N47">
        <v>13824</v>
      </c>
      <c r="P47">
        <v>256</v>
      </c>
      <c r="Q47">
        <v>1</v>
      </c>
      <c r="R47">
        <v>4</v>
      </c>
      <c r="S47">
        <v>2.1076199999999998</v>
      </c>
      <c r="U47">
        <v>13824</v>
      </c>
      <c r="W47">
        <v>256</v>
      </c>
      <c r="X47">
        <v>1</v>
      </c>
      <c r="Y47">
        <v>4</v>
      </c>
      <c r="Z47">
        <v>2.3855</v>
      </c>
    </row>
    <row r="48" spans="1:26" x14ac:dyDescent="0.25">
      <c r="A48" s="18">
        <v>14592</v>
      </c>
      <c r="B48" s="18">
        <v>256</v>
      </c>
      <c r="C48" s="18">
        <v>1</v>
      </c>
      <c r="D48" s="18">
        <v>4</v>
      </c>
      <c r="E48" s="3">
        <v>2.1494600000000004</v>
      </c>
      <c r="G48" s="18">
        <v>14592</v>
      </c>
      <c r="H48" s="18">
        <v>256</v>
      </c>
      <c r="I48" s="18">
        <v>1</v>
      </c>
      <c r="J48" s="18">
        <v>4</v>
      </c>
      <c r="K48" s="3">
        <v>2.4139200000000001</v>
      </c>
      <c r="N48">
        <v>14592</v>
      </c>
      <c r="P48">
        <v>256</v>
      </c>
      <c r="Q48">
        <v>1</v>
      </c>
      <c r="R48">
        <v>4</v>
      </c>
      <c r="S48">
        <v>2.1494600000000004</v>
      </c>
      <c r="U48">
        <v>14592</v>
      </c>
      <c r="W48">
        <v>256</v>
      </c>
      <c r="X48">
        <v>1</v>
      </c>
      <c r="Y48">
        <v>4</v>
      </c>
      <c r="Z48">
        <v>2.4139200000000001</v>
      </c>
    </row>
    <row r="49" spans="1:26" x14ac:dyDescent="0.25">
      <c r="A49" s="18">
        <v>13056</v>
      </c>
      <c r="B49" s="18">
        <v>256</v>
      </c>
      <c r="C49" s="18">
        <v>2</v>
      </c>
      <c r="D49" s="18">
        <v>2</v>
      </c>
      <c r="E49" s="3">
        <v>2.1753400000000003</v>
      </c>
      <c r="G49" s="18">
        <v>13056</v>
      </c>
      <c r="H49" s="18">
        <v>256</v>
      </c>
      <c r="I49" s="18">
        <v>2</v>
      </c>
      <c r="J49" s="18">
        <v>2</v>
      </c>
      <c r="K49" s="3">
        <v>2.4116600000000004</v>
      </c>
      <c r="N49">
        <v>13056</v>
      </c>
      <c r="P49">
        <v>256</v>
      </c>
      <c r="Q49">
        <v>2</v>
      </c>
      <c r="R49">
        <v>2</v>
      </c>
      <c r="S49">
        <v>2.1753400000000003</v>
      </c>
      <c r="U49">
        <v>13056</v>
      </c>
      <c r="W49">
        <v>256</v>
      </c>
      <c r="X49">
        <v>2</v>
      </c>
      <c r="Y49">
        <v>2</v>
      </c>
      <c r="Z49">
        <v>2.4116600000000004</v>
      </c>
    </row>
    <row r="50" spans="1:26" x14ac:dyDescent="0.25">
      <c r="A50" s="18">
        <v>13824</v>
      </c>
      <c r="B50" s="18">
        <v>256</v>
      </c>
      <c r="C50" s="18">
        <v>2</v>
      </c>
      <c r="D50" s="18">
        <v>2</v>
      </c>
      <c r="E50" s="3">
        <v>2.19034</v>
      </c>
      <c r="G50" s="18">
        <v>13824</v>
      </c>
      <c r="H50" s="18">
        <v>256</v>
      </c>
      <c r="I50" s="18">
        <v>2</v>
      </c>
      <c r="J50" s="18">
        <v>2</v>
      </c>
      <c r="K50" s="3">
        <v>2.4248399999999997</v>
      </c>
      <c r="N50">
        <v>13824</v>
      </c>
      <c r="P50">
        <v>256</v>
      </c>
      <c r="Q50">
        <v>2</v>
      </c>
      <c r="R50">
        <v>2</v>
      </c>
      <c r="S50">
        <v>2.19034</v>
      </c>
      <c r="U50">
        <v>13824</v>
      </c>
      <c r="W50">
        <v>256</v>
      </c>
      <c r="X50">
        <v>2</v>
      </c>
      <c r="Y50">
        <v>2</v>
      </c>
      <c r="Z50">
        <v>2.4248399999999997</v>
      </c>
    </row>
    <row r="51" spans="1:26" x14ac:dyDescent="0.25">
      <c r="A51" s="18">
        <v>14592</v>
      </c>
      <c r="B51" s="18">
        <v>256</v>
      </c>
      <c r="C51" s="18">
        <v>2</v>
      </c>
      <c r="D51" s="18">
        <v>2</v>
      </c>
      <c r="E51" s="3">
        <v>2.2001400000000002</v>
      </c>
      <c r="G51" s="18">
        <v>14592</v>
      </c>
      <c r="H51" s="18">
        <v>256</v>
      </c>
      <c r="I51" s="18">
        <v>2</v>
      </c>
      <c r="J51" s="18">
        <v>2</v>
      </c>
      <c r="K51" s="3">
        <v>2.4384999999999999</v>
      </c>
      <c r="N51">
        <v>14592</v>
      </c>
      <c r="P51">
        <v>256</v>
      </c>
      <c r="Q51">
        <v>2</v>
      </c>
      <c r="R51">
        <v>2</v>
      </c>
      <c r="S51">
        <v>2.2001400000000002</v>
      </c>
      <c r="U51">
        <v>14592</v>
      </c>
      <c r="W51">
        <v>256</v>
      </c>
      <c r="X51">
        <v>2</v>
      </c>
      <c r="Y51">
        <v>2</v>
      </c>
      <c r="Z51">
        <v>2.4384999999999999</v>
      </c>
    </row>
    <row r="52" spans="1:26" x14ac:dyDescent="0.25">
      <c r="A52" s="18">
        <v>13040</v>
      </c>
      <c r="B52" s="18">
        <v>80</v>
      </c>
      <c r="C52" s="18">
        <v>1</v>
      </c>
      <c r="D52" s="18">
        <v>4</v>
      </c>
      <c r="E52" s="3">
        <v>2.2000599999999997</v>
      </c>
      <c r="G52" s="18">
        <v>13040</v>
      </c>
      <c r="H52" s="18">
        <v>80</v>
      </c>
      <c r="I52" s="18">
        <v>1</v>
      </c>
      <c r="J52" s="18">
        <v>4</v>
      </c>
      <c r="K52" s="3">
        <v>2.54</v>
      </c>
    </row>
    <row r="53" spans="1:26" x14ac:dyDescent="0.25">
      <c r="A53" s="18">
        <v>13760</v>
      </c>
      <c r="B53" s="18">
        <v>80</v>
      </c>
      <c r="C53" s="18">
        <v>1</v>
      </c>
      <c r="D53" s="18">
        <v>4</v>
      </c>
      <c r="E53" s="3">
        <v>2.2037599999999999</v>
      </c>
      <c r="G53" s="18">
        <v>13760</v>
      </c>
      <c r="H53" s="18">
        <v>80</v>
      </c>
      <c r="I53" s="18">
        <v>1</v>
      </c>
      <c r="J53" s="18">
        <v>4</v>
      </c>
      <c r="K53" s="3">
        <v>2.54</v>
      </c>
    </row>
    <row r="54" spans="1:26" x14ac:dyDescent="0.25">
      <c r="A54" s="18">
        <v>14640</v>
      </c>
      <c r="B54" s="18">
        <v>80</v>
      </c>
      <c r="C54" s="18">
        <v>1</v>
      </c>
      <c r="D54" s="18">
        <v>4</v>
      </c>
      <c r="E54" s="3">
        <v>2.2136400000000003</v>
      </c>
      <c r="G54" s="18">
        <v>14640</v>
      </c>
      <c r="H54" s="18">
        <v>80</v>
      </c>
      <c r="I54" s="18">
        <v>1</v>
      </c>
      <c r="J54" s="18">
        <v>4</v>
      </c>
      <c r="K54" s="3">
        <v>2.5580000000000003</v>
      </c>
    </row>
    <row r="55" spans="1:26" x14ac:dyDescent="0.25">
      <c r="A55" s="18">
        <v>13040</v>
      </c>
      <c r="B55" s="18">
        <v>80</v>
      </c>
      <c r="C55" s="18">
        <v>2</v>
      </c>
      <c r="D55" s="18">
        <v>2</v>
      </c>
      <c r="E55" s="3">
        <v>2.2803599999999999</v>
      </c>
      <c r="G55" s="18">
        <v>13040</v>
      </c>
      <c r="H55" s="18">
        <v>80</v>
      </c>
      <c r="I55" s="18">
        <v>2</v>
      </c>
      <c r="J55" s="18">
        <v>2</v>
      </c>
      <c r="K55" s="3">
        <v>2.5579999999999998</v>
      </c>
    </row>
    <row r="56" spans="1:26" x14ac:dyDescent="0.25">
      <c r="A56" s="18">
        <v>13760</v>
      </c>
      <c r="B56" s="18">
        <v>80</v>
      </c>
      <c r="C56" s="18">
        <v>2</v>
      </c>
      <c r="D56" s="18">
        <v>2</v>
      </c>
      <c r="E56" s="3">
        <v>2.2898199999999997</v>
      </c>
      <c r="G56" s="18">
        <v>13760</v>
      </c>
      <c r="H56" s="18">
        <v>80</v>
      </c>
      <c r="I56" s="18">
        <v>2</v>
      </c>
      <c r="J56" s="18">
        <v>2</v>
      </c>
      <c r="K56" s="3">
        <v>2.54</v>
      </c>
    </row>
    <row r="57" spans="1:26" x14ac:dyDescent="0.25">
      <c r="A57" s="18">
        <v>14640</v>
      </c>
      <c r="B57" s="18">
        <v>80</v>
      </c>
      <c r="C57" s="18">
        <v>2</v>
      </c>
      <c r="D57" s="18">
        <v>2</v>
      </c>
      <c r="E57" s="3">
        <v>2.29392</v>
      </c>
      <c r="G57" s="18">
        <v>14640</v>
      </c>
      <c r="H57" s="18">
        <v>80</v>
      </c>
      <c r="I57" s="18">
        <v>2</v>
      </c>
      <c r="J57" s="18">
        <v>2</v>
      </c>
      <c r="K57" s="3">
        <v>2.552</v>
      </c>
    </row>
    <row r="58" spans="1:26" x14ac:dyDescent="0.25">
      <c r="A58" s="18">
        <v>13040</v>
      </c>
      <c r="B58" s="18">
        <v>80</v>
      </c>
      <c r="C58" s="18">
        <v>4</v>
      </c>
      <c r="D58" s="18">
        <v>1</v>
      </c>
      <c r="E58" s="3">
        <v>2.23922</v>
      </c>
      <c r="G58" s="18">
        <v>12992</v>
      </c>
      <c r="H58" s="18">
        <v>112</v>
      </c>
      <c r="I58" s="18">
        <v>1</v>
      </c>
      <c r="J58" s="18">
        <v>4</v>
      </c>
      <c r="K58" s="3">
        <v>2.512</v>
      </c>
    </row>
    <row r="59" spans="1:26" x14ac:dyDescent="0.25">
      <c r="A59" s="18">
        <v>13760</v>
      </c>
      <c r="B59" s="18">
        <v>80</v>
      </c>
      <c r="C59" s="18">
        <v>4</v>
      </c>
      <c r="D59" s="18">
        <v>1</v>
      </c>
      <c r="E59" s="3">
        <v>2.23922</v>
      </c>
      <c r="G59" s="18">
        <v>13776</v>
      </c>
      <c r="H59" s="18">
        <v>112</v>
      </c>
      <c r="I59" s="18">
        <v>1</v>
      </c>
      <c r="J59" s="18">
        <v>4</v>
      </c>
      <c r="K59" s="3">
        <v>2.5119999999999996</v>
      </c>
    </row>
    <row r="60" spans="1:26" x14ac:dyDescent="0.25">
      <c r="A60" s="18">
        <v>14640</v>
      </c>
      <c r="B60" s="18">
        <v>80</v>
      </c>
      <c r="C60" s="18">
        <v>4</v>
      </c>
      <c r="D60" s="18">
        <v>1</v>
      </c>
      <c r="E60" s="3">
        <v>2.23922</v>
      </c>
      <c r="G60" s="18">
        <v>14560</v>
      </c>
      <c r="H60" s="18">
        <v>112</v>
      </c>
      <c r="I60" s="18">
        <v>1</v>
      </c>
      <c r="J60" s="18">
        <v>4</v>
      </c>
      <c r="K60" s="3">
        <v>2.5119999999999996</v>
      </c>
    </row>
    <row r="61" spans="1:26" x14ac:dyDescent="0.25">
      <c r="A61" s="18">
        <v>12992</v>
      </c>
      <c r="B61" s="18">
        <v>112</v>
      </c>
      <c r="C61" s="18">
        <v>1</v>
      </c>
      <c r="D61" s="18">
        <v>4</v>
      </c>
      <c r="E61" s="3">
        <v>2.23922</v>
      </c>
      <c r="G61" s="18">
        <v>12992</v>
      </c>
      <c r="H61" s="18">
        <v>112</v>
      </c>
      <c r="I61" s="18">
        <v>2</v>
      </c>
      <c r="J61" s="18">
        <v>2</v>
      </c>
      <c r="K61" s="3">
        <v>2.52</v>
      </c>
    </row>
    <row r="62" spans="1:26" x14ac:dyDescent="0.25">
      <c r="A62" s="18">
        <v>13776</v>
      </c>
      <c r="B62" s="18">
        <v>112</v>
      </c>
      <c r="C62" s="18">
        <v>1</v>
      </c>
      <c r="D62" s="18">
        <v>4</v>
      </c>
      <c r="E62" s="3">
        <v>2.2280000000000002</v>
      </c>
      <c r="G62" s="18">
        <v>13776</v>
      </c>
      <c r="H62" s="18">
        <v>112</v>
      </c>
      <c r="I62" s="18">
        <v>2</v>
      </c>
      <c r="J62" s="18">
        <v>2</v>
      </c>
      <c r="K62" s="3">
        <v>2.496</v>
      </c>
    </row>
    <row r="63" spans="1:26" x14ac:dyDescent="0.25">
      <c r="A63" s="18">
        <v>14560</v>
      </c>
      <c r="B63" s="18">
        <v>112</v>
      </c>
      <c r="C63" s="18">
        <v>1</v>
      </c>
      <c r="D63" s="18">
        <v>4</v>
      </c>
      <c r="E63" s="3">
        <v>2.2358600000000002</v>
      </c>
      <c r="G63" s="18">
        <v>14560</v>
      </c>
      <c r="H63" s="18">
        <v>112</v>
      </c>
      <c r="I63" s="18">
        <v>2</v>
      </c>
      <c r="J63" s="18">
        <v>2</v>
      </c>
      <c r="K63" s="3">
        <v>2.5219999999999994</v>
      </c>
    </row>
    <row r="64" spans="1:26" x14ac:dyDescent="0.25">
      <c r="A64" s="18">
        <v>12992</v>
      </c>
      <c r="B64" s="18">
        <v>112</v>
      </c>
      <c r="C64" s="18">
        <v>2</v>
      </c>
      <c r="D64" s="18">
        <v>2</v>
      </c>
      <c r="E64" s="3">
        <v>2.2609599999999999</v>
      </c>
      <c r="G64" s="18">
        <v>12960</v>
      </c>
      <c r="H64" s="18">
        <v>144</v>
      </c>
      <c r="I64" s="18">
        <v>1</v>
      </c>
      <c r="J64" s="18">
        <v>4</v>
      </c>
      <c r="K64" s="3">
        <v>2.492</v>
      </c>
    </row>
    <row r="65" spans="1:11" x14ac:dyDescent="0.25">
      <c r="A65" s="18">
        <v>13776</v>
      </c>
      <c r="B65" s="18">
        <v>112</v>
      </c>
      <c r="C65" s="18">
        <v>2</v>
      </c>
      <c r="D65" s="18">
        <v>2</v>
      </c>
      <c r="E65" s="3">
        <v>2.3001399999999999</v>
      </c>
      <c r="G65" s="18">
        <v>13824</v>
      </c>
      <c r="H65" s="18">
        <v>144</v>
      </c>
      <c r="I65" s="18">
        <v>1</v>
      </c>
      <c r="J65" s="18">
        <v>4</v>
      </c>
      <c r="K65" s="3">
        <v>2.4900000000000002</v>
      </c>
    </row>
    <row r="66" spans="1:11" x14ac:dyDescent="0.25">
      <c r="A66" s="18">
        <v>14560</v>
      </c>
      <c r="B66" s="18">
        <v>112</v>
      </c>
      <c r="C66" s="18">
        <v>2</v>
      </c>
      <c r="D66" s="18">
        <v>2</v>
      </c>
      <c r="E66" s="3">
        <v>2.3064799999999996</v>
      </c>
      <c r="G66" s="18">
        <v>14544</v>
      </c>
      <c r="H66" s="18">
        <v>144</v>
      </c>
      <c r="I66" s="18">
        <v>1</v>
      </c>
      <c r="J66" s="18">
        <v>4</v>
      </c>
      <c r="K66" s="3">
        <v>2.5099999999999998</v>
      </c>
    </row>
    <row r="67" spans="1:11" x14ac:dyDescent="0.25">
      <c r="A67" s="18">
        <v>12960</v>
      </c>
      <c r="B67" s="18">
        <v>144</v>
      </c>
      <c r="C67" s="18">
        <v>1</v>
      </c>
      <c r="D67" s="18">
        <v>4</v>
      </c>
      <c r="E67" s="3">
        <v>2.2793400000000004</v>
      </c>
      <c r="G67" s="18">
        <v>12960</v>
      </c>
      <c r="H67" s="18">
        <v>144</v>
      </c>
      <c r="I67" s="18">
        <v>2</v>
      </c>
      <c r="J67" s="18">
        <v>2</v>
      </c>
      <c r="K67" s="3">
        <v>2.496</v>
      </c>
    </row>
    <row r="68" spans="1:11" x14ac:dyDescent="0.25">
      <c r="A68" s="18">
        <v>13824</v>
      </c>
      <c r="B68" s="18">
        <v>144</v>
      </c>
      <c r="C68" s="18">
        <v>1</v>
      </c>
      <c r="D68" s="18">
        <v>4</v>
      </c>
      <c r="E68" s="3">
        <v>2.2202400000000004</v>
      </c>
      <c r="G68" s="18">
        <v>13824</v>
      </c>
      <c r="H68" s="18">
        <v>144</v>
      </c>
      <c r="I68" s="18">
        <v>2</v>
      </c>
      <c r="J68" s="18">
        <v>2</v>
      </c>
      <c r="K68" s="3">
        <v>2.496</v>
      </c>
    </row>
    <row r="69" spans="1:11" x14ac:dyDescent="0.25">
      <c r="A69" s="18">
        <v>14544</v>
      </c>
      <c r="B69" s="18">
        <v>144</v>
      </c>
      <c r="C69" s="18">
        <v>1</v>
      </c>
      <c r="D69" s="18">
        <v>4</v>
      </c>
      <c r="E69" s="3">
        <v>2.21936</v>
      </c>
      <c r="G69" s="18">
        <v>14544</v>
      </c>
      <c r="H69" s="18">
        <v>144</v>
      </c>
      <c r="I69" s="18">
        <v>2</v>
      </c>
      <c r="J69" s="18">
        <v>2</v>
      </c>
      <c r="K69" s="3">
        <v>2.5099999999999998</v>
      </c>
    </row>
    <row r="70" spans="1:11" x14ac:dyDescent="0.25">
      <c r="A70" s="18">
        <v>12960</v>
      </c>
      <c r="B70" s="18">
        <v>144</v>
      </c>
      <c r="C70" s="18">
        <v>2</v>
      </c>
      <c r="D70" s="18">
        <v>2</v>
      </c>
      <c r="E70" s="3">
        <v>2.2619599999999997</v>
      </c>
      <c r="G70" s="18">
        <v>13024</v>
      </c>
      <c r="H70" s="18">
        <v>176</v>
      </c>
      <c r="I70" s="18">
        <v>1</v>
      </c>
      <c r="J70" s="18">
        <v>4</v>
      </c>
      <c r="K70" s="3">
        <v>2.496</v>
      </c>
    </row>
    <row r="71" spans="1:11" x14ac:dyDescent="0.25">
      <c r="A71" s="18">
        <v>13824</v>
      </c>
      <c r="B71" s="18">
        <v>144</v>
      </c>
      <c r="C71" s="18">
        <v>2</v>
      </c>
      <c r="D71" s="18">
        <v>2</v>
      </c>
      <c r="E71" s="3">
        <v>2.2650200000000003</v>
      </c>
      <c r="G71" s="18">
        <v>13728</v>
      </c>
      <c r="H71" s="18">
        <v>176</v>
      </c>
      <c r="I71" s="18">
        <v>1</v>
      </c>
      <c r="J71" s="18">
        <v>4</v>
      </c>
      <c r="K71" s="3">
        <v>2.4720000000000004</v>
      </c>
    </row>
    <row r="72" spans="1:11" x14ac:dyDescent="0.25">
      <c r="A72" s="18">
        <v>14544</v>
      </c>
      <c r="B72" s="18">
        <v>144</v>
      </c>
      <c r="C72" s="18">
        <v>2</v>
      </c>
      <c r="D72" s="18">
        <v>2</v>
      </c>
      <c r="E72" s="3">
        <v>2.26858</v>
      </c>
      <c r="G72" s="18">
        <v>14608</v>
      </c>
      <c r="H72" s="18">
        <v>176</v>
      </c>
      <c r="I72" s="18">
        <v>1</v>
      </c>
      <c r="J72" s="18">
        <v>4</v>
      </c>
      <c r="K72" s="3">
        <v>2.492</v>
      </c>
    </row>
    <row r="73" spans="1:11" x14ac:dyDescent="0.25">
      <c r="A73" s="18">
        <v>13024</v>
      </c>
      <c r="B73" s="18">
        <v>176</v>
      </c>
      <c r="C73" s="18">
        <v>1</v>
      </c>
      <c r="D73" s="18">
        <v>4</v>
      </c>
      <c r="E73" s="3">
        <v>2.2527399999999997</v>
      </c>
      <c r="G73" s="18">
        <v>13024</v>
      </c>
      <c r="H73" s="18">
        <v>176</v>
      </c>
      <c r="I73" s="18">
        <v>2</v>
      </c>
      <c r="J73" s="18">
        <v>2</v>
      </c>
      <c r="K73" s="3">
        <v>2.4780000000000002</v>
      </c>
    </row>
    <row r="74" spans="1:11" x14ac:dyDescent="0.25">
      <c r="A74" s="18">
        <v>13728</v>
      </c>
      <c r="B74" s="18">
        <v>176</v>
      </c>
      <c r="C74" s="18">
        <v>1</v>
      </c>
      <c r="D74" s="18">
        <v>4</v>
      </c>
      <c r="E74" s="3">
        <v>2.1960600000000001</v>
      </c>
      <c r="G74" s="18">
        <v>13728</v>
      </c>
      <c r="H74" s="18">
        <v>176</v>
      </c>
      <c r="I74" s="18">
        <v>2</v>
      </c>
      <c r="J74" s="18">
        <v>2</v>
      </c>
      <c r="K74" s="3">
        <v>2.48</v>
      </c>
    </row>
    <row r="75" spans="1:11" x14ac:dyDescent="0.25">
      <c r="A75" s="18">
        <v>14608</v>
      </c>
      <c r="B75" s="18">
        <v>176</v>
      </c>
      <c r="C75" s="18">
        <v>1</v>
      </c>
      <c r="D75" s="18">
        <v>4</v>
      </c>
      <c r="E75" s="3">
        <v>2.2075800000000001</v>
      </c>
      <c r="G75" s="18">
        <v>14608</v>
      </c>
      <c r="H75" s="18">
        <v>176</v>
      </c>
      <c r="I75" s="18">
        <v>2</v>
      </c>
      <c r="J75" s="18">
        <v>2</v>
      </c>
      <c r="K75" s="3">
        <v>2.48</v>
      </c>
    </row>
    <row r="76" spans="1:11" x14ac:dyDescent="0.25">
      <c r="A76" s="18">
        <v>13024</v>
      </c>
      <c r="B76" s="18">
        <v>176</v>
      </c>
      <c r="C76" s="18">
        <v>2</v>
      </c>
      <c r="D76" s="18">
        <v>2</v>
      </c>
      <c r="E76" s="3">
        <v>2.2309599999999996</v>
      </c>
      <c r="G76" s="18">
        <v>0</v>
      </c>
      <c r="H76" s="18">
        <v>0</v>
      </c>
      <c r="I76" s="18">
        <v>0</v>
      </c>
      <c r="J76" s="18">
        <v>0</v>
      </c>
      <c r="K76" s="3">
        <v>0</v>
      </c>
    </row>
    <row r="77" spans="1:11" x14ac:dyDescent="0.25">
      <c r="A77" s="18">
        <v>13728</v>
      </c>
      <c r="B77" s="18">
        <v>176</v>
      </c>
      <c r="C77" s="18">
        <v>2</v>
      </c>
      <c r="D77" s="18">
        <v>2</v>
      </c>
      <c r="E77" s="3">
        <v>2.2612999999999999</v>
      </c>
      <c r="G77" s="18">
        <v>0</v>
      </c>
      <c r="H77" s="18">
        <v>0</v>
      </c>
      <c r="I77" s="18">
        <v>0</v>
      </c>
      <c r="J77" s="18">
        <v>0</v>
      </c>
      <c r="K77" s="3">
        <v>0</v>
      </c>
    </row>
    <row r="78" spans="1:11" x14ac:dyDescent="0.25">
      <c r="A78" s="18">
        <v>14608</v>
      </c>
      <c r="B78" s="18">
        <v>176</v>
      </c>
      <c r="C78" s="18">
        <v>2</v>
      </c>
      <c r="D78" s="18">
        <v>2</v>
      </c>
      <c r="E78" s="3">
        <v>2.27244</v>
      </c>
      <c r="G78" s="18">
        <v>0</v>
      </c>
      <c r="H78" s="18">
        <v>0</v>
      </c>
      <c r="I78" s="18">
        <v>0</v>
      </c>
      <c r="J78" s="18">
        <v>0</v>
      </c>
      <c r="K78" s="3">
        <v>0</v>
      </c>
    </row>
    <row r="79" spans="1:11" x14ac:dyDescent="0.25">
      <c r="A79" s="18">
        <v>13056</v>
      </c>
      <c r="B79" s="18">
        <v>64</v>
      </c>
      <c r="C79" s="18">
        <v>4</v>
      </c>
      <c r="D79" s="18">
        <v>1</v>
      </c>
      <c r="E79" s="3">
        <v>0</v>
      </c>
      <c r="G79" s="18">
        <v>0</v>
      </c>
      <c r="H79" s="18">
        <v>0</v>
      </c>
      <c r="I79" s="18">
        <v>0</v>
      </c>
      <c r="J79" s="18">
        <v>0</v>
      </c>
      <c r="K79" s="3">
        <v>0</v>
      </c>
    </row>
    <row r="80" spans="1:11" x14ac:dyDescent="0.25">
      <c r="A80" s="18">
        <v>13824</v>
      </c>
      <c r="B80" s="18">
        <v>64</v>
      </c>
      <c r="C80" s="18">
        <v>4</v>
      </c>
      <c r="D80" s="18">
        <v>1</v>
      </c>
      <c r="E80" s="3">
        <v>0</v>
      </c>
      <c r="G80" s="18">
        <v>0</v>
      </c>
      <c r="H80" s="18">
        <v>0</v>
      </c>
      <c r="I80" s="18">
        <v>0</v>
      </c>
      <c r="J80" s="18">
        <v>0</v>
      </c>
      <c r="K80" s="3">
        <v>0</v>
      </c>
    </row>
    <row r="81" spans="1:11" x14ac:dyDescent="0.25">
      <c r="A81" s="18">
        <v>14592</v>
      </c>
      <c r="B81" s="18">
        <v>64</v>
      </c>
      <c r="C81" s="18">
        <v>4</v>
      </c>
      <c r="D81" s="18">
        <v>1</v>
      </c>
      <c r="E81" s="3">
        <v>0</v>
      </c>
      <c r="G81" s="18">
        <v>0</v>
      </c>
      <c r="H81" s="18">
        <v>0</v>
      </c>
      <c r="I81" s="18">
        <v>0</v>
      </c>
      <c r="J81" s="18">
        <v>0</v>
      </c>
      <c r="K81" s="3">
        <v>0</v>
      </c>
    </row>
    <row r="82" spans="1:11" x14ac:dyDescent="0.25">
      <c r="A82" s="18">
        <v>13056</v>
      </c>
      <c r="B82" s="18">
        <v>96</v>
      </c>
      <c r="C82" s="18">
        <v>4</v>
      </c>
      <c r="D82" s="18">
        <v>1</v>
      </c>
      <c r="E82" s="3">
        <v>0</v>
      </c>
      <c r="G82" s="18">
        <v>0</v>
      </c>
      <c r="H82" s="18">
        <v>0</v>
      </c>
      <c r="I82" s="18">
        <v>0</v>
      </c>
      <c r="J82" s="18">
        <v>0</v>
      </c>
      <c r="K82" s="3">
        <v>0</v>
      </c>
    </row>
    <row r="83" spans="1:11" x14ac:dyDescent="0.25">
      <c r="A83" s="18">
        <v>13824</v>
      </c>
      <c r="B83" s="18">
        <v>96</v>
      </c>
      <c r="C83" s="18">
        <v>4</v>
      </c>
      <c r="D83" s="18">
        <v>1</v>
      </c>
      <c r="E83" s="3">
        <v>0</v>
      </c>
      <c r="G83" s="18">
        <v>0</v>
      </c>
      <c r="H83" s="18">
        <v>0</v>
      </c>
      <c r="I83" s="18">
        <v>0</v>
      </c>
      <c r="J83" s="18">
        <v>0</v>
      </c>
      <c r="K83" s="3">
        <v>0</v>
      </c>
    </row>
    <row r="84" spans="1:11" x14ac:dyDescent="0.25">
      <c r="A84" s="18">
        <v>14592</v>
      </c>
      <c r="B84" s="18">
        <v>96</v>
      </c>
      <c r="C84" s="18">
        <v>4</v>
      </c>
      <c r="D84" s="18">
        <v>1</v>
      </c>
      <c r="E84" s="3">
        <v>0</v>
      </c>
      <c r="G84" s="18">
        <v>0</v>
      </c>
      <c r="H84" s="18">
        <v>0</v>
      </c>
      <c r="I84" s="18">
        <v>0</v>
      </c>
      <c r="J84" s="18">
        <v>0</v>
      </c>
      <c r="K84" s="3">
        <v>0</v>
      </c>
    </row>
    <row r="85" spans="1:11" x14ac:dyDescent="0.25">
      <c r="A85" s="18">
        <v>0</v>
      </c>
      <c r="B85" s="18">
        <v>0</v>
      </c>
      <c r="C85" s="18">
        <v>0</v>
      </c>
      <c r="D85" s="18">
        <v>0</v>
      </c>
      <c r="E85" s="3">
        <v>0</v>
      </c>
      <c r="G85" s="18">
        <v>0</v>
      </c>
      <c r="H85" s="18">
        <v>0</v>
      </c>
      <c r="I85" s="18">
        <v>0</v>
      </c>
      <c r="J85" s="18">
        <v>0</v>
      </c>
      <c r="K85" s="3">
        <v>0</v>
      </c>
    </row>
    <row r="86" spans="1:11" x14ac:dyDescent="0.25">
      <c r="A86" s="18">
        <v>0</v>
      </c>
      <c r="B86" s="18">
        <v>0</v>
      </c>
      <c r="C86" s="18">
        <v>0</v>
      </c>
      <c r="D86" s="18">
        <v>0</v>
      </c>
      <c r="E86" s="3">
        <v>0</v>
      </c>
      <c r="G86" s="18">
        <v>0</v>
      </c>
      <c r="H86" s="18">
        <v>0</v>
      </c>
      <c r="I86" s="18">
        <v>0</v>
      </c>
      <c r="J86" s="18">
        <v>0</v>
      </c>
      <c r="K86" s="3">
        <v>0</v>
      </c>
    </row>
    <row r="87" spans="1:11" x14ac:dyDescent="0.25">
      <c r="A87" s="18">
        <v>0</v>
      </c>
      <c r="B87" s="18">
        <v>0</v>
      </c>
      <c r="C87" s="18">
        <v>0</v>
      </c>
      <c r="D87" s="18">
        <v>0</v>
      </c>
      <c r="E87" s="3">
        <v>0</v>
      </c>
      <c r="G87" s="18">
        <v>0</v>
      </c>
      <c r="H87" s="18">
        <v>0</v>
      </c>
      <c r="I87" s="18">
        <v>0</v>
      </c>
      <c r="J87" s="18">
        <v>0</v>
      </c>
      <c r="K87" s="3">
        <v>0</v>
      </c>
    </row>
    <row r="88" spans="1:11" x14ac:dyDescent="0.25">
      <c r="A88" s="18">
        <v>0</v>
      </c>
      <c r="B88" s="18">
        <v>0</v>
      </c>
      <c r="C88" s="18">
        <v>0</v>
      </c>
      <c r="D88" s="18">
        <v>0</v>
      </c>
      <c r="E88" s="3">
        <v>0</v>
      </c>
      <c r="G88" s="18">
        <v>0</v>
      </c>
      <c r="H88" s="18">
        <v>0</v>
      </c>
      <c r="I88" s="18">
        <v>0</v>
      </c>
      <c r="J88" s="18">
        <v>0</v>
      </c>
      <c r="K88" s="3">
        <v>0</v>
      </c>
    </row>
    <row r="89" spans="1:11" x14ac:dyDescent="0.25">
      <c r="A89" s="18">
        <v>0</v>
      </c>
      <c r="B89" s="18">
        <v>0</v>
      </c>
      <c r="C89" s="18">
        <v>0</v>
      </c>
      <c r="D89" s="18">
        <v>0</v>
      </c>
      <c r="E89" s="3">
        <v>0</v>
      </c>
      <c r="G89" s="18">
        <v>0</v>
      </c>
      <c r="H89" s="18">
        <v>0</v>
      </c>
      <c r="I89" s="18">
        <v>0</v>
      </c>
      <c r="J89" s="18">
        <v>0</v>
      </c>
      <c r="K89" s="3">
        <v>0</v>
      </c>
    </row>
    <row r="90" spans="1:11" x14ac:dyDescent="0.25">
      <c r="A90" s="18">
        <v>0</v>
      </c>
      <c r="B90" s="18">
        <v>0</v>
      </c>
      <c r="C90" s="18">
        <v>0</v>
      </c>
      <c r="D90" s="18">
        <v>0</v>
      </c>
      <c r="E90" s="3">
        <v>0</v>
      </c>
      <c r="G90" s="18">
        <v>0</v>
      </c>
      <c r="H90" s="18">
        <v>0</v>
      </c>
      <c r="I90" s="18">
        <v>0</v>
      </c>
      <c r="J90" s="18">
        <v>0</v>
      </c>
      <c r="K90" s="3">
        <v>0</v>
      </c>
    </row>
    <row r="91" spans="1:11" x14ac:dyDescent="0.25">
      <c r="A91" s="18">
        <v>0</v>
      </c>
      <c r="B91" s="18">
        <v>0</v>
      </c>
      <c r="C91" s="18">
        <v>0</v>
      </c>
      <c r="D91" s="18">
        <v>0</v>
      </c>
      <c r="E91" s="3">
        <v>0</v>
      </c>
      <c r="G91" s="18">
        <v>0</v>
      </c>
      <c r="H91" s="18">
        <v>0</v>
      </c>
      <c r="I91" s="18">
        <v>0</v>
      </c>
      <c r="J91" s="18">
        <v>0</v>
      </c>
      <c r="K91" s="3">
        <v>0</v>
      </c>
    </row>
    <row r="92" spans="1:11" x14ac:dyDescent="0.25">
      <c r="A92" s="18">
        <v>0</v>
      </c>
      <c r="B92" s="18">
        <v>0</v>
      </c>
      <c r="C92" s="18">
        <v>0</v>
      </c>
      <c r="D92" s="18">
        <v>0</v>
      </c>
      <c r="E92" s="3">
        <v>0</v>
      </c>
      <c r="G92" s="18">
        <v>0</v>
      </c>
      <c r="H92" s="18">
        <v>0</v>
      </c>
      <c r="I92" s="18">
        <v>0</v>
      </c>
      <c r="J92" s="18">
        <v>0</v>
      </c>
      <c r="K92" s="3">
        <v>0</v>
      </c>
    </row>
    <row r="93" spans="1:11" x14ac:dyDescent="0.25">
      <c r="A93" s="18">
        <v>0</v>
      </c>
      <c r="B93" s="18">
        <v>0</v>
      </c>
      <c r="C93" s="18">
        <v>0</v>
      </c>
      <c r="D93" s="18">
        <v>0</v>
      </c>
      <c r="E93" s="3">
        <v>0</v>
      </c>
      <c r="G93" s="18">
        <v>0</v>
      </c>
      <c r="H93" s="18">
        <v>0</v>
      </c>
      <c r="I93" s="18">
        <v>0</v>
      </c>
      <c r="J93" s="18">
        <v>0</v>
      </c>
      <c r="K93" s="3">
        <v>0</v>
      </c>
    </row>
    <row r="94" spans="1:11" x14ac:dyDescent="0.25">
      <c r="A94" s="18">
        <v>0</v>
      </c>
      <c r="B94" s="18">
        <v>0</v>
      </c>
      <c r="C94" s="18">
        <v>0</v>
      </c>
      <c r="D94" s="18">
        <v>0</v>
      </c>
      <c r="E94" s="3">
        <v>0</v>
      </c>
      <c r="G94" s="18">
        <v>0</v>
      </c>
      <c r="H94" s="18">
        <v>0</v>
      </c>
      <c r="I94" s="18">
        <v>0</v>
      </c>
      <c r="J94" s="18">
        <v>0</v>
      </c>
      <c r="K94" s="3">
        <v>0</v>
      </c>
    </row>
    <row r="95" spans="1:11" x14ac:dyDescent="0.25">
      <c r="A95" s="18">
        <v>0</v>
      </c>
      <c r="B95" s="18">
        <v>0</v>
      </c>
      <c r="C95" s="18">
        <v>0</v>
      </c>
      <c r="D95" s="18">
        <v>0</v>
      </c>
      <c r="E95" s="3">
        <v>0</v>
      </c>
      <c r="G95" s="18">
        <v>0</v>
      </c>
      <c r="H95" s="18">
        <v>0</v>
      </c>
      <c r="I95" s="18">
        <v>0</v>
      </c>
      <c r="J95" s="18">
        <v>0</v>
      </c>
      <c r="K95" s="3">
        <v>0</v>
      </c>
    </row>
    <row r="96" spans="1:11" x14ac:dyDescent="0.25">
      <c r="A96" s="18">
        <v>0</v>
      </c>
      <c r="B96" s="18">
        <v>0</v>
      </c>
      <c r="C96" s="18">
        <v>0</v>
      </c>
      <c r="D96" s="18">
        <v>0</v>
      </c>
      <c r="E96" s="3">
        <v>0</v>
      </c>
      <c r="G96" s="18">
        <v>0</v>
      </c>
      <c r="H96" s="18">
        <v>0</v>
      </c>
      <c r="I96" s="18">
        <v>0</v>
      </c>
      <c r="J96" s="18">
        <v>0</v>
      </c>
      <c r="K96" s="3">
        <v>0</v>
      </c>
    </row>
    <row r="97" spans="1:11" x14ac:dyDescent="0.25">
      <c r="A97" s="18">
        <v>0</v>
      </c>
      <c r="B97" s="18">
        <v>0</v>
      </c>
      <c r="C97" s="18">
        <v>0</v>
      </c>
      <c r="D97" s="18">
        <v>0</v>
      </c>
      <c r="E97" s="3">
        <v>0</v>
      </c>
      <c r="G97" s="18">
        <v>0</v>
      </c>
      <c r="H97" s="18">
        <v>0</v>
      </c>
      <c r="I97" s="18">
        <v>0</v>
      </c>
      <c r="J97" s="18">
        <v>0</v>
      </c>
      <c r="K97" s="3">
        <v>0</v>
      </c>
    </row>
    <row r="98" spans="1:11" x14ac:dyDescent="0.25">
      <c r="A98" s="18">
        <v>0</v>
      </c>
      <c r="B98" s="18">
        <v>0</v>
      </c>
      <c r="C98" s="18">
        <v>0</v>
      </c>
      <c r="D98" s="18">
        <v>0</v>
      </c>
      <c r="E98" s="3">
        <v>0</v>
      </c>
      <c r="G98" s="18">
        <v>0</v>
      </c>
      <c r="H98" s="18">
        <v>0</v>
      </c>
      <c r="I98" s="18">
        <v>0</v>
      </c>
      <c r="J98" s="18">
        <v>0</v>
      </c>
      <c r="K98" s="3">
        <v>0</v>
      </c>
    </row>
    <row r="99" spans="1:11" x14ac:dyDescent="0.25">
      <c r="A99" s="18">
        <v>0</v>
      </c>
      <c r="B99" s="18">
        <v>0</v>
      </c>
      <c r="C99" s="18">
        <v>0</v>
      </c>
      <c r="D99" s="18">
        <v>0</v>
      </c>
      <c r="E99" s="3">
        <v>0</v>
      </c>
      <c r="G99" s="18">
        <v>0</v>
      </c>
      <c r="H99" s="18">
        <v>0</v>
      </c>
      <c r="I99" s="18">
        <v>0</v>
      </c>
      <c r="J99" s="18">
        <v>0</v>
      </c>
      <c r="K99" s="3">
        <v>0</v>
      </c>
    </row>
    <row r="100" spans="1:11" x14ac:dyDescent="0.25">
      <c r="A100" s="18">
        <v>0</v>
      </c>
      <c r="B100" s="18">
        <v>0</v>
      </c>
      <c r="C100" s="18">
        <v>0</v>
      </c>
      <c r="D100" s="18">
        <v>0</v>
      </c>
      <c r="E100" s="3">
        <v>0</v>
      </c>
      <c r="G100" s="18">
        <v>0</v>
      </c>
      <c r="H100" s="18">
        <v>0</v>
      </c>
      <c r="I100" s="18">
        <v>0</v>
      </c>
      <c r="J100" s="18">
        <v>0</v>
      </c>
      <c r="K100" s="3">
        <v>0</v>
      </c>
    </row>
    <row r="101" spans="1:11" x14ac:dyDescent="0.25">
      <c r="A101" s="18">
        <v>0</v>
      </c>
      <c r="B101" s="18">
        <v>0</v>
      </c>
      <c r="C101" s="18">
        <v>0</v>
      </c>
      <c r="D101" s="18">
        <v>0</v>
      </c>
      <c r="E101" s="3">
        <v>0</v>
      </c>
      <c r="G101" s="18">
        <v>0</v>
      </c>
      <c r="H101" s="18">
        <v>0</v>
      </c>
      <c r="I101" s="18">
        <v>0</v>
      </c>
      <c r="J101" s="18">
        <v>0</v>
      </c>
      <c r="K101" s="3">
        <v>0</v>
      </c>
    </row>
    <row r="102" spans="1:11" x14ac:dyDescent="0.25">
      <c r="A102" s="18">
        <v>0</v>
      </c>
      <c r="B102" s="18">
        <v>0</v>
      </c>
      <c r="C102" s="18">
        <v>0</v>
      </c>
      <c r="D102" s="18">
        <v>0</v>
      </c>
      <c r="E102" s="3">
        <v>0</v>
      </c>
      <c r="G102" s="18">
        <v>0</v>
      </c>
      <c r="H102" s="18">
        <v>0</v>
      </c>
      <c r="I102" s="18">
        <v>0</v>
      </c>
      <c r="J102" s="18">
        <v>0</v>
      </c>
      <c r="K102" s="3">
        <v>0</v>
      </c>
    </row>
    <row r="103" spans="1:11" x14ac:dyDescent="0.25">
      <c r="A103" s="18">
        <v>0</v>
      </c>
      <c r="B103" s="18">
        <v>0</v>
      </c>
      <c r="C103" s="18">
        <v>0</v>
      </c>
      <c r="D103" s="18">
        <v>0</v>
      </c>
      <c r="E103" s="3">
        <v>0</v>
      </c>
      <c r="G103" s="18">
        <v>0</v>
      </c>
      <c r="H103" s="18">
        <v>0</v>
      </c>
      <c r="I103" s="18">
        <v>0</v>
      </c>
      <c r="J103" s="18">
        <v>0</v>
      </c>
      <c r="K103" s="3">
        <v>0</v>
      </c>
    </row>
    <row r="104" spans="1:11" x14ac:dyDescent="0.25">
      <c r="A104" s="18">
        <v>0</v>
      </c>
      <c r="B104" s="18">
        <v>0</v>
      </c>
      <c r="C104" s="18">
        <v>0</v>
      </c>
      <c r="D104" s="18">
        <v>0</v>
      </c>
      <c r="E104" s="3">
        <v>0</v>
      </c>
      <c r="G104" s="18">
        <v>0</v>
      </c>
      <c r="H104" s="18">
        <v>0</v>
      </c>
      <c r="I104" s="18">
        <v>0</v>
      </c>
      <c r="J104" s="18">
        <v>0</v>
      </c>
      <c r="K104" s="3">
        <v>0</v>
      </c>
    </row>
    <row r="105" spans="1:11" x14ac:dyDescent="0.25">
      <c r="A105" s="18">
        <v>0</v>
      </c>
      <c r="B105" s="18">
        <v>0</v>
      </c>
      <c r="C105" s="18">
        <v>0</v>
      </c>
      <c r="D105" s="18">
        <v>0</v>
      </c>
      <c r="E105" s="3">
        <v>0</v>
      </c>
      <c r="G105" s="18">
        <v>0</v>
      </c>
      <c r="H105" s="18">
        <v>0</v>
      </c>
      <c r="I105" s="18">
        <v>0</v>
      </c>
      <c r="J105" s="18">
        <v>0</v>
      </c>
      <c r="K105" s="3">
        <v>0</v>
      </c>
    </row>
    <row r="106" spans="1:11" x14ac:dyDescent="0.25">
      <c r="A106" s="18">
        <v>0</v>
      </c>
      <c r="B106" s="18">
        <v>0</v>
      </c>
      <c r="C106" s="18">
        <v>0</v>
      </c>
      <c r="D106" s="18">
        <v>0</v>
      </c>
      <c r="E106" s="3">
        <v>0</v>
      </c>
      <c r="G106" s="18">
        <v>0</v>
      </c>
      <c r="H106" s="18">
        <v>0</v>
      </c>
      <c r="I106" s="18">
        <v>0</v>
      </c>
      <c r="J106" s="18">
        <v>0</v>
      </c>
      <c r="K106" s="3">
        <v>0</v>
      </c>
    </row>
    <row r="107" spans="1:11" x14ac:dyDescent="0.25">
      <c r="A107" s="18">
        <v>0</v>
      </c>
      <c r="B107" s="18">
        <v>0</v>
      </c>
      <c r="C107" s="18">
        <v>0</v>
      </c>
      <c r="D107" s="18">
        <v>0</v>
      </c>
      <c r="E107" s="3">
        <v>0</v>
      </c>
      <c r="G107" s="18">
        <v>0</v>
      </c>
      <c r="H107" s="18">
        <v>0</v>
      </c>
      <c r="I107" s="18">
        <v>0</v>
      </c>
      <c r="J107" s="18">
        <v>0</v>
      </c>
      <c r="K107" s="3">
        <v>0</v>
      </c>
    </row>
    <row r="108" spans="1:11" x14ac:dyDescent="0.25">
      <c r="A108" s="18">
        <v>0</v>
      </c>
      <c r="B108" s="18">
        <v>0</v>
      </c>
      <c r="C108" s="18">
        <v>0</v>
      </c>
      <c r="D108" s="18">
        <v>0</v>
      </c>
      <c r="E108" s="3">
        <v>0</v>
      </c>
      <c r="G108" s="18">
        <v>0</v>
      </c>
      <c r="H108" s="18">
        <v>0</v>
      </c>
      <c r="I108" s="18">
        <v>0</v>
      </c>
      <c r="J108" s="18">
        <v>0</v>
      </c>
      <c r="K108" s="3">
        <v>0</v>
      </c>
    </row>
    <row r="109" spans="1:11" x14ac:dyDescent="0.25">
      <c r="A109" s="18">
        <v>0</v>
      </c>
      <c r="B109" s="18">
        <v>0</v>
      </c>
      <c r="C109" s="18">
        <v>0</v>
      </c>
      <c r="D109" s="18">
        <v>0</v>
      </c>
      <c r="E109" s="3">
        <v>0</v>
      </c>
      <c r="G109" s="18">
        <v>0</v>
      </c>
      <c r="H109" s="18">
        <v>0</v>
      </c>
      <c r="I109" s="18">
        <v>0</v>
      </c>
      <c r="J109" s="18">
        <v>0</v>
      </c>
      <c r="K109" s="3">
        <v>0</v>
      </c>
    </row>
    <row r="110" spans="1:11" x14ac:dyDescent="0.25">
      <c r="A110" s="18">
        <v>0</v>
      </c>
      <c r="B110" s="18">
        <v>0</v>
      </c>
      <c r="C110" s="18">
        <v>0</v>
      </c>
      <c r="D110" s="18">
        <v>0</v>
      </c>
      <c r="E110" s="3">
        <v>0</v>
      </c>
      <c r="G110" s="18">
        <v>0</v>
      </c>
      <c r="H110" s="18">
        <v>0</v>
      </c>
      <c r="I110" s="18">
        <v>0</v>
      </c>
      <c r="J110" s="18">
        <v>0</v>
      </c>
      <c r="K110" s="3">
        <v>0</v>
      </c>
    </row>
    <row r="111" spans="1:11" x14ac:dyDescent="0.25">
      <c r="A111" s="18">
        <v>0</v>
      </c>
      <c r="B111" s="18">
        <v>0</v>
      </c>
      <c r="C111" s="18">
        <v>0</v>
      </c>
      <c r="D111" s="18">
        <v>0</v>
      </c>
      <c r="E111" s="3">
        <v>0</v>
      </c>
      <c r="G111" s="18">
        <v>0</v>
      </c>
      <c r="H111" s="18">
        <v>0</v>
      </c>
      <c r="I111" s="18">
        <v>0</v>
      </c>
      <c r="J111" s="18">
        <v>0</v>
      </c>
      <c r="K111" s="3">
        <v>0</v>
      </c>
    </row>
    <row r="112" spans="1:11" x14ac:dyDescent="0.25">
      <c r="A112" s="18">
        <v>0</v>
      </c>
      <c r="B112" s="18">
        <v>0</v>
      </c>
      <c r="C112" s="18">
        <v>0</v>
      </c>
      <c r="D112" s="18">
        <v>0</v>
      </c>
      <c r="E112" s="3">
        <v>0</v>
      </c>
      <c r="G112" s="18">
        <v>0</v>
      </c>
      <c r="H112" s="18">
        <v>0</v>
      </c>
      <c r="I112" s="18">
        <v>0</v>
      </c>
      <c r="J112" s="18">
        <v>0</v>
      </c>
      <c r="K112" s="3">
        <v>0</v>
      </c>
    </row>
    <row r="113" spans="1:11" x14ac:dyDescent="0.25">
      <c r="A113" s="18">
        <v>0</v>
      </c>
      <c r="B113" s="18">
        <v>0</v>
      </c>
      <c r="C113" s="18">
        <v>0</v>
      </c>
      <c r="D113" s="18">
        <v>0</v>
      </c>
      <c r="E113" s="3">
        <v>0</v>
      </c>
      <c r="G113" s="18">
        <v>0</v>
      </c>
      <c r="H113" s="18">
        <v>0</v>
      </c>
      <c r="I113" s="18">
        <v>0</v>
      </c>
      <c r="J113" s="18">
        <v>0</v>
      </c>
      <c r="K113" s="3">
        <v>0</v>
      </c>
    </row>
    <row r="114" spans="1:11" x14ac:dyDescent="0.25">
      <c r="A114" s="18">
        <v>0</v>
      </c>
      <c r="B114" s="18">
        <v>0</v>
      </c>
      <c r="C114" s="18">
        <v>0</v>
      </c>
      <c r="D114" s="18">
        <v>0</v>
      </c>
      <c r="E114" s="3">
        <v>0</v>
      </c>
      <c r="G114" s="18">
        <v>0</v>
      </c>
      <c r="H114" s="18">
        <v>0</v>
      </c>
      <c r="I114" s="18">
        <v>0</v>
      </c>
      <c r="J114" s="18">
        <v>0</v>
      </c>
      <c r="K114" s="3">
        <v>0</v>
      </c>
    </row>
    <row r="115" spans="1:11" x14ac:dyDescent="0.25">
      <c r="A115" s="18">
        <v>0</v>
      </c>
      <c r="B115" s="18">
        <v>0</v>
      </c>
      <c r="C115" s="18">
        <v>0</v>
      </c>
      <c r="D115" s="18">
        <v>0</v>
      </c>
      <c r="E115" s="3">
        <v>0</v>
      </c>
      <c r="G115" s="18">
        <v>0</v>
      </c>
      <c r="H115" s="18">
        <v>0</v>
      </c>
      <c r="I115" s="18">
        <v>0</v>
      </c>
      <c r="J115" s="18">
        <v>0</v>
      </c>
      <c r="K115" s="3">
        <v>0</v>
      </c>
    </row>
    <row r="116" spans="1:11" x14ac:dyDescent="0.25">
      <c r="A116" s="18">
        <v>0</v>
      </c>
      <c r="B116" s="18">
        <v>0</v>
      </c>
      <c r="C116" s="18">
        <v>0</v>
      </c>
      <c r="D116" s="18">
        <v>0</v>
      </c>
      <c r="E116" s="3">
        <v>0</v>
      </c>
      <c r="G116" s="18">
        <v>0</v>
      </c>
      <c r="H116" s="18">
        <v>0</v>
      </c>
      <c r="I116" s="18">
        <v>0</v>
      </c>
      <c r="J116" s="18">
        <v>0</v>
      </c>
      <c r="K116" s="3">
        <v>0</v>
      </c>
    </row>
    <row r="117" spans="1:11" x14ac:dyDescent="0.25">
      <c r="A117" s="18">
        <v>0</v>
      </c>
      <c r="B117" s="18">
        <v>0</v>
      </c>
      <c r="C117" s="18">
        <v>0</v>
      </c>
      <c r="D117" s="18">
        <v>0</v>
      </c>
      <c r="E117" s="3">
        <v>0</v>
      </c>
      <c r="G117" s="18">
        <v>0</v>
      </c>
      <c r="H117" s="18">
        <v>0</v>
      </c>
      <c r="I117" s="18">
        <v>0</v>
      </c>
      <c r="J117" s="18">
        <v>0</v>
      </c>
      <c r="K117" s="3">
        <v>0</v>
      </c>
    </row>
    <row r="118" spans="1:11" x14ac:dyDescent="0.25">
      <c r="A118" s="18">
        <v>0</v>
      </c>
      <c r="B118" s="18">
        <v>0</v>
      </c>
      <c r="C118" s="18">
        <v>0</v>
      </c>
      <c r="D118" s="18">
        <v>0</v>
      </c>
      <c r="E118" s="3">
        <v>0</v>
      </c>
      <c r="G118" s="18">
        <v>0</v>
      </c>
      <c r="H118" s="18">
        <v>0</v>
      </c>
      <c r="I118" s="18">
        <v>0</v>
      </c>
      <c r="J118" s="18">
        <v>0</v>
      </c>
      <c r="K118" s="3">
        <v>0</v>
      </c>
    </row>
    <row r="119" spans="1:11" x14ac:dyDescent="0.25">
      <c r="A119" s="18">
        <v>0</v>
      </c>
      <c r="B119" s="18">
        <v>0</v>
      </c>
      <c r="C119" s="18">
        <v>0</v>
      </c>
      <c r="D119" s="18">
        <v>0</v>
      </c>
      <c r="E119" s="3">
        <v>0</v>
      </c>
      <c r="G119" s="18">
        <v>0</v>
      </c>
      <c r="H119" s="18">
        <v>0</v>
      </c>
      <c r="I119" s="18">
        <v>0</v>
      </c>
      <c r="J119" s="18">
        <v>0</v>
      </c>
      <c r="K119" s="3">
        <v>0</v>
      </c>
    </row>
    <row r="120" spans="1:11" x14ac:dyDescent="0.25">
      <c r="A120" s="18">
        <v>0</v>
      </c>
      <c r="B120" s="18">
        <v>0</v>
      </c>
      <c r="C120" s="18">
        <v>0</v>
      </c>
      <c r="D120" s="18">
        <v>0</v>
      </c>
      <c r="E120" s="3">
        <v>0</v>
      </c>
      <c r="G120" s="18">
        <v>0</v>
      </c>
      <c r="H120" s="18">
        <v>0</v>
      </c>
      <c r="I120" s="18">
        <v>0</v>
      </c>
      <c r="J120" s="18">
        <v>0</v>
      </c>
      <c r="K120" s="3">
        <v>0</v>
      </c>
    </row>
    <row r="121" spans="1:11" x14ac:dyDescent="0.25">
      <c r="A121" s="18">
        <v>0</v>
      </c>
      <c r="B121" s="18">
        <v>0</v>
      </c>
      <c r="C121" s="18">
        <v>0</v>
      </c>
      <c r="D121" s="18">
        <v>0</v>
      </c>
      <c r="E121" s="3">
        <v>0</v>
      </c>
      <c r="G121" s="18">
        <v>0</v>
      </c>
      <c r="H121" s="18">
        <v>0</v>
      </c>
      <c r="I121" s="18">
        <v>0</v>
      </c>
      <c r="J121" s="18">
        <v>0</v>
      </c>
      <c r="K121" s="3">
        <v>0</v>
      </c>
    </row>
    <row r="122" spans="1:11" x14ac:dyDescent="0.25">
      <c r="A122" s="18">
        <v>0</v>
      </c>
      <c r="B122" s="18">
        <v>0</v>
      </c>
      <c r="C122" s="18">
        <v>0</v>
      </c>
      <c r="D122" s="18">
        <v>0</v>
      </c>
      <c r="E122" s="3">
        <v>0</v>
      </c>
      <c r="G122" s="18">
        <v>0</v>
      </c>
      <c r="H122" s="18">
        <v>0</v>
      </c>
      <c r="I122" s="18">
        <v>0</v>
      </c>
      <c r="J122" s="18">
        <v>0</v>
      </c>
      <c r="K122" s="3">
        <v>0</v>
      </c>
    </row>
    <row r="123" spans="1:11" x14ac:dyDescent="0.25">
      <c r="A123" s="18">
        <v>0</v>
      </c>
      <c r="B123" s="18">
        <v>0</v>
      </c>
      <c r="C123" s="18">
        <v>0</v>
      </c>
      <c r="D123" s="18">
        <v>0</v>
      </c>
      <c r="E123" s="3">
        <v>0</v>
      </c>
      <c r="G123" s="18">
        <v>0</v>
      </c>
      <c r="H123" s="18">
        <v>0</v>
      </c>
      <c r="I123" s="18">
        <v>0</v>
      </c>
      <c r="J123" s="18">
        <v>0</v>
      </c>
      <c r="K123" s="3">
        <v>0</v>
      </c>
    </row>
    <row r="124" spans="1:11" x14ac:dyDescent="0.25">
      <c r="A124" s="18">
        <v>0</v>
      </c>
      <c r="B124" s="18">
        <v>0</v>
      </c>
      <c r="C124" s="18">
        <v>0</v>
      </c>
      <c r="D124" s="18">
        <v>0</v>
      </c>
      <c r="E124" s="3">
        <v>0</v>
      </c>
      <c r="G124" s="18">
        <v>0</v>
      </c>
      <c r="H124" s="18">
        <v>0</v>
      </c>
      <c r="I124" s="18">
        <v>0</v>
      </c>
      <c r="J124" s="18">
        <v>0</v>
      </c>
      <c r="K124" s="3">
        <v>0</v>
      </c>
    </row>
    <row r="125" spans="1:11" x14ac:dyDescent="0.25">
      <c r="A125" s="18">
        <v>0</v>
      </c>
      <c r="B125" s="18">
        <v>0</v>
      </c>
      <c r="C125" s="18">
        <v>0</v>
      </c>
      <c r="D125" s="18">
        <v>0</v>
      </c>
      <c r="E125" s="3">
        <v>0</v>
      </c>
      <c r="G125" s="18">
        <v>0</v>
      </c>
      <c r="H125" s="18">
        <v>0</v>
      </c>
      <c r="I125" s="18">
        <v>0</v>
      </c>
      <c r="J125" s="18">
        <v>0</v>
      </c>
      <c r="K125" s="3">
        <v>0</v>
      </c>
    </row>
    <row r="126" spans="1:11" x14ac:dyDescent="0.25">
      <c r="A126" s="18">
        <v>0</v>
      </c>
      <c r="B126" s="18">
        <v>0</v>
      </c>
      <c r="C126" s="18">
        <v>0</v>
      </c>
      <c r="D126" s="18">
        <v>0</v>
      </c>
      <c r="E126" s="3">
        <v>0</v>
      </c>
      <c r="G126" s="18">
        <v>0</v>
      </c>
      <c r="H126" s="18">
        <v>0</v>
      </c>
      <c r="I126" s="18">
        <v>0</v>
      </c>
      <c r="J126" s="18">
        <v>0</v>
      </c>
      <c r="K126" s="3">
        <v>0</v>
      </c>
    </row>
    <row r="127" spans="1:11" x14ac:dyDescent="0.25">
      <c r="A127" s="18">
        <v>0</v>
      </c>
      <c r="B127" s="18">
        <v>0</v>
      </c>
      <c r="C127" s="18">
        <v>0</v>
      </c>
      <c r="D127" s="18">
        <v>0</v>
      </c>
      <c r="E127" s="3">
        <v>0</v>
      </c>
      <c r="G127" s="18">
        <v>0</v>
      </c>
      <c r="H127" s="18">
        <v>0</v>
      </c>
      <c r="I127" s="18">
        <v>0</v>
      </c>
      <c r="J127" s="18">
        <v>0</v>
      </c>
      <c r="K127" s="3">
        <v>0</v>
      </c>
    </row>
    <row r="128" spans="1:11" x14ac:dyDescent="0.25">
      <c r="A128" s="18">
        <v>0</v>
      </c>
      <c r="B128" s="18">
        <v>0</v>
      </c>
      <c r="C128" s="18">
        <v>0</v>
      </c>
      <c r="D128" s="18">
        <v>0</v>
      </c>
      <c r="E128" s="3">
        <v>0</v>
      </c>
      <c r="G128" s="18">
        <v>0</v>
      </c>
      <c r="H128" s="18">
        <v>0</v>
      </c>
      <c r="I128" s="18">
        <v>0</v>
      </c>
      <c r="J128" s="18">
        <v>0</v>
      </c>
      <c r="K128" s="3">
        <v>0</v>
      </c>
    </row>
    <row r="129" spans="1:11" x14ac:dyDescent="0.25">
      <c r="A129" s="18">
        <v>0</v>
      </c>
      <c r="B129" s="18">
        <v>0</v>
      </c>
      <c r="C129" s="18">
        <v>0</v>
      </c>
      <c r="D129" s="18">
        <v>0</v>
      </c>
      <c r="E129" s="3">
        <v>0</v>
      </c>
      <c r="G129" s="18">
        <v>0</v>
      </c>
      <c r="H129" s="18">
        <v>0</v>
      </c>
      <c r="I129" s="18">
        <v>0</v>
      </c>
      <c r="J129" s="18">
        <v>0</v>
      </c>
      <c r="K129" s="3">
        <v>0</v>
      </c>
    </row>
    <row r="130" spans="1:11" x14ac:dyDescent="0.25">
      <c r="A130" s="18">
        <v>0</v>
      </c>
      <c r="B130" s="18">
        <v>0</v>
      </c>
      <c r="C130" s="18">
        <v>0</v>
      </c>
      <c r="D130" s="18">
        <v>0</v>
      </c>
      <c r="E130" s="3">
        <v>0</v>
      </c>
      <c r="G130" s="18">
        <v>0</v>
      </c>
      <c r="H130" s="18">
        <v>0</v>
      </c>
      <c r="I130" s="18">
        <v>0</v>
      </c>
      <c r="J130" s="18">
        <v>0</v>
      </c>
      <c r="K130" s="3">
        <v>0</v>
      </c>
    </row>
    <row r="131" spans="1:11" x14ac:dyDescent="0.25">
      <c r="A131" s="18">
        <v>0</v>
      </c>
      <c r="B131" s="18">
        <v>0</v>
      </c>
      <c r="C131" s="18">
        <v>0</v>
      </c>
      <c r="D131" s="18">
        <v>0</v>
      </c>
      <c r="E131" s="3">
        <v>0</v>
      </c>
      <c r="G131" s="18">
        <v>0</v>
      </c>
      <c r="H131" s="18">
        <v>0</v>
      </c>
      <c r="I131" s="18">
        <v>0</v>
      </c>
      <c r="J131" s="18">
        <v>0</v>
      </c>
      <c r="K131" s="3">
        <v>0</v>
      </c>
    </row>
    <row r="132" spans="1:11" x14ac:dyDescent="0.25">
      <c r="A132" s="18">
        <v>0</v>
      </c>
      <c r="B132" s="18">
        <v>0</v>
      </c>
      <c r="C132" s="18">
        <v>0</v>
      </c>
      <c r="D132" s="18">
        <v>0</v>
      </c>
      <c r="E132" s="3">
        <v>0</v>
      </c>
      <c r="G132" s="18">
        <v>0</v>
      </c>
      <c r="H132" s="18">
        <v>0</v>
      </c>
      <c r="I132" s="18">
        <v>0</v>
      </c>
      <c r="J132" s="18">
        <v>0</v>
      </c>
      <c r="K132" s="3">
        <v>0</v>
      </c>
    </row>
    <row r="133" spans="1:11" x14ac:dyDescent="0.25">
      <c r="A133" s="18">
        <v>0</v>
      </c>
      <c r="B133" s="18">
        <v>0</v>
      </c>
      <c r="C133" s="18">
        <v>0</v>
      </c>
      <c r="D133" s="18">
        <v>0</v>
      </c>
      <c r="E133" s="3">
        <v>0</v>
      </c>
      <c r="G133" s="18">
        <v>0</v>
      </c>
      <c r="H133" s="18">
        <v>0</v>
      </c>
      <c r="I133" s="18">
        <v>0</v>
      </c>
      <c r="J133" s="18">
        <v>0</v>
      </c>
      <c r="K133" s="3">
        <v>0</v>
      </c>
    </row>
    <row r="134" spans="1:11" x14ac:dyDescent="0.25">
      <c r="A134" s="18">
        <v>0</v>
      </c>
      <c r="B134" s="18">
        <v>0</v>
      </c>
      <c r="C134" s="18">
        <v>0</v>
      </c>
      <c r="D134" s="18">
        <v>0</v>
      </c>
      <c r="E134" s="3">
        <v>0</v>
      </c>
      <c r="G134" s="18">
        <v>0</v>
      </c>
      <c r="H134" s="18">
        <v>0</v>
      </c>
      <c r="I134" s="18">
        <v>0</v>
      </c>
      <c r="J134" s="18">
        <v>0</v>
      </c>
      <c r="K134" s="3">
        <v>0</v>
      </c>
    </row>
    <row r="135" spans="1:11" x14ac:dyDescent="0.25">
      <c r="A135" s="18">
        <v>0</v>
      </c>
      <c r="B135" s="18">
        <v>0</v>
      </c>
      <c r="C135" s="18">
        <v>0</v>
      </c>
      <c r="D135" s="18">
        <v>0</v>
      </c>
      <c r="E135" s="3">
        <v>0</v>
      </c>
      <c r="G135" s="18">
        <v>0</v>
      </c>
      <c r="H135" s="18">
        <v>0</v>
      </c>
      <c r="I135" s="18">
        <v>0</v>
      </c>
      <c r="J135" s="18">
        <v>0</v>
      </c>
      <c r="K135" s="3">
        <v>0</v>
      </c>
    </row>
    <row r="136" spans="1:11" x14ac:dyDescent="0.25">
      <c r="A136" s="18">
        <v>0</v>
      </c>
      <c r="B136" s="18">
        <v>0</v>
      </c>
      <c r="C136" s="18">
        <v>0</v>
      </c>
      <c r="D136" s="18">
        <v>0</v>
      </c>
      <c r="E136" s="3">
        <v>0</v>
      </c>
      <c r="G136" s="18">
        <v>0</v>
      </c>
      <c r="H136" s="18">
        <v>0</v>
      </c>
      <c r="I136" s="18">
        <v>0</v>
      </c>
      <c r="J136" s="18">
        <v>0</v>
      </c>
      <c r="K136" s="3">
        <v>0</v>
      </c>
    </row>
    <row r="137" spans="1:11" x14ac:dyDescent="0.25">
      <c r="A137" s="18">
        <v>0</v>
      </c>
      <c r="B137" s="18">
        <v>0</v>
      </c>
      <c r="C137" s="18">
        <v>0</v>
      </c>
      <c r="D137" s="18">
        <v>0</v>
      </c>
      <c r="E137" s="3">
        <v>0</v>
      </c>
      <c r="G137" s="18">
        <v>0</v>
      </c>
      <c r="H137" s="18">
        <v>0</v>
      </c>
      <c r="I137" s="18">
        <v>0</v>
      </c>
      <c r="J137" s="18">
        <v>0</v>
      </c>
      <c r="K137" s="3">
        <v>0</v>
      </c>
    </row>
    <row r="138" spans="1:11" x14ac:dyDescent="0.25">
      <c r="A138" s="18">
        <v>0</v>
      </c>
      <c r="B138" s="18">
        <v>0</v>
      </c>
      <c r="C138" s="18">
        <v>0</v>
      </c>
      <c r="D138" s="18">
        <v>0</v>
      </c>
      <c r="E138" s="3">
        <v>0</v>
      </c>
      <c r="G138" s="18">
        <v>0</v>
      </c>
      <c r="H138" s="18">
        <v>0</v>
      </c>
      <c r="I138" s="18">
        <v>0</v>
      </c>
      <c r="J138" s="18">
        <v>0</v>
      </c>
      <c r="K138" s="3">
        <v>0</v>
      </c>
    </row>
    <row r="139" spans="1:11" x14ac:dyDescent="0.25">
      <c r="A139" s="18">
        <v>0</v>
      </c>
      <c r="B139" s="18">
        <v>0</v>
      </c>
      <c r="C139" s="18">
        <v>0</v>
      </c>
      <c r="D139" s="18">
        <v>0</v>
      </c>
      <c r="E139" s="3">
        <v>0</v>
      </c>
      <c r="G139" s="18">
        <v>0</v>
      </c>
      <c r="H139" s="18">
        <v>0</v>
      </c>
      <c r="I139" s="18">
        <v>0</v>
      </c>
      <c r="J139" s="18">
        <v>0</v>
      </c>
      <c r="K139" s="3">
        <v>0</v>
      </c>
    </row>
    <row r="140" spans="1:11" x14ac:dyDescent="0.25">
      <c r="A140" s="18">
        <v>0</v>
      </c>
      <c r="B140" s="18">
        <v>0</v>
      </c>
      <c r="C140" s="18">
        <v>0</v>
      </c>
      <c r="D140" s="18">
        <v>0</v>
      </c>
      <c r="E140" s="3">
        <v>0</v>
      </c>
      <c r="G140" s="18">
        <v>0</v>
      </c>
      <c r="H140" s="18">
        <v>0</v>
      </c>
      <c r="I140" s="18">
        <v>0</v>
      </c>
      <c r="J140" s="18">
        <v>0</v>
      </c>
      <c r="K140" s="3">
        <v>0</v>
      </c>
    </row>
    <row r="141" spans="1:11" x14ac:dyDescent="0.25">
      <c r="A141" s="18">
        <v>0</v>
      </c>
      <c r="B141" s="18">
        <v>0</v>
      </c>
      <c r="C141" s="18">
        <v>0</v>
      </c>
      <c r="D141" s="18">
        <v>0</v>
      </c>
      <c r="E141" s="3">
        <v>0</v>
      </c>
      <c r="G141" s="18">
        <v>0</v>
      </c>
      <c r="H141" s="18">
        <v>0</v>
      </c>
      <c r="I141" s="18">
        <v>0</v>
      </c>
      <c r="J141" s="18">
        <v>0</v>
      </c>
      <c r="K141" s="3">
        <v>0</v>
      </c>
    </row>
    <row r="142" spans="1:11" x14ac:dyDescent="0.25">
      <c r="A142" s="18">
        <v>0</v>
      </c>
      <c r="B142" s="18">
        <v>0</v>
      </c>
      <c r="C142" s="18">
        <v>0</v>
      </c>
      <c r="D142" s="18">
        <v>0</v>
      </c>
      <c r="E142" s="3">
        <v>0</v>
      </c>
      <c r="G142" s="18">
        <v>0</v>
      </c>
      <c r="H142" s="18">
        <v>0</v>
      </c>
      <c r="I142" s="18">
        <v>0</v>
      </c>
      <c r="J142" s="18">
        <v>0</v>
      </c>
      <c r="K142" s="3">
        <v>0</v>
      </c>
    </row>
    <row r="143" spans="1:11" x14ac:dyDescent="0.25">
      <c r="A143" s="18">
        <v>0</v>
      </c>
      <c r="B143" s="18">
        <v>0</v>
      </c>
      <c r="C143" s="18">
        <v>0</v>
      </c>
      <c r="D143" s="18">
        <v>0</v>
      </c>
      <c r="E143" s="3">
        <v>0</v>
      </c>
      <c r="G143" s="18">
        <v>0</v>
      </c>
      <c r="H143" s="18">
        <v>0</v>
      </c>
      <c r="I143" s="18">
        <v>0</v>
      </c>
      <c r="J143" s="18">
        <v>0</v>
      </c>
      <c r="K143" s="3">
        <v>0</v>
      </c>
    </row>
    <row r="144" spans="1:11" x14ac:dyDescent="0.25">
      <c r="A144" s="18">
        <v>0</v>
      </c>
      <c r="B144" s="18">
        <v>0</v>
      </c>
      <c r="C144" s="18">
        <v>0</v>
      </c>
      <c r="D144" s="18">
        <v>0</v>
      </c>
      <c r="E144" s="3">
        <v>0</v>
      </c>
      <c r="G144" s="18">
        <v>0</v>
      </c>
      <c r="H144" s="18">
        <v>0</v>
      </c>
      <c r="I144" s="18">
        <v>0</v>
      </c>
      <c r="J144" s="18">
        <v>0</v>
      </c>
      <c r="K144" s="3">
        <v>0</v>
      </c>
    </row>
    <row r="145" spans="1:11" x14ac:dyDescent="0.25">
      <c r="A145" s="18">
        <v>0</v>
      </c>
      <c r="B145" s="18">
        <v>0</v>
      </c>
      <c r="C145" s="18">
        <v>0</v>
      </c>
      <c r="D145" s="18">
        <v>0</v>
      </c>
      <c r="E145" s="3">
        <v>0</v>
      </c>
      <c r="G145" s="18">
        <v>0</v>
      </c>
      <c r="H145" s="18">
        <v>0</v>
      </c>
      <c r="I145" s="18">
        <v>0</v>
      </c>
      <c r="J145" s="18">
        <v>0</v>
      </c>
      <c r="K145" s="3">
        <v>0</v>
      </c>
    </row>
    <row r="146" spans="1:11" x14ac:dyDescent="0.25">
      <c r="A146" s="18">
        <v>0</v>
      </c>
      <c r="B146" s="18">
        <v>0</v>
      </c>
      <c r="C146" s="18">
        <v>0</v>
      </c>
      <c r="D146" s="18">
        <v>0</v>
      </c>
      <c r="E146" s="3">
        <v>0</v>
      </c>
      <c r="G146" s="18">
        <v>0</v>
      </c>
      <c r="H146" s="18">
        <v>0</v>
      </c>
      <c r="I146" s="18">
        <v>0</v>
      </c>
      <c r="J146" s="18">
        <v>0</v>
      </c>
      <c r="K146" s="3">
        <v>0</v>
      </c>
    </row>
    <row r="147" spans="1:11" x14ac:dyDescent="0.25">
      <c r="A147" s="18">
        <v>0</v>
      </c>
      <c r="B147" s="18">
        <v>0</v>
      </c>
      <c r="C147" s="18">
        <v>0</v>
      </c>
      <c r="D147" s="18">
        <v>0</v>
      </c>
      <c r="E147" s="3">
        <v>0</v>
      </c>
      <c r="G147" s="18">
        <v>0</v>
      </c>
      <c r="H147" s="18">
        <v>0</v>
      </c>
      <c r="I147" s="18">
        <v>0</v>
      </c>
      <c r="J147" s="18">
        <v>0</v>
      </c>
      <c r="K147" s="3">
        <v>0</v>
      </c>
    </row>
    <row r="148" spans="1:11" x14ac:dyDescent="0.25">
      <c r="A148" s="18">
        <v>0</v>
      </c>
      <c r="B148" s="18">
        <v>0</v>
      </c>
      <c r="C148" s="18">
        <v>0</v>
      </c>
      <c r="D148" s="18">
        <v>0</v>
      </c>
      <c r="E148" s="3">
        <v>0</v>
      </c>
      <c r="G148" s="18">
        <v>0</v>
      </c>
      <c r="H148" s="18">
        <v>0</v>
      </c>
      <c r="I148" s="18">
        <v>0</v>
      </c>
      <c r="J148" s="18">
        <v>0</v>
      </c>
      <c r="K148" s="3">
        <v>0</v>
      </c>
    </row>
    <row r="149" spans="1:11" x14ac:dyDescent="0.25">
      <c r="A149" s="18">
        <v>0</v>
      </c>
      <c r="B149" s="18">
        <v>0</v>
      </c>
      <c r="C149" s="18">
        <v>0</v>
      </c>
      <c r="D149" s="18">
        <v>0</v>
      </c>
      <c r="E149" s="3">
        <v>0</v>
      </c>
      <c r="G149" s="18">
        <v>0</v>
      </c>
      <c r="H149" s="18">
        <v>0</v>
      </c>
      <c r="I149" s="18">
        <v>0</v>
      </c>
      <c r="J149" s="18">
        <v>0</v>
      </c>
      <c r="K149" s="3">
        <v>0</v>
      </c>
    </row>
    <row r="150" spans="1:11" x14ac:dyDescent="0.25">
      <c r="A150" s="18">
        <v>0</v>
      </c>
      <c r="B150" s="18">
        <v>0</v>
      </c>
      <c r="C150" s="18">
        <v>0</v>
      </c>
      <c r="D150" s="18">
        <v>0</v>
      </c>
      <c r="E150" s="3">
        <v>0</v>
      </c>
      <c r="G150" s="18">
        <v>0</v>
      </c>
      <c r="H150" s="18">
        <v>0</v>
      </c>
      <c r="I150" s="18">
        <v>0</v>
      </c>
      <c r="J150" s="18">
        <v>0</v>
      </c>
      <c r="K150" s="3">
        <v>0</v>
      </c>
    </row>
    <row r="151" spans="1:11" x14ac:dyDescent="0.25">
      <c r="A151" s="18">
        <v>0</v>
      </c>
      <c r="B151" s="18">
        <v>0</v>
      </c>
      <c r="C151" s="18">
        <v>0</v>
      </c>
      <c r="D151" s="18">
        <v>0</v>
      </c>
      <c r="E151" s="3">
        <v>0</v>
      </c>
      <c r="G151" s="18">
        <v>0</v>
      </c>
      <c r="H151" s="18">
        <v>0</v>
      </c>
      <c r="I151" s="18">
        <v>0</v>
      </c>
      <c r="J151" s="18">
        <v>0</v>
      </c>
      <c r="K151" s="3">
        <v>0</v>
      </c>
    </row>
    <row r="152" spans="1:11" x14ac:dyDescent="0.25">
      <c r="A152" s="18">
        <v>0</v>
      </c>
      <c r="B152" s="18">
        <v>0</v>
      </c>
      <c r="C152" s="18">
        <v>0</v>
      </c>
      <c r="D152" s="18">
        <v>0</v>
      </c>
      <c r="E152" s="3">
        <v>0</v>
      </c>
      <c r="G152" s="18">
        <v>0</v>
      </c>
      <c r="H152" s="18">
        <v>0</v>
      </c>
      <c r="I152" s="18">
        <v>0</v>
      </c>
      <c r="J152" s="18">
        <v>0</v>
      </c>
      <c r="K152" s="3">
        <v>0</v>
      </c>
    </row>
    <row r="153" spans="1:11" x14ac:dyDescent="0.25">
      <c r="A153" s="18">
        <v>0</v>
      </c>
      <c r="B153" s="18">
        <v>0</v>
      </c>
      <c r="C153" s="18">
        <v>0</v>
      </c>
      <c r="D153" s="18">
        <v>0</v>
      </c>
      <c r="E153" s="3">
        <v>0</v>
      </c>
      <c r="G153" s="18">
        <v>0</v>
      </c>
      <c r="H153" s="18">
        <v>0</v>
      </c>
      <c r="I153" s="18">
        <v>0</v>
      </c>
      <c r="J153" s="18">
        <v>0</v>
      </c>
      <c r="K153" s="3">
        <v>0</v>
      </c>
    </row>
    <row r="154" spans="1:11" x14ac:dyDescent="0.25">
      <c r="A154" s="18">
        <v>0</v>
      </c>
      <c r="B154" s="18">
        <v>0</v>
      </c>
      <c r="C154" s="18">
        <v>0</v>
      </c>
      <c r="D154" s="18">
        <v>0</v>
      </c>
      <c r="E154" s="3">
        <v>0</v>
      </c>
      <c r="G154" s="18">
        <v>0</v>
      </c>
      <c r="H154" s="18">
        <v>0</v>
      </c>
      <c r="I154" s="18">
        <v>0</v>
      </c>
      <c r="J154" s="18">
        <v>0</v>
      </c>
      <c r="K154" s="3">
        <v>0</v>
      </c>
    </row>
    <row r="155" spans="1:11" x14ac:dyDescent="0.25">
      <c r="A155" s="18">
        <v>0</v>
      </c>
      <c r="B155" s="18">
        <v>0</v>
      </c>
      <c r="C155" s="18">
        <v>0</v>
      </c>
      <c r="D155" s="18">
        <v>0</v>
      </c>
      <c r="E155" s="3">
        <v>0</v>
      </c>
      <c r="G155" s="18">
        <v>0</v>
      </c>
      <c r="H155" s="18">
        <v>0</v>
      </c>
      <c r="I155" s="18">
        <v>0</v>
      </c>
      <c r="J155" s="18">
        <v>0</v>
      </c>
      <c r="K155" s="3">
        <v>0</v>
      </c>
    </row>
    <row r="156" spans="1:11" x14ac:dyDescent="0.25">
      <c r="A156" s="18">
        <v>0</v>
      </c>
      <c r="B156" s="18">
        <v>0</v>
      </c>
      <c r="C156" s="18">
        <v>0</v>
      </c>
      <c r="D156" s="18">
        <v>0</v>
      </c>
      <c r="E156" s="3">
        <v>0</v>
      </c>
      <c r="G156" s="18">
        <v>0</v>
      </c>
      <c r="H156" s="18">
        <v>0</v>
      </c>
      <c r="I156" s="18">
        <v>0</v>
      </c>
      <c r="J156" s="18">
        <v>0</v>
      </c>
      <c r="K156" s="3">
        <v>0</v>
      </c>
    </row>
    <row r="157" spans="1:11" x14ac:dyDescent="0.25">
      <c r="A157" s="18">
        <v>0</v>
      </c>
      <c r="B157" s="18">
        <v>0</v>
      </c>
      <c r="C157" s="18">
        <v>0</v>
      </c>
      <c r="D157" s="18">
        <v>0</v>
      </c>
      <c r="E157" s="3">
        <v>0</v>
      </c>
      <c r="G157" s="18">
        <v>0</v>
      </c>
      <c r="H157" s="18">
        <v>0</v>
      </c>
      <c r="I157" s="18">
        <v>0</v>
      </c>
      <c r="J157" s="18">
        <v>0</v>
      </c>
      <c r="K157" s="3">
        <v>0</v>
      </c>
    </row>
    <row r="158" spans="1:11" x14ac:dyDescent="0.25">
      <c r="A158" s="18">
        <v>0</v>
      </c>
      <c r="B158" s="18">
        <v>0</v>
      </c>
      <c r="C158" s="18">
        <v>0</v>
      </c>
      <c r="D158" s="18">
        <v>0</v>
      </c>
      <c r="E158" s="3">
        <v>0</v>
      </c>
      <c r="G158" s="18">
        <v>0</v>
      </c>
      <c r="H158" s="18">
        <v>0</v>
      </c>
      <c r="I158" s="18">
        <v>0</v>
      </c>
      <c r="J158" s="18">
        <v>0</v>
      </c>
      <c r="K158" s="3">
        <v>0</v>
      </c>
    </row>
    <row r="159" spans="1:11" x14ac:dyDescent="0.25">
      <c r="A159" s="18">
        <v>0</v>
      </c>
      <c r="B159" s="18">
        <v>0</v>
      </c>
      <c r="C159" s="18">
        <v>0</v>
      </c>
      <c r="D159" s="18">
        <v>0</v>
      </c>
      <c r="E159" s="3">
        <v>0</v>
      </c>
      <c r="G159" s="18">
        <v>0</v>
      </c>
      <c r="H159" s="18">
        <v>0</v>
      </c>
      <c r="I159" s="18">
        <v>0</v>
      </c>
      <c r="J159" s="18">
        <v>0</v>
      </c>
      <c r="K159" s="3">
        <v>0</v>
      </c>
    </row>
    <row r="160" spans="1:11" x14ac:dyDescent="0.25">
      <c r="A160" s="18">
        <v>0</v>
      </c>
      <c r="B160" s="18">
        <v>0</v>
      </c>
      <c r="C160" s="18">
        <v>0</v>
      </c>
      <c r="D160" s="18">
        <v>0</v>
      </c>
      <c r="E160" s="3">
        <v>0</v>
      </c>
      <c r="G160" s="18">
        <v>0</v>
      </c>
      <c r="H160" s="18">
        <v>0</v>
      </c>
      <c r="I160" s="18">
        <v>0</v>
      </c>
      <c r="J160" s="18">
        <v>0</v>
      </c>
      <c r="K160" s="3">
        <v>0</v>
      </c>
    </row>
    <row r="161" spans="1:11" x14ac:dyDescent="0.25">
      <c r="A161" s="18">
        <v>0</v>
      </c>
      <c r="B161" s="18">
        <v>0</v>
      </c>
      <c r="C161" s="18">
        <v>0</v>
      </c>
      <c r="D161" s="18">
        <v>0</v>
      </c>
      <c r="E161" s="3">
        <v>0</v>
      </c>
      <c r="G161" s="18">
        <v>0</v>
      </c>
      <c r="H161" s="18">
        <v>0</v>
      </c>
      <c r="I161" s="18">
        <v>0</v>
      </c>
      <c r="J161" s="18">
        <v>0</v>
      </c>
      <c r="K161" s="3">
        <v>0</v>
      </c>
    </row>
    <row r="162" spans="1:11" x14ac:dyDescent="0.25">
      <c r="A162" s="18">
        <v>0</v>
      </c>
      <c r="B162" s="18">
        <v>0</v>
      </c>
      <c r="C162" s="18">
        <v>0</v>
      </c>
      <c r="D162" s="18">
        <v>0</v>
      </c>
      <c r="E162" s="3">
        <v>0</v>
      </c>
      <c r="G162" s="18">
        <v>0</v>
      </c>
      <c r="H162" s="18">
        <v>0</v>
      </c>
      <c r="I162" s="18">
        <v>0</v>
      </c>
      <c r="J162" s="18">
        <v>0</v>
      </c>
      <c r="K162" s="3">
        <v>0</v>
      </c>
    </row>
    <row r="163" spans="1:11" x14ac:dyDescent="0.25">
      <c r="A163" s="18">
        <v>0</v>
      </c>
      <c r="B163" s="18">
        <v>0</v>
      </c>
      <c r="C163" s="18">
        <v>0</v>
      </c>
      <c r="D163" s="18">
        <v>0</v>
      </c>
      <c r="E163" s="3">
        <v>0</v>
      </c>
      <c r="G163" s="18">
        <v>0</v>
      </c>
      <c r="H163" s="18">
        <v>0</v>
      </c>
      <c r="I163" s="18">
        <v>0</v>
      </c>
      <c r="J163" s="18">
        <v>0</v>
      </c>
      <c r="K163" s="3">
        <v>0</v>
      </c>
    </row>
    <row r="164" spans="1:11" x14ac:dyDescent="0.25">
      <c r="A164" s="18">
        <v>0</v>
      </c>
      <c r="B164" s="18">
        <v>0</v>
      </c>
      <c r="C164" s="18">
        <v>0</v>
      </c>
      <c r="D164" s="18">
        <v>0</v>
      </c>
      <c r="E164" s="3">
        <v>0</v>
      </c>
      <c r="G164" s="18">
        <v>0</v>
      </c>
      <c r="H164" s="18">
        <v>0</v>
      </c>
      <c r="I164" s="18">
        <v>0</v>
      </c>
      <c r="J164" s="18">
        <v>0</v>
      </c>
      <c r="K164" s="3">
        <v>0</v>
      </c>
    </row>
    <row r="165" spans="1:11" x14ac:dyDescent="0.25">
      <c r="A165" s="18">
        <v>0</v>
      </c>
      <c r="B165" s="18">
        <v>0</v>
      </c>
      <c r="C165" s="18">
        <v>0</v>
      </c>
      <c r="D165" s="18">
        <v>0</v>
      </c>
      <c r="E165" s="3">
        <v>0</v>
      </c>
      <c r="G165" s="18">
        <v>0</v>
      </c>
      <c r="H165" s="18">
        <v>0</v>
      </c>
      <c r="I165" s="18">
        <v>0</v>
      </c>
      <c r="J165" s="18">
        <v>0</v>
      </c>
      <c r="K165" s="3">
        <v>0</v>
      </c>
    </row>
    <row r="166" spans="1:11" x14ac:dyDescent="0.25">
      <c r="A166" s="18">
        <v>0</v>
      </c>
      <c r="B166" s="18">
        <v>0</v>
      </c>
      <c r="C166" s="18">
        <v>0</v>
      </c>
      <c r="D166" s="18">
        <v>0</v>
      </c>
      <c r="E166" s="3">
        <v>0</v>
      </c>
      <c r="G166" s="18">
        <v>0</v>
      </c>
      <c r="H166" s="18">
        <v>0</v>
      </c>
      <c r="I166" s="18">
        <v>0</v>
      </c>
      <c r="J166" s="18">
        <v>0</v>
      </c>
      <c r="K166" s="3">
        <v>0</v>
      </c>
    </row>
    <row r="167" spans="1:11" x14ac:dyDescent="0.25">
      <c r="A167" s="18">
        <v>0</v>
      </c>
      <c r="B167" s="18">
        <v>0</v>
      </c>
      <c r="C167" s="18">
        <v>0</v>
      </c>
      <c r="D167" s="18">
        <v>0</v>
      </c>
      <c r="E167" s="3">
        <v>0</v>
      </c>
      <c r="G167" s="18">
        <v>0</v>
      </c>
      <c r="H167" s="18">
        <v>0</v>
      </c>
      <c r="I167" s="18">
        <v>0</v>
      </c>
      <c r="J167" s="18">
        <v>0</v>
      </c>
      <c r="K167" s="3">
        <v>0</v>
      </c>
    </row>
    <row r="168" spans="1:11" x14ac:dyDescent="0.25">
      <c r="A168" s="18">
        <v>0</v>
      </c>
      <c r="B168" s="18">
        <v>0</v>
      </c>
      <c r="C168" s="18">
        <v>0</v>
      </c>
      <c r="D168" s="18">
        <v>0</v>
      </c>
      <c r="E168" s="3">
        <v>0</v>
      </c>
      <c r="G168" s="18">
        <v>0</v>
      </c>
      <c r="H168" s="18">
        <v>0</v>
      </c>
      <c r="I168" s="18">
        <v>0</v>
      </c>
      <c r="J168" s="18">
        <v>0</v>
      </c>
      <c r="K168" s="3">
        <v>0</v>
      </c>
    </row>
    <row r="169" spans="1:11" x14ac:dyDescent="0.25">
      <c r="A169" s="18">
        <v>0</v>
      </c>
      <c r="B169" s="18">
        <v>0</v>
      </c>
      <c r="C169" s="18">
        <v>0</v>
      </c>
      <c r="D169" s="18">
        <v>0</v>
      </c>
      <c r="E169" s="3">
        <v>0</v>
      </c>
      <c r="G169" s="18">
        <v>0</v>
      </c>
      <c r="H169" s="18">
        <v>0</v>
      </c>
      <c r="I169" s="18">
        <v>0</v>
      </c>
      <c r="J169" s="18">
        <v>0</v>
      </c>
      <c r="K169" s="3">
        <v>0</v>
      </c>
    </row>
    <row r="170" spans="1:11" x14ac:dyDescent="0.25">
      <c r="A170" s="18">
        <v>0</v>
      </c>
      <c r="B170" s="18">
        <v>0</v>
      </c>
      <c r="C170" s="18">
        <v>0</v>
      </c>
      <c r="D170" s="18">
        <v>0</v>
      </c>
      <c r="E170" s="3">
        <v>0</v>
      </c>
      <c r="G170" s="18">
        <v>0</v>
      </c>
      <c r="H170" s="18">
        <v>0</v>
      </c>
      <c r="I170" s="18">
        <v>0</v>
      </c>
      <c r="J170" s="18">
        <v>0</v>
      </c>
      <c r="K170" s="3">
        <v>0</v>
      </c>
    </row>
    <row r="171" spans="1:11" x14ac:dyDescent="0.25">
      <c r="A171" s="18">
        <v>0</v>
      </c>
      <c r="B171" s="18">
        <v>0</v>
      </c>
      <c r="C171" s="18">
        <v>0</v>
      </c>
      <c r="D171" s="18">
        <v>0</v>
      </c>
      <c r="E171" s="3">
        <v>0</v>
      </c>
      <c r="G171" s="18">
        <v>0</v>
      </c>
      <c r="H171" s="18">
        <v>0</v>
      </c>
      <c r="I171" s="18">
        <v>0</v>
      </c>
      <c r="J171" s="18">
        <v>0</v>
      </c>
      <c r="K171" s="3">
        <v>0</v>
      </c>
    </row>
    <row r="172" spans="1:11" x14ac:dyDescent="0.25">
      <c r="A172" s="18">
        <v>0</v>
      </c>
      <c r="B172" s="18">
        <v>0</v>
      </c>
      <c r="C172" s="18">
        <v>0</v>
      </c>
      <c r="D172" s="18">
        <v>0</v>
      </c>
      <c r="E172" s="3">
        <v>0</v>
      </c>
      <c r="G172" s="18">
        <v>0</v>
      </c>
      <c r="H172" s="18">
        <v>0</v>
      </c>
      <c r="I172" s="18">
        <v>0</v>
      </c>
      <c r="J172" s="18">
        <v>0</v>
      </c>
      <c r="K172" s="3">
        <v>0</v>
      </c>
    </row>
    <row r="173" spans="1:11" x14ac:dyDescent="0.25">
      <c r="A173" s="18">
        <v>0</v>
      </c>
      <c r="B173" s="18">
        <v>0</v>
      </c>
      <c r="C173" s="18">
        <v>0</v>
      </c>
      <c r="D173" s="18">
        <v>0</v>
      </c>
      <c r="E173" s="3">
        <v>0</v>
      </c>
      <c r="G173" s="18">
        <v>0</v>
      </c>
      <c r="H173" s="18">
        <v>0</v>
      </c>
      <c r="I173" s="18">
        <v>0</v>
      </c>
      <c r="J173" s="18">
        <v>0</v>
      </c>
      <c r="K173" s="3">
        <v>0</v>
      </c>
    </row>
    <row r="174" spans="1:11" x14ac:dyDescent="0.25">
      <c r="A174" s="18">
        <v>0</v>
      </c>
      <c r="B174" s="18">
        <v>0</v>
      </c>
      <c r="C174" s="18">
        <v>0</v>
      </c>
      <c r="D174" s="18">
        <v>0</v>
      </c>
      <c r="E174" s="3">
        <v>0</v>
      </c>
      <c r="G174" s="18">
        <v>0</v>
      </c>
      <c r="H174" s="18">
        <v>0</v>
      </c>
      <c r="I174" s="18">
        <v>0</v>
      </c>
      <c r="J174" s="18">
        <v>0</v>
      </c>
      <c r="K174" s="3">
        <v>0</v>
      </c>
    </row>
    <row r="175" spans="1:11" x14ac:dyDescent="0.25">
      <c r="A175" s="18">
        <v>0</v>
      </c>
      <c r="B175" s="18">
        <v>0</v>
      </c>
      <c r="C175" s="18">
        <v>0</v>
      </c>
      <c r="D175" s="18">
        <v>0</v>
      </c>
      <c r="E175" s="3">
        <v>0</v>
      </c>
      <c r="G175" s="18">
        <v>0</v>
      </c>
      <c r="H175" s="18">
        <v>0</v>
      </c>
      <c r="I175" s="18">
        <v>0</v>
      </c>
      <c r="J175" s="18">
        <v>0</v>
      </c>
      <c r="K175" s="3">
        <v>0</v>
      </c>
    </row>
    <row r="176" spans="1:11" x14ac:dyDescent="0.25">
      <c r="A176" s="18">
        <v>0</v>
      </c>
      <c r="B176" s="18">
        <v>0</v>
      </c>
      <c r="C176" s="18">
        <v>0</v>
      </c>
      <c r="D176" s="18">
        <v>0</v>
      </c>
      <c r="E176" s="3">
        <v>0</v>
      </c>
      <c r="G176" s="18">
        <v>0</v>
      </c>
      <c r="H176" s="18">
        <v>0</v>
      </c>
      <c r="I176" s="18">
        <v>0</v>
      </c>
      <c r="J176" s="18">
        <v>0</v>
      </c>
      <c r="K176" s="3">
        <v>0</v>
      </c>
    </row>
    <row r="177" spans="1:11" x14ac:dyDescent="0.25">
      <c r="A177" s="18">
        <v>0</v>
      </c>
      <c r="B177" s="18">
        <v>0</v>
      </c>
      <c r="C177" s="18">
        <v>0</v>
      </c>
      <c r="D177" s="18">
        <v>0</v>
      </c>
      <c r="E177" s="3">
        <v>0</v>
      </c>
      <c r="G177" s="18">
        <v>0</v>
      </c>
      <c r="H177" s="18">
        <v>0</v>
      </c>
      <c r="I177" s="18">
        <v>0</v>
      </c>
      <c r="J177" s="18">
        <v>0</v>
      </c>
      <c r="K177" s="3">
        <v>0</v>
      </c>
    </row>
    <row r="178" spans="1:11" x14ac:dyDescent="0.25">
      <c r="A178" s="18">
        <v>0</v>
      </c>
      <c r="B178" s="18">
        <v>0</v>
      </c>
      <c r="C178" s="18">
        <v>0</v>
      </c>
      <c r="D178" s="18">
        <v>0</v>
      </c>
      <c r="E178" s="3">
        <v>0</v>
      </c>
      <c r="G178" s="18">
        <v>0</v>
      </c>
      <c r="H178" s="18">
        <v>0</v>
      </c>
      <c r="I178" s="18">
        <v>0</v>
      </c>
      <c r="J178" s="18">
        <v>0</v>
      </c>
      <c r="K178" s="3">
        <v>0</v>
      </c>
    </row>
    <row r="179" spans="1:11" x14ac:dyDescent="0.25">
      <c r="A179" s="18">
        <v>0</v>
      </c>
      <c r="B179" s="18">
        <v>0</v>
      </c>
      <c r="C179" s="18">
        <v>0</v>
      </c>
      <c r="D179" s="18">
        <v>0</v>
      </c>
      <c r="E179" s="3">
        <v>0</v>
      </c>
      <c r="G179" s="18">
        <v>0</v>
      </c>
      <c r="H179" s="18">
        <v>0</v>
      </c>
      <c r="I179" s="18">
        <v>0</v>
      </c>
      <c r="J179" s="18">
        <v>0</v>
      </c>
      <c r="K179" s="3">
        <v>0</v>
      </c>
    </row>
    <row r="180" spans="1:11" x14ac:dyDescent="0.25">
      <c r="A180" s="18">
        <v>0</v>
      </c>
      <c r="B180" s="18">
        <v>0</v>
      </c>
      <c r="C180" s="18">
        <v>0</v>
      </c>
      <c r="D180" s="18">
        <v>0</v>
      </c>
      <c r="E180" s="3">
        <v>0</v>
      </c>
      <c r="G180" s="18">
        <v>0</v>
      </c>
      <c r="H180" s="18">
        <v>0</v>
      </c>
      <c r="I180" s="18">
        <v>0</v>
      </c>
      <c r="J180" s="18">
        <v>0</v>
      </c>
      <c r="K180" s="3">
        <v>0</v>
      </c>
    </row>
    <row r="181" spans="1:11" x14ac:dyDescent="0.25">
      <c r="A181" s="18">
        <v>0</v>
      </c>
      <c r="B181" s="18">
        <v>0</v>
      </c>
      <c r="C181" s="18">
        <v>0</v>
      </c>
      <c r="D181" s="18">
        <v>0</v>
      </c>
      <c r="E181" s="3">
        <v>0</v>
      </c>
      <c r="G181" s="18">
        <v>0</v>
      </c>
      <c r="H181" s="18">
        <v>0</v>
      </c>
      <c r="I181" s="18">
        <v>0</v>
      </c>
      <c r="J181" s="18">
        <v>0</v>
      </c>
      <c r="K181" s="3">
        <v>0</v>
      </c>
    </row>
    <row r="182" spans="1:11" x14ac:dyDescent="0.25">
      <c r="A182" s="18">
        <v>0</v>
      </c>
      <c r="B182" s="18">
        <v>0</v>
      </c>
      <c r="C182" s="18">
        <v>0</v>
      </c>
      <c r="D182" s="18">
        <v>0</v>
      </c>
      <c r="E182" s="3">
        <v>0</v>
      </c>
      <c r="G182" s="18">
        <v>0</v>
      </c>
      <c r="H182" s="18">
        <v>0</v>
      </c>
      <c r="I182" s="18">
        <v>0</v>
      </c>
      <c r="J182" s="18">
        <v>0</v>
      </c>
      <c r="K182" s="3">
        <v>0</v>
      </c>
    </row>
    <row r="183" spans="1:11" x14ac:dyDescent="0.25">
      <c r="A183" s="18">
        <v>0</v>
      </c>
      <c r="B183" s="18">
        <v>0</v>
      </c>
      <c r="C183" s="18">
        <v>0</v>
      </c>
      <c r="D183" s="18">
        <v>0</v>
      </c>
      <c r="E183" s="3">
        <v>0</v>
      </c>
      <c r="G183" s="18">
        <v>0</v>
      </c>
      <c r="H183" s="18">
        <v>0</v>
      </c>
      <c r="I183" s="18">
        <v>0</v>
      </c>
      <c r="J183" s="18">
        <v>0</v>
      </c>
      <c r="K183" s="3">
        <v>0</v>
      </c>
    </row>
    <row r="184" spans="1:11" x14ac:dyDescent="0.25">
      <c r="A184" s="18">
        <v>0</v>
      </c>
      <c r="B184" s="18">
        <v>0</v>
      </c>
      <c r="C184" s="18">
        <v>0</v>
      </c>
      <c r="D184" s="18">
        <v>0</v>
      </c>
      <c r="E184" s="3">
        <v>0</v>
      </c>
      <c r="G184" s="18">
        <v>0</v>
      </c>
      <c r="H184" s="18">
        <v>0</v>
      </c>
      <c r="I184" s="18">
        <v>0</v>
      </c>
      <c r="J184" s="18">
        <v>0</v>
      </c>
      <c r="K184" s="3">
        <v>0</v>
      </c>
    </row>
    <row r="185" spans="1:11" x14ac:dyDescent="0.25">
      <c r="A185" s="18">
        <v>0</v>
      </c>
      <c r="B185" s="18">
        <v>0</v>
      </c>
      <c r="C185" s="18">
        <v>0</v>
      </c>
      <c r="D185" s="18">
        <v>0</v>
      </c>
      <c r="E185" s="3">
        <v>0</v>
      </c>
      <c r="G185" s="18">
        <v>0</v>
      </c>
      <c r="H185" s="18">
        <v>0</v>
      </c>
      <c r="I185" s="18">
        <v>0</v>
      </c>
      <c r="J185" s="18">
        <v>0</v>
      </c>
      <c r="K185" s="3">
        <v>0</v>
      </c>
    </row>
    <row r="186" spans="1:11" x14ac:dyDescent="0.25">
      <c r="A186" s="18">
        <v>0</v>
      </c>
      <c r="B186" s="18">
        <v>0</v>
      </c>
      <c r="C186" s="18">
        <v>0</v>
      </c>
      <c r="D186" s="18">
        <v>0</v>
      </c>
      <c r="E186" s="3">
        <v>0</v>
      </c>
      <c r="G186" s="18">
        <v>0</v>
      </c>
      <c r="H186" s="18">
        <v>0</v>
      </c>
      <c r="I186" s="18">
        <v>0</v>
      </c>
      <c r="J186" s="18">
        <v>0</v>
      </c>
      <c r="K186" s="3">
        <v>0</v>
      </c>
    </row>
    <row r="187" spans="1:11" x14ac:dyDescent="0.25">
      <c r="A187" s="18">
        <v>0</v>
      </c>
      <c r="B187" s="18">
        <v>0</v>
      </c>
      <c r="C187" s="18">
        <v>0</v>
      </c>
      <c r="D187" s="18">
        <v>0</v>
      </c>
      <c r="E187" s="3">
        <v>0</v>
      </c>
      <c r="G187" s="18">
        <v>0</v>
      </c>
      <c r="H187" s="18">
        <v>0</v>
      </c>
      <c r="I187" s="18">
        <v>0</v>
      </c>
      <c r="J187" s="18">
        <v>0</v>
      </c>
      <c r="K187" s="3">
        <v>0</v>
      </c>
    </row>
    <row r="188" spans="1:11" x14ac:dyDescent="0.25">
      <c r="A188" s="18">
        <v>0</v>
      </c>
      <c r="B188" s="18">
        <v>0</v>
      </c>
      <c r="C188" s="18">
        <v>0</v>
      </c>
      <c r="D188" s="18">
        <v>0</v>
      </c>
      <c r="E188" s="3">
        <v>0</v>
      </c>
      <c r="G188" s="18">
        <v>0</v>
      </c>
      <c r="H188" s="18">
        <v>0</v>
      </c>
      <c r="I188" s="18">
        <v>0</v>
      </c>
      <c r="J188" s="18">
        <v>0</v>
      </c>
      <c r="K188" s="3">
        <v>0</v>
      </c>
    </row>
    <row r="189" spans="1:11" x14ac:dyDescent="0.25">
      <c r="A189" s="18">
        <v>0</v>
      </c>
      <c r="B189" s="18">
        <v>0</v>
      </c>
      <c r="C189" s="18">
        <v>0</v>
      </c>
      <c r="D189" s="18">
        <v>0</v>
      </c>
      <c r="E189" s="3">
        <v>0</v>
      </c>
      <c r="G189" s="18">
        <v>0</v>
      </c>
      <c r="H189" s="18">
        <v>0</v>
      </c>
      <c r="I189" s="18">
        <v>0</v>
      </c>
      <c r="J189" s="18">
        <v>0</v>
      </c>
      <c r="K189" s="3">
        <v>0</v>
      </c>
    </row>
    <row r="190" spans="1:11" x14ac:dyDescent="0.25">
      <c r="A190" s="18">
        <v>0</v>
      </c>
      <c r="B190" s="18">
        <v>0</v>
      </c>
      <c r="C190" s="18">
        <v>0</v>
      </c>
      <c r="D190" s="18">
        <v>0</v>
      </c>
      <c r="E190" s="3">
        <v>0</v>
      </c>
      <c r="G190" s="18">
        <v>0</v>
      </c>
      <c r="H190" s="18">
        <v>0</v>
      </c>
      <c r="I190" s="18">
        <v>0</v>
      </c>
      <c r="J190" s="18">
        <v>0</v>
      </c>
      <c r="K190" s="3">
        <v>0</v>
      </c>
    </row>
    <row r="191" spans="1:11" x14ac:dyDescent="0.25">
      <c r="A191" s="18">
        <v>0</v>
      </c>
      <c r="B191" s="18">
        <v>0</v>
      </c>
      <c r="C191" s="18">
        <v>0</v>
      </c>
      <c r="D191" s="18">
        <v>0</v>
      </c>
      <c r="E191" s="3">
        <v>0</v>
      </c>
      <c r="G191" s="18">
        <v>0</v>
      </c>
      <c r="H191" s="18">
        <v>0</v>
      </c>
      <c r="I191" s="18">
        <v>0</v>
      </c>
      <c r="J191" s="18">
        <v>0</v>
      </c>
      <c r="K191" s="3">
        <v>0</v>
      </c>
    </row>
    <row r="192" spans="1:11" x14ac:dyDescent="0.25">
      <c r="A192" s="18">
        <v>0</v>
      </c>
      <c r="B192" s="18">
        <v>0</v>
      </c>
      <c r="C192" s="18">
        <v>0</v>
      </c>
      <c r="D192" s="18">
        <v>0</v>
      </c>
      <c r="E192" s="3">
        <v>0</v>
      </c>
      <c r="G192" s="18">
        <v>0</v>
      </c>
      <c r="H192" s="18">
        <v>0</v>
      </c>
      <c r="I192" s="18">
        <v>0</v>
      </c>
      <c r="J192" s="18">
        <v>0</v>
      </c>
      <c r="K192" s="3">
        <v>0</v>
      </c>
    </row>
    <row r="193" spans="1:11" x14ac:dyDescent="0.25">
      <c r="A193" s="18">
        <v>0</v>
      </c>
      <c r="B193" s="18">
        <v>0</v>
      </c>
      <c r="C193" s="18">
        <v>0</v>
      </c>
      <c r="D193" s="18">
        <v>0</v>
      </c>
      <c r="E193" s="3">
        <v>0</v>
      </c>
      <c r="G193" s="18">
        <v>0</v>
      </c>
      <c r="H193" s="18">
        <v>0</v>
      </c>
      <c r="I193" s="18">
        <v>0</v>
      </c>
      <c r="J193" s="18">
        <v>0</v>
      </c>
      <c r="K193" s="3">
        <v>0</v>
      </c>
    </row>
    <row r="194" spans="1:11" x14ac:dyDescent="0.25">
      <c r="A194" s="18">
        <v>0</v>
      </c>
      <c r="B194" s="18">
        <v>0</v>
      </c>
      <c r="C194" s="18">
        <v>0</v>
      </c>
      <c r="D194" s="18">
        <v>0</v>
      </c>
      <c r="E194" s="3">
        <v>0</v>
      </c>
      <c r="G194" s="18">
        <v>0</v>
      </c>
      <c r="H194" s="18">
        <v>0</v>
      </c>
      <c r="I194" s="18">
        <v>0</v>
      </c>
      <c r="J194" s="18">
        <v>0</v>
      </c>
      <c r="K194" s="3">
        <v>0</v>
      </c>
    </row>
    <row r="195" spans="1:11" x14ac:dyDescent="0.25">
      <c r="A195" s="18">
        <v>0</v>
      </c>
      <c r="B195" s="18">
        <v>0</v>
      </c>
      <c r="C195" s="18">
        <v>0</v>
      </c>
      <c r="D195" s="18">
        <v>0</v>
      </c>
      <c r="E195" s="3">
        <v>0</v>
      </c>
      <c r="G195" s="18">
        <v>0</v>
      </c>
      <c r="H195" s="18">
        <v>0</v>
      </c>
      <c r="I195" s="18">
        <v>0</v>
      </c>
      <c r="J195" s="18">
        <v>0</v>
      </c>
      <c r="K195" s="3">
        <v>0</v>
      </c>
    </row>
    <row r="196" spans="1:11" x14ac:dyDescent="0.25">
      <c r="A196" s="18">
        <v>0</v>
      </c>
      <c r="B196" s="18">
        <v>0</v>
      </c>
      <c r="C196" s="18">
        <v>0</v>
      </c>
      <c r="D196" s="18">
        <v>0</v>
      </c>
      <c r="E196" s="3">
        <v>0</v>
      </c>
      <c r="G196" s="18">
        <v>0</v>
      </c>
      <c r="H196" s="18">
        <v>0</v>
      </c>
      <c r="I196" s="18">
        <v>0</v>
      </c>
      <c r="J196" s="18">
        <v>0</v>
      </c>
      <c r="K196" s="3">
        <v>0</v>
      </c>
    </row>
    <row r="197" spans="1:11" x14ac:dyDescent="0.25">
      <c r="A197" s="18">
        <v>0</v>
      </c>
      <c r="B197" s="18">
        <v>0</v>
      </c>
      <c r="C197" s="18">
        <v>0</v>
      </c>
      <c r="D197" s="18">
        <v>0</v>
      </c>
      <c r="E197" s="3">
        <v>0</v>
      </c>
      <c r="G197" s="18">
        <v>0</v>
      </c>
      <c r="H197" s="18">
        <v>0</v>
      </c>
      <c r="I197" s="18">
        <v>0</v>
      </c>
      <c r="J197" s="18">
        <v>0</v>
      </c>
      <c r="K197" s="3">
        <v>0</v>
      </c>
    </row>
    <row r="198" spans="1:11" x14ac:dyDescent="0.25">
      <c r="A198" s="18">
        <v>0</v>
      </c>
      <c r="B198" s="18">
        <v>0</v>
      </c>
      <c r="C198" s="18">
        <v>0</v>
      </c>
      <c r="D198" s="18">
        <v>0</v>
      </c>
      <c r="E198" s="3">
        <v>0</v>
      </c>
      <c r="G198" s="18">
        <v>0</v>
      </c>
      <c r="H198" s="18">
        <v>0</v>
      </c>
      <c r="I198" s="18">
        <v>0</v>
      </c>
      <c r="J198" s="18">
        <v>0</v>
      </c>
      <c r="K198" s="3">
        <v>0</v>
      </c>
    </row>
    <row r="199" spans="1:11" x14ac:dyDescent="0.25">
      <c r="A199" s="18">
        <v>0</v>
      </c>
      <c r="B199" s="18">
        <v>0</v>
      </c>
      <c r="C199" s="18">
        <v>0</v>
      </c>
      <c r="D199" s="18">
        <v>0</v>
      </c>
      <c r="E199" s="3">
        <v>0</v>
      </c>
      <c r="G199" s="18">
        <v>0</v>
      </c>
      <c r="H199" s="18">
        <v>0</v>
      </c>
      <c r="I199" s="18">
        <v>0</v>
      </c>
      <c r="J199" s="18">
        <v>0</v>
      </c>
      <c r="K199" s="3">
        <v>0</v>
      </c>
    </row>
    <row r="200" spans="1:11" x14ac:dyDescent="0.25">
      <c r="A200" s="18">
        <v>0</v>
      </c>
      <c r="B200" s="18">
        <v>0</v>
      </c>
      <c r="C200" s="18">
        <v>0</v>
      </c>
      <c r="D200" s="18">
        <v>0</v>
      </c>
      <c r="E200" s="3">
        <v>0</v>
      </c>
      <c r="G200" s="18">
        <v>0</v>
      </c>
      <c r="H200" s="18">
        <v>0</v>
      </c>
      <c r="I200" s="18">
        <v>0</v>
      </c>
      <c r="J200" s="18">
        <v>0</v>
      </c>
      <c r="K200" s="3">
        <v>0</v>
      </c>
    </row>
    <row r="201" spans="1:11" x14ac:dyDescent="0.25">
      <c r="A201" s="18">
        <v>0</v>
      </c>
      <c r="B201" s="18">
        <v>0</v>
      </c>
      <c r="C201" s="18">
        <v>0</v>
      </c>
      <c r="D201" s="18">
        <v>0</v>
      </c>
      <c r="E201" s="3">
        <v>0</v>
      </c>
      <c r="G201" s="18">
        <v>0</v>
      </c>
      <c r="H201" s="18">
        <v>0</v>
      </c>
      <c r="I201" s="18">
        <v>0</v>
      </c>
      <c r="J201" s="18">
        <v>0</v>
      </c>
      <c r="K201" s="3">
        <v>0</v>
      </c>
    </row>
    <row r="202" spans="1:11" x14ac:dyDescent="0.25">
      <c r="A202" s="18">
        <v>0</v>
      </c>
      <c r="B202" s="18">
        <v>0</v>
      </c>
      <c r="C202" s="18">
        <v>0</v>
      </c>
      <c r="D202" s="18">
        <v>0</v>
      </c>
      <c r="E202" s="3">
        <v>0</v>
      </c>
      <c r="G202" s="18">
        <v>0</v>
      </c>
      <c r="H202" s="18">
        <v>0</v>
      </c>
      <c r="I202" s="18">
        <v>0</v>
      </c>
      <c r="J202" s="18">
        <v>0</v>
      </c>
      <c r="K202" s="3">
        <v>0</v>
      </c>
    </row>
    <row r="203" spans="1:11" x14ac:dyDescent="0.25">
      <c r="A203" s="18">
        <v>0</v>
      </c>
      <c r="B203" s="18">
        <v>0</v>
      </c>
      <c r="C203" s="18">
        <v>0</v>
      </c>
      <c r="D203" s="18">
        <v>0</v>
      </c>
      <c r="E203" s="3">
        <v>0</v>
      </c>
      <c r="G203" s="18">
        <v>0</v>
      </c>
      <c r="H203" s="18">
        <v>0</v>
      </c>
      <c r="I203" s="18">
        <v>0</v>
      </c>
      <c r="J203" s="18">
        <v>0</v>
      </c>
      <c r="K203" s="3">
        <v>0</v>
      </c>
    </row>
    <row r="204" spans="1:11" x14ac:dyDescent="0.25">
      <c r="A204" s="18">
        <v>0</v>
      </c>
      <c r="B204" s="18">
        <v>0</v>
      </c>
      <c r="C204" s="18">
        <v>0</v>
      </c>
      <c r="D204" s="18">
        <v>0</v>
      </c>
      <c r="E204" s="3">
        <v>0</v>
      </c>
      <c r="G204" s="18">
        <v>0</v>
      </c>
      <c r="H204" s="18">
        <v>0</v>
      </c>
      <c r="I204" s="18">
        <v>0</v>
      </c>
      <c r="J204" s="18">
        <v>0</v>
      </c>
      <c r="K204" s="3">
        <v>0</v>
      </c>
    </row>
    <row r="205" spans="1:11" x14ac:dyDescent="0.25">
      <c r="A205" s="18">
        <v>0</v>
      </c>
      <c r="B205" s="18">
        <v>0</v>
      </c>
      <c r="C205" s="18">
        <v>0</v>
      </c>
      <c r="D205" s="18">
        <v>0</v>
      </c>
      <c r="E205" s="3">
        <v>0</v>
      </c>
      <c r="G205" s="18">
        <v>0</v>
      </c>
      <c r="H205" s="18">
        <v>0</v>
      </c>
      <c r="I205" s="18">
        <v>0</v>
      </c>
      <c r="J205" s="18">
        <v>0</v>
      </c>
      <c r="K205" s="3">
        <v>0</v>
      </c>
    </row>
    <row r="206" spans="1:11" x14ac:dyDescent="0.25">
      <c r="A206" s="18">
        <v>0</v>
      </c>
      <c r="B206" s="18">
        <v>0</v>
      </c>
      <c r="C206" s="18">
        <v>0</v>
      </c>
      <c r="D206" s="18">
        <v>0</v>
      </c>
      <c r="E206" s="3">
        <v>0</v>
      </c>
      <c r="G206" s="18">
        <v>0</v>
      </c>
      <c r="H206" s="18">
        <v>0</v>
      </c>
      <c r="I206" s="18">
        <v>0</v>
      </c>
      <c r="J206" s="18">
        <v>0</v>
      </c>
      <c r="K206" s="3">
        <v>0</v>
      </c>
    </row>
    <row r="207" spans="1:11" x14ac:dyDescent="0.25">
      <c r="A207" s="18">
        <v>0</v>
      </c>
      <c r="B207" s="18">
        <v>0</v>
      </c>
      <c r="C207" s="18">
        <v>0</v>
      </c>
      <c r="D207" s="18">
        <v>0</v>
      </c>
      <c r="E207" s="3">
        <v>0</v>
      </c>
      <c r="G207" s="18">
        <v>0</v>
      </c>
      <c r="H207" s="18">
        <v>0</v>
      </c>
      <c r="I207" s="18">
        <v>0</v>
      </c>
      <c r="J207" s="18">
        <v>0</v>
      </c>
      <c r="K207" s="3">
        <v>0</v>
      </c>
    </row>
    <row r="208" spans="1:11" x14ac:dyDescent="0.25">
      <c r="A208" s="18">
        <v>0</v>
      </c>
      <c r="B208" s="18">
        <v>0</v>
      </c>
      <c r="C208" s="18">
        <v>0</v>
      </c>
      <c r="D208" s="18">
        <v>0</v>
      </c>
      <c r="E208" s="3">
        <v>0</v>
      </c>
      <c r="G208" s="18">
        <v>0</v>
      </c>
      <c r="H208" s="18">
        <v>0</v>
      </c>
      <c r="I208" s="18">
        <v>0</v>
      </c>
      <c r="J208" s="18">
        <v>0</v>
      </c>
      <c r="K208" s="3">
        <v>0</v>
      </c>
    </row>
    <row r="209" spans="1:11" x14ac:dyDescent="0.25">
      <c r="A209" s="18">
        <v>0</v>
      </c>
      <c r="B209" s="18">
        <v>0</v>
      </c>
      <c r="C209" s="18">
        <v>0</v>
      </c>
      <c r="D209" s="18">
        <v>0</v>
      </c>
      <c r="E209" s="3">
        <v>0</v>
      </c>
      <c r="G209" s="18">
        <v>0</v>
      </c>
      <c r="H209" s="18">
        <v>0</v>
      </c>
      <c r="I209" s="18">
        <v>0</v>
      </c>
      <c r="J209" s="18">
        <v>0</v>
      </c>
      <c r="K209" s="3">
        <v>0</v>
      </c>
    </row>
    <row r="210" spans="1:11" x14ac:dyDescent="0.25">
      <c r="A210" s="18">
        <v>0</v>
      </c>
      <c r="B210" s="18">
        <v>0</v>
      </c>
      <c r="C210" s="18">
        <v>0</v>
      </c>
      <c r="D210" s="18">
        <v>0</v>
      </c>
      <c r="E210" s="3">
        <v>0</v>
      </c>
      <c r="G210" s="18">
        <v>0</v>
      </c>
      <c r="H210" s="18">
        <v>0</v>
      </c>
      <c r="I210" s="18">
        <v>0</v>
      </c>
      <c r="J210" s="18">
        <v>0</v>
      </c>
      <c r="K210" s="3">
        <v>0</v>
      </c>
    </row>
    <row r="211" spans="1:11" x14ac:dyDescent="0.25">
      <c r="A211" s="18">
        <v>0</v>
      </c>
      <c r="B211" s="18">
        <v>0</v>
      </c>
      <c r="C211" s="18">
        <v>0</v>
      </c>
      <c r="D211" s="18">
        <v>0</v>
      </c>
      <c r="E211" s="3">
        <v>0</v>
      </c>
      <c r="G211" s="18">
        <v>0</v>
      </c>
      <c r="H211" s="18">
        <v>0</v>
      </c>
      <c r="I211" s="18">
        <v>0</v>
      </c>
      <c r="J211" s="18">
        <v>0</v>
      </c>
      <c r="K211" s="3">
        <v>0</v>
      </c>
    </row>
    <row r="212" spans="1:11" x14ac:dyDescent="0.25">
      <c r="A212" s="18">
        <v>0</v>
      </c>
      <c r="B212" s="18">
        <v>0</v>
      </c>
      <c r="C212" s="18">
        <v>0</v>
      </c>
      <c r="D212" s="18">
        <v>0</v>
      </c>
      <c r="E212" s="3">
        <v>0</v>
      </c>
      <c r="G212" s="18">
        <v>0</v>
      </c>
      <c r="H212" s="18">
        <v>0</v>
      </c>
      <c r="I212" s="18">
        <v>0</v>
      </c>
      <c r="J212" s="18">
        <v>0</v>
      </c>
      <c r="K212" s="3">
        <v>0</v>
      </c>
    </row>
    <row r="213" spans="1:11" x14ac:dyDescent="0.25">
      <c r="G213" s="18">
        <v>0</v>
      </c>
      <c r="H213" s="18">
        <v>0</v>
      </c>
      <c r="I213" s="18">
        <v>0</v>
      </c>
      <c r="J213" s="18">
        <v>0</v>
      </c>
      <c r="K213" s="3">
        <v>0</v>
      </c>
    </row>
    <row r="214" spans="1:11" x14ac:dyDescent="0.25">
      <c r="G214" s="18">
        <v>0</v>
      </c>
      <c r="H214" s="18">
        <v>0</v>
      </c>
      <c r="I214" s="18">
        <v>0</v>
      </c>
      <c r="J214" s="18">
        <v>0</v>
      </c>
      <c r="K214" s="3">
        <v>0</v>
      </c>
    </row>
    <row r="215" spans="1:11" x14ac:dyDescent="0.25">
      <c r="G215" s="18">
        <v>0</v>
      </c>
      <c r="H215" s="18">
        <v>0</v>
      </c>
      <c r="I215" s="18">
        <v>0</v>
      </c>
      <c r="J215" s="18">
        <v>0</v>
      </c>
      <c r="K215" s="3">
        <v>0</v>
      </c>
    </row>
    <row r="216" spans="1:11" x14ac:dyDescent="0.25">
      <c r="G216" s="18">
        <v>0</v>
      </c>
      <c r="H216" s="18">
        <v>0</v>
      </c>
      <c r="I216" s="18">
        <v>0</v>
      </c>
      <c r="J216" s="18">
        <v>0</v>
      </c>
      <c r="K216" s="3">
        <v>0</v>
      </c>
    </row>
    <row r="217" spans="1:11" x14ac:dyDescent="0.25">
      <c r="G217" s="18">
        <v>0</v>
      </c>
      <c r="H217" s="18">
        <v>0</v>
      </c>
      <c r="I217" s="18">
        <v>0</v>
      </c>
      <c r="J217" s="18">
        <v>0</v>
      </c>
      <c r="K217" s="3">
        <v>0</v>
      </c>
    </row>
    <row r="218" spans="1:11" x14ac:dyDescent="0.25">
      <c r="G218" s="18">
        <v>0</v>
      </c>
      <c r="H218" s="18">
        <v>0</v>
      </c>
      <c r="I218" s="18">
        <v>0</v>
      </c>
      <c r="J218" s="18">
        <v>0</v>
      </c>
      <c r="K218" s="3">
        <v>0</v>
      </c>
    </row>
    <row r="219" spans="1:11" x14ac:dyDescent="0.25">
      <c r="G219" s="18">
        <v>0</v>
      </c>
      <c r="H219" s="18">
        <v>0</v>
      </c>
      <c r="I219" s="18">
        <v>0</v>
      </c>
      <c r="J219" s="18">
        <v>0</v>
      </c>
      <c r="K219" s="3">
        <v>0</v>
      </c>
    </row>
    <row r="220" spans="1:11" x14ac:dyDescent="0.25">
      <c r="G220" s="18">
        <v>0</v>
      </c>
      <c r="H220" s="18">
        <v>0</v>
      </c>
      <c r="I220" s="18">
        <v>0</v>
      </c>
      <c r="J220" s="18">
        <v>0</v>
      </c>
      <c r="K220" s="3">
        <v>0</v>
      </c>
    </row>
    <row r="221" spans="1:11" x14ac:dyDescent="0.25">
      <c r="G221" s="18">
        <v>0</v>
      </c>
      <c r="H221" s="18">
        <v>0</v>
      </c>
      <c r="I221" s="18">
        <v>0</v>
      </c>
      <c r="J221" s="18">
        <v>0</v>
      </c>
      <c r="K221" s="3">
        <v>0</v>
      </c>
    </row>
    <row r="222" spans="1:11" x14ac:dyDescent="0.25">
      <c r="G222" s="18">
        <v>0</v>
      </c>
      <c r="H222" s="18">
        <v>0</v>
      </c>
      <c r="I222" s="18">
        <v>0</v>
      </c>
      <c r="J222" s="18">
        <v>0</v>
      </c>
      <c r="K222" s="3">
        <v>0</v>
      </c>
    </row>
    <row r="223" spans="1:11" x14ac:dyDescent="0.25">
      <c r="G223" s="18">
        <v>0</v>
      </c>
      <c r="H223" s="18">
        <v>0</v>
      </c>
      <c r="I223" s="18">
        <v>0</v>
      </c>
      <c r="J223" s="18">
        <v>0</v>
      </c>
      <c r="K223" s="3">
        <v>0</v>
      </c>
    </row>
    <row r="224" spans="1:11" x14ac:dyDescent="0.25">
      <c r="G224" s="18">
        <v>0</v>
      </c>
      <c r="H224" s="18">
        <v>0</v>
      </c>
      <c r="I224" s="18">
        <v>0</v>
      </c>
      <c r="J224" s="18">
        <v>0</v>
      </c>
      <c r="K224" s="3">
        <v>0</v>
      </c>
    </row>
    <row r="225" spans="7:11" x14ac:dyDescent="0.25">
      <c r="G225" s="18">
        <v>0</v>
      </c>
      <c r="H225" s="18">
        <v>0</v>
      </c>
      <c r="I225" s="18">
        <v>0</v>
      </c>
      <c r="J225" s="18">
        <v>0</v>
      </c>
      <c r="K225" s="3">
        <v>0</v>
      </c>
    </row>
    <row r="226" spans="7:11" x14ac:dyDescent="0.25">
      <c r="G226" s="18">
        <v>0</v>
      </c>
      <c r="H226" s="18">
        <v>0</v>
      </c>
      <c r="I226" s="18">
        <v>0</v>
      </c>
      <c r="J226" s="18">
        <v>0</v>
      </c>
      <c r="K226" s="3">
        <v>0</v>
      </c>
    </row>
    <row r="227" spans="7:11" x14ac:dyDescent="0.25">
      <c r="G227" s="18">
        <v>0</v>
      </c>
      <c r="H227" s="18">
        <v>0</v>
      </c>
      <c r="I227" s="18">
        <v>0</v>
      </c>
      <c r="J227" s="18">
        <v>0</v>
      </c>
      <c r="K227" s="3">
        <v>0</v>
      </c>
    </row>
    <row r="228" spans="7:11" x14ac:dyDescent="0.25">
      <c r="G228" s="18">
        <v>0</v>
      </c>
      <c r="H228" s="18">
        <v>0</v>
      </c>
      <c r="I228" s="18">
        <v>0</v>
      </c>
      <c r="J228" s="18">
        <v>0</v>
      </c>
      <c r="K228" s="3">
        <v>0</v>
      </c>
    </row>
  </sheetData>
  <mergeCells count="2">
    <mergeCell ref="A1:E1"/>
    <mergeCell ref="G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87562-B8FB-4B48-85BA-49EBBE5D72B4}">
  <dimension ref="A2:BA74"/>
  <sheetViews>
    <sheetView workbookViewId="0">
      <selection activeCell="AU14" sqref="AU14"/>
    </sheetView>
  </sheetViews>
  <sheetFormatPr defaultColWidth="8.85546875" defaultRowHeight="15" x14ac:dyDescent="0.25"/>
  <cols>
    <col min="1" max="1" width="11.7109375" customWidth="1"/>
    <col min="5" max="5" width="18.42578125" customWidth="1"/>
    <col min="7" max="7" width="11.7109375" customWidth="1"/>
    <col min="11" max="11" width="18.42578125" customWidth="1"/>
    <col min="13" max="13" width="11.7109375" customWidth="1"/>
    <col min="17" max="17" width="18.42578125" customWidth="1"/>
    <col min="19" max="19" width="11.7109375" customWidth="1"/>
    <col min="23" max="23" width="18.42578125" customWidth="1"/>
  </cols>
  <sheetData>
    <row r="2" spans="1:53" x14ac:dyDescent="0.25">
      <c r="A2" t="s">
        <v>54</v>
      </c>
      <c r="B2" t="s">
        <v>13</v>
      </c>
      <c r="C2" t="s">
        <v>14</v>
      </c>
      <c r="D2" t="s">
        <v>15</v>
      </c>
      <c r="E2" t="s">
        <v>51</v>
      </c>
      <c r="G2" t="s">
        <v>54</v>
      </c>
      <c r="H2" t="s">
        <v>13</v>
      </c>
      <c r="I2" t="s">
        <v>14</v>
      </c>
      <c r="J2" t="s">
        <v>15</v>
      </c>
      <c r="K2" t="s">
        <v>51</v>
      </c>
      <c r="M2" t="s">
        <v>54</v>
      </c>
      <c r="N2" t="s">
        <v>13</v>
      </c>
      <c r="O2" t="s">
        <v>14</v>
      </c>
      <c r="P2" t="s">
        <v>15</v>
      </c>
      <c r="Q2" t="s">
        <v>51</v>
      </c>
      <c r="S2" t="s">
        <v>54</v>
      </c>
      <c r="T2" t="s">
        <v>13</v>
      </c>
      <c r="U2" t="s">
        <v>14</v>
      </c>
      <c r="V2" t="s">
        <v>15</v>
      </c>
      <c r="W2" t="s">
        <v>51</v>
      </c>
      <c r="AY2" t="s">
        <v>55</v>
      </c>
      <c r="BA2" t="s">
        <v>56</v>
      </c>
    </row>
    <row r="3" spans="1:53" x14ac:dyDescent="0.25">
      <c r="A3">
        <v>29056</v>
      </c>
      <c r="B3">
        <v>32</v>
      </c>
      <c r="C3">
        <v>1</v>
      </c>
      <c r="D3">
        <v>16</v>
      </c>
      <c r="E3">
        <v>8.6498600000000003</v>
      </c>
      <c r="G3">
        <v>29056</v>
      </c>
      <c r="H3">
        <v>32</v>
      </c>
      <c r="I3">
        <v>1</v>
      </c>
      <c r="J3">
        <v>16</v>
      </c>
      <c r="K3">
        <v>9.5888399999999994</v>
      </c>
      <c r="M3">
        <v>14592</v>
      </c>
      <c r="N3">
        <v>32</v>
      </c>
      <c r="O3">
        <v>1</v>
      </c>
      <c r="P3">
        <v>4</v>
      </c>
      <c r="Q3">
        <v>2.23156</v>
      </c>
      <c r="S3">
        <v>14592</v>
      </c>
      <c r="T3">
        <v>32</v>
      </c>
      <c r="U3">
        <v>1</v>
      </c>
      <c r="V3">
        <v>4</v>
      </c>
      <c r="W3">
        <v>2.4844599999999999</v>
      </c>
      <c r="Y3">
        <v>29056</v>
      </c>
      <c r="Z3">
        <v>32</v>
      </c>
      <c r="AA3">
        <v>2</v>
      </c>
      <c r="AB3">
        <v>8</v>
      </c>
      <c r="AC3">
        <v>8.7873199999999994</v>
      </c>
      <c r="AE3">
        <v>29056</v>
      </c>
      <c r="AF3">
        <v>32</v>
      </c>
      <c r="AG3">
        <v>2</v>
      </c>
      <c r="AH3">
        <v>8</v>
      </c>
      <c r="AI3">
        <v>9.6586600000000011</v>
      </c>
      <c r="AK3">
        <v>14592</v>
      </c>
      <c r="AL3">
        <v>32</v>
      </c>
      <c r="AM3">
        <v>2</v>
      </c>
      <c r="AN3">
        <v>2</v>
      </c>
      <c r="AO3">
        <v>2.2431399999999995</v>
      </c>
      <c r="AQ3">
        <v>14592</v>
      </c>
      <c r="AR3">
        <v>32</v>
      </c>
      <c r="AS3">
        <v>1</v>
      </c>
      <c r="AT3">
        <v>4</v>
      </c>
      <c r="AU3">
        <v>2.4844599999999999</v>
      </c>
      <c r="AW3" t="s">
        <v>57</v>
      </c>
      <c r="AX3">
        <v>32</v>
      </c>
      <c r="AY3">
        <f>AC3/AO3</f>
        <v>3.9174193318294899</v>
      </c>
      <c r="BA3">
        <f>AI3/AU3</f>
        <v>3.8876295050030998</v>
      </c>
    </row>
    <row r="4" spans="1:53" x14ac:dyDescent="0.25">
      <c r="A4">
        <v>29056</v>
      </c>
      <c r="B4">
        <v>64</v>
      </c>
      <c r="C4">
        <v>1</v>
      </c>
      <c r="D4">
        <v>16</v>
      </c>
      <c r="E4">
        <v>8.4505799999999986</v>
      </c>
      <c r="G4">
        <v>29056</v>
      </c>
      <c r="H4">
        <v>64</v>
      </c>
      <c r="I4">
        <v>1</v>
      </c>
      <c r="J4">
        <v>16</v>
      </c>
      <c r="K4">
        <v>9.8132199999999994</v>
      </c>
      <c r="M4">
        <v>14592</v>
      </c>
      <c r="N4">
        <v>64</v>
      </c>
      <c r="O4">
        <v>1</v>
      </c>
      <c r="P4">
        <v>4</v>
      </c>
      <c r="Q4">
        <v>2.2198600000000002</v>
      </c>
      <c r="S4">
        <v>14592</v>
      </c>
      <c r="T4">
        <v>64</v>
      </c>
      <c r="U4">
        <v>1</v>
      </c>
      <c r="V4">
        <v>4</v>
      </c>
      <c r="W4">
        <v>2.5794399999999995</v>
      </c>
      <c r="Y4">
        <v>29056</v>
      </c>
      <c r="Z4">
        <v>64</v>
      </c>
      <c r="AA4">
        <v>2</v>
      </c>
      <c r="AB4">
        <v>8</v>
      </c>
      <c r="AC4">
        <v>8.6886200000000002</v>
      </c>
      <c r="AE4">
        <v>29056</v>
      </c>
      <c r="AF4">
        <v>64</v>
      </c>
      <c r="AG4">
        <v>2</v>
      </c>
      <c r="AH4">
        <v>8</v>
      </c>
      <c r="AI4">
        <v>10.036199999999999</v>
      </c>
      <c r="AK4">
        <v>14592</v>
      </c>
      <c r="AL4">
        <v>64</v>
      </c>
      <c r="AM4">
        <v>2</v>
      </c>
      <c r="AN4">
        <v>2</v>
      </c>
      <c r="AO4">
        <v>2.3093400000000002</v>
      </c>
      <c r="AQ4">
        <v>14592</v>
      </c>
      <c r="AR4">
        <v>64</v>
      </c>
      <c r="AS4">
        <v>1</v>
      </c>
      <c r="AT4">
        <v>4</v>
      </c>
      <c r="AU4">
        <v>2.5794399999999995</v>
      </c>
      <c r="AW4" t="s">
        <v>57</v>
      </c>
      <c r="AX4">
        <v>64</v>
      </c>
      <c r="AY4">
        <f t="shared" ref="AY4:AY26" si="0">AC4/AO4</f>
        <v>3.7623823256861266</v>
      </c>
      <c r="BA4">
        <f t="shared" ref="BA4:BA26" si="1">AI4/AU4</f>
        <v>3.8908445243928917</v>
      </c>
    </row>
    <row r="5" spans="1:53" x14ac:dyDescent="0.25">
      <c r="A5">
        <v>29056</v>
      </c>
      <c r="B5">
        <v>96</v>
      </c>
      <c r="C5">
        <v>1</v>
      </c>
      <c r="D5">
        <v>16</v>
      </c>
      <c r="E5">
        <v>8.4819199999999988</v>
      </c>
      <c r="G5">
        <v>29056</v>
      </c>
      <c r="H5">
        <v>96</v>
      </c>
      <c r="I5">
        <v>1</v>
      </c>
      <c r="J5">
        <v>16</v>
      </c>
      <c r="K5">
        <v>9.6283999999999992</v>
      </c>
      <c r="M5">
        <v>14592</v>
      </c>
      <c r="N5">
        <v>96</v>
      </c>
      <c r="O5">
        <v>1</v>
      </c>
      <c r="P5">
        <v>4</v>
      </c>
      <c r="Q5">
        <v>2.2791799999999998</v>
      </c>
      <c r="S5">
        <v>14592</v>
      </c>
      <c r="T5">
        <v>96</v>
      </c>
      <c r="U5">
        <v>1</v>
      </c>
      <c r="V5">
        <v>4</v>
      </c>
      <c r="W5">
        <v>2.5705199999999997</v>
      </c>
      <c r="Y5">
        <v>29056</v>
      </c>
      <c r="Z5">
        <v>96</v>
      </c>
      <c r="AA5">
        <v>2</v>
      </c>
      <c r="AB5">
        <v>8</v>
      </c>
      <c r="AC5">
        <v>9.0212199999999996</v>
      </c>
      <c r="AE5">
        <v>29056</v>
      </c>
      <c r="AF5">
        <v>96</v>
      </c>
      <c r="AG5">
        <v>2</v>
      </c>
      <c r="AH5">
        <v>8</v>
      </c>
      <c r="AI5">
        <v>9.9628799999999984</v>
      </c>
      <c r="AK5">
        <v>14592</v>
      </c>
      <c r="AL5">
        <v>96</v>
      </c>
      <c r="AM5">
        <v>2</v>
      </c>
      <c r="AN5">
        <v>2</v>
      </c>
      <c r="AO5">
        <v>2.3224999999999998</v>
      </c>
      <c r="AQ5">
        <v>14592</v>
      </c>
      <c r="AR5">
        <v>96</v>
      </c>
      <c r="AS5">
        <v>1</v>
      </c>
      <c r="AT5">
        <v>4</v>
      </c>
      <c r="AU5">
        <v>2.5705199999999997</v>
      </c>
      <c r="AW5" t="s">
        <v>57</v>
      </c>
      <c r="AX5">
        <v>96</v>
      </c>
      <c r="AY5">
        <f t="shared" si="0"/>
        <v>3.8842712594187301</v>
      </c>
      <c r="BA5">
        <f t="shared" si="1"/>
        <v>3.8758227907193872</v>
      </c>
    </row>
    <row r="6" spans="1:53" x14ac:dyDescent="0.25">
      <c r="A6">
        <v>29056</v>
      </c>
      <c r="B6">
        <v>128</v>
      </c>
      <c r="C6">
        <v>1</v>
      </c>
      <c r="D6">
        <v>16</v>
      </c>
      <c r="E6">
        <v>8.8994599999999995</v>
      </c>
      <c r="G6">
        <v>29056</v>
      </c>
      <c r="H6">
        <v>128</v>
      </c>
      <c r="I6">
        <v>1</v>
      </c>
      <c r="J6">
        <v>16</v>
      </c>
      <c r="K6">
        <v>9.3912200000000006</v>
      </c>
      <c r="M6">
        <v>14592</v>
      </c>
      <c r="N6">
        <v>128</v>
      </c>
      <c r="O6">
        <v>1</v>
      </c>
      <c r="P6">
        <v>4</v>
      </c>
      <c r="Q6">
        <v>2.2364600000000001</v>
      </c>
      <c r="S6">
        <v>14592</v>
      </c>
      <c r="T6">
        <v>128</v>
      </c>
      <c r="U6">
        <v>1</v>
      </c>
      <c r="V6">
        <v>4</v>
      </c>
      <c r="W6">
        <v>2.5363799999999999</v>
      </c>
      <c r="Y6">
        <v>29056</v>
      </c>
      <c r="Z6">
        <v>128</v>
      </c>
      <c r="AA6">
        <v>2</v>
      </c>
      <c r="AB6">
        <v>8</v>
      </c>
      <c r="AC6">
        <v>8.9261999999999997</v>
      </c>
      <c r="AE6">
        <v>29056</v>
      </c>
      <c r="AF6">
        <v>128</v>
      </c>
      <c r="AG6">
        <v>2</v>
      </c>
      <c r="AH6">
        <v>8</v>
      </c>
      <c r="AI6">
        <v>9.790519999999999</v>
      </c>
      <c r="AK6">
        <v>14592</v>
      </c>
      <c r="AL6">
        <v>128</v>
      </c>
      <c r="AM6">
        <v>2</v>
      </c>
      <c r="AN6">
        <v>2</v>
      </c>
      <c r="AO6">
        <v>2.3155399999999999</v>
      </c>
      <c r="AQ6">
        <v>14592</v>
      </c>
      <c r="AR6">
        <v>128</v>
      </c>
      <c r="AS6">
        <v>1</v>
      </c>
      <c r="AT6">
        <v>4</v>
      </c>
      <c r="AU6">
        <v>2.5363799999999999</v>
      </c>
      <c r="AW6" t="s">
        <v>57</v>
      </c>
      <c r="AX6">
        <v>128</v>
      </c>
      <c r="AY6">
        <f t="shared" si="0"/>
        <v>3.8549107335653887</v>
      </c>
      <c r="BA6">
        <f t="shared" si="1"/>
        <v>3.8600367452826467</v>
      </c>
    </row>
    <row r="7" spans="1:53" x14ac:dyDescent="0.25">
      <c r="A7">
        <v>29056</v>
      </c>
      <c r="B7">
        <v>160</v>
      </c>
      <c r="C7">
        <v>1</v>
      </c>
      <c r="D7">
        <v>16</v>
      </c>
      <c r="E7">
        <v>8.3054400000000008</v>
      </c>
      <c r="G7">
        <v>29056</v>
      </c>
      <c r="H7">
        <v>160</v>
      </c>
      <c r="I7">
        <v>1</v>
      </c>
      <c r="J7">
        <v>16</v>
      </c>
      <c r="K7">
        <v>9.2028800000000004</v>
      </c>
      <c r="M7">
        <v>14592</v>
      </c>
      <c r="N7">
        <v>160</v>
      </c>
      <c r="O7">
        <v>1</v>
      </c>
      <c r="P7">
        <v>4</v>
      </c>
      <c r="Q7">
        <v>2.2487200000000001</v>
      </c>
      <c r="S7">
        <v>14592</v>
      </c>
      <c r="T7">
        <v>160</v>
      </c>
      <c r="U7">
        <v>1</v>
      </c>
      <c r="V7">
        <v>4</v>
      </c>
      <c r="W7">
        <v>2.5259799999999997</v>
      </c>
      <c r="Y7">
        <v>29056</v>
      </c>
      <c r="Z7">
        <v>160</v>
      </c>
      <c r="AA7">
        <v>2</v>
      </c>
      <c r="AB7">
        <v>8</v>
      </c>
      <c r="AC7">
        <v>8.6553399999999989</v>
      </c>
      <c r="AE7">
        <v>29056</v>
      </c>
      <c r="AF7">
        <v>160</v>
      </c>
      <c r="AG7">
        <v>2</v>
      </c>
      <c r="AH7">
        <v>8</v>
      </c>
      <c r="AI7">
        <v>9.7122599999999988</v>
      </c>
      <c r="AK7">
        <v>14592</v>
      </c>
      <c r="AL7">
        <v>160</v>
      </c>
      <c r="AM7">
        <v>2</v>
      </c>
      <c r="AN7">
        <v>2</v>
      </c>
      <c r="AO7">
        <v>2.31968</v>
      </c>
      <c r="AQ7">
        <v>14592</v>
      </c>
      <c r="AR7">
        <v>160</v>
      </c>
      <c r="AS7">
        <v>1</v>
      </c>
      <c r="AT7">
        <v>4</v>
      </c>
      <c r="AU7">
        <v>2.5259799999999997</v>
      </c>
      <c r="AW7" t="s">
        <v>57</v>
      </c>
      <c r="AX7">
        <v>160</v>
      </c>
      <c r="AY7">
        <f t="shared" si="0"/>
        <v>3.7312646571940955</v>
      </c>
      <c r="BA7">
        <f t="shared" si="1"/>
        <v>3.8449473075796323</v>
      </c>
    </row>
    <row r="8" spans="1:53" x14ac:dyDescent="0.25">
      <c r="A8">
        <v>29056</v>
      </c>
      <c r="B8">
        <v>192</v>
      </c>
      <c r="C8">
        <v>1</v>
      </c>
      <c r="D8">
        <v>16</v>
      </c>
      <c r="E8">
        <v>8.2011399999999988</v>
      </c>
      <c r="G8">
        <v>29056</v>
      </c>
      <c r="H8">
        <v>192</v>
      </c>
      <c r="I8">
        <v>1</v>
      </c>
      <c r="J8">
        <v>16</v>
      </c>
      <c r="K8">
        <v>9.0000800000000005</v>
      </c>
      <c r="M8">
        <v>14592</v>
      </c>
      <c r="N8">
        <v>192</v>
      </c>
      <c r="O8">
        <v>1</v>
      </c>
      <c r="P8">
        <v>4</v>
      </c>
      <c r="Q8">
        <v>2.2344599999999999</v>
      </c>
      <c r="S8">
        <v>14592</v>
      </c>
      <c r="T8">
        <v>192</v>
      </c>
      <c r="U8">
        <v>1</v>
      </c>
      <c r="V8">
        <v>4</v>
      </c>
      <c r="W8">
        <v>2.5027400000000002</v>
      </c>
      <c r="Y8">
        <v>29056</v>
      </c>
      <c r="Z8">
        <v>192</v>
      </c>
      <c r="AA8">
        <v>2</v>
      </c>
      <c r="AB8">
        <v>8</v>
      </c>
      <c r="AC8">
        <v>8.6599799999999991</v>
      </c>
      <c r="AE8">
        <v>29056</v>
      </c>
      <c r="AF8">
        <v>192</v>
      </c>
      <c r="AG8">
        <v>2</v>
      </c>
      <c r="AH8">
        <v>8</v>
      </c>
      <c r="AI8">
        <v>9.6064199999999982</v>
      </c>
      <c r="AK8">
        <v>14592</v>
      </c>
      <c r="AL8">
        <v>192</v>
      </c>
      <c r="AM8">
        <v>2</v>
      </c>
      <c r="AN8">
        <v>2</v>
      </c>
      <c r="AO8">
        <v>2.2866</v>
      </c>
      <c r="AQ8">
        <v>14592</v>
      </c>
      <c r="AR8">
        <v>192</v>
      </c>
      <c r="AS8">
        <v>1</v>
      </c>
      <c r="AT8">
        <v>4</v>
      </c>
      <c r="AU8">
        <v>2.5027400000000002</v>
      </c>
      <c r="AW8" t="s">
        <v>57</v>
      </c>
      <c r="AX8">
        <v>192</v>
      </c>
      <c r="AY8">
        <f t="shared" si="0"/>
        <v>3.7872736814484385</v>
      </c>
      <c r="BA8">
        <f t="shared" si="1"/>
        <v>3.8383611561728337</v>
      </c>
    </row>
    <row r="9" spans="1:53" x14ac:dyDescent="0.25">
      <c r="A9">
        <v>29056</v>
      </c>
      <c r="B9">
        <v>224</v>
      </c>
      <c r="C9">
        <v>1</v>
      </c>
      <c r="D9">
        <v>16</v>
      </c>
      <c r="E9">
        <v>8.1013800000000007</v>
      </c>
      <c r="G9">
        <v>29056</v>
      </c>
      <c r="H9">
        <v>224</v>
      </c>
      <c r="I9">
        <v>1</v>
      </c>
      <c r="J9">
        <v>16</v>
      </c>
      <c r="K9">
        <v>8.83704</v>
      </c>
      <c r="M9">
        <v>14592</v>
      </c>
      <c r="N9">
        <v>224</v>
      </c>
      <c r="O9">
        <v>1</v>
      </c>
      <c r="P9">
        <v>4</v>
      </c>
      <c r="Q9">
        <v>2.2082000000000002</v>
      </c>
      <c r="S9">
        <v>14592</v>
      </c>
      <c r="T9">
        <v>224</v>
      </c>
      <c r="U9">
        <v>1</v>
      </c>
      <c r="V9">
        <v>4</v>
      </c>
      <c r="W9">
        <v>2.4788199999999998</v>
      </c>
      <c r="Y9">
        <v>29056</v>
      </c>
      <c r="Z9">
        <v>224</v>
      </c>
      <c r="AA9">
        <v>2</v>
      </c>
      <c r="AB9">
        <v>8</v>
      </c>
      <c r="AC9">
        <v>8.5911799999999996</v>
      </c>
      <c r="AE9">
        <v>29056</v>
      </c>
      <c r="AF9">
        <v>224</v>
      </c>
      <c r="AG9">
        <v>2</v>
      </c>
      <c r="AH9">
        <v>8</v>
      </c>
      <c r="AI9">
        <v>9.4601800000000011</v>
      </c>
      <c r="AK9">
        <v>14592</v>
      </c>
      <c r="AL9">
        <v>224</v>
      </c>
      <c r="AM9">
        <v>2</v>
      </c>
      <c r="AN9">
        <v>2</v>
      </c>
      <c r="AO9">
        <v>2.2587000000000002</v>
      </c>
      <c r="AQ9">
        <v>14592</v>
      </c>
      <c r="AR9">
        <v>224</v>
      </c>
      <c r="AS9">
        <v>1</v>
      </c>
      <c r="AT9">
        <v>4</v>
      </c>
      <c r="AU9">
        <v>2.4788199999999998</v>
      </c>
      <c r="AW9" t="s">
        <v>57</v>
      </c>
      <c r="AX9">
        <v>224</v>
      </c>
      <c r="AY9">
        <f t="shared" si="0"/>
        <v>3.8035949882675872</v>
      </c>
      <c r="BA9">
        <f t="shared" si="1"/>
        <v>3.8164045795983581</v>
      </c>
    </row>
    <row r="10" spans="1:53" x14ac:dyDescent="0.25">
      <c r="A10">
        <v>29056</v>
      </c>
      <c r="B10">
        <v>256</v>
      </c>
      <c r="C10">
        <v>1</v>
      </c>
      <c r="D10">
        <v>16</v>
      </c>
      <c r="E10">
        <v>7.8920199999999996</v>
      </c>
      <c r="G10">
        <v>29056</v>
      </c>
      <c r="H10">
        <v>256</v>
      </c>
      <c r="I10">
        <v>1</v>
      </c>
      <c r="J10">
        <v>16</v>
      </c>
      <c r="K10">
        <v>8.6222000000000012</v>
      </c>
      <c r="M10">
        <v>14592</v>
      </c>
      <c r="N10">
        <v>256</v>
      </c>
      <c r="O10">
        <v>1</v>
      </c>
      <c r="P10">
        <v>4</v>
      </c>
      <c r="Q10">
        <v>2.1747199999999998</v>
      </c>
      <c r="S10">
        <v>14592</v>
      </c>
      <c r="T10">
        <v>256</v>
      </c>
      <c r="U10">
        <v>1</v>
      </c>
      <c r="V10">
        <v>4</v>
      </c>
      <c r="W10">
        <v>2.43432</v>
      </c>
      <c r="Y10">
        <v>29056</v>
      </c>
      <c r="Z10">
        <v>256</v>
      </c>
      <c r="AA10">
        <v>2</v>
      </c>
      <c r="AB10">
        <v>8</v>
      </c>
      <c r="AC10">
        <v>8.4124599999999994</v>
      </c>
      <c r="AE10">
        <v>29056</v>
      </c>
      <c r="AF10">
        <v>256</v>
      </c>
      <c r="AG10">
        <v>2</v>
      </c>
      <c r="AH10">
        <v>8</v>
      </c>
      <c r="AI10">
        <v>9.2994999999999983</v>
      </c>
      <c r="AK10">
        <v>14592</v>
      </c>
      <c r="AL10">
        <v>256</v>
      </c>
      <c r="AM10">
        <v>2</v>
      </c>
      <c r="AN10">
        <v>2</v>
      </c>
      <c r="AO10">
        <v>2.2283999999999997</v>
      </c>
      <c r="AQ10">
        <v>14592</v>
      </c>
      <c r="AR10">
        <v>256</v>
      </c>
      <c r="AS10">
        <v>1</v>
      </c>
      <c r="AT10">
        <v>4</v>
      </c>
      <c r="AU10">
        <v>2.43432</v>
      </c>
      <c r="AW10" t="s">
        <v>57</v>
      </c>
      <c r="AX10">
        <v>256</v>
      </c>
      <c r="AY10">
        <f t="shared" si="0"/>
        <v>3.7751121881170349</v>
      </c>
      <c r="BA10">
        <f t="shared" si="1"/>
        <v>3.8201633310328953</v>
      </c>
    </row>
    <row r="11" spans="1:53" x14ac:dyDescent="0.25">
      <c r="A11">
        <v>27520</v>
      </c>
      <c r="B11">
        <v>32</v>
      </c>
      <c r="C11">
        <v>1</v>
      </c>
      <c r="D11">
        <v>16</v>
      </c>
      <c r="E11">
        <v>8.5820799999999995</v>
      </c>
      <c r="G11">
        <v>27520</v>
      </c>
      <c r="H11">
        <v>32</v>
      </c>
      <c r="I11">
        <v>1</v>
      </c>
      <c r="J11">
        <v>16</v>
      </c>
      <c r="K11">
        <v>9.542860000000001</v>
      </c>
      <c r="M11">
        <v>13824</v>
      </c>
      <c r="N11">
        <v>32</v>
      </c>
      <c r="O11">
        <v>1</v>
      </c>
      <c r="P11">
        <v>4</v>
      </c>
      <c r="Q11">
        <v>2.1856800000000001</v>
      </c>
      <c r="S11">
        <v>13824</v>
      </c>
      <c r="T11">
        <v>32</v>
      </c>
      <c r="U11">
        <v>1</v>
      </c>
      <c r="V11">
        <v>4</v>
      </c>
      <c r="W11">
        <v>2.4613199999999997</v>
      </c>
      <c r="Y11">
        <v>27520</v>
      </c>
      <c r="Z11">
        <v>32</v>
      </c>
      <c r="AA11">
        <v>2</v>
      </c>
      <c r="AB11">
        <v>8</v>
      </c>
      <c r="AC11">
        <v>8.748899999999999</v>
      </c>
      <c r="AE11">
        <v>27520</v>
      </c>
      <c r="AF11">
        <v>32</v>
      </c>
      <c r="AG11">
        <v>2</v>
      </c>
      <c r="AH11">
        <v>8</v>
      </c>
      <c r="AI11">
        <v>9.6196200000000012</v>
      </c>
      <c r="AK11">
        <v>13824</v>
      </c>
      <c r="AL11">
        <v>32</v>
      </c>
      <c r="AM11">
        <v>2</v>
      </c>
      <c r="AN11">
        <v>2</v>
      </c>
      <c r="AO11">
        <v>2.2071000000000001</v>
      </c>
      <c r="AQ11">
        <v>13824</v>
      </c>
      <c r="AR11">
        <v>32</v>
      </c>
      <c r="AS11">
        <v>1</v>
      </c>
      <c r="AT11">
        <v>4</v>
      </c>
      <c r="AU11">
        <v>2.4613199999999997</v>
      </c>
      <c r="AW11" t="s">
        <v>58</v>
      </c>
      <c r="AX11">
        <v>32</v>
      </c>
      <c r="AY11">
        <f t="shared" si="0"/>
        <v>3.9639798831045256</v>
      </c>
      <c r="BA11">
        <f t="shared" si="1"/>
        <v>3.9083174881770768</v>
      </c>
    </row>
    <row r="12" spans="1:53" x14ac:dyDescent="0.25">
      <c r="A12">
        <v>27520</v>
      </c>
      <c r="B12">
        <v>64</v>
      </c>
      <c r="C12">
        <v>1</v>
      </c>
      <c r="D12">
        <v>16</v>
      </c>
      <c r="E12">
        <v>8.3760999999999992</v>
      </c>
      <c r="G12">
        <v>27520</v>
      </c>
      <c r="H12">
        <v>64</v>
      </c>
      <c r="I12">
        <v>1</v>
      </c>
      <c r="J12">
        <v>16</v>
      </c>
      <c r="K12">
        <v>9.7481799999999996</v>
      </c>
      <c r="M12">
        <v>13824</v>
      </c>
      <c r="N12">
        <v>64</v>
      </c>
      <c r="O12">
        <v>1</v>
      </c>
      <c r="P12">
        <v>4</v>
      </c>
      <c r="Q12">
        <v>2.1837399999999998</v>
      </c>
      <c r="S12">
        <v>13824</v>
      </c>
      <c r="T12">
        <v>64</v>
      </c>
      <c r="U12">
        <v>1</v>
      </c>
      <c r="V12">
        <v>4</v>
      </c>
      <c r="W12">
        <v>2.5643000000000002</v>
      </c>
      <c r="Y12">
        <v>27520</v>
      </c>
      <c r="Z12">
        <v>64</v>
      </c>
      <c r="AA12">
        <v>2</v>
      </c>
      <c r="AB12">
        <v>8</v>
      </c>
      <c r="AC12">
        <v>8.6419999999999995</v>
      </c>
      <c r="AE12">
        <v>27520</v>
      </c>
      <c r="AF12">
        <v>64</v>
      </c>
      <c r="AG12">
        <v>2</v>
      </c>
      <c r="AH12">
        <v>8</v>
      </c>
      <c r="AI12">
        <v>9.991579999999999</v>
      </c>
      <c r="AK12">
        <v>13824</v>
      </c>
      <c r="AL12">
        <v>64</v>
      </c>
      <c r="AM12">
        <v>2</v>
      </c>
      <c r="AN12">
        <v>2</v>
      </c>
      <c r="AO12">
        <v>2.2812199999999998</v>
      </c>
      <c r="AQ12">
        <v>13824</v>
      </c>
      <c r="AR12">
        <v>64</v>
      </c>
      <c r="AS12">
        <v>1</v>
      </c>
      <c r="AT12">
        <v>4</v>
      </c>
      <c r="AU12">
        <v>2.5643000000000002</v>
      </c>
      <c r="AW12" t="s">
        <v>58</v>
      </c>
      <c r="AX12">
        <v>64</v>
      </c>
      <c r="AY12">
        <f t="shared" si="0"/>
        <v>3.7883237916553423</v>
      </c>
      <c r="BA12">
        <f t="shared" si="1"/>
        <v>3.8964161759544509</v>
      </c>
    </row>
    <row r="13" spans="1:53" x14ac:dyDescent="0.25">
      <c r="A13">
        <v>27520</v>
      </c>
      <c r="B13">
        <v>96</v>
      </c>
      <c r="C13">
        <v>1</v>
      </c>
      <c r="D13">
        <v>16</v>
      </c>
      <c r="E13">
        <v>8.9263000000000012</v>
      </c>
      <c r="G13">
        <v>27520</v>
      </c>
      <c r="H13">
        <v>96</v>
      </c>
      <c r="I13">
        <v>1</v>
      </c>
      <c r="J13">
        <v>16</v>
      </c>
      <c r="K13">
        <v>9.5727000000000011</v>
      </c>
      <c r="M13">
        <v>13824</v>
      </c>
      <c r="N13">
        <v>96</v>
      </c>
      <c r="O13">
        <v>1</v>
      </c>
      <c r="P13">
        <v>4</v>
      </c>
      <c r="Q13">
        <v>2.2400399999999996</v>
      </c>
      <c r="S13">
        <v>13824</v>
      </c>
      <c r="T13">
        <v>96</v>
      </c>
      <c r="U13">
        <v>1</v>
      </c>
      <c r="V13">
        <v>4</v>
      </c>
      <c r="W13">
        <v>2.5580600000000002</v>
      </c>
      <c r="Y13">
        <v>27520</v>
      </c>
      <c r="Z13">
        <v>96</v>
      </c>
      <c r="AA13">
        <v>2</v>
      </c>
      <c r="AB13">
        <v>8</v>
      </c>
      <c r="AC13">
        <v>8.99756</v>
      </c>
      <c r="AE13">
        <v>27520</v>
      </c>
      <c r="AF13">
        <v>96</v>
      </c>
      <c r="AG13">
        <v>2</v>
      </c>
      <c r="AH13">
        <v>8</v>
      </c>
      <c r="AI13">
        <v>9.9007200000000015</v>
      </c>
      <c r="AK13">
        <v>13824</v>
      </c>
      <c r="AL13">
        <v>96</v>
      </c>
      <c r="AM13">
        <v>2</v>
      </c>
      <c r="AN13">
        <v>2</v>
      </c>
      <c r="AO13">
        <v>2.2928799999999998</v>
      </c>
      <c r="AQ13">
        <v>13824</v>
      </c>
      <c r="AR13">
        <v>96</v>
      </c>
      <c r="AS13">
        <v>1</v>
      </c>
      <c r="AT13">
        <v>4</v>
      </c>
      <c r="AU13">
        <v>2.5580600000000002</v>
      </c>
      <c r="AW13" t="s">
        <v>58</v>
      </c>
      <c r="AX13">
        <v>96</v>
      </c>
      <c r="AY13">
        <f t="shared" si="0"/>
        <v>3.9241303513485226</v>
      </c>
      <c r="BA13">
        <f t="shared" si="1"/>
        <v>3.8704017888556175</v>
      </c>
    </row>
    <row r="14" spans="1:53" x14ac:dyDescent="0.25">
      <c r="A14">
        <v>27520</v>
      </c>
      <c r="B14">
        <v>128</v>
      </c>
      <c r="C14">
        <v>1</v>
      </c>
      <c r="D14">
        <v>16</v>
      </c>
      <c r="E14">
        <v>8.8530800000000003</v>
      </c>
      <c r="G14">
        <v>27520</v>
      </c>
      <c r="H14">
        <v>128</v>
      </c>
      <c r="I14">
        <v>1</v>
      </c>
      <c r="J14">
        <v>16</v>
      </c>
      <c r="K14">
        <v>9.2963199999999997</v>
      </c>
      <c r="M14">
        <v>13824</v>
      </c>
      <c r="N14">
        <v>128</v>
      </c>
      <c r="O14">
        <v>1</v>
      </c>
      <c r="P14">
        <v>4</v>
      </c>
      <c r="Q14">
        <v>2.1963599999999999</v>
      </c>
      <c r="S14">
        <v>13824</v>
      </c>
      <c r="T14">
        <v>128</v>
      </c>
      <c r="U14">
        <v>1</v>
      </c>
      <c r="V14">
        <v>4</v>
      </c>
      <c r="W14">
        <v>2.5113750000000001</v>
      </c>
      <c r="Y14">
        <v>27520</v>
      </c>
      <c r="Z14">
        <v>128</v>
      </c>
      <c r="AA14">
        <v>2</v>
      </c>
      <c r="AB14">
        <v>8</v>
      </c>
      <c r="AC14">
        <v>8.7946200000000001</v>
      </c>
      <c r="AE14">
        <v>27520</v>
      </c>
      <c r="AF14">
        <v>128</v>
      </c>
      <c r="AG14">
        <v>2</v>
      </c>
      <c r="AH14">
        <v>8</v>
      </c>
      <c r="AI14">
        <v>9.6756799999999998</v>
      </c>
      <c r="AK14">
        <v>13824</v>
      </c>
      <c r="AL14">
        <v>128</v>
      </c>
      <c r="AM14">
        <v>2</v>
      </c>
      <c r="AN14">
        <v>2</v>
      </c>
      <c r="AO14">
        <v>2.2845800000000001</v>
      </c>
      <c r="AQ14">
        <v>13824</v>
      </c>
      <c r="AR14">
        <v>128</v>
      </c>
      <c r="AS14">
        <v>1</v>
      </c>
      <c r="AT14">
        <v>4</v>
      </c>
      <c r="AU14">
        <v>2.5113750000000001</v>
      </c>
      <c r="AW14" t="s">
        <v>58</v>
      </c>
      <c r="AX14">
        <v>128</v>
      </c>
      <c r="AY14">
        <f t="shared" si="0"/>
        <v>3.8495565924590078</v>
      </c>
      <c r="BA14">
        <f>AI14/AU14</f>
        <v>3.8527420237917474</v>
      </c>
    </row>
    <row r="15" spans="1:53" x14ac:dyDescent="0.25">
      <c r="A15">
        <v>27520</v>
      </c>
      <c r="B15">
        <v>160</v>
      </c>
      <c r="C15">
        <v>1</v>
      </c>
      <c r="D15">
        <v>16</v>
      </c>
      <c r="E15">
        <v>8.2052600000000009</v>
      </c>
      <c r="G15">
        <v>27520</v>
      </c>
      <c r="H15">
        <v>160</v>
      </c>
      <c r="I15">
        <v>1</v>
      </c>
      <c r="J15">
        <v>16</v>
      </c>
      <c r="K15">
        <v>9.1327600000000011</v>
      </c>
      <c r="M15">
        <v>13824</v>
      </c>
      <c r="N15">
        <v>160</v>
      </c>
      <c r="O15">
        <v>1</v>
      </c>
      <c r="P15">
        <v>4</v>
      </c>
      <c r="Q15">
        <v>2.2392199999999995</v>
      </c>
      <c r="S15">
        <v>13824</v>
      </c>
      <c r="T15">
        <v>160</v>
      </c>
      <c r="U15">
        <v>1</v>
      </c>
      <c r="V15">
        <v>4</v>
      </c>
      <c r="W15">
        <v>2.5112200000000002</v>
      </c>
      <c r="Y15">
        <v>27520</v>
      </c>
      <c r="Z15">
        <v>160</v>
      </c>
      <c r="AA15">
        <v>2</v>
      </c>
      <c r="AB15">
        <v>8</v>
      </c>
      <c r="AC15">
        <v>8.4949999999999992</v>
      </c>
      <c r="AE15">
        <v>27520</v>
      </c>
      <c r="AF15">
        <v>160</v>
      </c>
      <c r="AG15">
        <v>2</v>
      </c>
      <c r="AH15">
        <v>8</v>
      </c>
      <c r="AI15">
        <v>9.6519800000000018</v>
      </c>
      <c r="AK15">
        <v>13824</v>
      </c>
      <c r="AL15">
        <v>160</v>
      </c>
      <c r="AM15">
        <v>2</v>
      </c>
      <c r="AN15">
        <v>2</v>
      </c>
      <c r="AO15">
        <v>2.3097400000000001</v>
      </c>
      <c r="AQ15">
        <v>13824</v>
      </c>
      <c r="AR15">
        <v>160</v>
      </c>
      <c r="AS15">
        <v>1</v>
      </c>
      <c r="AT15">
        <v>4</v>
      </c>
      <c r="AU15">
        <v>2.5112200000000002</v>
      </c>
      <c r="AW15" t="s">
        <v>58</v>
      </c>
      <c r="AX15">
        <v>160</v>
      </c>
      <c r="AY15">
        <f t="shared" si="0"/>
        <v>3.6779031406132288</v>
      </c>
      <c r="BA15">
        <f t="shared" si="1"/>
        <v>3.8435421826841139</v>
      </c>
    </row>
    <row r="16" spans="1:53" x14ac:dyDescent="0.25">
      <c r="A16">
        <v>27520</v>
      </c>
      <c r="B16">
        <v>192</v>
      </c>
      <c r="C16">
        <v>1</v>
      </c>
      <c r="D16">
        <v>16</v>
      </c>
      <c r="E16">
        <v>8.0792399999999986</v>
      </c>
      <c r="G16">
        <v>27520</v>
      </c>
      <c r="H16">
        <v>192</v>
      </c>
      <c r="I16">
        <v>1</v>
      </c>
      <c r="J16">
        <v>16</v>
      </c>
      <c r="K16">
        <v>8.952</v>
      </c>
      <c r="M16">
        <v>13824</v>
      </c>
      <c r="N16">
        <v>192</v>
      </c>
      <c r="O16">
        <v>1</v>
      </c>
      <c r="P16">
        <v>4</v>
      </c>
      <c r="Q16">
        <v>2.1958199999999999</v>
      </c>
      <c r="S16">
        <v>13824</v>
      </c>
      <c r="T16">
        <v>192</v>
      </c>
      <c r="U16">
        <v>1</v>
      </c>
      <c r="V16">
        <v>4</v>
      </c>
      <c r="W16">
        <v>2.4815400000000003</v>
      </c>
      <c r="Y16">
        <v>27520</v>
      </c>
      <c r="Z16">
        <v>192</v>
      </c>
      <c r="AA16">
        <v>2</v>
      </c>
      <c r="AB16">
        <v>8</v>
      </c>
      <c r="AC16">
        <v>8.6084600000000009</v>
      </c>
      <c r="AE16">
        <v>27520</v>
      </c>
      <c r="AF16">
        <v>192</v>
      </c>
      <c r="AG16">
        <v>2</v>
      </c>
      <c r="AH16">
        <v>8</v>
      </c>
      <c r="AI16">
        <v>9.5067599999999999</v>
      </c>
      <c r="AK16">
        <v>13824</v>
      </c>
      <c r="AL16">
        <v>192</v>
      </c>
      <c r="AM16">
        <v>2</v>
      </c>
      <c r="AN16">
        <v>2</v>
      </c>
      <c r="AO16">
        <v>2.2582599999999999</v>
      </c>
      <c r="AQ16">
        <v>13824</v>
      </c>
      <c r="AR16">
        <v>192</v>
      </c>
      <c r="AS16">
        <v>1</v>
      </c>
      <c r="AT16">
        <v>4</v>
      </c>
      <c r="AU16">
        <v>2.4815400000000003</v>
      </c>
      <c r="AW16" t="s">
        <v>58</v>
      </c>
      <c r="AX16">
        <v>192</v>
      </c>
      <c r="AY16">
        <f t="shared" si="0"/>
        <v>3.811987990753944</v>
      </c>
      <c r="BA16">
        <f t="shared" si="1"/>
        <v>3.8309920452622155</v>
      </c>
    </row>
    <row r="17" spans="1:53" x14ac:dyDescent="0.25">
      <c r="A17">
        <v>27520</v>
      </c>
      <c r="B17">
        <v>224</v>
      </c>
      <c r="C17">
        <v>1</v>
      </c>
      <c r="D17">
        <v>16</v>
      </c>
      <c r="E17">
        <v>8.0431799999999996</v>
      </c>
      <c r="G17">
        <v>27520</v>
      </c>
      <c r="H17">
        <v>224</v>
      </c>
      <c r="I17">
        <v>1</v>
      </c>
      <c r="J17">
        <v>16</v>
      </c>
      <c r="K17">
        <v>8.7078400000000009</v>
      </c>
      <c r="M17">
        <v>13824</v>
      </c>
      <c r="N17">
        <v>224</v>
      </c>
      <c r="O17">
        <v>1</v>
      </c>
      <c r="P17">
        <v>4</v>
      </c>
      <c r="Q17">
        <v>2.2016999999999998</v>
      </c>
      <c r="S17">
        <v>13824</v>
      </c>
      <c r="T17">
        <v>224</v>
      </c>
      <c r="U17">
        <v>1</v>
      </c>
      <c r="V17">
        <v>4</v>
      </c>
      <c r="W17">
        <v>2.4549799999999999</v>
      </c>
      <c r="Y17">
        <v>27520</v>
      </c>
      <c r="Z17">
        <v>224</v>
      </c>
      <c r="AA17">
        <v>2</v>
      </c>
      <c r="AB17">
        <v>8</v>
      </c>
      <c r="AC17">
        <v>8.428700000000001</v>
      </c>
      <c r="AE17">
        <v>27520</v>
      </c>
      <c r="AF17">
        <v>224</v>
      </c>
      <c r="AG17">
        <v>2</v>
      </c>
      <c r="AH17">
        <v>8</v>
      </c>
      <c r="AI17">
        <v>9.3772400000000005</v>
      </c>
      <c r="AK17">
        <v>13824</v>
      </c>
      <c r="AL17">
        <v>224</v>
      </c>
      <c r="AM17">
        <v>2</v>
      </c>
      <c r="AN17">
        <v>2</v>
      </c>
      <c r="AO17">
        <v>2.2660399999999998</v>
      </c>
      <c r="AQ17">
        <v>13824</v>
      </c>
      <c r="AR17">
        <v>224</v>
      </c>
      <c r="AS17">
        <v>1</v>
      </c>
      <c r="AT17">
        <v>4</v>
      </c>
      <c r="AU17">
        <v>2.4549799999999999</v>
      </c>
      <c r="AW17" t="s">
        <v>58</v>
      </c>
      <c r="AX17">
        <v>224</v>
      </c>
      <c r="AY17">
        <f t="shared" si="0"/>
        <v>3.7195724700358341</v>
      </c>
      <c r="BA17">
        <f t="shared" si="1"/>
        <v>3.8196808120636425</v>
      </c>
    </row>
    <row r="18" spans="1:53" x14ac:dyDescent="0.25">
      <c r="A18">
        <v>27520</v>
      </c>
      <c r="B18">
        <v>256</v>
      </c>
      <c r="C18">
        <v>1</v>
      </c>
      <c r="D18">
        <v>16</v>
      </c>
      <c r="E18">
        <v>7.7597000000000005</v>
      </c>
      <c r="G18">
        <v>27520</v>
      </c>
      <c r="H18">
        <v>256</v>
      </c>
      <c r="I18">
        <v>1</v>
      </c>
      <c r="J18">
        <v>16</v>
      </c>
      <c r="K18">
        <v>8.4752800000000015</v>
      </c>
      <c r="M18">
        <v>13824</v>
      </c>
      <c r="N18">
        <v>256</v>
      </c>
      <c r="O18">
        <v>1</v>
      </c>
      <c r="P18">
        <v>4</v>
      </c>
      <c r="Q18">
        <v>2.1341000000000001</v>
      </c>
      <c r="S18">
        <v>13824</v>
      </c>
      <c r="T18">
        <v>256</v>
      </c>
      <c r="U18">
        <v>1</v>
      </c>
      <c r="V18">
        <v>4</v>
      </c>
      <c r="W18">
        <v>2.4104600000000005</v>
      </c>
      <c r="Y18">
        <v>27520</v>
      </c>
      <c r="Z18">
        <v>256</v>
      </c>
      <c r="AA18">
        <v>2</v>
      </c>
      <c r="AB18">
        <v>8</v>
      </c>
      <c r="AC18">
        <v>8.4084199999999996</v>
      </c>
      <c r="AE18">
        <v>27520</v>
      </c>
      <c r="AF18">
        <v>256</v>
      </c>
      <c r="AG18">
        <v>2</v>
      </c>
      <c r="AH18">
        <v>8</v>
      </c>
      <c r="AI18">
        <v>9.1799599999999995</v>
      </c>
      <c r="AK18">
        <v>13824</v>
      </c>
      <c r="AL18">
        <v>256</v>
      </c>
      <c r="AM18">
        <v>2</v>
      </c>
      <c r="AN18">
        <v>2</v>
      </c>
      <c r="AO18">
        <v>2.2178800000000001</v>
      </c>
      <c r="AQ18">
        <v>13824</v>
      </c>
      <c r="AR18">
        <v>256</v>
      </c>
      <c r="AS18">
        <v>1</v>
      </c>
      <c r="AT18">
        <v>4</v>
      </c>
      <c r="AU18">
        <v>2.4104600000000005</v>
      </c>
      <c r="AW18" t="s">
        <v>58</v>
      </c>
      <c r="AX18">
        <v>256</v>
      </c>
      <c r="AY18">
        <f t="shared" si="0"/>
        <v>3.7911969989359204</v>
      </c>
      <c r="BA18">
        <f t="shared" si="1"/>
        <v>3.8083851215120754</v>
      </c>
    </row>
    <row r="19" spans="1:53" x14ac:dyDescent="0.25">
      <c r="A19">
        <v>25984</v>
      </c>
      <c r="B19">
        <v>32</v>
      </c>
      <c r="C19">
        <v>1</v>
      </c>
      <c r="D19">
        <v>16</v>
      </c>
      <c r="E19">
        <v>8.5776399999999988</v>
      </c>
      <c r="G19">
        <v>25984</v>
      </c>
      <c r="H19">
        <v>32</v>
      </c>
      <c r="I19">
        <v>1</v>
      </c>
      <c r="J19">
        <v>16</v>
      </c>
      <c r="K19">
        <v>9.5150800000000011</v>
      </c>
      <c r="M19">
        <v>13056</v>
      </c>
      <c r="N19">
        <v>32</v>
      </c>
      <c r="O19">
        <v>1</v>
      </c>
      <c r="P19">
        <v>4</v>
      </c>
      <c r="Q19">
        <v>2.2183999999999999</v>
      </c>
      <c r="S19">
        <v>13056</v>
      </c>
      <c r="T19">
        <v>32</v>
      </c>
      <c r="U19">
        <v>1</v>
      </c>
      <c r="V19">
        <v>4</v>
      </c>
      <c r="W19">
        <v>2.4730599999999998</v>
      </c>
      <c r="Y19">
        <v>25984</v>
      </c>
      <c r="Z19">
        <v>32</v>
      </c>
      <c r="AA19">
        <v>2</v>
      </c>
      <c r="AB19">
        <v>8</v>
      </c>
      <c r="AC19">
        <v>8.7267600000000023</v>
      </c>
      <c r="AE19">
        <v>25984</v>
      </c>
      <c r="AF19">
        <v>32</v>
      </c>
      <c r="AG19">
        <v>2</v>
      </c>
      <c r="AH19">
        <v>8</v>
      </c>
      <c r="AI19">
        <v>9.5702600000000011</v>
      </c>
      <c r="AK19">
        <v>13056</v>
      </c>
      <c r="AL19">
        <v>32</v>
      </c>
      <c r="AM19">
        <v>2</v>
      </c>
      <c r="AN19">
        <v>2</v>
      </c>
      <c r="AO19">
        <v>2.2278500000000001</v>
      </c>
      <c r="AQ19">
        <v>13056</v>
      </c>
      <c r="AR19">
        <v>32</v>
      </c>
      <c r="AS19">
        <v>1</v>
      </c>
      <c r="AT19">
        <v>4</v>
      </c>
      <c r="AU19">
        <v>2.4730599999999998</v>
      </c>
      <c r="AW19" t="s">
        <v>59</v>
      </c>
      <c r="AX19">
        <v>32</v>
      </c>
      <c r="AY19">
        <f t="shared" si="0"/>
        <v>3.9171218888165731</v>
      </c>
      <c r="BA19">
        <f t="shared" si="1"/>
        <v>3.8698050188834894</v>
      </c>
    </row>
    <row r="20" spans="1:53" x14ac:dyDescent="0.25">
      <c r="A20">
        <v>25984</v>
      </c>
      <c r="B20">
        <v>64</v>
      </c>
      <c r="C20">
        <v>1</v>
      </c>
      <c r="D20">
        <v>16</v>
      </c>
      <c r="E20">
        <v>8.3583599999999993</v>
      </c>
      <c r="G20">
        <v>25984</v>
      </c>
      <c r="H20">
        <v>64</v>
      </c>
      <c r="I20">
        <v>1</v>
      </c>
      <c r="J20">
        <v>16</v>
      </c>
      <c r="K20">
        <v>9.7086999999999986</v>
      </c>
      <c r="M20">
        <v>13056</v>
      </c>
      <c r="N20">
        <v>64</v>
      </c>
      <c r="O20">
        <v>1</v>
      </c>
      <c r="P20">
        <v>4</v>
      </c>
      <c r="Q20">
        <v>2.2046999999999999</v>
      </c>
      <c r="S20">
        <v>13056</v>
      </c>
      <c r="T20">
        <v>64</v>
      </c>
      <c r="U20">
        <v>1</v>
      </c>
      <c r="V20">
        <v>4</v>
      </c>
      <c r="W20">
        <v>2.5720599999999996</v>
      </c>
      <c r="Y20">
        <v>25984</v>
      </c>
      <c r="Z20">
        <v>64</v>
      </c>
      <c r="AA20">
        <v>2</v>
      </c>
      <c r="AB20">
        <v>8</v>
      </c>
      <c r="AC20">
        <v>8.6165199999999995</v>
      </c>
      <c r="AE20">
        <v>25984</v>
      </c>
      <c r="AF20">
        <v>64</v>
      </c>
      <c r="AG20">
        <v>2</v>
      </c>
      <c r="AH20">
        <v>8</v>
      </c>
      <c r="AI20">
        <v>9.9344799999999989</v>
      </c>
      <c r="AK20">
        <v>13056</v>
      </c>
      <c r="AL20">
        <v>64</v>
      </c>
      <c r="AM20">
        <v>2</v>
      </c>
      <c r="AN20">
        <v>2</v>
      </c>
      <c r="AO20">
        <v>2.2986599999999999</v>
      </c>
      <c r="AQ20">
        <v>13056</v>
      </c>
      <c r="AR20">
        <v>64</v>
      </c>
      <c r="AS20">
        <v>1</v>
      </c>
      <c r="AT20">
        <v>4</v>
      </c>
      <c r="AU20">
        <v>2.5720599999999996</v>
      </c>
      <c r="AW20" t="s">
        <v>59</v>
      </c>
      <c r="AX20">
        <v>64</v>
      </c>
      <c r="AY20">
        <f t="shared" si="0"/>
        <v>3.7484969503971879</v>
      </c>
      <c r="BA20">
        <f t="shared" si="1"/>
        <v>3.8624604402696674</v>
      </c>
    </row>
    <row r="21" spans="1:53" x14ac:dyDescent="0.25">
      <c r="A21">
        <v>25984</v>
      </c>
      <c r="B21">
        <v>96</v>
      </c>
      <c r="C21">
        <v>1</v>
      </c>
      <c r="D21">
        <v>16</v>
      </c>
      <c r="E21">
        <v>8.9354399999999998</v>
      </c>
      <c r="G21">
        <v>25984</v>
      </c>
      <c r="H21">
        <v>96</v>
      </c>
      <c r="I21">
        <v>1</v>
      </c>
      <c r="J21">
        <v>16</v>
      </c>
      <c r="K21">
        <v>9.5075800000000008</v>
      </c>
      <c r="M21">
        <v>13056</v>
      </c>
      <c r="N21">
        <v>96</v>
      </c>
      <c r="O21">
        <v>1</v>
      </c>
      <c r="P21">
        <v>4</v>
      </c>
      <c r="Q21">
        <v>2.2598200000000004</v>
      </c>
      <c r="S21">
        <v>13056</v>
      </c>
      <c r="T21">
        <v>96</v>
      </c>
      <c r="U21">
        <v>1</v>
      </c>
      <c r="V21">
        <v>4</v>
      </c>
      <c r="W21">
        <v>2.5431400000000002</v>
      </c>
      <c r="Y21">
        <v>25984</v>
      </c>
      <c r="Z21">
        <v>96</v>
      </c>
      <c r="AA21">
        <v>2</v>
      </c>
      <c r="AB21">
        <v>8</v>
      </c>
      <c r="AC21">
        <v>8.7859599999999993</v>
      </c>
      <c r="AE21">
        <v>25984</v>
      </c>
      <c r="AF21">
        <v>96</v>
      </c>
      <c r="AG21">
        <v>2</v>
      </c>
      <c r="AH21">
        <v>8</v>
      </c>
      <c r="AI21">
        <v>9.8135399999999997</v>
      </c>
      <c r="AK21">
        <v>13056</v>
      </c>
      <c r="AL21">
        <v>96</v>
      </c>
      <c r="AM21">
        <v>2</v>
      </c>
      <c r="AN21">
        <v>2</v>
      </c>
      <c r="AO21">
        <v>2.3056000000000001</v>
      </c>
      <c r="AQ21">
        <v>13056</v>
      </c>
      <c r="AR21">
        <v>96</v>
      </c>
      <c r="AS21">
        <v>1</v>
      </c>
      <c r="AT21">
        <v>4</v>
      </c>
      <c r="AU21">
        <v>2.5431400000000002</v>
      </c>
      <c r="AW21" t="s">
        <v>59</v>
      </c>
      <c r="AX21">
        <v>96</v>
      </c>
      <c r="AY21">
        <f t="shared" si="0"/>
        <v>3.8107043719639133</v>
      </c>
      <c r="BA21">
        <f t="shared" si="1"/>
        <v>3.8588280629458067</v>
      </c>
    </row>
    <row r="22" spans="1:53" x14ac:dyDescent="0.25">
      <c r="A22">
        <v>25984</v>
      </c>
      <c r="B22">
        <v>128</v>
      </c>
      <c r="C22">
        <v>1</v>
      </c>
      <c r="D22">
        <v>16</v>
      </c>
      <c r="E22">
        <v>8.8013199999999987</v>
      </c>
      <c r="G22">
        <v>25984</v>
      </c>
      <c r="H22">
        <v>128</v>
      </c>
      <c r="I22">
        <v>1</v>
      </c>
      <c r="J22">
        <v>16</v>
      </c>
      <c r="K22">
        <v>9.2280800000000003</v>
      </c>
      <c r="M22">
        <v>13056</v>
      </c>
      <c r="N22">
        <v>128</v>
      </c>
      <c r="O22">
        <v>1</v>
      </c>
      <c r="P22">
        <v>4</v>
      </c>
      <c r="Q22">
        <v>2.21468</v>
      </c>
      <c r="S22">
        <v>13056</v>
      </c>
      <c r="T22">
        <v>128</v>
      </c>
      <c r="U22">
        <v>1</v>
      </c>
      <c r="V22">
        <v>4</v>
      </c>
      <c r="W22">
        <v>2.50936</v>
      </c>
      <c r="Y22">
        <v>25984</v>
      </c>
      <c r="Z22">
        <v>128</v>
      </c>
      <c r="AA22">
        <v>2</v>
      </c>
      <c r="AB22">
        <v>8</v>
      </c>
      <c r="AC22">
        <v>8.8095400000000001</v>
      </c>
      <c r="AE22">
        <v>25984</v>
      </c>
      <c r="AF22">
        <v>128</v>
      </c>
      <c r="AG22">
        <v>2</v>
      </c>
      <c r="AH22">
        <v>8</v>
      </c>
      <c r="AI22">
        <v>9.6521400000000011</v>
      </c>
      <c r="AK22">
        <v>13056</v>
      </c>
      <c r="AL22">
        <v>128</v>
      </c>
      <c r="AM22">
        <v>2</v>
      </c>
      <c r="AN22">
        <v>2</v>
      </c>
      <c r="AO22">
        <v>2.2989400000000004</v>
      </c>
      <c r="AQ22">
        <v>13056</v>
      </c>
      <c r="AR22">
        <v>128</v>
      </c>
      <c r="AS22">
        <v>1</v>
      </c>
      <c r="AT22">
        <v>4</v>
      </c>
      <c r="AU22">
        <v>2.50936</v>
      </c>
      <c r="AW22" t="s">
        <v>59</v>
      </c>
      <c r="AX22">
        <v>128</v>
      </c>
      <c r="AY22">
        <f t="shared" si="0"/>
        <v>3.8320008351675114</v>
      </c>
      <c r="BA22">
        <f t="shared" si="1"/>
        <v>3.8464548729556545</v>
      </c>
    </row>
    <row r="23" spans="1:53" x14ac:dyDescent="0.25">
      <c r="A23">
        <v>25984</v>
      </c>
      <c r="B23">
        <v>160</v>
      </c>
      <c r="C23">
        <v>1</v>
      </c>
      <c r="D23">
        <v>16</v>
      </c>
      <c r="E23">
        <v>8.1645999999999983</v>
      </c>
      <c r="G23">
        <v>25984</v>
      </c>
      <c r="H23">
        <v>160</v>
      </c>
      <c r="I23">
        <v>1</v>
      </c>
      <c r="J23">
        <v>16</v>
      </c>
      <c r="K23">
        <v>9.0670000000000019</v>
      </c>
      <c r="M23">
        <v>13056</v>
      </c>
      <c r="N23">
        <v>160</v>
      </c>
      <c r="O23">
        <v>1</v>
      </c>
      <c r="P23">
        <v>4</v>
      </c>
      <c r="Q23">
        <v>2.2352400000000001</v>
      </c>
      <c r="S23">
        <v>13056</v>
      </c>
      <c r="T23">
        <v>160</v>
      </c>
      <c r="U23">
        <v>1</v>
      </c>
      <c r="V23">
        <v>4</v>
      </c>
      <c r="W23">
        <v>2.4786200000000003</v>
      </c>
      <c r="Y23">
        <v>25984</v>
      </c>
      <c r="Z23">
        <v>160</v>
      </c>
      <c r="AA23">
        <v>2</v>
      </c>
      <c r="AB23">
        <v>8</v>
      </c>
      <c r="AC23">
        <v>8.5316200000000002</v>
      </c>
      <c r="AE23">
        <v>25984</v>
      </c>
      <c r="AF23">
        <v>160</v>
      </c>
      <c r="AG23">
        <v>2</v>
      </c>
      <c r="AH23">
        <v>8</v>
      </c>
      <c r="AI23">
        <v>9.5685000000000002</v>
      </c>
      <c r="AK23">
        <v>13056</v>
      </c>
      <c r="AL23">
        <v>160</v>
      </c>
      <c r="AM23">
        <v>2</v>
      </c>
      <c r="AN23">
        <v>2</v>
      </c>
      <c r="AO23">
        <v>2.2864800000000001</v>
      </c>
      <c r="AQ23">
        <v>13056</v>
      </c>
      <c r="AR23">
        <v>160</v>
      </c>
      <c r="AS23">
        <v>1</v>
      </c>
      <c r="AT23">
        <v>4</v>
      </c>
      <c r="AU23">
        <v>2.4786200000000003</v>
      </c>
      <c r="AW23" t="s">
        <v>59</v>
      </c>
      <c r="AX23">
        <v>160</v>
      </c>
      <c r="AY23">
        <f t="shared" si="0"/>
        <v>3.7313337531926805</v>
      </c>
      <c r="BA23">
        <f t="shared" si="1"/>
        <v>3.8604142627752536</v>
      </c>
    </row>
    <row r="24" spans="1:53" x14ac:dyDescent="0.25">
      <c r="A24">
        <v>25984</v>
      </c>
      <c r="B24">
        <v>192</v>
      </c>
      <c r="C24">
        <v>1</v>
      </c>
      <c r="D24">
        <v>16</v>
      </c>
      <c r="E24">
        <v>8.0551799999999982</v>
      </c>
      <c r="G24">
        <v>25984</v>
      </c>
      <c r="H24">
        <v>192</v>
      </c>
      <c r="I24">
        <v>1</v>
      </c>
      <c r="J24">
        <v>16</v>
      </c>
      <c r="K24">
        <v>8.8428000000000004</v>
      </c>
      <c r="M24">
        <v>13056</v>
      </c>
      <c r="N24">
        <v>192</v>
      </c>
      <c r="O24">
        <v>1</v>
      </c>
      <c r="P24">
        <v>4</v>
      </c>
      <c r="Q24">
        <v>2.2077999999999998</v>
      </c>
      <c r="S24">
        <v>13056</v>
      </c>
      <c r="T24">
        <v>192</v>
      </c>
      <c r="U24">
        <v>1</v>
      </c>
      <c r="V24">
        <v>4</v>
      </c>
      <c r="W24">
        <v>2.46062</v>
      </c>
      <c r="Y24">
        <v>25984</v>
      </c>
      <c r="Z24">
        <v>192</v>
      </c>
      <c r="AA24">
        <v>2</v>
      </c>
      <c r="AB24">
        <v>8</v>
      </c>
      <c r="AC24">
        <v>8.5628599999999988</v>
      </c>
      <c r="AE24">
        <v>25984</v>
      </c>
      <c r="AF24">
        <v>192</v>
      </c>
      <c r="AG24">
        <v>2</v>
      </c>
      <c r="AH24">
        <v>8</v>
      </c>
      <c r="AI24">
        <v>9.43248</v>
      </c>
      <c r="AK24">
        <v>13056</v>
      </c>
      <c r="AL24">
        <v>192</v>
      </c>
      <c r="AM24">
        <v>2</v>
      </c>
      <c r="AN24">
        <v>2</v>
      </c>
      <c r="AO24">
        <v>2.2669399999999995</v>
      </c>
      <c r="AQ24">
        <v>13056</v>
      </c>
      <c r="AR24">
        <v>192</v>
      </c>
      <c r="AS24">
        <v>1</v>
      </c>
      <c r="AT24">
        <v>4</v>
      </c>
      <c r="AU24">
        <v>2.46062</v>
      </c>
      <c r="AW24" t="s">
        <v>59</v>
      </c>
      <c r="AX24">
        <v>192</v>
      </c>
      <c r="AY24">
        <f t="shared" si="0"/>
        <v>3.7772768577906786</v>
      </c>
      <c r="BA24">
        <f t="shared" si="1"/>
        <v>3.833375328169323</v>
      </c>
    </row>
    <row r="25" spans="1:53" x14ac:dyDescent="0.25">
      <c r="A25">
        <v>25984</v>
      </c>
      <c r="B25">
        <v>224</v>
      </c>
      <c r="C25">
        <v>1</v>
      </c>
      <c r="D25">
        <v>16</v>
      </c>
      <c r="E25">
        <v>7.9419599999999999</v>
      </c>
      <c r="G25">
        <v>25984</v>
      </c>
      <c r="H25">
        <v>224</v>
      </c>
      <c r="I25">
        <v>1</v>
      </c>
      <c r="J25">
        <v>16</v>
      </c>
      <c r="K25">
        <v>8.6559799999999996</v>
      </c>
      <c r="M25">
        <v>13056</v>
      </c>
      <c r="N25">
        <v>224</v>
      </c>
      <c r="O25">
        <v>1</v>
      </c>
      <c r="P25">
        <v>4</v>
      </c>
      <c r="Q25">
        <v>2.1863000000000001</v>
      </c>
      <c r="S25">
        <v>13056</v>
      </c>
      <c r="T25">
        <v>224</v>
      </c>
      <c r="U25">
        <v>1</v>
      </c>
      <c r="V25">
        <v>4</v>
      </c>
      <c r="W25">
        <v>2.4346800000000002</v>
      </c>
      <c r="Y25">
        <v>25984</v>
      </c>
      <c r="Z25">
        <v>224</v>
      </c>
      <c r="AA25">
        <v>2</v>
      </c>
      <c r="AB25">
        <v>8</v>
      </c>
      <c r="AC25">
        <v>8.4481199999999994</v>
      </c>
      <c r="AE25">
        <v>25984</v>
      </c>
      <c r="AF25">
        <v>224</v>
      </c>
      <c r="AG25">
        <v>2</v>
      </c>
      <c r="AH25">
        <v>8</v>
      </c>
      <c r="AI25">
        <v>9.28322</v>
      </c>
      <c r="AK25">
        <v>13056</v>
      </c>
      <c r="AL25">
        <v>224</v>
      </c>
      <c r="AM25">
        <v>2</v>
      </c>
      <c r="AN25">
        <v>2</v>
      </c>
      <c r="AO25">
        <v>2.2549199999999998</v>
      </c>
      <c r="AQ25">
        <v>13056</v>
      </c>
      <c r="AR25">
        <v>224</v>
      </c>
      <c r="AS25">
        <v>1</v>
      </c>
      <c r="AT25">
        <v>4</v>
      </c>
      <c r="AU25">
        <v>2.4346800000000002</v>
      </c>
      <c r="AW25" t="s">
        <v>59</v>
      </c>
      <c r="AX25">
        <v>224</v>
      </c>
      <c r="AY25">
        <f t="shared" si="0"/>
        <v>3.7465275929966473</v>
      </c>
      <c r="BA25">
        <f t="shared" si="1"/>
        <v>3.8129117584241046</v>
      </c>
    </row>
    <row r="26" spans="1:53" x14ac:dyDescent="0.25">
      <c r="A26">
        <v>25984</v>
      </c>
      <c r="B26">
        <v>256</v>
      </c>
      <c r="C26">
        <v>1</v>
      </c>
      <c r="D26">
        <v>16</v>
      </c>
      <c r="E26">
        <v>7.6833599999999986</v>
      </c>
      <c r="G26">
        <v>25984</v>
      </c>
      <c r="H26">
        <v>256</v>
      </c>
      <c r="I26">
        <v>1</v>
      </c>
      <c r="J26">
        <v>16</v>
      </c>
      <c r="K26">
        <v>8.3831600000000002</v>
      </c>
      <c r="M26">
        <v>13056</v>
      </c>
      <c r="N26">
        <v>256</v>
      </c>
      <c r="O26">
        <v>1</v>
      </c>
      <c r="P26">
        <v>4</v>
      </c>
      <c r="Q26">
        <v>2.14154</v>
      </c>
      <c r="S26">
        <v>13056</v>
      </c>
      <c r="T26">
        <v>256</v>
      </c>
      <c r="U26">
        <v>1</v>
      </c>
      <c r="V26">
        <v>4</v>
      </c>
      <c r="W26">
        <v>2.3939599999999999</v>
      </c>
      <c r="Y26">
        <v>25984</v>
      </c>
      <c r="Z26">
        <v>256</v>
      </c>
      <c r="AA26">
        <v>2</v>
      </c>
      <c r="AB26">
        <v>8</v>
      </c>
      <c r="AC26">
        <v>8.3378999999999994</v>
      </c>
      <c r="AE26">
        <v>25984</v>
      </c>
      <c r="AF26">
        <v>256</v>
      </c>
      <c r="AG26">
        <v>2</v>
      </c>
      <c r="AH26">
        <v>8</v>
      </c>
      <c r="AI26">
        <v>9.1105000000000018</v>
      </c>
      <c r="AK26">
        <v>13056</v>
      </c>
      <c r="AL26">
        <v>256</v>
      </c>
      <c r="AM26">
        <v>2</v>
      </c>
      <c r="AN26">
        <v>2</v>
      </c>
      <c r="AO26">
        <v>2.2022599999999999</v>
      </c>
      <c r="AQ26">
        <v>13056</v>
      </c>
      <c r="AR26">
        <v>256</v>
      </c>
      <c r="AS26">
        <v>1</v>
      </c>
      <c r="AT26">
        <v>4</v>
      </c>
      <c r="AU26">
        <v>2.3939599999999999</v>
      </c>
      <c r="AW26" t="s">
        <v>59</v>
      </c>
      <c r="AX26">
        <v>256</v>
      </c>
      <c r="AY26">
        <f t="shared" si="0"/>
        <v>3.7860652239063506</v>
      </c>
      <c r="BA26">
        <f t="shared" si="1"/>
        <v>3.8056191415061247</v>
      </c>
    </row>
    <row r="27" spans="1:53" x14ac:dyDescent="0.25">
      <c r="A27">
        <v>29056</v>
      </c>
      <c r="B27">
        <v>32</v>
      </c>
      <c r="C27">
        <v>2</v>
      </c>
      <c r="D27">
        <v>8</v>
      </c>
      <c r="E27">
        <v>8.7873199999999994</v>
      </c>
      <c r="G27">
        <v>29056</v>
      </c>
      <c r="H27">
        <v>32</v>
      </c>
      <c r="I27">
        <v>2</v>
      </c>
      <c r="J27">
        <v>8</v>
      </c>
      <c r="K27">
        <v>9.6586600000000011</v>
      </c>
      <c r="M27">
        <v>14592</v>
      </c>
      <c r="N27">
        <v>32</v>
      </c>
      <c r="O27">
        <v>2</v>
      </c>
      <c r="P27">
        <v>2</v>
      </c>
      <c r="Q27">
        <v>2.2431399999999995</v>
      </c>
      <c r="S27">
        <v>14592</v>
      </c>
      <c r="T27">
        <v>32</v>
      </c>
      <c r="U27">
        <v>2</v>
      </c>
      <c r="V27">
        <v>2</v>
      </c>
      <c r="W27">
        <v>2.4679799999999998</v>
      </c>
    </row>
    <row r="28" spans="1:53" x14ac:dyDescent="0.25">
      <c r="A28">
        <v>29056</v>
      </c>
      <c r="B28">
        <v>64</v>
      </c>
      <c r="C28">
        <v>2</v>
      </c>
      <c r="D28">
        <v>8</v>
      </c>
      <c r="E28">
        <v>8.6886200000000002</v>
      </c>
      <c r="G28">
        <v>29056</v>
      </c>
      <c r="H28">
        <v>64</v>
      </c>
      <c r="I28">
        <v>2</v>
      </c>
      <c r="J28">
        <v>8</v>
      </c>
      <c r="K28">
        <v>10.036199999999999</v>
      </c>
      <c r="M28">
        <v>14592</v>
      </c>
      <c r="N28">
        <v>64</v>
      </c>
      <c r="O28">
        <v>2</v>
      </c>
      <c r="P28">
        <v>2</v>
      </c>
      <c r="Q28">
        <v>2.3093400000000002</v>
      </c>
      <c r="S28">
        <v>14592</v>
      </c>
      <c r="T28">
        <v>64</v>
      </c>
      <c r="U28">
        <v>2</v>
      </c>
      <c r="V28">
        <v>2</v>
      </c>
      <c r="W28">
        <v>2.5743800000000001</v>
      </c>
    </row>
    <row r="29" spans="1:53" x14ac:dyDescent="0.25">
      <c r="A29">
        <v>29056</v>
      </c>
      <c r="B29">
        <v>96</v>
      </c>
      <c r="C29">
        <v>2</v>
      </c>
      <c r="D29">
        <v>8</v>
      </c>
      <c r="E29">
        <v>9.0212199999999996</v>
      </c>
      <c r="G29">
        <v>29056</v>
      </c>
      <c r="H29">
        <v>96</v>
      </c>
      <c r="I29">
        <v>2</v>
      </c>
      <c r="J29">
        <v>8</v>
      </c>
      <c r="K29">
        <v>9.9628799999999984</v>
      </c>
      <c r="M29">
        <v>14592</v>
      </c>
      <c r="N29">
        <v>96</v>
      </c>
      <c r="O29">
        <v>2</v>
      </c>
      <c r="P29">
        <v>2</v>
      </c>
      <c r="Q29">
        <v>2.3224999999999998</v>
      </c>
      <c r="S29">
        <v>14592</v>
      </c>
      <c r="T29">
        <v>96</v>
      </c>
      <c r="U29">
        <v>2</v>
      </c>
      <c r="V29">
        <v>2</v>
      </c>
      <c r="W29">
        <v>2.5716200000000002</v>
      </c>
    </row>
    <row r="30" spans="1:53" x14ac:dyDescent="0.25">
      <c r="A30">
        <v>29056</v>
      </c>
      <c r="B30">
        <v>128</v>
      </c>
      <c r="C30">
        <v>2</v>
      </c>
      <c r="D30">
        <v>8</v>
      </c>
      <c r="E30">
        <v>8.9261999999999997</v>
      </c>
      <c r="G30">
        <v>29056</v>
      </c>
      <c r="H30">
        <v>128</v>
      </c>
      <c r="I30">
        <v>2</v>
      </c>
      <c r="J30">
        <v>8</v>
      </c>
      <c r="K30">
        <v>9.790519999999999</v>
      </c>
      <c r="M30">
        <v>14592</v>
      </c>
      <c r="N30">
        <v>128</v>
      </c>
      <c r="O30">
        <v>2</v>
      </c>
      <c r="P30">
        <v>2</v>
      </c>
      <c r="Q30">
        <v>2.3155399999999999</v>
      </c>
      <c r="S30">
        <v>14592</v>
      </c>
      <c r="T30">
        <v>128</v>
      </c>
      <c r="U30">
        <v>2</v>
      </c>
      <c r="V30">
        <v>2</v>
      </c>
      <c r="W30">
        <v>2.5379399999999999</v>
      </c>
    </row>
    <row r="31" spans="1:53" x14ac:dyDescent="0.25">
      <c r="A31">
        <v>29056</v>
      </c>
      <c r="B31">
        <v>160</v>
      </c>
      <c r="C31">
        <v>2</v>
      </c>
      <c r="D31">
        <v>8</v>
      </c>
      <c r="E31">
        <v>8.6553399999999989</v>
      </c>
      <c r="G31">
        <v>29056</v>
      </c>
      <c r="H31">
        <v>160</v>
      </c>
      <c r="I31">
        <v>2</v>
      </c>
      <c r="J31">
        <v>8</v>
      </c>
      <c r="K31">
        <v>9.7122599999999988</v>
      </c>
      <c r="M31">
        <v>14592</v>
      </c>
      <c r="N31">
        <v>160</v>
      </c>
      <c r="O31">
        <v>2</v>
      </c>
      <c r="P31">
        <v>2</v>
      </c>
      <c r="Q31">
        <v>2.31968</v>
      </c>
      <c r="S31">
        <v>14592</v>
      </c>
      <c r="T31">
        <v>160</v>
      </c>
      <c r="U31">
        <v>2</v>
      </c>
      <c r="V31">
        <v>2</v>
      </c>
      <c r="W31">
        <v>2.5352199999999998</v>
      </c>
    </row>
    <row r="32" spans="1:53" x14ac:dyDescent="0.25">
      <c r="A32">
        <v>29056</v>
      </c>
      <c r="B32">
        <v>192</v>
      </c>
      <c r="C32">
        <v>2</v>
      </c>
      <c r="D32">
        <v>8</v>
      </c>
      <c r="E32">
        <v>8.6599799999999991</v>
      </c>
      <c r="G32">
        <v>29056</v>
      </c>
      <c r="H32">
        <v>192</v>
      </c>
      <c r="I32">
        <v>2</v>
      </c>
      <c r="J32">
        <v>8</v>
      </c>
      <c r="K32">
        <v>9.6064199999999982</v>
      </c>
      <c r="M32">
        <v>14592</v>
      </c>
      <c r="N32">
        <v>192</v>
      </c>
      <c r="O32">
        <v>2</v>
      </c>
      <c r="P32">
        <v>2</v>
      </c>
      <c r="Q32">
        <v>2.2866</v>
      </c>
      <c r="S32">
        <v>14592</v>
      </c>
      <c r="T32">
        <v>192</v>
      </c>
      <c r="U32">
        <v>2</v>
      </c>
      <c r="V32">
        <v>2</v>
      </c>
      <c r="W32">
        <v>2.5202200000000001</v>
      </c>
    </row>
    <row r="33" spans="1:23" x14ac:dyDescent="0.25">
      <c r="A33">
        <v>29056</v>
      </c>
      <c r="B33">
        <v>224</v>
      </c>
      <c r="C33">
        <v>2</v>
      </c>
      <c r="D33">
        <v>8</v>
      </c>
      <c r="E33">
        <v>8.5911799999999996</v>
      </c>
      <c r="G33">
        <v>29056</v>
      </c>
      <c r="H33">
        <v>224</v>
      </c>
      <c r="I33">
        <v>2</v>
      </c>
      <c r="J33">
        <v>8</v>
      </c>
      <c r="K33">
        <v>9.4601800000000011</v>
      </c>
      <c r="M33">
        <v>14592</v>
      </c>
      <c r="N33">
        <v>224</v>
      </c>
      <c r="O33">
        <v>2</v>
      </c>
      <c r="P33">
        <v>2</v>
      </c>
      <c r="Q33">
        <v>2.2587000000000002</v>
      </c>
      <c r="S33">
        <v>14592</v>
      </c>
      <c r="T33">
        <v>224</v>
      </c>
      <c r="U33">
        <v>2</v>
      </c>
      <c r="V33">
        <v>2</v>
      </c>
      <c r="W33">
        <v>2.4970600000000003</v>
      </c>
    </row>
    <row r="34" spans="1:23" x14ac:dyDescent="0.25">
      <c r="A34">
        <v>29056</v>
      </c>
      <c r="B34">
        <v>256</v>
      </c>
      <c r="C34">
        <v>2</v>
      </c>
      <c r="D34">
        <v>8</v>
      </c>
      <c r="E34">
        <v>8.4124599999999994</v>
      </c>
      <c r="G34">
        <v>29056</v>
      </c>
      <c r="H34">
        <v>256</v>
      </c>
      <c r="I34">
        <v>2</v>
      </c>
      <c r="J34">
        <v>8</v>
      </c>
      <c r="K34">
        <v>9.2994999999999983</v>
      </c>
      <c r="M34">
        <v>14592</v>
      </c>
      <c r="N34">
        <v>256</v>
      </c>
      <c r="O34">
        <v>2</v>
      </c>
      <c r="P34">
        <v>2</v>
      </c>
      <c r="Q34">
        <v>2.2283999999999997</v>
      </c>
      <c r="S34">
        <v>14592</v>
      </c>
      <c r="T34">
        <v>256</v>
      </c>
      <c r="U34">
        <v>2</v>
      </c>
      <c r="V34">
        <v>2</v>
      </c>
      <c r="W34">
        <v>2.4648400000000001</v>
      </c>
    </row>
    <row r="35" spans="1:23" x14ac:dyDescent="0.25">
      <c r="A35">
        <v>27520</v>
      </c>
      <c r="B35">
        <v>32</v>
      </c>
      <c r="C35">
        <v>2</v>
      </c>
      <c r="D35">
        <v>8</v>
      </c>
      <c r="E35">
        <v>8.748899999999999</v>
      </c>
      <c r="G35">
        <v>27520</v>
      </c>
      <c r="H35">
        <v>32</v>
      </c>
      <c r="I35">
        <v>2</v>
      </c>
      <c r="J35">
        <v>8</v>
      </c>
      <c r="K35">
        <v>9.6196200000000012</v>
      </c>
      <c r="M35">
        <v>13824</v>
      </c>
      <c r="N35">
        <v>32</v>
      </c>
      <c r="O35">
        <v>2</v>
      </c>
      <c r="P35">
        <v>2</v>
      </c>
      <c r="Q35">
        <v>2.2071000000000001</v>
      </c>
      <c r="S35">
        <v>13824</v>
      </c>
      <c r="T35">
        <v>32</v>
      </c>
      <c r="U35">
        <v>2</v>
      </c>
      <c r="V35">
        <v>2</v>
      </c>
      <c r="W35">
        <v>2.4626600000000001</v>
      </c>
    </row>
    <row r="36" spans="1:23" x14ac:dyDescent="0.25">
      <c r="A36">
        <v>27520</v>
      </c>
      <c r="B36">
        <v>64</v>
      </c>
      <c r="C36">
        <v>2</v>
      </c>
      <c r="D36">
        <v>8</v>
      </c>
      <c r="E36">
        <v>8.6419999999999995</v>
      </c>
      <c r="G36">
        <v>27520</v>
      </c>
      <c r="H36">
        <v>64</v>
      </c>
      <c r="I36">
        <v>2</v>
      </c>
      <c r="J36">
        <v>8</v>
      </c>
      <c r="K36">
        <v>9.991579999999999</v>
      </c>
      <c r="M36">
        <v>13824</v>
      </c>
      <c r="N36">
        <v>64</v>
      </c>
      <c r="O36">
        <v>2</v>
      </c>
      <c r="P36">
        <v>2</v>
      </c>
      <c r="Q36">
        <v>2.2812199999999998</v>
      </c>
      <c r="S36">
        <v>13824</v>
      </c>
      <c r="T36">
        <v>64</v>
      </c>
      <c r="U36">
        <v>2</v>
      </c>
      <c r="V36">
        <v>2</v>
      </c>
      <c r="W36">
        <v>2.5678199999999998</v>
      </c>
    </row>
    <row r="37" spans="1:23" x14ac:dyDescent="0.25">
      <c r="A37">
        <v>27520</v>
      </c>
      <c r="B37">
        <v>96</v>
      </c>
      <c r="C37">
        <v>2</v>
      </c>
      <c r="D37">
        <v>8</v>
      </c>
      <c r="E37">
        <v>8.99756</v>
      </c>
      <c r="G37">
        <v>27520</v>
      </c>
      <c r="H37">
        <v>96</v>
      </c>
      <c r="I37">
        <v>2</v>
      </c>
      <c r="J37">
        <v>8</v>
      </c>
      <c r="K37">
        <v>9.9007200000000015</v>
      </c>
      <c r="M37">
        <v>13824</v>
      </c>
      <c r="N37">
        <v>96</v>
      </c>
      <c r="O37">
        <v>2</v>
      </c>
      <c r="P37">
        <v>2</v>
      </c>
      <c r="Q37">
        <v>2.2928799999999998</v>
      </c>
      <c r="S37">
        <v>13824</v>
      </c>
      <c r="T37">
        <v>96</v>
      </c>
      <c r="U37">
        <v>2</v>
      </c>
      <c r="V37">
        <v>2</v>
      </c>
      <c r="W37">
        <v>2.5667200000000001</v>
      </c>
    </row>
    <row r="38" spans="1:23" x14ac:dyDescent="0.25">
      <c r="A38">
        <v>27520</v>
      </c>
      <c r="B38">
        <v>128</v>
      </c>
      <c r="C38">
        <v>2</v>
      </c>
      <c r="D38">
        <v>8</v>
      </c>
      <c r="E38">
        <v>8.7946200000000001</v>
      </c>
      <c r="G38">
        <v>27520</v>
      </c>
      <c r="H38">
        <v>128</v>
      </c>
      <c r="I38">
        <v>2</v>
      </c>
      <c r="J38">
        <v>8</v>
      </c>
      <c r="K38">
        <v>9.6756799999999998</v>
      </c>
      <c r="M38">
        <v>13824</v>
      </c>
      <c r="N38">
        <v>128</v>
      </c>
      <c r="O38">
        <v>2</v>
      </c>
      <c r="P38">
        <v>2</v>
      </c>
      <c r="Q38">
        <v>2.2845800000000001</v>
      </c>
      <c r="S38">
        <v>13824</v>
      </c>
      <c r="T38">
        <v>128</v>
      </c>
      <c r="U38">
        <v>2</v>
      </c>
      <c r="V38">
        <v>2</v>
      </c>
      <c r="W38">
        <v>2.5300199999999999</v>
      </c>
    </row>
    <row r="39" spans="1:23" x14ac:dyDescent="0.25">
      <c r="A39">
        <v>27520</v>
      </c>
      <c r="B39">
        <v>160</v>
      </c>
      <c r="C39">
        <v>2</v>
      </c>
      <c r="D39">
        <v>8</v>
      </c>
      <c r="E39">
        <v>8.4949999999999992</v>
      </c>
      <c r="G39">
        <v>27520</v>
      </c>
      <c r="H39">
        <v>160</v>
      </c>
      <c r="I39">
        <v>2</v>
      </c>
      <c r="J39">
        <v>8</v>
      </c>
      <c r="K39">
        <v>9.6519800000000018</v>
      </c>
      <c r="M39">
        <v>13824</v>
      </c>
      <c r="N39">
        <v>160</v>
      </c>
      <c r="O39">
        <v>2</v>
      </c>
      <c r="P39">
        <v>2</v>
      </c>
      <c r="Q39">
        <v>2.3097400000000001</v>
      </c>
      <c r="S39">
        <v>13824</v>
      </c>
      <c r="T39">
        <v>160</v>
      </c>
      <c r="U39">
        <v>2</v>
      </c>
      <c r="V39">
        <v>2</v>
      </c>
      <c r="W39">
        <v>2.5215800000000002</v>
      </c>
    </row>
    <row r="40" spans="1:23" x14ac:dyDescent="0.25">
      <c r="A40">
        <v>27520</v>
      </c>
      <c r="B40">
        <v>192</v>
      </c>
      <c r="C40">
        <v>2</v>
      </c>
      <c r="D40">
        <v>8</v>
      </c>
      <c r="E40">
        <v>8.6084600000000009</v>
      </c>
      <c r="G40">
        <v>27520</v>
      </c>
      <c r="H40">
        <v>192</v>
      </c>
      <c r="I40">
        <v>2</v>
      </c>
      <c r="J40">
        <v>8</v>
      </c>
      <c r="K40">
        <v>9.5067599999999999</v>
      </c>
      <c r="M40">
        <v>13824</v>
      </c>
      <c r="N40">
        <v>192</v>
      </c>
      <c r="O40">
        <v>2</v>
      </c>
      <c r="P40">
        <v>2</v>
      </c>
      <c r="Q40">
        <v>2.2582599999999999</v>
      </c>
      <c r="S40">
        <v>13824</v>
      </c>
      <c r="T40">
        <v>192</v>
      </c>
      <c r="U40">
        <v>2</v>
      </c>
      <c r="V40">
        <v>2</v>
      </c>
      <c r="W40">
        <v>2.5072400000000004</v>
      </c>
    </row>
    <row r="41" spans="1:23" x14ac:dyDescent="0.25">
      <c r="A41">
        <v>27520</v>
      </c>
      <c r="B41">
        <v>224</v>
      </c>
      <c r="C41">
        <v>2</v>
      </c>
      <c r="D41">
        <v>8</v>
      </c>
      <c r="E41">
        <v>8.428700000000001</v>
      </c>
      <c r="G41">
        <v>27520</v>
      </c>
      <c r="H41">
        <v>224</v>
      </c>
      <c r="I41">
        <v>2</v>
      </c>
      <c r="J41">
        <v>8</v>
      </c>
      <c r="K41">
        <v>9.3772400000000005</v>
      </c>
      <c r="M41">
        <v>13824</v>
      </c>
      <c r="N41">
        <v>224</v>
      </c>
      <c r="O41">
        <v>2</v>
      </c>
      <c r="P41">
        <v>2</v>
      </c>
      <c r="Q41">
        <v>2.2660399999999998</v>
      </c>
      <c r="S41">
        <v>13824</v>
      </c>
      <c r="T41">
        <v>224</v>
      </c>
      <c r="U41">
        <v>2</v>
      </c>
      <c r="V41">
        <v>2</v>
      </c>
      <c r="W41">
        <v>2.47878</v>
      </c>
    </row>
    <row r="42" spans="1:23" x14ac:dyDescent="0.25">
      <c r="A42">
        <v>27520</v>
      </c>
      <c r="B42">
        <v>256</v>
      </c>
      <c r="C42">
        <v>2</v>
      </c>
      <c r="D42">
        <v>8</v>
      </c>
      <c r="E42">
        <v>8.4084199999999996</v>
      </c>
      <c r="G42">
        <v>27520</v>
      </c>
      <c r="H42">
        <v>256</v>
      </c>
      <c r="I42">
        <v>2</v>
      </c>
      <c r="J42">
        <v>8</v>
      </c>
      <c r="K42">
        <v>9.1799599999999995</v>
      </c>
      <c r="M42">
        <v>13824</v>
      </c>
      <c r="N42">
        <v>256</v>
      </c>
      <c r="O42">
        <v>2</v>
      </c>
      <c r="P42">
        <v>2</v>
      </c>
      <c r="Q42">
        <v>2.2178800000000001</v>
      </c>
      <c r="S42">
        <v>13824</v>
      </c>
      <c r="T42">
        <v>256</v>
      </c>
      <c r="U42">
        <v>2</v>
      </c>
      <c r="V42">
        <v>2</v>
      </c>
      <c r="W42">
        <v>2.4506799999999997</v>
      </c>
    </row>
    <row r="43" spans="1:23" x14ac:dyDescent="0.25">
      <c r="A43">
        <v>25984</v>
      </c>
      <c r="B43">
        <v>32</v>
      </c>
      <c r="C43">
        <v>2</v>
      </c>
      <c r="D43">
        <v>8</v>
      </c>
      <c r="E43">
        <v>8.7267600000000023</v>
      </c>
      <c r="G43">
        <v>25984</v>
      </c>
      <c r="H43">
        <v>32</v>
      </c>
      <c r="I43">
        <v>2</v>
      </c>
      <c r="J43">
        <v>8</v>
      </c>
      <c r="K43">
        <v>9.5702600000000011</v>
      </c>
      <c r="M43">
        <v>13056</v>
      </c>
      <c r="N43">
        <v>32</v>
      </c>
      <c r="O43">
        <v>2</v>
      </c>
      <c r="P43">
        <v>2</v>
      </c>
      <c r="Q43">
        <v>2.2278500000000001</v>
      </c>
      <c r="S43">
        <v>13056</v>
      </c>
      <c r="T43">
        <v>32</v>
      </c>
      <c r="U43">
        <v>2</v>
      </c>
      <c r="V43">
        <v>2</v>
      </c>
      <c r="W43">
        <v>2.4567200000000002</v>
      </c>
    </row>
    <row r="44" spans="1:23" x14ac:dyDescent="0.25">
      <c r="A44">
        <v>25984</v>
      </c>
      <c r="B44">
        <v>64</v>
      </c>
      <c r="C44">
        <v>2</v>
      </c>
      <c r="D44">
        <v>8</v>
      </c>
      <c r="E44">
        <v>8.6165199999999995</v>
      </c>
      <c r="G44">
        <v>25984</v>
      </c>
      <c r="H44">
        <v>64</v>
      </c>
      <c r="I44">
        <v>2</v>
      </c>
      <c r="J44">
        <v>8</v>
      </c>
      <c r="K44">
        <v>9.9344799999999989</v>
      </c>
      <c r="M44">
        <v>13056</v>
      </c>
      <c r="N44">
        <v>64</v>
      </c>
      <c r="O44">
        <v>2</v>
      </c>
      <c r="P44">
        <v>2</v>
      </c>
      <c r="Q44">
        <v>2.2986599999999999</v>
      </c>
      <c r="S44">
        <v>13056</v>
      </c>
      <c r="T44">
        <v>64</v>
      </c>
      <c r="U44">
        <v>2</v>
      </c>
      <c r="V44">
        <v>2</v>
      </c>
      <c r="W44">
        <v>2.54908</v>
      </c>
    </row>
    <row r="45" spans="1:23" x14ac:dyDescent="0.25">
      <c r="A45">
        <v>25984</v>
      </c>
      <c r="B45">
        <v>96</v>
      </c>
      <c r="C45">
        <v>2</v>
      </c>
      <c r="D45">
        <v>8</v>
      </c>
      <c r="E45">
        <v>8.7859599999999993</v>
      </c>
      <c r="G45">
        <v>25984</v>
      </c>
      <c r="H45">
        <v>96</v>
      </c>
      <c r="I45">
        <v>2</v>
      </c>
      <c r="J45">
        <v>8</v>
      </c>
      <c r="K45">
        <v>9.8135399999999997</v>
      </c>
      <c r="M45">
        <v>13056</v>
      </c>
      <c r="N45">
        <v>96</v>
      </c>
      <c r="O45">
        <v>2</v>
      </c>
      <c r="P45">
        <v>2</v>
      </c>
      <c r="Q45">
        <v>2.3056000000000001</v>
      </c>
      <c r="S45">
        <v>13056</v>
      </c>
      <c r="T45">
        <v>96</v>
      </c>
      <c r="U45">
        <v>2</v>
      </c>
      <c r="V45">
        <v>2</v>
      </c>
      <c r="W45">
        <v>2.5334400000000001</v>
      </c>
    </row>
    <row r="46" spans="1:23" x14ac:dyDescent="0.25">
      <c r="A46">
        <v>25984</v>
      </c>
      <c r="B46">
        <v>128</v>
      </c>
      <c r="C46">
        <v>2</v>
      </c>
      <c r="D46">
        <v>8</v>
      </c>
      <c r="E46">
        <v>8.8095400000000001</v>
      </c>
      <c r="G46">
        <v>25984</v>
      </c>
      <c r="H46">
        <v>128</v>
      </c>
      <c r="I46">
        <v>2</v>
      </c>
      <c r="J46">
        <v>8</v>
      </c>
      <c r="K46">
        <v>9.6521400000000011</v>
      </c>
      <c r="M46">
        <v>13056</v>
      </c>
      <c r="N46">
        <v>128</v>
      </c>
      <c r="O46">
        <v>2</v>
      </c>
      <c r="P46">
        <v>2</v>
      </c>
      <c r="Q46">
        <v>2.2989400000000004</v>
      </c>
      <c r="S46">
        <v>13056</v>
      </c>
      <c r="T46">
        <v>128</v>
      </c>
      <c r="U46">
        <v>2</v>
      </c>
      <c r="V46">
        <v>2</v>
      </c>
      <c r="W46">
        <v>2.52014</v>
      </c>
    </row>
    <row r="47" spans="1:23" x14ac:dyDescent="0.25">
      <c r="A47">
        <v>25984</v>
      </c>
      <c r="B47">
        <v>160</v>
      </c>
      <c r="C47">
        <v>2</v>
      </c>
      <c r="D47">
        <v>8</v>
      </c>
      <c r="E47">
        <v>8.5316200000000002</v>
      </c>
      <c r="G47">
        <v>25984</v>
      </c>
      <c r="H47">
        <v>160</v>
      </c>
      <c r="I47">
        <v>2</v>
      </c>
      <c r="J47">
        <v>8</v>
      </c>
      <c r="K47">
        <v>9.5685000000000002</v>
      </c>
      <c r="M47">
        <v>13056</v>
      </c>
      <c r="N47">
        <v>160</v>
      </c>
      <c r="O47">
        <v>2</v>
      </c>
      <c r="P47">
        <v>2</v>
      </c>
      <c r="Q47">
        <v>2.2864800000000001</v>
      </c>
      <c r="S47">
        <v>13056</v>
      </c>
      <c r="T47">
        <v>160</v>
      </c>
      <c r="U47">
        <v>2</v>
      </c>
      <c r="V47">
        <v>2</v>
      </c>
      <c r="W47">
        <v>2.5103</v>
      </c>
    </row>
    <row r="48" spans="1:23" x14ac:dyDescent="0.25">
      <c r="A48">
        <v>25984</v>
      </c>
      <c r="B48">
        <v>192</v>
      </c>
      <c r="C48">
        <v>2</v>
      </c>
      <c r="D48">
        <v>8</v>
      </c>
      <c r="E48">
        <v>8.5628599999999988</v>
      </c>
      <c r="G48">
        <v>25984</v>
      </c>
      <c r="H48">
        <v>192</v>
      </c>
      <c r="I48">
        <v>2</v>
      </c>
      <c r="J48">
        <v>8</v>
      </c>
      <c r="K48">
        <v>9.43248</v>
      </c>
      <c r="M48">
        <v>13056</v>
      </c>
      <c r="N48">
        <v>192</v>
      </c>
      <c r="O48">
        <v>2</v>
      </c>
      <c r="P48">
        <v>2</v>
      </c>
      <c r="Q48">
        <v>2.2669399999999995</v>
      </c>
      <c r="S48">
        <v>13056</v>
      </c>
      <c r="T48">
        <v>192</v>
      </c>
      <c r="U48">
        <v>2</v>
      </c>
      <c r="V48">
        <v>2</v>
      </c>
      <c r="W48">
        <v>2.4896400000000001</v>
      </c>
    </row>
    <row r="49" spans="1:23" x14ac:dyDescent="0.25">
      <c r="A49">
        <v>25984</v>
      </c>
      <c r="B49">
        <v>224</v>
      </c>
      <c r="C49">
        <v>2</v>
      </c>
      <c r="D49">
        <v>8</v>
      </c>
      <c r="E49">
        <v>8.4481199999999994</v>
      </c>
      <c r="G49">
        <v>25984</v>
      </c>
      <c r="H49">
        <v>224</v>
      </c>
      <c r="I49">
        <v>2</v>
      </c>
      <c r="J49">
        <v>8</v>
      </c>
      <c r="K49">
        <v>9.28322</v>
      </c>
      <c r="M49">
        <v>13056</v>
      </c>
      <c r="N49">
        <v>224</v>
      </c>
      <c r="O49">
        <v>2</v>
      </c>
      <c r="P49">
        <v>2</v>
      </c>
      <c r="Q49">
        <v>2.2549199999999998</v>
      </c>
      <c r="S49">
        <v>13056</v>
      </c>
      <c r="T49">
        <v>224</v>
      </c>
      <c r="U49">
        <v>2</v>
      </c>
      <c r="V49">
        <v>2</v>
      </c>
      <c r="W49">
        <v>2.4561199999999994</v>
      </c>
    </row>
    <row r="50" spans="1:23" x14ac:dyDescent="0.25">
      <c r="A50">
        <v>25984</v>
      </c>
      <c r="B50">
        <v>256</v>
      </c>
      <c r="C50">
        <v>2</v>
      </c>
      <c r="D50">
        <v>8</v>
      </c>
      <c r="E50">
        <v>8.3378999999999994</v>
      </c>
      <c r="G50">
        <v>25984</v>
      </c>
      <c r="H50">
        <v>256</v>
      </c>
      <c r="I50">
        <v>2</v>
      </c>
      <c r="J50">
        <v>8</v>
      </c>
      <c r="K50">
        <v>9.1105000000000018</v>
      </c>
      <c r="M50">
        <v>13056</v>
      </c>
      <c r="N50">
        <v>256</v>
      </c>
      <c r="O50">
        <v>2</v>
      </c>
      <c r="P50">
        <v>2</v>
      </c>
      <c r="Q50">
        <v>2.2022599999999999</v>
      </c>
      <c r="S50">
        <v>13056</v>
      </c>
      <c r="T50">
        <v>256</v>
      </c>
      <c r="U50">
        <v>2</v>
      </c>
      <c r="V50">
        <v>2</v>
      </c>
      <c r="W50">
        <v>2.4348000000000001</v>
      </c>
    </row>
    <row r="51" spans="1:23" x14ac:dyDescent="0.25">
      <c r="A51">
        <v>29056</v>
      </c>
      <c r="B51">
        <v>32</v>
      </c>
      <c r="C51">
        <v>4</v>
      </c>
      <c r="D51">
        <v>4</v>
      </c>
      <c r="E51">
        <v>8.7251200000000004</v>
      </c>
      <c r="G51">
        <v>29056</v>
      </c>
      <c r="H51">
        <v>32</v>
      </c>
      <c r="I51">
        <v>4</v>
      </c>
      <c r="J51">
        <v>4</v>
      </c>
      <c r="K51">
        <v>9.5351400000000019</v>
      </c>
    </row>
    <row r="52" spans="1:23" x14ac:dyDescent="0.25">
      <c r="A52">
        <v>29056</v>
      </c>
      <c r="B52">
        <v>64</v>
      </c>
      <c r="C52">
        <v>4</v>
      </c>
      <c r="D52">
        <v>4</v>
      </c>
      <c r="E52">
        <v>8.9258199999999999</v>
      </c>
      <c r="G52">
        <v>29056</v>
      </c>
      <c r="H52">
        <v>64</v>
      </c>
      <c r="I52">
        <v>4</v>
      </c>
      <c r="J52">
        <v>4</v>
      </c>
      <c r="K52">
        <v>9.9393200000000004</v>
      </c>
    </row>
    <row r="53" spans="1:23" x14ac:dyDescent="0.25">
      <c r="A53">
        <v>29056</v>
      </c>
      <c r="B53">
        <v>96</v>
      </c>
      <c r="C53">
        <v>4</v>
      </c>
      <c r="D53">
        <v>4</v>
      </c>
      <c r="E53">
        <v>8.5797799999999995</v>
      </c>
      <c r="G53">
        <v>29056</v>
      </c>
      <c r="H53">
        <v>96</v>
      </c>
      <c r="I53">
        <v>4</v>
      </c>
      <c r="J53">
        <v>4</v>
      </c>
      <c r="K53">
        <v>9.8963400000000004</v>
      </c>
    </row>
    <row r="54" spans="1:23" x14ac:dyDescent="0.25">
      <c r="A54">
        <v>29056</v>
      </c>
      <c r="B54">
        <v>128</v>
      </c>
      <c r="C54">
        <v>4</v>
      </c>
      <c r="D54">
        <v>4</v>
      </c>
      <c r="E54">
        <v>8.9673600000000011</v>
      </c>
      <c r="G54">
        <v>29056</v>
      </c>
      <c r="H54">
        <v>128</v>
      </c>
      <c r="I54">
        <v>4</v>
      </c>
      <c r="J54">
        <v>4</v>
      </c>
      <c r="K54">
        <v>9.7433000000000014</v>
      </c>
    </row>
    <row r="55" spans="1:23" x14ac:dyDescent="0.25">
      <c r="A55">
        <v>29056</v>
      </c>
      <c r="B55">
        <v>160</v>
      </c>
      <c r="C55">
        <v>4</v>
      </c>
      <c r="D55">
        <v>4</v>
      </c>
      <c r="E55">
        <v>8.8467999999999982</v>
      </c>
      <c r="G55">
        <v>29056</v>
      </c>
      <c r="H55">
        <v>160</v>
      </c>
      <c r="I55">
        <v>4</v>
      </c>
      <c r="J55">
        <v>4</v>
      </c>
      <c r="K55">
        <v>9.7031399999999994</v>
      </c>
    </row>
    <row r="56" spans="1:23" x14ac:dyDescent="0.25">
      <c r="A56">
        <v>29056</v>
      </c>
      <c r="B56">
        <v>192</v>
      </c>
      <c r="C56">
        <v>4</v>
      </c>
      <c r="D56">
        <v>4</v>
      </c>
      <c r="E56">
        <v>8.8650800000000007</v>
      </c>
      <c r="G56">
        <v>29056</v>
      </c>
      <c r="H56">
        <v>192</v>
      </c>
      <c r="I56">
        <v>4</v>
      </c>
      <c r="J56">
        <v>4</v>
      </c>
      <c r="K56">
        <v>9.6207400000000014</v>
      </c>
    </row>
    <row r="57" spans="1:23" x14ac:dyDescent="0.25">
      <c r="A57">
        <v>29056</v>
      </c>
      <c r="B57">
        <v>224</v>
      </c>
      <c r="C57">
        <v>4</v>
      </c>
      <c r="D57">
        <v>4</v>
      </c>
      <c r="E57">
        <v>8.7198799999999999</v>
      </c>
      <c r="G57">
        <v>29056</v>
      </c>
      <c r="H57">
        <v>224</v>
      </c>
      <c r="I57">
        <v>4</v>
      </c>
      <c r="J57">
        <v>4</v>
      </c>
      <c r="K57">
        <v>9.4892399999999988</v>
      </c>
    </row>
    <row r="58" spans="1:23" x14ac:dyDescent="0.25">
      <c r="A58">
        <v>29056</v>
      </c>
      <c r="B58">
        <v>256</v>
      </c>
      <c r="C58">
        <v>4</v>
      </c>
      <c r="D58">
        <v>4</v>
      </c>
      <c r="E58">
        <v>8.5384999999999991</v>
      </c>
      <c r="G58">
        <v>29056</v>
      </c>
      <c r="H58">
        <v>256</v>
      </c>
      <c r="I58">
        <v>4</v>
      </c>
      <c r="J58">
        <v>4</v>
      </c>
      <c r="K58">
        <v>9.3642800000000008</v>
      </c>
    </row>
    <row r="59" spans="1:23" x14ac:dyDescent="0.25">
      <c r="A59">
        <v>27520</v>
      </c>
      <c r="B59">
        <v>32</v>
      </c>
      <c r="C59">
        <v>4</v>
      </c>
      <c r="D59">
        <v>4</v>
      </c>
      <c r="E59">
        <v>8.6856200000000001</v>
      </c>
      <c r="G59">
        <v>27520</v>
      </c>
      <c r="H59">
        <v>32</v>
      </c>
      <c r="I59">
        <v>4</v>
      </c>
      <c r="J59">
        <v>4</v>
      </c>
      <c r="K59">
        <v>9.4862599999999979</v>
      </c>
    </row>
    <row r="60" spans="1:23" x14ac:dyDescent="0.25">
      <c r="A60">
        <v>27520</v>
      </c>
      <c r="B60">
        <v>64</v>
      </c>
      <c r="C60">
        <v>4</v>
      </c>
      <c r="D60">
        <v>4</v>
      </c>
      <c r="E60">
        <v>8.7994200000000014</v>
      </c>
      <c r="G60">
        <v>27520</v>
      </c>
      <c r="H60">
        <v>64</v>
      </c>
      <c r="I60">
        <v>4</v>
      </c>
      <c r="J60">
        <v>4</v>
      </c>
      <c r="K60">
        <v>9.8792800000000014</v>
      </c>
    </row>
    <row r="61" spans="1:23" x14ac:dyDescent="0.25">
      <c r="A61">
        <v>27520</v>
      </c>
      <c r="B61">
        <v>96</v>
      </c>
      <c r="C61">
        <v>4</v>
      </c>
      <c r="D61">
        <v>4</v>
      </c>
      <c r="E61">
        <v>8.516099999999998</v>
      </c>
      <c r="G61">
        <v>27520</v>
      </c>
      <c r="H61">
        <v>96</v>
      </c>
      <c r="I61">
        <v>4</v>
      </c>
      <c r="J61">
        <v>4</v>
      </c>
      <c r="K61">
        <v>9.83108</v>
      </c>
    </row>
    <row r="62" spans="1:23" x14ac:dyDescent="0.25">
      <c r="A62">
        <v>27520</v>
      </c>
      <c r="B62">
        <v>128</v>
      </c>
      <c r="C62">
        <v>4</v>
      </c>
      <c r="D62">
        <v>4</v>
      </c>
      <c r="E62">
        <v>8.7610200000000003</v>
      </c>
      <c r="G62">
        <v>27520</v>
      </c>
      <c r="H62">
        <v>128</v>
      </c>
      <c r="I62">
        <v>4</v>
      </c>
      <c r="J62">
        <v>4</v>
      </c>
      <c r="K62">
        <v>9.677859999999999</v>
      </c>
    </row>
    <row r="63" spans="1:23" x14ac:dyDescent="0.25">
      <c r="A63">
        <v>27520</v>
      </c>
      <c r="B63">
        <v>160</v>
      </c>
      <c r="C63">
        <v>4</v>
      </c>
      <c r="D63">
        <v>4</v>
      </c>
      <c r="E63">
        <v>8.7358000000000011</v>
      </c>
      <c r="G63">
        <v>27520</v>
      </c>
      <c r="H63">
        <v>160</v>
      </c>
      <c r="I63">
        <v>4</v>
      </c>
      <c r="J63">
        <v>4</v>
      </c>
      <c r="K63">
        <v>9.6335999999999995</v>
      </c>
    </row>
    <row r="64" spans="1:23" x14ac:dyDescent="0.25">
      <c r="A64">
        <v>27520</v>
      </c>
      <c r="B64">
        <v>192</v>
      </c>
      <c r="C64">
        <v>4</v>
      </c>
      <c r="D64">
        <v>4</v>
      </c>
      <c r="E64">
        <v>8.8043200000000006</v>
      </c>
      <c r="G64">
        <v>27520</v>
      </c>
      <c r="H64">
        <v>192</v>
      </c>
      <c r="I64">
        <v>4</v>
      </c>
      <c r="J64">
        <v>4</v>
      </c>
      <c r="K64">
        <v>9.5375399999999999</v>
      </c>
    </row>
    <row r="65" spans="1:11" x14ac:dyDescent="0.25">
      <c r="A65">
        <v>27520</v>
      </c>
      <c r="B65">
        <v>224</v>
      </c>
      <c r="C65">
        <v>4</v>
      </c>
      <c r="D65">
        <v>4</v>
      </c>
      <c r="E65">
        <v>8.5903400000000012</v>
      </c>
      <c r="G65">
        <v>27520</v>
      </c>
      <c r="H65">
        <v>224</v>
      </c>
      <c r="I65">
        <v>4</v>
      </c>
      <c r="J65">
        <v>4</v>
      </c>
      <c r="K65">
        <v>9.4107599999999998</v>
      </c>
    </row>
    <row r="66" spans="1:11" x14ac:dyDescent="0.25">
      <c r="A66">
        <v>27520</v>
      </c>
      <c r="B66">
        <v>256</v>
      </c>
      <c r="C66">
        <v>4</v>
      </c>
      <c r="D66">
        <v>4</v>
      </c>
      <c r="E66">
        <v>8.5829200000000014</v>
      </c>
      <c r="G66">
        <v>27520</v>
      </c>
      <c r="H66">
        <v>256</v>
      </c>
      <c r="I66">
        <v>4</v>
      </c>
      <c r="J66">
        <v>4</v>
      </c>
      <c r="K66">
        <v>9.28904</v>
      </c>
    </row>
    <row r="67" spans="1:11" x14ac:dyDescent="0.25">
      <c r="A67">
        <v>25984</v>
      </c>
      <c r="B67">
        <v>32</v>
      </c>
      <c r="C67">
        <v>4</v>
      </c>
      <c r="D67">
        <v>4</v>
      </c>
      <c r="E67">
        <v>8.6366999999999994</v>
      </c>
      <c r="G67">
        <v>25984</v>
      </c>
      <c r="H67">
        <v>32</v>
      </c>
      <c r="I67">
        <v>4</v>
      </c>
      <c r="J67">
        <v>4</v>
      </c>
      <c r="K67">
        <v>9.4310799999999997</v>
      </c>
    </row>
    <row r="68" spans="1:11" x14ac:dyDescent="0.25">
      <c r="A68">
        <v>25984</v>
      </c>
      <c r="B68">
        <v>64</v>
      </c>
      <c r="C68">
        <v>4</v>
      </c>
      <c r="D68">
        <v>4</v>
      </c>
      <c r="E68">
        <v>8.8390200000000014</v>
      </c>
      <c r="G68">
        <v>25984</v>
      </c>
      <c r="H68">
        <v>64</v>
      </c>
      <c r="I68">
        <v>4</v>
      </c>
      <c r="J68">
        <v>4</v>
      </c>
      <c r="K68">
        <v>9.8191799999999994</v>
      </c>
    </row>
    <row r="69" spans="1:11" x14ac:dyDescent="0.25">
      <c r="A69">
        <v>25984</v>
      </c>
      <c r="B69">
        <v>96</v>
      </c>
      <c r="C69">
        <v>4</v>
      </c>
      <c r="D69">
        <v>4</v>
      </c>
      <c r="E69">
        <v>8.4544400000000017</v>
      </c>
      <c r="G69">
        <v>25984</v>
      </c>
      <c r="H69">
        <v>96</v>
      </c>
      <c r="I69">
        <v>4</v>
      </c>
      <c r="J69">
        <v>4</v>
      </c>
      <c r="K69">
        <v>9.7272600000000011</v>
      </c>
    </row>
    <row r="70" spans="1:11" x14ac:dyDescent="0.25">
      <c r="A70">
        <v>25984</v>
      </c>
      <c r="B70">
        <v>128</v>
      </c>
      <c r="C70">
        <v>4</v>
      </c>
      <c r="D70">
        <v>4</v>
      </c>
      <c r="E70">
        <v>8.4120399999999993</v>
      </c>
      <c r="G70">
        <v>25984</v>
      </c>
      <c r="H70">
        <v>128</v>
      </c>
      <c r="I70">
        <v>4</v>
      </c>
      <c r="J70">
        <v>4</v>
      </c>
      <c r="K70">
        <v>9.59572</v>
      </c>
    </row>
    <row r="71" spans="1:11" x14ac:dyDescent="0.25">
      <c r="A71">
        <v>25984</v>
      </c>
      <c r="B71">
        <v>160</v>
      </c>
      <c r="C71">
        <v>4</v>
      </c>
      <c r="D71">
        <v>4</v>
      </c>
      <c r="E71">
        <v>8.7473600000000005</v>
      </c>
      <c r="G71">
        <v>25984</v>
      </c>
      <c r="H71">
        <v>160</v>
      </c>
      <c r="I71">
        <v>4</v>
      </c>
      <c r="J71">
        <v>4</v>
      </c>
      <c r="K71">
        <v>9.5504999999999995</v>
      </c>
    </row>
    <row r="72" spans="1:11" x14ac:dyDescent="0.25">
      <c r="A72">
        <v>25984</v>
      </c>
      <c r="B72">
        <v>192</v>
      </c>
      <c r="C72">
        <v>4</v>
      </c>
      <c r="D72">
        <v>4</v>
      </c>
      <c r="E72">
        <v>8.6850000000000005</v>
      </c>
      <c r="G72">
        <v>25984</v>
      </c>
      <c r="H72">
        <v>192</v>
      </c>
      <c r="I72">
        <v>4</v>
      </c>
      <c r="J72">
        <v>4</v>
      </c>
      <c r="K72">
        <v>9.4485199999999985</v>
      </c>
    </row>
    <row r="73" spans="1:11" x14ac:dyDescent="0.25">
      <c r="A73">
        <v>25984</v>
      </c>
      <c r="B73">
        <v>224</v>
      </c>
      <c r="C73">
        <v>4</v>
      </c>
      <c r="D73">
        <v>4</v>
      </c>
      <c r="E73">
        <v>8.5875599999999999</v>
      </c>
      <c r="G73">
        <v>25984</v>
      </c>
      <c r="H73">
        <v>224</v>
      </c>
      <c r="I73">
        <v>4</v>
      </c>
      <c r="J73">
        <v>4</v>
      </c>
      <c r="K73">
        <v>9.2549200000000003</v>
      </c>
    </row>
    <row r="74" spans="1:11" x14ac:dyDescent="0.25">
      <c r="A74">
        <v>25984</v>
      </c>
      <c r="B74">
        <v>256</v>
      </c>
      <c r="C74">
        <v>4</v>
      </c>
      <c r="D74">
        <v>4</v>
      </c>
      <c r="E74">
        <v>8.5165800000000011</v>
      </c>
      <c r="G74">
        <v>25984</v>
      </c>
      <c r="H74">
        <v>256</v>
      </c>
      <c r="I74">
        <v>4</v>
      </c>
      <c r="J74">
        <v>4</v>
      </c>
      <c r="K74">
        <v>9.1932800000000015</v>
      </c>
    </row>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11</vt:i4>
      </vt:variant>
    </vt:vector>
  </HeadingPairs>
  <TitlesOfParts>
    <vt:vector size="11" baseType="lpstr">
      <vt:lpstr>933 builds</vt:lpstr>
      <vt:lpstr>933 params, RAW</vt:lpstr>
      <vt:lpstr>933 params</vt:lpstr>
      <vt:lpstr>825 params, RAW</vt:lpstr>
      <vt:lpstr>825 params</vt:lpstr>
      <vt:lpstr>Top values</vt:lpstr>
      <vt:lpstr>933 params 1 node, RAW</vt:lpstr>
      <vt:lpstr>933 params 1 node</vt:lpstr>
      <vt:lpstr>825 params 1 node, RAW</vt:lpstr>
      <vt:lpstr>825 params 1 node</vt:lpstr>
      <vt:lpstr>Scalability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Zdravko Krpić</dc:creator>
  <cp:lastModifiedBy>Zdravko Krpić</cp:lastModifiedBy>
  <dcterms:created xsi:type="dcterms:W3CDTF">2024-02-09T20:23:08Z</dcterms:created>
  <dcterms:modified xsi:type="dcterms:W3CDTF">2025-04-16T07:23:59Z</dcterms:modified>
</cp:coreProperties>
</file>