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foshr-my.sharepoint.com/personal/krpic_etfos_hr/Documents/Istraživanje/1. SBCC/Results2/"/>
    </mc:Choice>
  </mc:AlternateContent>
  <xr:revisionPtr revIDLastSave="911" documentId="13_ncr:1_{46C4B7D4-4BEB-4161-9000-D185BCCA4EC4}" xr6:coauthVersionLast="47" xr6:coauthVersionMax="47" xr10:uidLastSave="{4BADC21B-912B-416F-95E3-7A06CB4DAC53}"/>
  <bookViews>
    <workbookView xWindow="0" yWindow="0" windowWidth="38610" windowHeight="20880" firstSheet="1" activeTab="7" xr2:uid="{A2AD9453-B2DD-442A-8FF6-DE56922957DD}"/>
  </bookViews>
  <sheets>
    <sheet name="Arch details" sheetId="6" r:id="rId1"/>
    <sheet name="ATLAS builds" sheetId="9" r:id="rId2"/>
    <sheet name="HPL 4 nodes, builds" sheetId="12" r:id="rId3"/>
    <sheet name="1 node, params, RAW" sheetId="15" r:id="rId4"/>
    <sheet name="4 node, params, RAW" sheetId="16" r:id="rId5"/>
    <sheet name="1 node, params" sheetId="18" r:id="rId6"/>
    <sheet name="4 node, params" sheetId="19" r:id="rId7"/>
    <sheet name="OMP vars analysis" sheetId="17" r:id="rId8"/>
    <sheet name="Scalability analysis" sheetId="2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4" i="20" l="1"/>
  <c r="BA5" i="20"/>
  <c r="BA6" i="20"/>
  <c r="BA7" i="20"/>
  <c r="BA8" i="20"/>
  <c r="BA9" i="20"/>
  <c r="BA10" i="20"/>
  <c r="BA11" i="20"/>
  <c r="BA12" i="20"/>
  <c r="BA13" i="20"/>
  <c r="BA14" i="20"/>
  <c r="BA15" i="20"/>
  <c r="BA16" i="20"/>
  <c r="BA17" i="20"/>
  <c r="BA18" i="20"/>
  <c r="BA19" i="20"/>
  <c r="BA20" i="20"/>
  <c r="BA21" i="20"/>
  <c r="BA22" i="20"/>
  <c r="BA23" i="20"/>
  <c r="BA24" i="20"/>
  <c r="BA25" i="20"/>
  <c r="BA26" i="20"/>
  <c r="AB14" i="18"/>
  <c r="AB20" i="18"/>
  <c r="AB21" i="18"/>
  <c r="AB11" i="18"/>
  <c r="AB13" i="18"/>
  <c r="AB23" i="18"/>
  <c r="AB26" i="18"/>
  <c r="AB19" i="18"/>
  <c r="AB24" i="18"/>
  <c r="AB27" i="18"/>
  <c r="AB10" i="18"/>
  <c r="AB38" i="18"/>
  <c r="AB22" i="18"/>
  <c r="AB25" i="18"/>
  <c r="AB12" i="18"/>
  <c r="AB18" i="18"/>
  <c r="AB17" i="18"/>
  <c r="AB45" i="18"/>
  <c r="AB36" i="18"/>
  <c r="AB47" i="18"/>
  <c r="AB34" i="18"/>
  <c r="AB16" i="18"/>
  <c r="AB43" i="18"/>
  <c r="AB48" i="18"/>
  <c r="AB39" i="18"/>
  <c r="AB46" i="18"/>
  <c r="AB37" i="18"/>
  <c r="AB35" i="18"/>
  <c r="AB50" i="18"/>
  <c r="AB44" i="18"/>
  <c r="AB49" i="18"/>
  <c r="AB41" i="18"/>
  <c r="AB42" i="18"/>
  <c r="AB40" i="18"/>
  <c r="AB8" i="18"/>
  <c r="AB9" i="18"/>
  <c r="AB7" i="18"/>
  <c r="AB51" i="18"/>
  <c r="AB33" i="18"/>
  <c r="AB31" i="18"/>
  <c r="AB32" i="18"/>
  <c r="AB5" i="18"/>
  <c r="AB29" i="18"/>
  <c r="AB6" i="18"/>
  <c r="AB28" i="18"/>
  <c r="AB30" i="18"/>
  <c r="AB4" i="18"/>
  <c r="AB15" i="18"/>
  <c r="T5" i="18"/>
  <c r="T6" i="18"/>
  <c r="T28" i="18"/>
  <c r="T29" i="18"/>
  <c r="T30" i="18"/>
  <c r="T7" i="18"/>
  <c r="T8" i="18"/>
  <c r="T9" i="18"/>
  <c r="T31" i="18"/>
  <c r="T32" i="18"/>
  <c r="T33" i="18"/>
  <c r="T10" i="18"/>
  <c r="T11" i="18"/>
  <c r="T12" i="18"/>
  <c r="T34" i="18"/>
  <c r="T35" i="18"/>
  <c r="T36" i="18"/>
  <c r="T13" i="18"/>
  <c r="T14" i="18"/>
  <c r="T15" i="18"/>
  <c r="T37" i="18"/>
  <c r="T38" i="18"/>
  <c r="T39" i="18"/>
  <c r="T16" i="18"/>
  <c r="T17" i="18"/>
  <c r="T18" i="18"/>
  <c r="T40" i="18"/>
  <c r="T41" i="18"/>
  <c r="T42" i="18"/>
  <c r="T19" i="18"/>
  <c r="T20" i="18"/>
  <c r="T21" i="18"/>
  <c r="T43" i="18"/>
  <c r="T44" i="18"/>
  <c r="T45" i="18"/>
  <c r="T22" i="18"/>
  <c r="T23" i="18"/>
  <c r="T24" i="18"/>
  <c r="T46" i="18"/>
  <c r="T47" i="18"/>
  <c r="T48" i="18"/>
  <c r="T25" i="18"/>
  <c r="T26" i="18"/>
  <c r="T27" i="18"/>
  <c r="T49" i="18"/>
  <c r="T50" i="18"/>
  <c r="T51" i="18"/>
  <c r="T4" i="18"/>
  <c r="BA3" i="20"/>
  <c r="BC26" i="20"/>
  <c r="BC25" i="20"/>
  <c r="BC24" i="20"/>
  <c r="BC23" i="20"/>
  <c r="BC22" i="20"/>
  <c r="BC21" i="20"/>
  <c r="BC20" i="20"/>
  <c r="BC19" i="20"/>
  <c r="BC18" i="20"/>
  <c r="BC17" i="20"/>
  <c r="BC16" i="20"/>
  <c r="BC15" i="20"/>
  <c r="BC14" i="20"/>
  <c r="BC13" i="20"/>
  <c r="BC12" i="20"/>
  <c r="BC11" i="20"/>
  <c r="BC10" i="20"/>
  <c r="BC9" i="20"/>
  <c r="BC8" i="20"/>
  <c r="BC7" i="20"/>
  <c r="BC6" i="20"/>
  <c r="BC5" i="20"/>
  <c r="BC4" i="20"/>
  <c r="BC3" i="20"/>
  <c r="AB5" i="19" l="1"/>
  <c r="AB6" i="19"/>
  <c r="AB7" i="19"/>
  <c r="AB8" i="19"/>
  <c r="AB9" i="19"/>
  <c r="AB10" i="19"/>
  <c r="AB11" i="19"/>
  <c r="AB12" i="19"/>
  <c r="AB13" i="19"/>
  <c r="AB14" i="19"/>
  <c r="AB15" i="19"/>
  <c r="AB16" i="19"/>
  <c r="AB17" i="19"/>
  <c r="AB18" i="19"/>
  <c r="AB19" i="19"/>
  <c r="AB20" i="19"/>
  <c r="AB21" i="19"/>
  <c r="AB22" i="19"/>
  <c r="AB23" i="19"/>
  <c r="AB24" i="19"/>
  <c r="AB25" i="19"/>
  <c r="AB26" i="19"/>
  <c r="AB27" i="19"/>
  <c r="AB28" i="19"/>
  <c r="AB29" i="19"/>
  <c r="AB30" i="19"/>
  <c r="AB31" i="19"/>
  <c r="AB32" i="19"/>
  <c r="AB33" i="19"/>
  <c r="AB34" i="19"/>
  <c r="AB35" i="19"/>
  <c r="AB36" i="19"/>
  <c r="AB37" i="19"/>
  <c r="AB38" i="19"/>
  <c r="AB39" i="19"/>
  <c r="AB40" i="19"/>
  <c r="AB41" i="19"/>
  <c r="AB42" i="19"/>
  <c r="AB43" i="19"/>
  <c r="AB44" i="19"/>
  <c r="AB45" i="19"/>
  <c r="AB46" i="19"/>
  <c r="AB47" i="19"/>
  <c r="AB48" i="19"/>
  <c r="AB49" i="19"/>
  <c r="AB50" i="19"/>
  <c r="AB51" i="19"/>
  <c r="AB52" i="19"/>
  <c r="AB53" i="19"/>
  <c r="AB54" i="19"/>
  <c r="AB55" i="19"/>
  <c r="AB56" i="19"/>
  <c r="AB57" i="19"/>
  <c r="AB58" i="19"/>
  <c r="AB59" i="19"/>
  <c r="AB60" i="19"/>
  <c r="AB61" i="19"/>
  <c r="AB62" i="19"/>
  <c r="AB63" i="19"/>
  <c r="AB64" i="19"/>
  <c r="AB65" i="19"/>
  <c r="AB66" i="19"/>
  <c r="AB67" i="19"/>
  <c r="AB68" i="19"/>
  <c r="AB69" i="19"/>
  <c r="AB70" i="19"/>
  <c r="AB71" i="19"/>
  <c r="AB72" i="19"/>
  <c r="AB73" i="19"/>
  <c r="AB74" i="19"/>
  <c r="AB75" i="19"/>
  <c r="AB4" i="19"/>
  <c r="U5" i="19"/>
  <c r="U6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35" i="19"/>
  <c r="U36" i="19"/>
  <c r="U37" i="19"/>
  <c r="U38" i="19"/>
  <c r="U39" i="19"/>
  <c r="U40" i="19"/>
  <c r="U41" i="19"/>
  <c r="U42" i="19"/>
  <c r="U43" i="19"/>
  <c r="U44" i="19"/>
  <c r="U45" i="19"/>
  <c r="U46" i="19"/>
  <c r="U47" i="19"/>
  <c r="U48" i="19"/>
  <c r="U49" i="19"/>
  <c r="U50" i="19"/>
  <c r="U51" i="19"/>
  <c r="U52" i="19"/>
  <c r="U53" i="19"/>
  <c r="U54" i="19"/>
  <c r="U55" i="19"/>
  <c r="U56" i="19"/>
  <c r="U57" i="19"/>
  <c r="U58" i="19"/>
  <c r="U59" i="19"/>
  <c r="U60" i="19"/>
  <c r="U61" i="19"/>
  <c r="U62" i="19"/>
  <c r="U63" i="19"/>
  <c r="U64" i="19"/>
  <c r="U65" i="19"/>
  <c r="U66" i="19"/>
  <c r="U67" i="19"/>
  <c r="U68" i="19"/>
  <c r="U69" i="19"/>
  <c r="U70" i="19"/>
  <c r="U71" i="19"/>
  <c r="U72" i="19"/>
  <c r="U73" i="19"/>
  <c r="U74" i="19"/>
  <c r="U75" i="19"/>
  <c r="U4" i="1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2" i="9"/>
  <c r="Y149" i="12"/>
  <c r="Y150" i="12"/>
  <c r="Y151" i="12" s="1"/>
  <c r="Y152" i="12" s="1"/>
  <c r="Y153" i="12" s="1"/>
  <c r="Y144" i="12"/>
  <c r="Y145" i="12"/>
  <c r="Y146" i="12" s="1"/>
  <c r="Y147" i="12" s="1"/>
  <c r="Y148" i="12" s="1"/>
  <c r="Y164" i="12"/>
  <c r="Y165" i="12"/>
  <c r="Y166" i="12" s="1"/>
  <c r="Y167" i="12" s="1"/>
  <c r="Y168" i="12" s="1"/>
  <c r="Y139" i="12"/>
  <c r="Y140" i="12" s="1"/>
  <c r="Y141" i="12" s="1"/>
  <c r="Y142" i="12" s="1"/>
  <c r="Y143" i="12" s="1"/>
  <c r="Y155" i="12"/>
  <c r="Y156" i="12" s="1"/>
  <c r="Y157" i="12" s="1"/>
  <c r="Y158" i="12" s="1"/>
  <c r="Y154" i="12"/>
  <c r="AY2" i="16"/>
  <c r="M4" i="18" a="1"/>
  <c r="M4" i="18" s="1"/>
  <c r="G4" i="18" a="1"/>
  <c r="G4" i="18" s="1"/>
  <c r="A4" i="18" a="1"/>
  <c r="A4" i="18" s="1"/>
  <c r="C2" i="16"/>
  <c r="AA2" i="16"/>
  <c r="BW2" i="16"/>
  <c r="W4" i="16"/>
  <c r="W5" i="16" s="1"/>
  <c r="AU4" i="16"/>
  <c r="CQ5" i="16"/>
  <c r="W9" i="16"/>
  <c r="W10" i="16" s="1"/>
  <c r="W11" i="16" s="1"/>
  <c r="W12" i="16" s="1"/>
  <c r="W13" i="16" s="1"/>
  <c r="AU9" i="16"/>
  <c r="AU10" i="16" s="1"/>
  <c r="AU11" i="16" s="1"/>
  <c r="AU12" i="16" s="1"/>
  <c r="AU13" i="16" s="1"/>
  <c r="CQ11" i="16"/>
  <c r="CQ12" i="16" s="1"/>
  <c r="CQ13" i="16" s="1"/>
  <c r="CQ14" i="16" s="1"/>
  <c r="CQ15" i="16" s="1"/>
  <c r="CQ16" i="16" s="1"/>
  <c r="W14" i="16"/>
  <c r="AU14" i="16"/>
  <c r="W15" i="16"/>
  <c r="W16" i="16" s="1"/>
  <c r="W17" i="16" s="1"/>
  <c r="W18" i="16" s="1"/>
  <c r="AU15" i="16"/>
  <c r="AU16" i="16" s="1"/>
  <c r="AU17" i="16" s="1"/>
  <c r="AU18" i="16" s="1"/>
  <c r="CQ17" i="16"/>
  <c r="CQ18" i="16" s="1"/>
  <c r="CQ19" i="16" s="1"/>
  <c r="CQ20" i="16" s="1"/>
  <c r="CQ21" i="16" s="1"/>
  <c r="CQ22" i="16" s="1"/>
  <c r="W19" i="16"/>
  <c r="W20" i="16" s="1"/>
  <c r="W21" i="16" s="1"/>
  <c r="W22" i="16" s="1"/>
  <c r="W23" i="16" s="1"/>
  <c r="AU19" i="16"/>
  <c r="AU20" i="16" s="1"/>
  <c r="AU21" i="16" s="1"/>
  <c r="AU22" i="16" s="1"/>
  <c r="AU23" i="16" s="1"/>
  <c r="CQ23" i="16"/>
  <c r="CQ24" i="16" s="1"/>
  <c r="CQ25" i="16" s="1"/>
  <c r="CQ26" i="16" s="1"/>
  <c r="CQ27" i="16" s="1"/>
  <c r="CQ28" i="16" s="1"/>
  <c r="W24" i="16"/>
  <c r="W25" i="16" s="1"/>
  <c r="W26" i="16" s="1"/>
  <c r="W27" i="16" s="1"/>
  <c r="W28" i="16" s="1"/>
  <c r="AU24" i="16"/>
  <c r="AU25" i="16" s="1"/>
  <c r="AU26" i="16" s="1"/>
  <c r="AU27" i="16" s="1"/>
  <c r="AU28" i="16" s="1"/>
  <c r="W29" i="16"/>
  <c r="W30" i="16" s="1"/>
  <c r="W31" i="16" s="1"/>
  <c r="W32" i="16" s="1"/>
  <c r="W33" i="16" s="1"/>
  <c r="AU29" i="16"/>
  <c r="AU30" i="16" s="1"/>
  <c r="AU31" i="16" s="1"/>
  <c r="AU32" i="16" s="1"/>
  <c r="AU33" i="16" s="1"/>
  <c r="CQ29" i="16"/>
  <c r="CQ30" i="16" s="1"/>
  <c r="CQ31" i="16" s="1"/>
  <c r="CQ32" i="16" s="1"/>
  <c r="CQ33" i="16" s="1"/>
  <c r="CQ34" i="16" s="1"/>
  <c r="W34" i="16"/>
  <c r="AU34" i="16"/>
  <c r="W35" i="16"/>
  <c r="W36" i="16" s="1"/>
  <c r="W37" i="16" s="1"/>
  <c r="W38" i="16" s="1"/>
  <c r="AU35" i="16"/>
  <c r="AU36" i="16" s="1"/>
  <c r="AU37" i="16" s="1"/>
  <c r="AU38" i="16" s="1"/>
  <c r="CQ35" i="16"/>
  <c r="CQ36" i="16" s="1"/>
  <c r="CQ37" i="16" s="1"/>
  <c r="CQ38" i="16" s="1"/>
  <c r="CQ39" i="16" s="1"/>
  <c r="CQ40" i="16" s="1"/>
  <c r="W39" i="16"/>
  <c r="W40" i="16" s="1"/>
  <c r="W41" i="16" s="1"/>
  <c r="W42" i="16" s="1"/>
  <c r="W43" i="16" s="1"/>
  <c r="AU39" i="16"/>
  <c r="AU40" i="16" s="1"/>
  <c r="AU41" i="16" s="1"/>
  <c r="AU42" i="16" s="1"/>
  <c r="AU43" i="16" s="1"/>
  <c r="CQ41" i="16"/>
  <c r="CQ42" i="16" s="1"/>
  <c r="CQ43" i="16" s="1"/>
  <c r="CQ44" i="16" s="1"/>
  <c r="CQ45" i="16" s="1"/>
  <c r="CQ46" i="16" s="1"/>
  <c r="W44" i="16"/>
  <c r="W45" i="16" s="1"/>
  <c r="W46" i="16" s="1"/>
  <c r="W47" i="16" s="1"/>
  <c r="W48" i="16" s="1"/>
  <c r="AU44" i="16"/>
  <c r="AU45" i="16" s="1"/>
  <c r="AU46" i="16" s="1"/>
  <c r="AU47" i="16" s="1"/>
  <c r="AU48" i="16" s="1"/>
  <c r="CQ47" i="16"/>
  <c r="CQ48" i="16" s="1"/>
  <c r="CQ49" i="16" s="1"/>
  <c r="CQ50" i="16" s="1"/>
  <c r="CQ51" i="16" s="1"/>
  <c r="CQ52" i="16" s="1"/>
  <c r="W49" i="16"/>
  <c r="W50" i="16" s="1"/>
  <c r="W51" i="16" s="1"/>
  <c r="W52" i="16" s="1"/>
  <c r="W53" i="16" s="1"/>
  <c r="AU49" i="16"/>
  <c r="AU50" i="16" s="1"/>
  <c r="AU51" i="16" s="1"/>
  <c r="AU52" i="16" s="1"/>
  <c r="AU53" i="16" s="1"/>
  <c r="CQ53" i="16"/>
  <c r="CQ54" i="16" s="1"/>
  <c r="CQ55" i="16" s="1"/>
  <c r="CQ56" i="16" s="1"/>
  <c r="CQ57" i="16" s="1"/>
  <c r="CQ58" i="16" s="1"/>
  <c r="W54" i="16"/>
  <c r="W55" i="16" s="1"/>
  <c r="W56" i="16" s="1"/>
  <c r="W57" i="16" s="1"/>
  <c r="W58" i="16" s="1"/>
  <c r="AU54" i="16"/>
  <c r="AU55" i="16" s="1"/>
  <c r="AU56" i="16" s="1"/>
  <c r="AU57" i="16" s="1"/>
  <c r="AU58" i="16" s="1"/>
  <c r="W59" i="16"/>
  <c r="W60" i="16" s="1"/>
  <c r="W61" i="16" s="1"/>
  <c r="W62" i="16" s="1"/>
  <c r="W63" i="16" s="1"/>
  <c r="AU59" i="16"/>
  <c r="AU60" i="16" s="1"/>
  <c r="AU61" i="16" s="1"/>
  <c r="AU62" i="16" s="1"/>
  <c r="AU63" i="16" s="1"/>
  <c r="CQ59" i="16"/>
  <c r="CQ60" i="16" s="1"/>
  <c r="CQ61" i="16" s="1"/>
  <c r="CQ62" i="16" s="1"/>
  <c r="CQ63" i="16" s="1"/>
  <c r="CQ64" i="16" s="1"/>
  <c r="W64" i="16"/>
  <c r="W65" i="16" s="1"/>
  <c r="W66" i="16" s="1"/>
  <c r="W67" i="16" s="1"/>
  <c r="W68" i="16" s="1"/>
  <c r="AU64" i="16"/>
  <c r="AU65" i="16" s="1"/>
  <c r="AU66" i="16" s="1"/>
  <c r="AU67" i="16" s="1"/>
  <c r="AU68" i="16" s="1"/>
  <c r="CQ65" i="16"/>
  <c r="CQ66" i="16" s="1"/>
  <c r="CQ67" i="16" s="1"/>
  <c r="CQ68" i="16" s="1"/>
  <c r="CQ69" i="16" s="1"/>
  <c r="CQ70" i="16" s="1"/>
  <c r="W69" i="16"/>
  <c r="W70" i="16" s="1"/>
  <c r="W71" i="16" s="1"/>
  <c r="AU69" i="16"/>
  <c r="AU70" i="16" s="1"/>
  <c r="AU71" i="16" s="1"/>
  <c r="AU72" i="16" s="1"/>
  <c r="AU73" i="16" s="1"/>
  <c r="CQ71" i="16"/>
  <c r="CQ72" i="16" s="1"/>
  <c r="CQ73" i="16" s="1"/>
  <c r="CQ74" i="16" s="1"/>
  <c r="CQ75" i="16" s="1"/>
  <c r="CQ76" i="16" s="1"/>
  <c r="W72" i="16"/>
  <c r="W73" i="16" s="1"/>
  <c r="W74" i="16"/>
  <c r="W75" i="16" s="1"/>
  <c r="W76" i="16" s="1"/>
  <c r="W77" i="16" s="1"/>
  <c r="W78" i="16" s="1"/>
  <c r="AU74" i="16"/>
  <c r="AU75" i="16"/>
  <c r="AU76" i="16" s="1"/>
  <c r="AU77" i="16" s="1"/>
  <c r="AU78" i="16" s="1"/>
  <c r="CQ77" i="16"/>
  <c r="CQ78" i="16" s="1"/>
  <c r="CQ79" i="16" s="1"/>
  <c r="CQ80" i="16" s="1"/>
  <c r="CQ81" i="16" s="1"/>
  <c r="CQ82" i="16" s="1"/>
  <c r="W79" i="16"/>
  <c r="W80" i="16" s="1"/>
  <c r="W81" i="16" s="1"/>
  <c r="W82" i="16" s="1"/>
  <c r="W83" i="16" s="1"/>
  <c r="AU79" i="16"/>
  <c r="AU80" i="16" s="1"/>
  <c r="AU81" i="16" s="1"/>
  <c r="AU82" i="16" s="1"/>
  <c r="AU83" i="16"/>
  <c r="CQ83" i="16"/>
  <c r="CQ84" i="16" s="1"/>
  <c r="CQ85" i="16" s="1"/>
  <c r="CQ86" i="16" s="1"/>
  <c r="CQ87" i="16" s="1"/>
  <c r="CQ88" i="16" s="1"/>
  <c r="W84" i="16"/>
  <c r="W85" i="16" s="1"/>
  <c r="W86" i="16" s="1"/>
  <c r="AU84" i="16"/>
  <c r="AU85" i="16" s="1"/>
  <c r="AU86" i="16" s="1"/>
  <c r="AU87" i="16" s="1"/>
  <c r="AU88" i="16" s="1"/>
  <c r="W87" i="16"/>
  <c r="W88" i="16"/>
  <c r="W89" i="16"/>
  <c r="W90" i="16" s="1"/>
  <c r="W91" i="16" s="1"/>
  <c r="W92" i="16" s="1"/>
  <c r="W93" i="16" s="1"/>
  <c r="AU89" i="16"/>
  <c r="AU90" i="16" s="1"/>
  <c r="AU91" i="16" s="1"/>
  <c r="AU92" i="16" s="1"/>
  <c r="AU93" i="16" s="1"/>
  <c r="CQ89" i="16"/>
  <c r="CQ90" i="16" s="1"/>
  <c r="CQ91" i="16" s="1"/>
  <c r="CQ92" i="16" s="1"/>
  <c r="CQ93" i="16" s="1"/>
  <c r="CQ94" i="16" s="1"/>
  <c r="W94" i="16"/>
  <c r="AU94" i="16"/>
  <c r="AU95" i="16" s="1"/>
  <c r="AU96" i="16" s="1"/>
  <c r="AU97" i="16" s="1"/>
  <c r="AU98" i="16" s="1"/>
  <c r="W95" i="16"/>
  <c r="W96" i="16" s="1"/>
  <c r="W97" i="16" s="1"/>
  <c r="W98" i="16" s="1"/>
  <c r="CQ95" i="16"/>
  <c r="CQ96" i="16" s="1"/>
  <c r="CQ97" i="16" s="1"/>
  <c r="CQ98" i="16" s="1"/>
  <c r="CQ99" i="16" s="1"/>
  <c r="CQ100" i="16" s="1"/>
  <c r="W99" i="16"/>
  <c r="W100" i="16" s="1"/>
  <c r="W101" i="16" s="1"/>
  <c r="W102" i="16" s="1"/>
  <c r="W103" i="16" s="1"/>
  <c r="AU99" i="16"/>
  <c r="AU100" i="16" s="1"/>
  <c r="AU101" i="16"/>
  <c r="AU102" i="16" s="1"/>
  <c r="AU103" i="16" s="1"/>
  <c r="CQ101" i="16"/>
  <c r="CQ102" i="16" s="1"/>
  <c r="CQ103" i="16" s="1"/>
  <c r="CQ104" i="16" s="1"/>
  <c r="CQ105" i="16" s="1"/>
  <c r="CQ106" i="16" s="1"/>
  <c r="W104" i="16"/>
  <c r="W105" i="16" s="1"/>
  <c r="W106" i="16" s="1"/>
  <c r="W107" i="16" s="1"/>
  <c r="W108" i="16" s="1"/>
  <c r="AU104" i="16"/>
  <c r="AU105" i="16" s="1"/>
  <c r="AU106" i="16" s="1"/>
  <c r="AU107" i="16" s="1"/>
  <c r="AU108" i="16" s="1"/>
  <c r="CQ107" i="16"/>
  <c r="CQ108" i="16"/>
  <c r="CQ109" i="16" s="1"/>
  <c r="CQ110" i="16" s="1"/>
  <c r="CQ111" i="16" s="1"/>
  <c r="CQ112" i="16" s="1"/>
  <c r="W109" i="16"/>
  <c r="W110" i="16" s="1"/>
  <c r="W111" i="16" s="1"/>
  <c r="W112" i="16" s="1"/>
  <c r="W113" i="16" s="1"/>
  <c r="AU109" i="16"/>
  <c r="AU110" i="16" s="1"/>
  <c r="AU111" i="16"/>
  <c r="AU112" i="16" s="1"/>
  <c r="AU113" i="16"/>
  <c r="CQ113" i="16"/>
  <c r="CQ114" i="16" s="1"/>
  <c r="CQ115" i="16" s="1"/>
  <c r="CQ116" i="16" s="1"/>
  <c r="CQ117" i="16" s="1"/>
  <c r="CQ118" i="16" s="1"/>
  <c r="W114" i="16"/>
  <c r="W115" i="16" s="1"/>
  <c r="W116" i="16" s="1"/>
  <c r="W117" i="16" s="1"/>
  <c r="W118" i="16" s="1"/>
  <c r="AU114" i="16"/>
  <c r="AU115" i="16" s="1"/>
  <c r="AU116" i="16" s="1"/>
  <c r="AU117" i="16" s="1"/>
  <c r="AU118" i="16" s="1"/>
  <c r="W119" i="16"/>
  <c r="AU119" i="16"/>
  <c r="AU120" i="16" s="1"/>
  <c r="AU121" i="16" s="1"/>
  <c r="AU122" i="16" s="1"/>
  <c r="AU123" i="16" s="1"/>
  <c r="CQ119" i="16"/>
  <c r="CQ120" i="16" s="1"/>
  <c r="CQ121" i="16" s="1"/>
  <c r="CQ122" i="16" s="1"/>
  <c r="CQ123" i="16" s="1"/>
  <c r="CQ124" i="16" s="1"/>
  <c r="W120" i="16"/>
  <c r="W121" i="16" s="1"/>
  <c r="W122" i="16" s="1"/>
  <c r="W123" i="16" s="1"/>
  <c r="W124" i="16"/>
  <c r="W125" i="16" s="1"/>
  <c r="W126" i="16" s="1"/>
  <c r="W127" i="16" s="1"/>
  <c r="W128" i="16" s="1"/>
  <c r="AU124" i="16"/>
  <c r="AU125" i="16" s="1"/>
  <c r="AU126" i="16" s="1"/>
  <c r="AU127" i="16" s="1"/>
  <c r="AU128" i="16" s="1"/>
  <c r="CQ125" i="16"/>
  <c r="CQ126" i="16" s="1"/>
  <c r="CQ127" i="16" s="1"/>
  <c r="CQ128" i="16" s="1"/>
  <c r="CQ129" i="16" s="1"/>
  <c r="CQ130" i="16" s="1"/>
  <c r="W129" i="16"/>
  <c r="W130" i="16" s="1"/>
  <c r="W131" i="16" s="1"/>
  <c r="W132" i="16" s="1"/>
  <c r="W133" i="16" s="1"/>
  <c r="AU129" i="16"/>
  <c r="AU130" i="16" s="1"/>
  <c r="AU131" i="16"/>
  <c r="AU132" i="16" s="1"/>
  <c r="AU133" i="16" s="1"/>
  <c r="CQ131" i="16"/>
  <c r="CQ132" i="16" s="1"/>
  <c r="CQ133" i="16" s="1"/>
  <c r="CQ134" i="16" s="1"/>
  <c r="CQ135" i="16" s="1"/>
  <c r="CQ136" i="16" s="1"/>
  <c r="W134" i="16"/>
  <c r="AU134" i="16"/>
  <c r="W135" i="16"/>
  <c r="AU135" i="16"/>
  <c r="AU136" i="16" s="1"/>
  <c r="AU137" i="16" s="1"/>
  <c r="AU138" i="16" s="1"/>
  <c r="W136" i="16"/>
  <c r="W137" i="16" s="1"/>
  <c r="W138" i="16" s="1"/>
  <c r="CQ137" i="16"/>
  <c r="CQ138" i="16" s="1"/>
  <c r="CQ139" i="16" s="1"/>
  <c r="CQ140" i="16" s="1"/>
  <c r="CQ141" i="16" s="1"/>
  <c r="CQ142" i="16" s="1"/>
  <c r="W139" i="16"/>
  <c r="AU139" i="16"/>
  <c r="AU140" i="16" s="1"/>
  <c r="W140" i="16"/>
  <c r="W141" i="16" s="1"/>
  <c r="W142" i="16" s="1"/>
  <c r="W143" i="16" s="1"/>
  <c r="AU141" i="16"/>
  <c r="AU142" i="16" s="1"/>
  <c r="AU143" i="16" s="1"/>
  <c r="CQ143" i="16"/>
  <c r="CQ144" i="16" s="1"/>
  <c r="CQ145" i="16" s="1"/>
  <c r="CQ146" i="16" s="1"/>
  <c r="CQ147" i="16" s="1"/>
  <c r="CQ148" i="16" s="1"/>
  <c r="W144" i="16"/>
  <c r="W145" i="16" s="1"/>
  <c r="W146" i="16" s="1"/>
  <c r="W147" i="16" s="1"/>
  <c r="W148" i="16" s="1"/>
  <c r="AU144" i="16"/>
  <c r="AU145" i="16"/>
  <c r="AU146" i="16" s="1"/>
  <c r="AU147" i="16" s="1"/>
  <c r="AU148" i="16" s="1"/>
  <c r="W149" i="16"/>
  <c r="W150" i="16" s="1"/>
  <c r="W151" i="16" s="1"/>
  <c r="W152" i="16" s="1"/>
  <c r="W153" i="16" s="1"/>
  <c r="AU149" i="16"/>
  <c r="AU150" i="16" s="1"/>
  <c r="AU151" i="16" s="1"/>
  <c r="AU152" i="16" s="1"/>
  <c r="AU153" i="16" s="1"/>
  <c r="CQ149" i="16"/>
  <c r="CQ150" i="16" s="1"/>
  <c r="CQ151" i="16" s="1"/>
  <c r="CQ152" i="16" s="1"/>
  <c r="CQ153" i="16" s="1"/>
  <c r="CQ154" i="16" s="1"/>
  <c r="W154" i="16"/>
  <c r="W155" i="16" s="1"/>
  <c r="W156" i="16" s="1"/>
  <c r="W157" i="16" s="1"/>
  <c r="W158" i="16" s="1"/>
  <c r="AU154" i="16"/>
  <c r="AU155" i="16" s="1"/>
  <c r="AU156" i="16" s="1"/>
  <c r="AU157" i="16" s="1"/>
  <c r="AU158" i="16" s="1"/>
  <c r="CQ155" i="16"/>
  <c r="CQ156" i="16" s="1"/>
  <c r="CQ157" i="16" s="1"/>
  <c r="CQ158" i="16" s="1"/>
  <c r="CQ159" i="16" s="1"/>
  <c r="CQ160" i="16" s="1"/>
  <c r="W159" i="16"/>
  <c r="W160" i="16" s="1"/>
  <c r="W161" i="16" s="1"/>
  <c r="W162" i="16" s="1"/>
  <c r="W163" i="16" s="1"/>
  <c r="AU159" i="16"/>
  <c r="AU160" i="16" s="1"/>
  <c r="AU161" i="16"/>
  <c r="AU162" i="16" s="1"/>
  <c r="AU163" i="16" s="1"/>
  <c r="CQ161" i="16"/>
  <c r="CQ162" i="16" s="1"/>
  <c r="CQ163" i="16" s="1"/>
  <c r="CQ164" i="16" s="1"/>
  <c r="CQ165" i="16" s="1"/>
  <c r="CQ166" i="16" s="1"/>
  <c r="W164" i="16"/>
  <c r="W165" i="16" s="1"/>
  <c r="W166" i="16" s="1"/>
  <c r="AU164" i="16"/>
  <c r="AU165" i="16" s="1"/>
  <c r="AU166" i="16" s="1"/>
  <c r="AU167" i="16" s="1"/>
  <c r="AU168" i="16" s="1"/>
  <c r="W167" i="16"/>
  <c r="W168" i="16" s="1"/>
  <c r="CQ167" i="16"/>
  <c r="CQ168" i="16" s="1"/>
  <c r="CQ169" i="16" s="1"/>
  <c r="CQ170" i="16" s="1"/>
  <c r="CQ171" i="16" s="1"/>
  <c r="CQ172" i="16" s="1"/>
  <c r="W169" i="16"/>
  <c r="W170" i="16" s="1"/>
  <c r="AU169" i="16"/>
  <c r="AU170" i="16" s="1"/>
  <c r="AU171" i="16" s="1"/>
  <c r="AU172" i="16" s="1"/>
  <c r="AU173" i="16" s="1"/>
  <c r="W171" i="16"/>
  <c r="W172" i="16"/>
  <c r="W173" i="16" s="1"/>
  <c r="CQ173" i="16"/>
  <c r="CQ174" i="16" s="1"/>
  <c r="CQ175" i="16" s="1"/>
  <c r="CQ176" i="16" s="1"/>
  <c r="CQ177" i="16" s="1"/>
  <c r="CQ178" i="16" s="1"/>
  <c r="W174" i="16"/>
  <c r="W175" i="16" s="1"/>
  <c r="W176" i="16" s="1"/>
  <c r="W177" i="16" s="1"/>
  <c r="W178" i="16" s="1"/>
  <c r="AU174" i="16"/>
  <c r="AU175" i="16" s="1"/>
  <c r="AU176" i="16" s="1"/>
  <c r="AU177" i="16" s="1"/>
  <c r="AU178" i="16" s="1"/>
  <c r="W179" i="16"/>
  <c r="W180" i="16" s="1"/>
  <c r="W181" i="16" s="1"/>
  <c r="W182" i="16" s="1"/>
  <c r="W183" i="16" s="1"/>
  <c r="AU179" i="16"/>
  <c r="AU180" i="16" s="1"/>
  <c r="AU181" i="16" s="1"/>
  <c r="AU182" i="16" s="1"/>
  <c r="AU183" i="16" s="1"/>
  <c r="CQ179" i="16"/>
  <c r="CQ180" i="16"/>
  <c r="CQ181" i="16" s="1"/>
  <c r="CQ182" i="16" s="1"/>
  <c r="CQ183" i="16" s="1"/>
  <c r="CQ184" i="16" s="1"/>
  <c r="W184" i="16"/>
  <c r="W185" i="16" s="1"/>
  <c r="W186" i="16" s="1"/>
  <c r="W187" i="16" s="1"/>
  <c r="W188" i="16" s="1"/>
  <c r="AU184" i="16"/>
  <c r="AU185" i="16" s="1"/>
  <c r="AU186" i="16" s="1"/>
  <c r="AU187" i="16" s="1"/>
  <c r="AU188" i="16" s="1"/>
  <c r="CQ185" i="16"/>
  <c r="CQ186" i="16" s="1"/>
  <c r="CQ187" i="16" s="1"/>
  <c r="CQ188" i="16" s="1"/>
  <c r="CQ189" i="16" s="1"/>
  <c r="CQ190" i="16" s="1"/>
  <c r="W189" i="16"/>
  <c r="W190" i="16" s="1"/>
  <c r="W191" i="16" s="1"/>
  <c r="W192" i="16" s="1"/>
  <c r="W193" i="16" s="1"/>
  <c r="AU189" i="16"/>
  <c r="AU190" i="16" s="1"/>
  <c r="AU191" i="16" s="1"/>
  <c r="AU192" i="16" s="1"/>
  <c r="AU193" i="16" s="1"/>
  <c r="CQ191" i="16"/>
  <c r="CQ192" i="16" s="1"/>
  <c r="CQ193" i="16" s="1"/>
  <c r="CQ194" i="16" s="1"/>
  <c r="CQ195" i="16" s="1"/>
  <c r="CQ196" i="16" s="1"/>
  <c r="W194" i="16"/>
  <c r="W195" i="16" s="1"/>
  <c r="W196" i="16" s="1"/>
  <c r="W197" i="16" s="1"/>
  <c r="W198" i="16" s="1"/>
  <c r="AU194" i="16"/>
  <c r="AU195" i="16" s="1"/>
  <c r="AU196" i="16" s="1"/>
  <c r="AU197" i="16" s="1"/>
  <c r="AU198" i="16" s="1"/>
  <c r="CQ197" i="16"/>
  <c r="CQ198" i="16"/>
  <c r="CQ199" i="16" s="1"/>
  <c r="CQ200" i="16" s="1"/>
  <c r="CQ201" i="16" s="1"/>
  <c r="CQ202" i="16" s="1"/>
  <c r="W199" i="16"/>
  <c r="W200" i="16" s="1"/>
  <c r="W201" i="16" s="1"/>
  <c r="W202" i="16" s="1"/>
  <c r="W203" i="16" s="1"/>
  <c r="AU199" i="16"/>
  <c r="AU200" i="16" s="1"/>
  <c r="AU201" i="16" s="1"/>
  <c r="AU202" i="16" s="1"/>
  <c r="AU203" i="16" s="1"/>
  <c r="CQ203" i="16"/>
  <c r="CQ204" i="16" s="1"/>
  <c r="CQ205" i="16" s="1"/>
  <c r="CQ206" i="16" s="1"/>
  <c r="CQ207" i="16" s="1"/>
  <c r="CQ208" i="16" s="1"/>
  <c r="W204" i="16"/>
  <c r="W205" i="16" s="1"/>
  <c r="W206" i="16" s="1"/>
  <c r="W207" i="16" s="1"/>
  <c r="W208" i="16" s="1"/>
  <c r="AU204" i="16"/>
  <c r="AU205" i="16" s="1"/>
  <c r="AU206" i="16" s="1"/>
  <c r="AU207" i="16" s="1"/>
  <c r="AU208" i="16" s="1"/>
  <c r="W209" i="16"/>
  <c r="W210" i="16" s="1"/>
  <c r="AU209" i="16"/>
  <c r="CQ209" i="16"/>
  <c r="CQ210" i="16" s="1"/>
  <c r="CQ211" i="16" s="1"/>
  <c r="CQ212" i="16" s="1"/>
  <c r="CQ213" i="16" s="1"/>
  <c r="CQ214" i="16" s="1"/>
  <c r="AU210" i="16"/>
  <c r="AU211" i="16" s="1"/>
  <c r="AU212" i="16" s="1"/>
  <c r="AU213" i="16" s="1"/>
  <c r="W211" i="16"/>
  <c r="W212" i="16"/>
  <c r="W213" i="16" s="1"/>
  <c r="W214" i="16"/>
  <c r="AU214" i="16"/>
  <c r="AU215" i="16" s="1"/>
  <c r="AU216" i="16" s="1"/>
  <c r="AU217" i="16" s="1"/>
  <c r="AU218" i="16" s="1"/>
  <c r="W215" i="16"/>
  <c r="W216" i="16" s="1"/>
  <c r="W217" i="16" s="1"/>
  <c r="W218" i="16" s="1"/>
  <c r="CQ215" i="16"/>
  <c r="CQ216" i="16" s="1"/>
  <c r="CQ217" i="16" s="1"/>
  <c r="CQ218" i="16" s="1"/>
  <c r="CQ219" i="16" s="1"/>
  <c r="CQ220" i="16" s="1"/>
  <c r="W219" i="16"/>
  <c r="W220" i="16" s="1"/>
  <c r="W221" i="16" s="1"/>
  <c r="W222" i="16" s="1"/>
  <c r="W223" i="16" s="1"/>
  <c r="AU219" i="16"/>
  <c r="AU220" i="16" s="1"/>
  <c r="AU221" i="16" s="1"/>
  <c r="AU222" i="16" s="1"/>
  <c r="AU223" i="16" s="1"/>
  <c r="CQ221" i="16"/>
  <c r="CQ222" i="16" s="1"/>
  <c r="CQ223" i="16" s="1"/>
  <c r="CQ224" i="16" s="1"/>
  <c r="CQ225" i="16" s="1"/>
  <c r="CQ226" i="16" s="1"/>
  <c r="W224" i="16"/>
  <c r="W225" i="16" s="1"/>
  <c r="W226" i="16" s="1"/>
  <c r="W227" i="16" s="1"/>
  <c r="W228" i="16" s="1"/>
  <c r="AU224" i="16"/>
  <c r="AU225" i="16" s="1"/>
  <c r="AU226" i="16" s="1"/>
  <c r="AU227" i="16" s="1"/>
  <c r="AU228" i="16" s="1"/>
  <c r="CQ227" i="16"/>
  <c r="CQ228" i="16"/>
  <c r="CQ229" i="16" s="1"/>
  <c r="CQ230" i="16" s="1"/>
  <c r="CQ231" i="16" s="1"/>
  <c r="CQ232" i="16" s="1"/>
  <c r="W229" i="16"/>
  <c r="W230" i="16" s="1"/>
  <c r="W231" i="16" s="1"/>
  <c r="W232" i="16" s="1"/>
  <c r="W233" i="16" s="1"/>
  <c r="AU229" i="16"/>
  <c r="AU230" i="16" s="1"/>
  <c r="AU231" i="16" s="1"/>
  <c r="AU232" i="16" s="1"/>
  <c r="AU233" i="16" s="1"/>
  <c r="CQ233" i="16"/>
  <c r="CQ234" i="16" s="1"/>
  <c r="CQ235" i="16" s="1"/>
  <c r="CQ236" i="16" s="1"/>
  <c r="CQ237" i="16" s="1"/>
  <c r="CQ238" i="16" s="1"/>
  <c r="W234" i="16"/>
  <c r="W235" i="16" s="1"/>
  <c r="W236" i="16" s="1"/>
  <c r="W237" i="16" s="1"/>
  <c r="W238" i="16" s="1"/>
  <c r="AU234" i="16"/>
  <c r="AU235" i="16" s="1"/>
  <c r="AU236" i="16" s="1"/>
  <c r="AU237" i="16" s="1"/>
  <c r="AU238" i="16" s="1"/>
  <c r="W239" i="16"/>
  <c r="W240" i="16" s="1"/>
  <c r="W241" i="16" s="1"/>
  <c r="W242" i="16" s="1"/>
  <c r="W243" i="16" s="1"/>
  <c r="AU239" i="16"/>
  <c r="AU240" i="16" s="1"/>
  <c r="AU241" i="16" s="1"/>
  <c r="AU242" i="16" s="1"/>
  <c r="AU243" i="16" s="1"/>
  <c r="CQ239" i="16"/>
  <c r="CQ240" i="16" s="1"/>
  <c r="CQ241" i="16" s="1"/>
  <c r="CQ242" i="16" s="1"/>
  <c r="CQ243" i="16" s="1"/>
  <c r="CQ244" i="16" s="1"/>
  <c r="W244" i="16"/>
  <c r="AU244" i="16"/>
  <c r="AU245" i="16" s="1"/>
  <c r="AU246" i="16" s="1"/>
  <c r="AU247" i="16" s="1"/>
  <c r="AU248" i="16" s="1"/>
  <c r="W245" i="16"/>
  <c r="W246" i="16" s="1"/>
  <c r="W247" i="16" s="1"/>
  <c r="W248" i="16" s="1"/>
  <c r="CQ245" i="16"/>
  <c r="CQ246" i="16" s="1"/>
  <c r="CQ247" i="16" s="1"/>
  <c r="CQ248" i="16" s="1"/>
  <c r="CQ249" i="16" s="1"/>
  <c r="CQ250" i="16" s="1"/>
  <c r="W249" i="16"/>
  <c r="W250" i="16" s="1"/>
  <c r="W251" i="16" s="1"/>
  <c r="W252" i="16" s="1"/>
  <c r="W253" i="16" s="1"/>
  <c r="AU249" i="16"/>
  <c r="AU250" i="16" s="1"/>
  <c r="AU251" i="16" s="1"/>
  <c r="AU252" i="16" s="1"/>
  <c r="AU253" i="16" s="1"/>
  <c r="CQ251" i="16"/>
  <c r="CQ252" i="16" s="1"/>
  <c r="CQ253" i="16" s="1"/>
  <c r="CQ254" i="16" s="1"/>
  <c r="CQ255" i="16" s="1"/>
  <c r="CQ256" i="16" s="1"/>
  <c r="W254" i="16"/>
  <c r="W255" i="16" s="1"/>
  <c r="W256" i="16" s="1"/>
  <c r="W257" i="16" s="1"/>
  <c r="W258" i="16" s="1"/>
  <c r="AU254" i="16"/>
  <c r="AU255" i="16" s="1"/>
  <c r="AU256" i="16" s="1"/>
  <c r="AU257" i="16" s="1"/>
  <c r="AU258" i="16" s="1"/>
  <c r="CQ257" i="16"/>
  <c r="CQ258" i="16"/>
  <c r="CQ259" i="16" s="1"/>
  <c r="CQ260" i="16" s="1"/>
  <c r="CQ261" i="16" s="1"/>
  <c r="CQ262" i="16" s="1"/>
  <c r="W259" i="16"/>
  <c r="W260" i="16" s="1"/>
  <c r="W261" i="16" s="1"/>
  <c r="W262" i="16" s="1"/>
  <c r="W263" i="16" s="1"/>
  <c r="AU259" i="16"/>
  <c r="AU260" i="16" s="1"/>
  <c r="AU261" i="16" s="1"/>
  <c r="AU262" i="16" s="1"/>
  <c r="AU263" i="16" s="1"/>
  <c r="CQ263" i="16"/>
  <c r="CQ264" i="16" s="1"/>
  <c r="CQ265" i="16" s="1"/>
  <c r="CQ266" i="16" s="1"/>
  <c r="CQ267" i="16" s="1"/>
  <c r="CQ268" i="16" s="1"/>
  <c r="W264" i="16"/>
  <c r="W265" i="16" s="1"/>
  <c r="W266" i="16" s="1"/>
  <c r="W267" i="16" s="1"/>
  <c r="W268" i="16" s="1"/>
  <c r="AU264" i="16"/>
  <c r="AU265" i="16" s="1"/>
  <c r="AU266" i="16" s="1"/>
  <c r="AU267" i="16" s="1"/>
  <c r="AU268" i="16" s="1"/>
  <c r="W269" i="16"/>
  <c r="W270" i="16" s="1"/>
  <c r="AU269" i="16"/>
  <c r="CQ269" i="16"/>
  <c r="CQ270" i="16" s="1"/>
  <c r="CQ271" i="16" s="1"/>
  <c r="CQ272" i="16" s="1"/>
  <c r="CQ273" i="16" s="1"/>
  <c r="CQ274" i="16" s="1"/>
  <c r="AU270" i="16"/>
  <c r="AU271" i="16" s="1"/>
  <c r="AU272" i="16" s="1"/>
  <c r="AU273" i="16" s="1"/>
  <c r="W271" i="16"/>
  <c r="W272" i="16" s="1"/>
  <c r="W273" i="16" s="1"/>
  <c r="W274" i="16"/>
  <c r="W275" i="16" s="1"/>
  <c r="W276" i="16" s="1"/>
  <c r="W277" i="16" s="1"/>
  <c r="W278" i="16" s="1"/>
  <c r="AU274" i="16"/>
  <c r="AU275" i="16" s="1"/>
  <c r="AU276" i="16" s="1"/>
  <c r="AU277" i="16" s="1"/>
  <c r="AU278" i="16" s="1"/>
  <c r="CQ275" i="16"/>
  <c r="CQ276" i="16" s="1"/>
  <c r="CQ277" i="16" s="1"/>
  <c r="CQ278" i="16" s="1"/>
  <c r="CQ279" i="16" s="1"/>
  <c r="CQ280" i="16" s="1"/>
  <c r="W279" i="16"/>
  <c r="W280" i="16" s="1"/>
  <c r="W281" i="16" s="1"/>
  <c r="W282" i="16" s="1"/>
  <c r="W283" i="16" s="1"/>
  <c r="AU279" i="16"/>
  <c r="AU280" i="16" s="1"/>
  <c r="AU281" i="16" s="1"/>
  <c r="AU282" i="16" s="1"/>
  <c r="AU283" i="16" s="1"/>
  <c r="CQ281" i="16"/>
  <c r="CQ282" i="16" s="1"/>
  <c r="CQ283" i="16" s="1"/>
  <c r="CQ284" i="16" s="1"/>
  <c r="CQ285" i="16" s="1"/>
  <c r="CQ286" i="16" s="1"/>
  <c r="W284" i="16"/>
  <c r="W285" i="16" s="1"/>
  <c r="W286" i="16" s="1"/>
  <c r="W287" i="16" s="1"/>
  <c r="W288" i="16" s="1"/>
  <c r="AU284" i="16"/>
  <c r="AU285" i="16"/>
  <c r="AU286" i="16" s="1"/>
  <c r="AU287" i="16" s="1"/>
  <c r="AU288" i="16" s="1"/>
  <c r="CQ287" i="16"/>
  <c r="CQ288" i="16" s="1"/>
  <c r="CQ289" i="16" s="1"/>
  <c r="CQ290" i="16" s="1"/>
  <c r="CQ291" i="16" s="1"/>
  <c r="CQ292" i="16" s="1"/>
  <c r="W289" i="16"/>
  <c r="W290" i="16" s="1"/>
  <c r="W291" i="16" s="1"/>
  <c r="W292" i="16" s="1"/>
  <c r="W293" i="16" s="1"/>
  <c r="AU289" i="16"/>
  <c r="AU290" i="16" s="1"/>
  <c r="AU291" i="16" s="1"/>
  <c r="AU292" i="16" s="1"/>
  <c r="AU293" i="16" s="1"/>
  <c r="CQ293" i="16"/>
  <c r="W294" i="16"/>
  <c r="AU294" i="16"/>
  <c r="AU295" i="16" s="1"/>
  <c r="AU296" i="16" s="1"/>
  <c r="AU297" i="16" s="1"/>
  <c r="AU298" i="16" s="1"/>
  <c r="CQ294" i="16"/>
  <c r="CQ295" i="16" s="1"/>
  <c r="CQ296" i="16" s="1"/>
  <c r="CQ297" i="16" s="1"/>
  <c r="CQ298" i="16" s="1"/>
  <c r="W295" i="16"/>
  <c r="W296" i="16" s="1"/>
  <c r="W297" i="16" s="1"/>
  <c r="W298" i="16" s="1"/>
  <c r="W299" i="16"/>
  <c r="AU299" i="16"/>
  <c r="AU300" i="16" s="1"/>
  <c r="AU301" i="16" s="1"/>
  <c r="AU302" i="16" s="1"/>
  <c r="AU303" i="16" s="1"/>
  <c r="CQ299" i="16"/>
  <c r="CQ300" i="16" s="1"/>
  <c r="CQ301" i="16" s="1"/>
  <c r="CQ302" i="16" s="1"/>
  <c r="CQ303" i="16" s="1"/>
  <c r="CQ304" i="16" s="1"/>
  <c r="W300" i="16"/>
  <c r="W301" i="16" s="1"/>
  <c r="W302" i="16" s="1"/>
  <c r="W303" i="16" s="1"/>
  <c r="W304" i="16"/>
  <c r="W305" i="16" s="1"/>
  <c r="W306" i="16" s="1"/>
  <c r="W307" i="16" s="1"/>
  <c r="W308" i="16" s="1"/>
  <c r="AU304" i="16"/>
  <c r="AU305" i="16"/>
  <c r="CQ305" i="16"/>
  <c r="CQ306" i="16" s="1"/>
  <c r="CQ307" i="16" s="1"/>
  <c r="CQ308" i="16" s="1"/>
  <c r="CQ309" i="16" s="1"/>
  <c r="CQ310" i="16" s="1"/>
  <c r="AU306" i="16"/>
  <c r="AU307" i="16" s="1"/>
  <c r="AU308" i="16" s="1"/>
  <c r="W309" i="16"/>
  <c r="W310" i="16" s="1"/>
  <c r="W311" i="16" s="1"/>
  <c r="W312" i="16" s="1"/>
  <c r="W313" i="16" s="1"/>
  <c r="AU309" i="16"/>
  <c r="AU310" i="16" s="1"/>
  <c r="AU311" i="16" s="1"/>
  <c r="AU312" i="16" s="1"/>
  <c r="AU313" i="16" s="1"/>
  <c r="CQ311" i="16"/>
  <c r="CQ312" i="16" s="1"/>
  <c r="CQ313" i="16" s="1"/>
  <c r="CQ314" i="16" s="1"/>
  <c r="CQ315" i="16" s="1"/>
  <c r="CQ316" i="16" s="1"/>
  <c r="W314" i="16"/>
  <c r="W315" i="16" s="1"/>
  <c r="W316" i="16" s="1"/>
  <c r="W317" i="16" s="1"/>
  <c r="W318" i="16" s="1"/>
  <c r="AU314" i="16"/>
  <c r="AU315" i="16" s="1"/>
  <c r="AU316" i="16" s="1"/>
  <c r="AU317" i="16" s="1"/>
  <c r="AU318" i="16" s="1"/>
  <c r="CQ317" i="16"/>
  <c r="CQ318" i="16" s="1"/>
  <c r="CQ319" i="16" s="1"/>
  <c r="CQ320" i="16" s="1"/>
  <c r="CQ321" i="16" s="1"/>
  <c r="CQ322" i="16" s="1"/>
  <c r="W319" i="16"/>
  <c r="W320" i="16" s="1"/>
  <c r="W321" i="16" s="1"/>
  <c r="W322" i="16" s="1"/>
  <c r="W323" i="16" s="1"/>
  <c r="AU319" i="16"/>
  <c r="AU320" i="16" s="1"/>
  <c r="AU321" i="16"/>
  <c r="AU322" i="16" s="1"/>
  <c r="AU323" i="16" s="1"/>
  <c r="CQ323" i="16"/>
  <c r="CQ324" i="16" s="1"/>
  <c r="CQ325" i="16" s="1"/>
  <c r="CQ326" i="16" s="1"/>
  <c r="CQ327" i="16" s="1"/>
  <c r="CQ328" i="16" s="1"/>
  <c r="W324" i="16"/>
  <c r="W325" i="16" s="1"/>
  <c r="W326" i="16" s="1"/>
  <c r="W327" i="16" s="1"/>
  <c r="W328" i="16" s="1"/>
  <c r="AU324" i="16"/>
  <c r="AU325" i="16"/>
  <c r="AU326" i="16" s="1"/>
  <c r="AU327" i="16" s="1"/>
  <c r="AU328" i="16" s="1"/>
  <c r="W329" i="16"/>
  <c r="W330" i="16" s="1"/>
  <c r="W331" i="16" s="1"/>
  <c r="W332" i="16" s="1"/>
  <c r="W333" i="16" s="1"/>
  <c r="AU329" i="16"/>
  <c r="AU330" i="16" s="1"/>
  <c r="AU331" i="16" s="1"/>
  <c r="AU332" i="16" s="1"/>
  <c r="AU333" i="16" s="1"/>
  <c r="CQ329" i="16"/>
  <c r="CQ330" i="16" s="1"/>
  <c r="CQ331" i="16" s="1"/>
  <c r="CQ332" i="16" s="1"/>
  <c r="CQ333" i="16" s="1"/>
  <c r="CQ334" i="16" s="1"/>
  <c r="W334" i="16"/>
  <c r="W335" i="16" s="1"/>
  <c r="W336" i="16" s="1"/>
  <c r="W337" i="16" s="1"/>
  <c r="W338" i="16" s="1"/>
  <c r="AU334" i="16"/>
  <c r="AU335" i="16" s="1"/>
  <c r="AU336" i="16" s="1"/>
  <c r="AU337" i="16" s="1"/>
  <c r="AU338" i="16" s="1"/>
  <c r="CQ335" i="16"/>
  <c r="CQ336" i="16" s="1"/>
  <c r="CQ337" i="16" s="1"/>
  <c r="CQ338" i="16" s="1"/>
  <c r="CQ339" i="16" s="1"/>
  <c r="CQ340" i="16" s="1"/>
  <c r="W339" i="16"/>
  <c r="W340" i="16" s="1"/>
  <c r="W341" i="16" s="1"/>
  <c r="W342" i="16" s="1"/>
  <c r="W343" i="16" s="1"/>
  <c r="AU339" i="16"/>
  <c r="AU340" i="16" s="1"/>
  <c r="AU341" i="16" s="1"/>
  <c r="AU342" i="16" s="1"/>
  <c r="AU343" i="16" s="1"/>
  <c r="CQ341" i="16"/>
  <c r="CQ342" i="16" s="1"/>
  <c r="CQ343" i="16" s="1"/>
  <c r="CQ344" i="16" s="1"/>
  <c r="CQ345" i="16" s="1"/>
  <c r="CQ346" i="16" s="1"/>
  <c r="W344" i="16"/>
  <c r="W345" i="16" s="1"/>
  <c r="W346" i="16" s="1"/>
  <c r="W347" i="16" s="1"/>
  <c r="W348" i="16" s="1"/>
  <c r="AU344" i="16"/>
  <c r="AU345" i="16"/>
  <c r="AU346" i="16" s="1"/>
  <c r="AU347" i="16" s="1"/>
  <c r="AU348" i="16" s="1"/>
  <c r="CQ347" i="16"/>
  <c r="CQ348" i="16"/>
  <c r="CQ349" i="16" s="1"/>
  <c r="CQ350" i="16" s="1"/>
  <c r="CQ351" i="16" s="1"/>
  <c r="CQ352" i="16" s="1"/>
  <c r="W349" i="16"/>
  <c r="W350" i="16" s="1"/>
  <c r="W351" i="16" s="1"/>
  <c r="W352" i="16" s="1"/>
  <c r="W353" i="16" s="1"/>
  <c r="AU349" i="16"/>
  <c r="AU350" i="16" s="1"/>
  <c r="AU351" i="16" s="1"/>
  <c r="AU352" i="16" s="1"/>
  <c r="AU353" i="16" s="1"/>
  <c r="CQ353" i="16"/>
  <c r="W354" i="16"/>
  <c r="W355" i="16" s="1"/>
  <c r="W356" i="16" s="1"/>
  <c r="W357" i="16" s="1"/>
  <c r="W358" i="16" s="1"/>
  <c r="AU354" i="16"/>
  <c r="AU355" i="16" s="1"/>
  <c r="AU356" i="16" s="1"/>
  <c r="AU357" i="16" s="1"/>
  <c r="AU358" i="16" s="1"/>
  <c r="CQ354" i="16"/>
  <c r="CQ355" i="16" s="1"/>
  <c r="CQ356" i="16" s="1"/>
  <c r="CQ357" i="16" s="1"/>
  <c r="CQ358" i="16" s="1"/>
  <c r="W359" i="16"/>
  <c r="W360" i="16" s="1"/>
  <c r="W361" i="16" s="1"/>
  <c r="W362" i="16" s="1"/>
  <c r="W363" i="16" s="1"/>
  <c r="AU359" i="16"/>
  <c r="AU360" i="16" s="1"/>
  <c r="AU361" i="16" s="1"/>
  <c r="AU362" i="16" s="1"/>
  <c r="AU363" i="16" s="1"/>
  <c r="CQ359" i="16"/>
  <c r="CQ360" i="16" s="1"/>
  <c r="CQ361" i="16" s="1"/>
  <c r="CQ362" i="16" s="1"/>
  <c r="CQ363" i="16" s="1"/>
  <c r="CQ364" i="16" s="1"/>
  <c r="CQ365" i="16"/>
  <c r="CQ366" i="16" s="1"/>
  <c r="CQ367" i="16" s="1"/>
  <c r="CQ368" i="16" s="1"/>
  <c r="CQ369" i="16" s="1"/>
  <c r="CQ370" i="16" s="1"/>
  <c r="CQ371" i="16"/>
  <c r="CQ372" i="16"/>
  <c r="CQ373" i="16" s="1"/>
  <c r="CQ374" i="16" s="1"/>
  <c r="CQ375" i="16" s="1"/>
  <c r="CQ376" i="16" s="1"/>
  <c r="CQ377" i="16"/>
  <c r="CQ378" i="16" s="1"/>
  <c r="CQ379" i="16" s="1"/>
  <c r="CQ380" i="16" s="1"/>
  <c r="CQ381" i="16" s="1"/>
  <c r="CQ382" i="16" s="1"/>
  <c r="CQ383" i="16"/>
  <c r="CQ384" i="16" s="1"/>
  <c r="CQ385" i="16" s="1"/>
  <c r="CQ386" i="16" s="1"/>
  <c r="CQ387" i="16" s="1"/>
  <c r="CQ388" i="16" s="1"/>
  <c r="CQ389" i="16"/>
  <c r="CQ390" i="16" s="1"/>
  <c r="CQ391" i="16" s="1"/>
  <c r="CQ392" i="16" s="1"/>
  <c r="CQ393" i="16" s="1"/>
  <c r="CQ394" i="16" s="1"/>
  <c r="CQ395" i="16"/>
  <c r="CQ396" i="16" s="1"/>
  <c r="CQ397" i="16" s="1"/>
  <c r="CQ398" i="16" s="1"/>
  <c r="CQ399" i="16" s="1"/>
  <c r="CQ400" i="16" s="1"/>
  <c r="CQ401" i="16"/>
  <c r="CQ402" i="16" s="1"/>
  <c r="CQ403" i="16" s="1"/>
  <c r="CQ404" i="16" s="1"/>
  <c r="CQ405" i="16" s="1"/>
  <c r="CQ406" i="16" s="1"/>
  <c r="CQ407" i="16"/>
  <c r="CQ408" i="16" s="1"/>
  <c r="CQ409" i="16" s="1"/>
  <c r="CQ410" i="16" s="1"/>
  <c r="CQ411" i="16" s="1"/>
  <c r="CQ412" i="16" s="1"/>
  <c r="CQ413" i="16"/>
  <c r="CQ414" i="16" s="1"/>
  <c r="CQ415" i="16" s="1"/>
  <c r="CQ416" i="16" s="1"/>
  <c r="CQ417" i="16" s="1"/>
  <c r="CQ418" i="16" s="1"/>
  <c r="CQ419" i="16"/>
  <c r="CQ420" i="16" s="1"/>
  <c r="CQ421" i="16" s="1"/>
  <c r="CQ422" i="16" s="1"/>
  <c r="CQ423" i="16" s="1"/>
  <c r="CQ424" i="16" s="1"/>
  <c r="CQ425" i="16"/>
  <c r="CQ426" i="16" s="1"/>
  <c r="CQ427" i="16" s="1"/>
  <c r="CQ428" i="16" s="1"/>
  <c r="CQ429" i="16" s="1"/>
  <c r="CQ430" i="16" s="1"/>
  <c r="BS4" i="16"/>
  <c r="BS5" i="16" s="1"/>
  <c r="BS6" i="16" s="1"/>
  <c r="BS7" i="16" s="1"/>
  <c r="BS8" i="16" s="1"/>
  <c r="BS9" i="16"/>
  <c r="BS10" i="16" s="1"/>
  <c r="BS11" i="16" s="1"/>
  <c r="BS12" i="16" s="1"/>
  <c r="BS13" i="16" s="1"/>
  <c r="BS14" i="16"/>
  <c r="BS15" i="16" s="1"/>
  <c r="BS16" i="16" s="1"/>
  <c r="BS17" i="16" s="1"/>
  <c r="BS18" i="16" s="1"/>
  <c r="BS19" i="16"/>
  <c r="BS20" i="16" s="1"/>
  <c r="BS24" i="16"/>
  <c r="BS25" i="16" s="1"/>
  <c r="BS26" i="16" s="1"/>
  <c r="BS27" i="16" s="1"/>
  <c r="BS28" i="16" s="1"/>
  <c r="BS29" i="16"/>
  <c r="BS30" i="16" s="1"/>
  <c r="BS31" i="16" s="1"/>
  <c r="BS32" i="16" s="1"/>
  <c r="BS33" i="16" s="1"/>
  <c r="BS34" i="16"/>
  <c r="BS35" i="16" s="1"/>
  <c r="BS36" i="16" s="1"/>
  <c r="BS37" i="16" s="1"/>
  <c r="BS38" i="16" s="1"/>
  <c r="BS39" i="16"/>
  <c r="BS40" i="16" s="1"/>
  <c r="BS41" i="16" s="1"/>
  <c r="BS42" i="16" s="1"/>
  <c r="BS43" i="16" s="1"/>
  <c r="BS44" i="16"/>
  <c r="BS45" i="16" s="1"/>
  <c r="BS46" i="16" s="1"/>
  <c r="BS47" i="16" s="1"/>
  <c r="BS48" i="16" s="1"/>
  <c r="BS49" i="16"/>
  <c r="BS50" i="16" s="1"/>
  <c r="BS51" i="16" s="1"/>
  <c r="BS52" i="16" s="1"/>
  <c r="BS53" i="16" s="1"/>
  <c r="BS54" i="16"/>
  <c r="BS55" i="16" s="1"/>
  <c r="BS56" i="16" s="1"/>
  <c r="BS57" i="16" s="1"/>
  <c r="BS58" i="16" s="1"/>
  <c r="BS59" i="16"/>
  <c r="BS60" i="16" s="1"/>
  <c r="BS61" i="16" s="1"/>
  <c r="BS62" i="16" s="1"/>
  <c r="BS63" i="16" s="1"/>
  <c r="BS64" i="16"/>
  <c r="BS65" i="16" s="1"/>
  <c r="BS66" i="16" s="1"/>
  <c r="BS67" i="16" s="1"/>
  <c r="BS68" i="16" s="1"/>
  <c r="BS69" i="16"/>
  <c r="BS70" i="16" s="1"/>
  <c r="BS71" i="16" s="1"/>
  <c r="BS72" i="16" s="1"/>
  <c r="BS73" i="16" s="1"/>
  <c r="BS74" i="16"/>
  <c r="BS75" i="16" s="1"/>
  <c r="BS76" i="16" s="1"/>
  <c r="BS77" i="16" s="1"/>
  <c r="BS78" i="16" s="1"/>
  <c r="BS79" i="16"/>
  <c r="BS80" i="16" s="1"/>
  <c r="BS81" i="16" s="1"/>
  <c r="BS82" i="16" s="1"/>
  <c r="BS83" i="16" s="1"/>
  <c r="BS84" i="16"/>
  <c r="BS85" i="16" s="1"/>
  <c r="BS86" i="16" s="1"/>
  <c r="BS87" i="16" s="1"/>
  <c r="BS88" i="16" s="1"/>
  <c r="BS89" i="16"/>
  <c r="BS90" i="16" s="1"/>
  <c r="BS91" i="16" s="1"/>
  <c r="BS92" i="16" s="1"/>
  <c r="BS93" i="16" s="1"/>
  <c r="BS94" i="16"/>
  <c r="BS95" i="16" s="1"/>
  <c r="BS96" i="16" s="1"/>
  <c r="BS97" i="16" s="1"/>
  <c r="BS98" i="16" s="1"/>
  <c r="BS99" i="16"/>
  <c r="BS100" i="16" s="1"/>
  <c r="BS101" i="16" s="1"/>
  <c r="BS102" i="16" s="1"/>
  <c r="BS103" i="16" s="1"/>
  <c r="BS104" i="16"/>
  <c r="BS105" i="16"/>
  <c r="BS106" i="16" s="1"/>
  <c r="BS107" i="16" s="1"/>
  <c r="BS108" i="16" s="1"/>
  <c r="BS109" i="16"/>
  <c r="BS110" i="16" s="1"/>
  <c r="BS111" i="16" s="1"/>
  <c r="BS112" i="16" s="1"/>
  <c r="BS113" i="16" s="1"/>
  <c r="BS114" i="16"/>
  <c r="BS115" i="16" s="1"/>
  <c r="BS116" i="16" s="1"/>
  <c r="BS117" i="16" s="1"/>
  <c r="BS118" i="16" s="1"/>
  <c r="BS119" i="16"/>
  <c r="BS120" i="16" s="1"/>
  <c r="BS121" i="16" s="1"/>
  <c r="BS122" i="16" s="1"/>
  <c r="BS123" i="16" s="1"/>
  <c r="BS124" i="16"/>
  <c r="BS125" i="16" s="1"/>
  <c r="BS126" i="16" s="1"/>
  <c r="BS127" i="16" s="1"/>
  <c r="BS128" i="16" s="1"/>
  <c r="BS129" i="16"/>
  <c r="BS130" i="16" s="1"/>
  <c r="BS131" i="16" s="1"/>
  <c r="BS132" i="16" s="1"/>
  <c r="BS133" i="16" s="1"/>
  <c r="BS134" i="16"/>
  <c r="BS135" i="16" s="1"/>
  <c r="BS136" i="16" s="1"/>
  <c r="BS137" i="16" s="1"/>
  <c r="BS138" i="16" s="1"/>
  <c r="BS364" i="16"/>
  <c r="BS365" i="16" s="1"/>
  <c r="BS366" i="16" s="1"/>
  <c r="BS367" i="16" s="1"/>
  <c r="BS368" i="16" s="1"/>
  <c r="BS139" i="16"/>
  <c r="BS140" i="16" s="1"/>
  <c r="BS141" i="16" s="1"/>
  <c r="BS142" i="16" s="1"/>
  <c r="BS143" i="16" s="1"/>
  <c r="BS144" i="16"/>
  <c r="BS145" i="16" s="1"/>
  <c r="BS146" i="16" s="1"/>
  <c r="BS147" i="16" s="1"/>
  <c r="BS148" i="16" s="1"/>
  <c r="BS149" i="16"/>
  <c r="BS150" i="16" s="1"/>
  <c r="BS151" i="16" s="1"/>
  <c r="BS152" i="16" s="1"/>
  <c r="BS153" i="16" s="1"/>
  <c r="BS154" i="16"/>
  <c r="BS155" i="16" s="1"/>
  <c r="BS156" i="16" s="1"/>
  <c r="BS157" i="16" s="1"/>
  <c r="BS158" i="16" s="1"/>
  <c r="BS159" i="16"/>
  <c r="BS160" i="16" s="1"/>
  <c r="BS161" i="16" s="1"/>
  <c r="BS162" i="16" s="1"/>
  <c r="BS163" i="16" s="1"/>
  <c r="BS164" i="16"/>
  <c r="BS165" i="16" s="1"/>
  <c r="BS166" i="16" s="1"/>
  <c r="BS167" i="16" s="1"/>
  <c r="BS168" i="16" s="1"/>
  <c r="BS169" i="16"/>
  <c r="BS170" i="16" s="1"/>
  <c r="BS171" i="16" s="1"/>
  <c r="BS172" i="16" s="1"/>
  <c r="BS173" i="16" s="1"/>
  <c r="BS174" i="16"/>
  <c r="BS175" i="16" s="1"/>
  <c r="BS176" i="16" s="1"/>
  <c r="BS177" i="16" s="1"/>
  <c r="BS178" i="16" s="1"/>
  <c r="BS179" i="16"/>
  <c r="BS180" i="16" s="1"/>
  <c r="BS181" i="16" s="1"/>
  <c r="BS182" i="16" s="1"/>
  <c r="BS183" i="16" s="1"/>
  <c r="BS184" i="16"/>
  <c r="BS185" i="16" s="1"/>
  <c r="BS186" i="16" s="1"/>
  <c r="BS187" i="16" s="1"/>
  <c r="BS188" i="16" s="1"/>
  <c r="BS189" i="16"/>
  <c r="BS190" i="16" s="1"/>
  <c r="BS191" i="16" s="1"/>
  <c r="BS192" i="16" s="1"/>
  <c r="BS193" i="16" s="1"/>
  <c r="BS194" i="16"/>
  <c r="BS195" i="16" s="1"/>
  <c r="BS196" i="16" s="1"/>
  <c r="BS197" i="16" s="1"/>
  <c r="BS198" i="16" s="1"/>
  <c r="BS199" i="16"/>
  <c r="BS200" i="16" s="1"/>
  <c r="BS201" i="16" s="1"/>
  <c r="BS202" i="16" s="1"/>
  <c r="BS203" i="16" s="1"/>
  <c r="BS204" i="16"/>
  <c r="BS205" i="16" s="1"/>
  <c r="BS206" i="16" s="1"/>
  <c r="BS207" i="16" s="1"/>
  <c r="BS208" i="16" s="1"/>
  <c r="BS209" i="16"/>
  <c r="BS210" i="16" s="1"/>
  <c r="BS211" i="16" s="1"/>
  <c r="BS212" i="16" s="1"/>
  <c r="BS213" i="16" s="1"/>
  <c r="BS214" i="16"/>
  <c r="BS215" i="16" s="1"/>
  <c r="BS216" i="16" s="1"/>
  <c r="BS217" i="16" s="1"/>
  <c r="BS218" i="16" s="1"/>
  <c r="BS219" i="16"/>
  <c r="BS220" i="16"/>
  <c r="BS221" i="16" s="1"/>
  <c r="BS222" i="16" s="1"/>
  <c r="BS223" i="16" s="1"/>
  <c r="BS224" i="16"/>
  <c r="BS225" i="16"/>
  <c r="BS226" i="16" s="1"/>
  <c r="BS227" i="16" s="1"/>
  <c r="BS228" i="16" s="1"/>
  <c r="BS229" i="16"/>
  <c r="BS230" i="16" s="1"/>
  <c r="BS231" i="16" s="1"/>
  <c r="BS232" i="16" s="1"/>
  <c r="BS233" i="16" s="1"/>
  <c r="BS234" i="16"/>
  <c r="BS235" i="16" s="1"/>
  <c r="BS236" i="16" s="1"/>
  <c r="BS237" i="16" s="1"/>
  <c r="BS238" i="16" s="1"/>
  <c r="BS239" i="16"/>
  <c r="BS240" i="16" s="1"/>
  <c r="BS241" i="16" s="1"/>
  <c r="BS242" i="16" s="1"/>
  <c r="BS243" i="16" s="1"/>
  <c r="BS244" i="16"/>
  <c r="BS245" i="16" s="1"/>
  <c r="BS246" i="16" s="1"/>
  <c r="BS247" i="16" s="1"/>
  <c r="BS248" i="16" s="1"/>
  <c r="BS249" i="16"/>
  <c r="BS250" i="16" s="1"/>
  <c r="BS251" i="16" s="1"/>
  <c r="BS252" i="16" s="1"/>
  <c r="BS253" i="16" s="1"/>
  <c r="BS254" i="16"/>
  <c r="BS255" i="16" s="1"/>
  <c r="BS256" i="16" s="1"/>
  <c r="BS257" i="16" s="1"/>
  <c r="BS258" i="16" s="1"/>
  <c r="BS259" i="16"/>
  <c r="BS260" i="16" s="1"/>
  <c r="BS261" i="16" s="1"/>
  <c r="BS262" i="16" s="1"/>
  <c r="BS263" i="16" s="1"/>
  <c r="BS264" i="16"/>
  <c r="BS265" i="16" s="1"/>
  <c r="BS266" i="16" s="1"/>
  <c r="BS267" i="16" s="1"/>
  <c r="BS268" i="16" s="1"/>
  <c r="BS269" i="16"/>
  <c r="BS270" i="16" s="1"/>
  <c r="BS271" i="16" s="1"/>
  <c r="BS272" i="16" s="1"/>
  <c r="BS273" i="16" s="1"/>
  <c r="BS274" i="16"/>
  <c r="BS275" i="16" s="1"/>
  <c r="BS276" i="16" s="1"/>
  <c r="BS277" i="16" s="1"/>
  <c r="BS278" i="16" s="1"/>
  <c r="BS279" i="16"/>
  <c r="BS280" i="16" s="1"/>
  <c r="BS281" i="16" s="1"/>
  <c r="BS282" i="16" s="1"/>
  <c r="BS283" i="16" s="1"/>
  <c r="BS284" i="16"/>
  <c r="BS285" i="16" s="1"/>
  <c r="BS286" i="16" s="1"/>
  <c r="BS287" i="16" s="1"/>
  <c r="BS288" i="16" s="1"/>
  <c r="BS289" i="16"/>
  <c r="BS290" i="16" s="1"/>
  <c r="BS291" i="16" s="1"/>
  <c r="BS292" i="16" s="1"/>
  <c r="BS293" i="16" s="1"/>
  <c r="BS294" i="16"/>
  <c r="BS295" i="16" s="1"/>
  <c r="BS296" i="16" s="1"/>
  <c r="BS297" i="16" s="1"/>
  <c r="BS298" i="16" s="1"/>
  <c r="BS299" i="16"/>
  <c r="BS300" i="16" s="1"/>
  <c r="BS301" i="16" s="1"/>
  <c r="BS302" i="16" s="1"/>
  <c r="BS303" i="16" s="1"/>
  <c r="BS304" i="16"/>
  <c r="BS305" i="16" s="1"/>
  <c r="BS306" i="16" s="1"/>
  <c r="BS307" i="16" s="1"/>
  <c r="BS308" i="16" s="1"/>
  <c r="BS309" i="16"/>
  <c r="BS310" i="16" s="1"/>
  <c r="BS311" i="16" s="1"/>
  <c r="BS312" i="16" s="1"/>
  <c r="BS313" i="16" s="1"/>
  <c r="BS314" i="16"/>
  <c r="BS315" i="16" s="1"/>
  <c r="BS316" i="16" s="1"/>
  <c r="BS317" i="16" s="1"/>
  <c r="BS318" i="16" s="1"/>
  <c r="BS319" i="16"/>
  <c r="BS320" i="16" s="1"/>
  <c r="BS321" i="16" s="1"/>
  <c r="BS322" i="16" s="1"/>
  <c r="BS323" i="16" s="1"/>
  <c r="BS324" i="16"/>
  <c r="BS325" i="16"/>
  <c r="BS326" i="16" s="1"/>
  <c r="BS327" i="16" s="1"/>
  <c r="BS328" i="16" s="1"/>
  <c r="BS329" i="16"/>
  <c r="BS330" i="16" s="1"/>
  <c r="BS331" i="16" s="1"/>
  <c r="BS332" i="16" s="1"/>
  <c r="BS333" i="16" s="1"/>
  <c r="BS334" i="16"/>
  <c r="BS335" i="16" s="1"/>
  <c r="BS336" i="16" s="1"/>
  <c r="BS337" i="16" s="1"/>
  <c r="BS338" i="16" s="1"/>
  <c r="BS339" i="16"/>
  <c r="BS340" i="16" s="1"/>
  <c r="BS341" i="16" s="1"/>
  <c r="BS342" i="16" s="1"/>
  <c r="BS343" i="16" s="1"/>
  <c r="BS344" i="16"/>
  <c r="BS345" i="16" s="1"/>
  <c r="BS346" i="16" s="1"/>
  <c r="BS347" i="16" s="1"/>
  <c r="BS348" i="16" s="1"/>
  <c r="BS349" i="16"/>
  <c r="BS350" i="16"/>
  <c r="BS351" i="16" s="1"/>
  <c r="BS352" i="16" s="1"/>
  <c r="BS353" i="16" s="1"/>
  <c r="BS354" i="16"/>
  <c r="BS355" i="16" s="1"/>
  <c r="BS356" i="16" s="1"/>
  <c r="BS357" i="16" s="1"/>
  <c r="BS358" i="16" s="1"/>
  <c r="BS359" i="16"/>
  <c r="BS360" i="16" s="1"/>
  <c r="BS361" i="16" s="1"/>
  <c r="BS362" i="16" s="1"/>
  <c r="BS363" i="16" s="1"/>
  <c r="A4" i="19" l="1" a="1"/>
  <c r="A4" i="19" s="1"/>
  <c r="G4" i="19" a="1"/>
  <c r="G4" i="19" s="1"/>
  <c r="BS21" i="16"/>
  <c r="BS22" i="16" s="1"/>
  <c r="BS23" i="16" s="1"/>
  <c r="M4" i="19" a="1"/>
  <c r="BA1" i="16"/>
  <c r="M2" i="18"/>
  <c r="N2" i="18"/>
  <c r="O2" i="18"/>
  <c r="P2" i="18"/>
  <c r="Q2" i="18"/>
  <c r="G2" i="18"/>
  <c r="H2" i="18"/>
  <c r="I2" i="18"/>
  <c r="J2" i="18"/>
  <c r="K2" i="18"/>
  <c r="A2" i="18"/>
  <c r="B2" i="18"/>
  <c r="C2" i="18"/>
  <c r="D2" i="18"/>
  <c r="E2" i="18"/>
  <c r="CQ6" i="16"/>
  <c r="CQ7" i="16" s="1"/>
  <c r="CQ8" i="16" s="1"/>
  <c r="CQ9" i="16" s="1"/>
  <c r="CQ10" i="16" s="1"/>
  <c r="CC1" i="16"/>
  <c r="BY1" i="16"/>
  <c r="W6" i="16"/>
  <c r="AU5" i="16"/>
  <c r="AU6" i="16" s="1"/>
  <c r="AU7" i="16" s="1"/>
  <c r="AU8" i="16" s="1"/>
  <c r="J2" i="19" l="1"/>
  <c r="K2" i="19"/>
  <c r="A2" i="19"/>
  <c r="H2" i="19"/>
  <c r="G2" i="19"/>
  <c r="BD1" i="16"/>
  <c r="E2" i="19"/>
  <c r="BC1" i="16"/>
  <c r="C2" i="19"/>
  <c r="D2" i="19"/>
  <c r="BB1" i="16"/>
  <c r="B2" i="19"/>
  <c r="BZ1" i="16"/>
  <c r="I2" i="19"/>
  <c r="BE1" i="16"/>
  <c r="M4" i="19"/>
  <c r="P2" i="19"/>
  <c r="O2" i="19"/>
  <c r="N2" i="19"/>
  <c r="M2" i="19"/>
  <c r="Q2" i="19"/>
  <c r="AG1" i="16"/>
  <c r="W7" i="16"/>
  <c r="W8" i="16" s="1"/>
  <c r="H1" i="16"/>
  <c r="I1" i="16"/>
  <c r="AC1" i="16"/>
  <c r="E1" i="16"/>
  <c r="AD1" i="16"/>
  <c r="AE1" i="16"/>
  <c r="CB1" i="16"/>
  <c r="AF1" i="16"/>
  <c r="CA1" i="16"/>
  <c r="G1" i="16" l="1"/>
  <c r="F1" i="16"/>
  <c r="BI17" i="15" l="1"/>
  <c r="BI18" i="15" s="1"/>
  <c r="BI19" i="15" s="1"/>
  <c r="BI20" i="15" s="1"/>
  <c r="BI21" i="15" s="1"/>
  <c r="BI22" i="15" s="1"/>
  <c r="BI23" i="15"/>
  <c r="BI24" i="15" s="1"/>
  <c r="BI25" i="15" s="1"/>
  <c r="BI26" i="15" s="1"/>
  <c r="BI27" i="15" s="1"/>
  <c r="BI28" i="15" s="1"/>
  <c r="BI29" i="15"/>
  <c r="BI30" i="15" s="1"/>
  <c r="BI31" i="15" s="1"/>
  <c r="BI32" i="15" s="1"/>
  <c r="BI33" i="15" s="1"/>
  <c r="BI34" i="15" s="1"/>
  <c r="BI35" i="15"/>
  <c r="BI36" i="15" s="1"/>
  <c r="BI37" i="15" s="1"/>
  <c r="BI38" i="15" s="1"/>
  <c r="BI39" i="15" s="1"/>
  <c r="BI40" i="15" s="1"/>
  <c r="BI41" i="15"/>
  <c r="BI42" i="15" s="1"/>
  <c r="BI43" i="15" s="1"/>
  <c r="BI44" i="15" s="1"/>
  <c r="BI45" i="15" s="1"/>
  <c r="BI46" i="15" s="1"/>
  <c r="BI47" i="15"/>
  <c r="BI48" i="15" s="1"/>
  <c r="BI49" i="15" s="1"/>
  <c r="BI50" i="15" s="1"/>
  <c r="BI51" i="15" s="1"/>
  <c r="BI52" i="15" s="1"/>
  <c r="BI53" i="15"/>
  <c r="BI54" i="15" s="1"/>
  <c r="BI55" i="15" s="1"/>
  <c r="BI56" i="15" s="1"/>
  <c r="BI57" i="15" s="1"/>
  <c r="BI58" i="15" s="1"/>
  <c r="BI59" i="15"/>
  <c r="BI60" i="15" s="1"/>
  <c r="BI61" i="15" s="1"/>
  <c r="BI62" i="15" s="1"/>
  <c r="BI63" i="15" s="1"/>
  <c r="BI64" i="15" s="1"/>
  <c r="BI65" i="15"/>
  <c r="BI66" i="15" s="1"/>
  <c r="BI67" i="15" s="1"/>
  <c r="BI68" i="15" s="1"/>
  <c r="BI69" i="15" s="1"/>
  <c r="BI70" i="15" s="1"/>
  <c r="BI71" i="15"/>
  <c r="BI72" i="15" s="1"/>
  <c r="BI73" i="15" s="1"/>
  <c r="BI74" i="15" s="1"/>
  <c r="BI75" i="15" s="1"/>
  <c r="BI76" i="15" s="1"/>
  <c r="BI77" i="15"/>
  <c r="BI78" i="15" s="1"/>
  <c r="BI79" i="15" s="1"/>
  <c r="BI80" i="15" s="1"/>
  <c r="BI81" i="15" s="1"/>
  <c r="BI82" i="15" s="1"/>
  <c r="BI83" i="15"/>
  <c r="BI84" i="15" s="1"/>
  <c r="BI85" i="15" s="1"/>
  <c r="BI86" i="15" s="1"/>
  <c r="BI87" i="15" s="1"/>
  <c r="BI88" i="15" s="1"/>
  <c r="BI89" i="15"/>
  <c r="BI90" i="15" s="1"/>
  <c r="BI91" i="15" s="1"/>
  <c r="BI92" i="15" s="1"/>
  <c r="BI93" i="15" s="1"/>
  <c r="BI94" i="15" s="1"/>
  <c r="BI95" i="15"/>
  <c r="BI96" i="15" s="1"/>
  <c r="BI97" i="15" s="1"/>
  <c r="BI98" i="15" s="1"/>
  <c r="BI99" i="15" s="1"/>
  <c r="BI100" i="15" s="1"/>
  <c r="BI101" i="15"/>
  <c r="BI102" i="15" s="1"/>
  <c r="BI103" i="15" s="1"/>
  <c r="BI104" i="15" s="1"/>
  <c r="BI105" i="15" s="1"/>
  <c r="BI106" i="15" s="1"/>
  <c r="BI107" i="15"/>
  <c r="BI108" i="15" s="1"/>
  <c r="BI109" i="15" s="1"/>
  <c r="BI110" i="15" s="1"/>
  <c r="BI111" i="15" s="1"/>
  <c r="BI112" i="15" s="1"/>
  <c r="BI113" i="15"/>
  <c r="BI114" i="15" s="1"/>
  <c r="BI115" i="15" s="1"/>
  <c r="BI116" i="15" s="1"/>
  <c r="BI117" i="15" s="1"/>
  <c r="BI118" i="15" s="1"/>
  <c r="BI119" i="15"/>
  <c r="BI120" i="15" s="1"/>
  <c r="BI121" i="15" s="1"/>
  <c r="BI122" i="15" s="1"/>
  <c r="BI123" i="15" s="1"/>
  <c r="BI124" i="15" s="1"/>
  <c r="BI125" i="15"/>
  <c r="BI126" i="15" s="1"/>
  <c r="BI127" i="15" s="1"/>
  <c r="BI128" i="15" s="1"/>
  <c r="BI129" i="15" s="1"/>
  <c r="BI130" i="15" s="1"/>
  <c r="BI131" i="15"/>
  <c r="BI132" i="15" s="1"/>
  <c r="BI133" i="15" s="1"/>
  <c r="BI134" i="15" s="1"/>
  <c r="BI135" i="15" s="1"/>
  <c r="BI136" i="15" s="1"/>
  <c r="BI137" i="15"/>
  <c r="BI138" i="15" s="1"/>
  <c r="BI139" i="15" s="1"/>
  <c r="BI140" i="15" s="1"/>
  <c r="BI141" i="15" s="1"/>
  <c r="BI142" i="15" s="1"/>
  <c r="BI143" i="15"/>
  <c r="BI144" i="15" s="1"/>
  <c r="BI145" i="15" s="1"/>
  <c r="BI146" i="15" s="1"/>
  <c r="BI147" i="15" s="1"/>
  <c r="BI148" i="15" s="1"/>
  <c r="BI149" i="15"/>
  <c r="BI150" i="15" s="1"/>
  <c r="BI151" i="15" s="1"/>
  <c r="BI152" i="15" s="1"/>
  <c r="BI153" i="15" s="1"/>
  <c r="BI154" i="15" s="1"/>
  <c r="BI155" i="15"/>
  <c r="BI156" i="15" s="1"/>
  <c r="BI157" i="15" s="1"/>
  <c r="BI158" i="15" s="1"/>
  <c r="BI159" i="15" s="1"/>
  <c r="BI160" i="15" s="1"/>
  <c r="BI161" i="15"/>
  <c r="BI162" i="15" s="1"/>
  <c r="BI163" i="15" s="1"/>
  <c r="BI164" i="15" s="1"/>
  <c r="BI165" i="15" s="1"/>
  <c r="BI166" i="15" s="1"/>
  <c r="BI167" i="15"/>
  <c r="BI168" i="15" s="1"/>
  <c r="BI169" i="15" s="1"/>
  <c r="BI170" i="15" s="1"/>
  <c r="BI171" i="15" s="1"/>
  <c r="BI172" i="15" s="1"/>
  <c r="BI173" i="15"/>
  <c r="BI174" i="15" s="1"/>
  <c r="BI175" i="15" s="1"/>
  <c r="BI176" i="15" s="1"/>
  <c r="BI177" i="15" s="1"/>
  <c r="BI178" i="15" s="1"/>
  <c r="BI179" i="15"/>
  <c r="BI180" i="15" s="1"/>
  <c r="BI181" i="15" s="1"/>
  <c r="BI182" i="15" s="1"/>
  <c r="BI183" i="15" s="1"/>
  <c r="BI184" i="15" s="1"/>
  <c r="BI185" i="15"/>
  <c r="BI186" i="15" s="1"/>
  <c r="BI187" i="15" s="1"/>
  <c r="BI188" i="15" s="1"/>
  <c r="BI189" i="15" s="1"/>
  <c r="BI190" i="15" s="1"/>
  <c r="BI191" i="15"/>
  <c r="BI192" i="15" s="1"/>
  <c r="BI193" i="15" s="1"/>
  <c r="BI194" i="15" s="1"/>
  <c r="BI195" i="15" s="1"/>
  <c r="BI196" i="15" s="1"/>
  <c r="BI197" i="15"/>
  <c r="BI198" i="15" s="1"/>
  <c r="BI199" i="15" s="1"/>
  <c r="BI200" i="15" s="1"/>
  <c r="BI201" i="15" s="1"/>
  <c r="BI202" i="15" s="1"/>
  <c r="BI203" i="15"/>
  <c r="BI204" i="15" s="1"/>
  <c r="BI205" i="15" s="1"/>
  <c r="BI206" i="15" s="1"/>
  <c r="BI207" i="15" s="1"/>
  <c r="BI208" i="15" s="1"/>
  <c r="BI209" i="15"/>
  <c r="BI210" i="15" s="1"/>
  <c r="BI211" i="15" s="1"/>
  <c r="BI212" i="15" s="1"/>
  <c r="BI213" i="15" s="1"/>
  <c r="BI214" i="15" s="1"/>
  <c r="BI215" i="15"/>
  <c r="BI216" i="15" s="1"/>
  <c r="BI217" i="15" s="1"/>
  <c r="BI218" i="15" s="1"/>
  <c r="BI219" i="15" s="1"/>
  <c r="BI220" i="15" s="1"/>
  <c r="BI221" i="15"/>
  <c r="BI222" i="15" s="1"/>
  <c r="BI223" i="15" s="1"/>
  <c r="BI224" i="15" s="1"/>
  <c r="BI225" i="15" s="1"/>
  <c r="BI226" i="15" s="1"/>
  <c r="BI227" i="15"/>
  <c r="BI228" i="15" s="1"/>
  <c r="BI229" i="15" s="1"/>
  <c r="BI230" i="15" s="1"/>
  <c r="BI231" i="15" s="1"/>
  <c r="BI232" i="15" s="1"/>
  <c r="BI233" i="15"/>
  <c r="BI234" i="15" s="1"/>
  <c r="BI235" i="15" s="1"/>
  <c r="BI236" i="15" s="1"/>
  <c r="BI237" i="15" s="1"/>
  <c r="BI238" i="15" s="1"/>
  <c r="BI239" i="15"/>
  <c r="BI240" i="15" s="1"/>
  <c r="BI241" i="15" s="1"/>
  <c r="BI242" i="15" s="1"/>
  <c r="BI243" i="15" s="1"/>
  <c r="BI244" i="15" s="1"/>
  <c r="BI245" i="15"/>
  <c r="BI246" i="15" s="1"/>
  <c r="BI247" i="15" s="1"/>
  <c r="BI248" i="15" s="1"/>
  <c r="BI249" i="15" s="1"/>
  <c r="BI250" i="15" s="1"/>
  <c r="BI251" i="15"/>
  <c r="BI252" i="15" s="1"/>
  <c r="BI253" i="15" s="1"/>
  <c r="BI254" i="15" s="1"/>
  <c r="BI255" i="15" s="1"/>
  <c r="BI256" i="15" s="1"/>
  <c r="BI257" i="15"/>
  <c r="BI258" i="15" s="1"/>
  <c r="BI259" i="15" s="1"/>
  <c r="BI260" i="15" s="1"/>
  <c r="BI261" i="15" s="1"/>
  <c r="BI262" i="15" s="1"/>
  <c r="BI263" i="15"/>
  <c r="BI264" i="15" s="1"/>
  <c r="BI265" i="15" s="1"/>
  <c r="BI266" i="15" s="1"/>
  <c r="BI267" i="15" s="1"/>
  <c r="BI268" i="15" s="1"/>
  <c r="BI269" i="15"/>
  <c r="BI270" i="15" s="1"/>
  <c r="BI271" i="15" s="1"/>
  <c r="BI272" i="15" s="1"/>
  <c r="BI273" i="15" s="1"/>
  <c r="BI274" i="15" s="1"/>
  <c r="BI275" i="15"/>
  <c r="BI276" i="15" s="1"/>
  <c r="BI277" i="15" s="1"/>
  <c r="BI278" i="15" s="1"/>
  <c r="BI279" i="15" s="1"/>
  <c r="BI280" i="15" s="1"/>
  <c r="BI281" i="15"/>
  <c r="BI282" i="15" s="1"/>
  <c r="BI283" i="15" s="1"/>
  <c r="BI284" i="15" s="1"/>
  <c r="BI285" i="15" s="1"/>
  <c r="BI286" i="15" s="1"/>
  <c r="BI287" i="15"/>
  <c r="BI288" i="15" s="1"/>
  <c r="BI289" i="15" s="1"/>
  <c r="BI290" i="15" s="1"/>
  <c r="BI291" i="15" s="1"/>
  <c r="BI292" i="15" s="1"/>
  <c r="BI11" i="15"/>
  <c r="BI12" i="15" s="1"/>
  <c r="BI13" i="15" s="1"/>
  <c r="BI14" i="15" s="1"/>
  <c r="BI15" i="15" s="1"/>
  <c r="BI16" i="15" s="1"/>
  <c r="BI7" i="15"/>
  <c r="BI8" i="15" s="1"/>
  <c r="BI9" i="15" s="1"/>
  <c r="BI10" i="15" s="1"/>
  <c r="BI6" i="15"/>
  <c r="BI5" i="15"/>
  <c r="AS239" i="15"/>
  <c r="AS240" i="15" s="1"/>
  <c r="AS241" i="15" s="1"/>
  <c r="AS242" i="15" s="1"/>
  <c r="AS243" i="15" s="1"/>
  <c r="AS234" i="15"/>
  <c r="AS235" i="15" s="1"/>
  <c r="AS236" i="15" s="1"/>
  <c r="AS237" i="15" s="1"/>
  <c r="AS238" i="15" s="1"/>
  <c r="AS229" i="15"/>
  <c r="AS230" i="15" s="1"/>
  <c r="AS231" i="15" s="1"/>
  <c r="AS232" i="15" s="1"/>
  <c r="AS233" i="15" s="1"/>
  <c r="AS224" i="15"/>
  <c r="AS225" i="15" s="1"/>
  <c r="AS226" i="15" s="1"/>
  <c r="AS227" i="15" s="1"/>
  <c r="AS228" i="15" s="1"/>
  <c r="AS221" i="15"/>
  <c r="AS222" i="15" s="1"/>
  <c r="AS223" i="15" s="1"/>
  <c r="AS220" i="15"/>
  <c r="AS219" i="15"/>
  <c r="AS215" i="15"/>
  <c r="AS216" i="15" s="1"/>
  <c r="AS217" i="15" s="1"/>
  <c r="AS218" i="15" s="1"/>
  <c r="AS214" i="15"/>
  <c r="AS209" i="15"/>
  <c r="AS210" i="15" s="1"/>
  <c r="AS211" i="15" s="1"/>
  <c r="AS212" i="15" s="1"/>
  <c r="AS213" i="15" s="1"/>
  <c r="AS205" i="15"/>
  <c r="AS206" i="15" s="1"/>
  <c r="AS207" i="15" s="1"/>
  <c r="AS208" i="15" s="1"/>
  <c r="AS204" i="15"/>
  <c r="AS200" i="15"/>
  <c r="AS201" i="15" s="1"/>
  <c r="AS202" i="15" s="1"/>
  <c r="AS203" i="15" s="1"/>
  <c r="AS199" i="15"/>
  <c r="AS194" i="15"/>
  <c r="AS195" i="15" s="1"/>
  <c r="AS196" i="15" s="1"/>
  <c r="AS197" i="15" s="1"/>
  <c r="AS198" i="15" s="1"/>
  <c r="AS189" i="15"/>
  <c r="AS190" i="15" s="1"/>
  <c r="AS191" i="15" s="1"/>
  <c r="AS192" i="15" s="1"/>
  <c r="AS193" i="15" s="1"/>
  <c r="AS185" i="15"/>
  <c r="AS186" i="15" s="1"/>
  <c r="AS187" i="15" s="1"/>
  <c r="AS188" i="15" s="1"/>
  <c r="AS184" i="15"/>
  <c r="AS181" i="15"/>
  <c r="AS182" i="15" s="1"/>
  <c r="AS183" i="15" s="1"/>
  <c r="AS180" i="15"/>
  <c r="AS179" i="15"/>
  <c r="AS174" i="15"/>
  <c r="AS175" i="15" s="1"/>
  <c r="AS176" i="15" s="1"/>
  <c r="AS177" i="15" s="1"/>
  <c r="AS178" i="15" s="1"/>
  <c r="AS169" i="15"/>
  <c r="AS170" i="15" s="1"/>
  <c r="AS171" i="15" s="1"/>
  <c r="AS172" i="15" s="1"/>
  <c r="AS173" i="15" s="1"/>
  <c r="AS164" i="15"/>
  <c r="AS165" i="15" s="1"/>
  <c r="AS166" i="15" s="1"/>
  <c r="AS167" i="15" s="1"/>
  <c r="AS168" i="15" s="1"/>
  <c r="AS161" i="15"/>
  <c r="AS162" i="15" s="1"/>
  <c r="AS163" i="15" s="1"/>
  <c r="AS160" i="15"/>
  <c r="AS159" i="15"/>
  <c r="AS157" i="15"/>
  <c r="AS158" i="15" s="1"/>
  <c r="AS156" i="15"/>
  <c r="AS155" i="15"/>
  <c r="AS154" i="15"/>
  <c r="AS149" i="15"/>
  <c r="AS150" i="15" s="1"/>
  <c r="AS151" i="15" s="1"/>
  <c r="AS152" i="15" s="1"/>
  <c r="AS153" i="15" s="1"/>
  <c r="AS145" i="15"/>
  <c r="AS146" i="15" s="1"/>
  <c r="AS147" i="15" s="1"/>
  <c r="AS148" i="15" s="1"/>
  <c r="AS144" i="15"/>
  <c r="AS140" i="15"/>
  <c r="AS141" i="15" s="1"/>
  <c r="AS142" i="15" s="1"/>
  <c r="AS143" i="15" s="1"/>
  <c r="AS139" i="15"/>
  <c r="AS134" i="15"/>
  <c r="AS135" i="15" s="1"/>
  <c r="AS136" i="15" s="1"/>
  <c r="AS137" i="15" s="1"/>
  <c r="AS138" i="15" s="1"/>
  <c r="AS129" i="15"/>
  <c r="AS130" i="15" s="1"/>
  <c r="AS131" i="15" s="1"/>
  <c r="AS132" i="15" s="1"/>
  <c r="AS133" i="15" s="1"/>
  <c r="AS125" i="15"/>
  <c r="AS126" i="15" s="1"/>
  <c r="AS127" i="15" s="1"/>
  <c r="AS128" i="15" s="1"/>
  <c r="AS124" i="15"/>
  <c r="AS121" i="15"/>
  <c r="AS122" i="15" s="1"/>
  <c r="AS123" i="15" s="1"/>
  <c r="AS120" i="15"/>
  <c r="AS119" i="15"/>
  <c r="AS114" i="15"/>
  <c r="AS115" i="15" s="1"/>
  <c r="AS116" i="15" s="1"/>
  <c r="AS117" i="15" s="1"/>
  <c r="AS118" i="15" s="1"/>
  <c r="AS109" i="15"/>
  <c r="AS110" i="15" s="1"/>
  <c r="AS111" i="15" s="1"/>
  <c r="AS112" i="15" s="1"/>
  <c r="AS113" i="15" s="1"/>
  <c r="AS104" i="15"/>
  <c r="AS105" i="15" s="1"/>
  <c r="AS106" i="15" s="1"/>
  <c r="AS107" i="15" s="1"/>
  <c r="AS108" i="15" s="1"/>
  <c r="AS101" i="15"/>
  <c r="AS102" i="15" s="1"/>
  <c r="AS103" i="15" s="1"/>
  <c r="AS100" i="15"/>
  <c r="AS99" i="15"/>
  <c r="AS97" i="15"/>
  <c r="AS98" i="15" s="1"/>
  <c r="AS96" i="15"/>
  <c r="AS95" i="15"/>
  <c r="AS94" i="15"/>
  <c r="AS89" i="15"/>
  <c r="AS90" i="15" s="1"/>
  <c r="AS91" i="15" s="1"/>
  <c r="AS92" i="15" s="1"/>
  <c r="AS93" i="15" s="1"/>
  <c r="AS85" i="15"/>
  <c r="AS86" i="15" s="1"/>
  <c r="AS87" i="15" s="1"/>
  <c r="AS88" i="15" s="1"/>
  <c r="AS84" i="15"/>
  <c r="AS80" i="15"/>
  <c r="AS81" i="15" s="1"/>
  <c r="AS82" i="15" s="1"/>
  <c r="AS83" i="15" s="1"/>
  <c r="AS79" i="15"/>
  <c r="AS74" i="15"/>
  <c r="AS75" i="15" s="1"/>
  <c r="AS76" i="15" s="1"/>
  <c r="AS77" i="15" s="1"/>
  <c r="AS78" i="15" s="1"/>
  <c r="AS69" i="15"/>
  <c r="AS70" i="15" s="1"/>
  <c r="AS71" i="15" s="1"/>
  <c r="AS72" i="15" s="1"/>
  <c r="AS73" i="15" s="1"/>
  <c r="AS65" i="15"/>
  <c r="AS66" i="15" s="1"/>
  <c r="AS67" i="15" s="1"/>
  <c r="AS68" i="15" s="1"/>
  <c r="AS64" i="15"/>
  <c r="AS61" i="15"/>
  <c r="AS62" i="15" s="1"/>
  <c r="AS63" i="15" s="1"/>
  <c r="AS60" i="15"/>
  <c r="AS59" i="15"/>
  <c r="AS54" i="15"/>
  <c r="AS55" i="15" s="1"/>
  <c r="AS56" i="15" s="1"/>
  <c r="AS57" i="15" s="1"/>
  <c r="AS58" i="15" s="1"/>
  <c r="AS49" i="15"/>
  <c r="AS50" i="15" s="1"/>
  <c r="AS51" i="15" s="1"/>
  <c r="AS52" i="15" s="1"/>
  <c r="AS53" i="15" s="1"/>
  <c r="AS44" i="15"/>
  <c r="AS45" i="15" s="1"/>
  <c r="AS46" i="15" s="1"/>
  <c r="AS47" i="15" s="1"/>
  <c r="AS48" i="15" s="1"/>
  <c r="AS41" i="15"/>
  <c r="AS42" i="15" s="1"/>
  <c r="AS43" i="15" s="1"/>
  <c r="AS40" i="15"/>
  <c r="AS39" i="15"/>
  <c r="AS37" i="15"/>
  <c r="AS38" i="15" s="1"/>
  <c r="AS36" i="15"/>
  <c r="AS35" i="15"/>
  <c r="AS34" i="15"/>
  <c r="AS29" i="15"/>
  <c r="AS30" i="15" s="1"/>
  <c r="AS31" i="15" s="1"/>
  <c r="AS32" i="15" s="1"/>
  <c r="AS33" i="15" s="1"/>
  <c r="AS25" i="15"/>
  <c r="AS26" i="15" s="1"/>
  <c r="AS27" i="15" s="1"/>
  <c r="AS28" i="15" s="1"/>
  <c r="AS24" i="15"/>
  <c r="AS19" i="15"/>
  <c r="AS20" i="15" s="1"/>
  <c r="AS21" i="15" s="1"/>
  <c r="AS22" i="15" s="1"/>
  <c r="AS23" i="15" s="1"/>
  <c r="AS14" i="15"/>
  <c r="AS15" i="15" s="1"/>
  <c r="AS16" i="15" s="1"/>
  <c r="AS17" i="15" s="1"/>
  <c r="AS18" i="15" s="1"/>
  <c r="AS9" i="15"/>
  <c r="AS10" i="15" s="1"/>
  <c r="AS11" i="15" s="1"/>
  <c r="AS12" i="15" s="1"/>
  <c r="AS13" i="15" s="1"/>
  <c r="AS5" i="15"/>
  <c r="AS6" i="15" s="1"/>
  <c r="AS7" i="15" s="1"/>
  <c r="AS8" i="15" s="1"/>
  <c r="AS4" i="15"/>
  <c r="AD239" i="15"/>
  <c r="AD240" i="15" s="1"/>
  <c r="AD241" i="15" s="1"/>
  <c r="AD242" i="15" s="1"/>
  <c r="AD243" i="15" s="1"/>
  <c r="AD234" i="15"/>
  <c r="AD235" i="15" s="1"/>
  <c r="AD236" i="15" s="1"/>
  <c r="AD237" i="15" s="1"/>
  <c r="AD238" i="15" s="1"/>
  <c r="AD229" i="15"/>
  <c r="AD230" i="15" s="1"/>
  <c r="AD231" i="15" s="1"/>
  <c r="AD232" i="15" s="1"/>
  <c r="AD233" i="15" s="1"/>
  <c r="AD225" i="15"/>
  <c r="AD226" i="15" s="1"/>
  <c r="AD227" i="15" s="1"/>
  <c r="AD228" i="15" s="1"/>
  <c r="AD224" i="15"/>
  <c r="AD221" i="15"/>
  <c r="AD222" i="15" s="1"/>
  <c r="AD223" i="15" s="1"/>
  <c r="AD220" i="15"/>
  <c r="AD219" i="15"/>
  <c r="AD215" i="15"/>
  <c r="AD216" i="15" s="1"/>
  <c r="AD217" i="15" s="1"/>
  <c r="AD218" i="15" s="1"/>
  <c r="AD214" i="15"/>
  <c r="AD209" i="15"/>
  <c r="AD210" i="15" s="1"/>
  <c r="AD211" i="15" s="1"/>
  <c r="AD212" i="15" s="1"/>
  <c r="AD213" i="15" s="1"/>
  <c r="AD205" i="15"/>
  <c r="AD206" i="15" s="1"/>
  <c r="AD207" i="15" s="1"/>
  <c r="AD208" i="15" s="1"/>
  <c r="AD204" i="15"/>
  <c r="AD199" i="15"/>
  <c r="AD200" i="15" s="1"/>
  <c r="AD201" i="15" s="1"/>
  <c r="AD202" i="15" s="1"/>
  <c r="AD203" i="15" s="1"/>
  <c r="AD194" i="15"/>
  <c r="AD195" i="15" s="1"/>
  <c r="AD196" i="15" s="1"/>
  <c r="AD197" i="15" s="1"/>
  <c r="AD198" i="15" s="1"/>
  <c r="AD189" i="15"/>
  <c r="AD190" i="15" s="1"/>
  <c r="AD191" i="15" s="1"/>
  <c r="AD192" i="15" s="1"/>
  <c r="AD193" i="15" s="1"/>
  <c r="AD185" i="15"/>
  <c r="AD186" i="15" s="1"/>
  <c r="AD187" i="15" s="1"/>
  <c r="AD188" i="15" s="1"/>
  <c r="AD184" i="15"/>
  <c r="AD181" i="15"/>
  <c r="AD182" i="15" s="1"/>
  <c r="AD183" i="15" s="1"/>
  <c r="AD180" i="15"/>
  <c r="AD179" i="15"/>
  <c r="AD174" i="15"/>
  <c r="AD175" i="15" s="1"/>
  <c r="AD176" i="15" s="1"/>
  <c r="AD177" i="15" s="1"/>
  <c r="AD178" i="15" s="1"/>
  <c r="AD169" i="15"/>
  <c r="AD170" i="15" s="1"/>
  <c r="AD171" i="15" s="1"/>
  <c r="AD172" i="15" s="1"/>
  <c r="AD173" i="15" s="1"/>
  <c r="AD165" i="15"/>
  <c r="AD166" i="15" s="1"/>
  <c r="AD167" i="15" s="1"/>
  <c r="AD168" i="15" s="1"/>
  <c r="AD164" i="15"/>
  <c r="AD161" i="15"/>
  <c r="AD162" i="15" s="1"/>
  <c r="AD163" i="15" s="1"/>
  <c r="AD160" i="15"/>
  <c r="AD159" i="15"/>
  <c r="AD157" i="15"/>
  <c r="AD158" i="15" s="1"/>
  <c r="AD156" i="15"/>
  <c r="AD155" i="15"/>
  <c r="AD154" i="15"/>
  <c r="AD149" i="15"/>
  <c r="AD150" i="15" s="1"/>
  <c r="AD151" i="15" s="1"/>
  <c r="AD152" i="15" s="1"/>
  <c r="AD153" i="15" s="1"/>
  <c r="AD145" i="15"/>
  <c r="AD146" i="15" s="1"/>
  <c r="AD147" i="15" s="1"/>
  <c r="AD148" i="15" s="1"/>
  <c r="AD144" i="15"/>
  <c r="AD139" i="15"/>
  <c r="AD140" i="15" s="1"/>
  <c r="AD141" i="15" s="1"/>
  <c r="AD142" i="15" s="1"/>
  <c r="AD143" i="15" s="1"/>
  <c r="AD134" i="15"/>
  <c r="AD135" i="15" s="1"/>
  <c r="AD136" i="15" s="1"/>
  <c r="AD137" i="15" s="1"/>
  <c r="AD138" i="15" s="1"/>
  <c r="AD129" i="15"/>
  <c r="AD130" i="15" s="1"/>
  <c r="AD131" i="15" s="1"/>
  <c r="AD132" i="15" s="1"/>
  <c r="AD133" i="15" s="1"/>
  <c r="AD125" i="15"/>
  <c r="AD126" i="15" s="1"/>
  <c r="AD127" i="15" s="1"/>
  <c r="AD128" i="15" s="1"/>
  <c r="AD124" i="15"/>
  <c r="AD121" i="15"/>
  <c r="AD122" i="15" s="1"/>
  <c r="AD123" i="15" s="1"/>
  <c r="AD120" i="15"/>
  <c r="AD119" i="15"/>
  <c r="AD114" i="15"/>
  <c r="AD115" i="15" s="1"/>
  <c r="AD116" i="15" s="1"/>
  <c r="AD117" i="15" s="1"/>
  <c r="AD118" i="15" s="1"/>
  <c r="AD109" i="15"/>
  <c r="AD110" i="15" s="1"/>
  <c r="AD111" i="15" s="1"/>
  <c r="AD112" i="15" s="1"/>
  <c r="AD113" i="15" s="1"/>
  <c r="AD105" i="15"/>
  <c r="AD106" i="15" s="1"/>
  <c r="AD107" i="15" s="1"/>
  <c r="AD108" i="15" s="1"/>
  <c r="AD104" i="15"/>
  <c r="AD101" i="15"/>
  <c r="AD102" i="15" s="1"/>
  <c r="AD103" i="15" s="1"/>
  <c r="AD100" i="15"/>
  <c r="AD99" i="15"/>
  <c r="AD95" i="15"/>
  <c r="AD96" i="15" s="1"/>
  <c r="AD97" i="15" s="1"/>
  <c r="AD98" i="15" s="1"/>
  <c r="AD94" i="15"/>
  <c r="AD89" i="15"/>
  <c r="AD90" i="15" s="1"/>
  <c r="AD91" i="15" s="1"/>
  <c r="AD92" i="15" s="1"/>
  <c r="AD93" i="15" s="1"/>
  <c r="AD85" i="15"/>
  <c r="AD86" i="15" s="1"/>
  <c r="AD87" i="15" s="1"/>
  <c r="AD88" i="15" s="1"/>
  <c r="AD84" i="15"/>
  <c r="AD79" i="15"/>
  <c r="AD80" i="15" s="1"/>
  <c r="AD81" i="15" s="1"/>
  <c r="AD82" i="15" s="1"/>
  <c r="AD83" i="15" s="1"/>
  <c r="AD74" i="15"/>
  <c r="AD75" i="15" s="1"/>
  <c r="AD76" i="15" s="1"/>
  <c r="AD77" i="15" s="1"/>
  <c r="AD78" i="15" s="1"/>
  <c r="AD69" i="15"/>
  <c r="AD70" i="15" s="1"/>
  <c r="AD71" i="15" s="1"/>
  <c r="AD72" i="15" s="1"/>
  <c r="AD73" i="15" s="1"/>
  <c r="AD65" i="15"/>
  <c r="AD66" i="15" s="1"/>
  <c r="AD67" i="15" s="1"/>
  <c r="AD68" i="15" s="1"/>
  <c r="AD64" i="15"/>
  <c r="AD59" i="15"/>
  <c r="AD60" i="15" s="1"/>
  <c r="AD61" i="15" s="1"/>
  <c r="AD62" i="15" s="1"/>
  <c r="AD63" i="15" s="1"/>
  <c r="AD54" i="15"/>
  <c r="AD55" i="15" s="1"/>
  <c r="AD56" i="15" s="1"/>
  <c r="AD57" i="15" s="1"/>
  <c r="AD58" i="15" s="1"/>
  <c r="AD49" i="15"/>
  <c r="AD50" i="15" s="1"/>
  <c r="AD51" i="15" s="1"/>
  <c r="AD52" i="15" s="1"/>
  <c r="AD53" i="15" s="1"/>
  <c r="AD45" i="15"/>
  <c r="AD46" i="15" s="1"/>
  <c r="AD47" i="15" s="1"/>
  <c r="AD48" i="15" s="1"/>
  <c r="AD44" i="15"/>
  <c r="AD41" i="15"/>
  <c r="AD42" i="15" s="1"/>
  <c r="AD43" i="15" s="1"/>
  <c r="AD40" i="15"/>
  <c r="AD39" i="15"/>
  <c r="AD35" i="15"/>
  <c r="AD36" i="15" s="1"/>
  <c r="AD37" i="15" s="1"/>
  <c r="AD38" i="15" s="1"/>
  <c r="AD34" i="15"/>
  <c r="AD29" i="15"/>
  <c r="AD30" i="15" s="1"/>
  <c r="AD31" i="15" s="1"/>
  <c r="AD32" i="15" s="1"/>
  <c r="AD33" i="15" s="1"/>
  <c r="AD24" i="15"/>
  <c r="AD25" i="15" s="1"/>
  <c r="AD26" i="15" s="1"/>
  <c r="AD27" i="15" s="1"/>
  <c r="AD28" i="15" s="1"/>
  <c r="AD19" i="15"/>
  <c r="AD20" i="15" s="1"/>
  <c r="AD21" i="15" s="1"/>
  <c r="AD22" i="15" s="1"/>
  <c r="AD23" i="15" s="1"/>
  <c r="AD14" i="15"/>
  <c r="AD15" i="15" s="1"/>
  <c r="AD16" i="15" s="1"/>
  <c r="AD17" i="15" s="1"/>
  <c r="AD18" i="15" s="1"/>
  <c r="AD9" i="15"/>
  <c r="AD10" i="15" s="1"/>
  <c r="AD11" i="15" s="1"/>
  <c r="AD12" i="15" s="1"/>
  <c r="AD13" i="15" s="1"/>
  <c r="AD5" i="15"/>
  <c r="AD6" i="15" s="1"/>
  <c r="AD7" i="15" s="1"/>
  <c r="AD8" i="15" s="1"/>
  <c r="AD4" i="15"/>
  <c r="N14" i="15"/>
  <c r="N15" i="15"/>
  <c r="N16" i="15" s="1"/>
  <c r="N17" i="15" s="1"/>
  <c r="N18" i="15" s="1"/>
  <c r="N19" i="15"/>
  <c r="N20" i="15" s="1"/>
  <c r="N21" i="15" s="1"/>
  <c r="N22" i="15" s="1"/>
  <c r="N23" i="15" s="1"/>
  <c r="N24" i="15"/>
  <c r="N25" i="15" s="1"/>
  <c r="N26" i="15" s="1"/>
  <c r="N27" i="15" s="1"/>
  <c r="N28" i="15" s="1"/>
  <c r="N29" i="15"/>
  <c r="N30" i="15" s="1"/>
  <c r="N31" i="15" s="1"/>
  <c r="N32" i="15" s="1"/>
  <c r="N33" i="15" s="1"/>
  <c r="N34" i="15"/>
  <c r="N35" i="15" s="1"/>
  <c r="N36" i="15" s="1"/>
  <c r="N37" i="15" s="1"/>
  <c r="N38" i="15" s="1"/>
  <c r="N39" i="15"/>
  <c r="N40" i="15"/>
  <c r="N41" i="15"/>
  <c r="N42" i="15" s="1"/>
  <c r="N43" i="15" s="1"/>
  <c r="N44" i="15"/>
  <c r="N45" i="15"/>
  <c r="N46" i="15"/>
  <c r="N47" i="15" s="1"/>
  <c r="N48" i="15" s="1"/>
  <c r="N49" i="15"/>
  <c r="N50" i="15" s="1"/>
  <c r="N51" i="15" s="1"/>
  <c r="N52" i="15" s="1"/>
  <c r="N53" i="15" s="1"/>
  <c r="N54" i="15"/>
  <c r="N55" i="15" s="1"/>
  <c r="N56" i="15" s="1"/>
  <c r="N57" i="15" s="1"/>
  <c r="N58" i="15" s="1"/>
  <c r="N59" i="15"/>
  <c r="N60" i="15"/>
  <c r="N61" i="15" s="1"/>
  <c r="N62" i="15" s="1"/>
  <c r="N63" i="15" s="1"/>
  <c r="N64" i="15"/>
  <c r="N65" i="15"/>
  <c r="N66" i="15" s="1"/>
  <c r="N67" i="15" s="1"/>
  <c r="N68" i="15" s="1"/>
  <c r="N69" i="15"/>
  <c r="N70" i="15"/>
  <c r="N71" i="15"/>
  <c r="N72" i="15"/>
  <c r="N73" i="15" s="1"/>
  <c r="N74" i="15"/>
  <c r="N75" i="15"/>
  <c r="N76" i="15"/>
  <c r="N77" i="15"/>
  <c r="N78" i="15" s="1"/>
  <c r="N79" i="15"/>
  <c r="N80" i="15"/>
  <c r="N81" i="15"/>
  <c r="N82" i="15"/>
  <c r="N83" i="15"/>
  <c r="N84" i="15"/>
  <c r="N85" i="15" s="1"/>
  <c r="N86" i="15" s="1"/>
  <c r="N87" i="15" s="1"/>
  <c r="N88" i="15" s="1"/>
  <c r="N89" i="15"/>
  <c r="N90" i="15" s="1"/>
  <c r="N91" i="15" s="1"/>
  <c r="N92" i="15" s="1"/>
  <c r="N93" i="15" s="1"/>
  <c r="N94" i="15"/>
  <c r="N95" i="15"/>
  <c r="N96" i="15"/>
  <c r="N97" i="15" s="1"/>
  <c r="N98" i="15" s="1"/>
  <c r="N99" i="15"/>
  <c r="N100" i="15"/>
  <c r="N101" i="15"/>
  <c r="N102" i="15" s="1"/>
  <c r="N103" i="15" s="1"/>
  <c r="N104" i="15"/>
  <c r="N105" i="15"/>
  <c r="N106" i="15"/>
  <c r="N107" i="15"/>
  <c r="N108" i="15"/>
  <c r="N109" i="15"/>
  <c r="N110" i="15" s="1"/>
  <c r="N111" i="15" s="1"/>
  <c r="N112" i="15" s="1"/>
  <c r="N113" i="15" s="1"/>
  <c r="N114" i="15"/>
  <c r="N115" i="15" s="1"/>
  <c r="N116" i="15" s="1"/>
  <c r="N117" i="15" s="1"/>
  <c r="N118" i="15" s="1"/>
  <c r="N119" i="15"/>
  <c r="N120" i="15"/>
  <c r="N121" i="15" s="1"/>
  <c r="N122" i="15" s="1"/>
  <c r="N123" i="15" s="1"/>
  <c r="N124" i="15"/>
  <c r="N125" i="15"/>
  <c r="N126" i="15" s="1"/>
  <c r="N127" i="15" s="1"/>
  <c r="N128" i="15" s="1"/>
  <c r="N129" i="15"/>
  <c r="N130" i="15"/>
  <c r="N131" i="15"/>
  <c r="N132" i="15"/>
  <c r="N133" i="15" s="1"/>
  <c r="N134" i="15"/>
  <c r="N135" i="15"/>
  <c r="N136" i="15"/>
  <c r="N137" i="15"/>
  <c r="N138" i="15" s="1"/>
  <c r="N139" i="15"/>
  <c r="N140" i="15"/>
  <c r="N141" i="15"/>
  <c r="N142" i="15"/>
  <c r="N143" i="15"/>
  <c r="N144" i="15"/>
  <c r="N145" i="15" s="1"/>
  <c r="N146" i="15" s="1"/>
  <c r="N147" i="15" s="1"/>
  <c r="N148" i="15" s="1"/>
  <c r="N149" i="15"/>
  <c r="N150" i="15" s="1"/>
  <c r="N151" i="15" s="1"/>
  <c r="N152" i="15" s="1"/>
  <c r="N153" i="15" s="1"/>
  <c r="N154" i="15"/>
  <c r="N155" i="15"/>
  <c r="N156" i="15"/>
  <c r="N157" i="15" s="1"/>
  <c r="N158" i="15" s="1"/>
  <c r="N159" i="15"/>
  <c r="N160" i="15"/>
  <c r="N161" i="15"/>
  <c r="N162" i="15" s="1"/>
  <c r="N163" i="15" s="1"/>
  <c r="N164" i="15"/>
  <c r="N165" i="15"/>
  <c r="N166" i="15"/>
  <c r="N167" i="15"/>
  <c r="N168" i="15"/>
  <c r="N169" i="15"/>
  <c r="N170" i="15" s="1"/>
  <c r="N171" i="15" s="1"/>
  <c r="N172" i="15" s="1"/>
  <c r="N173" i="15" s="1"/>
  <c r="N174" i="15"/>
  <c r="N175" i="15" s="1"/>
  <c r="N176" i="15" s="1"/>
  <c r="N177" i="15" s="1"/>
  <c r="N178" i="15" s="1"/>
  <c r="N179" i="15"/>
  <c r="N180" i="15"/>
  <c r="N181" i="15" s="1"/>
  <c r="N182" i="15" s="1"/>
  <c r="N183" i="15" s="1"/>
  <c r="N184" i="15"/>
  <c r="N185" i="15"/>
  <c r="N186" i="15" s="1"/>
  <c r="N187" i="15" s="1"/>
  <c r="N188" i="15" s="1"/>
  <c r="N189" i="15"/>
  <c r="N190" i="15"/>
  <c r="N191" i="15"/>
  <c r="N192" i="15"/>
  <c r="N193" i="15" s="1"/>
  <c r="N194" i="15"/>
  <c r="N195" i="15"/>
  <c r="N196" i="15"/>
  <c r="N197" i="15"/>
  <c r="N198" i="15" s="1"/>
  <c r="N199" i="15"/>
  <c r="N200" i="15"/>
  <c r="N201" i="15"/>
  <c r="N202" i="15"/>
  <c r="N203" i="15"/>
  <c r="N204" i="15"/>
  <c r="N205" i="15" s="1"/>
  <c r="N206" i="15" s="1"/>
  <c r="N207" i="15" s="1"/>
  <c r="N208" i="15" s="1"/>
  <c r="N209" i="15"/>
  <c r="N210" i="15" s="1"/>
  <c r="N211" i="15" s="1"/>
  <c r="N212" i="15" s="1"/>
  <c r="N213" i="15" s="1"/>
  <c r="N214" i="15"/>
  <c r="N215" i="15"/>
  <c r="N216" i="15"/>
  <c r="N217" i="15" s="1"/>
  <c r="N218" i="15" s="1"/>
  <c r="N219" i="15"/>
  <c r="N220" i="15"/>
  <c r="N221" i="15"/>
  <c r="N222" i="15" s="1"/>
  <c r="N223" i="15" s="1"/>
  <c r="N224" i="15"/>
  <c r="N225" i="15"/>
  <c r="N226" i="15"/>
  <c r="N227" i="15"/>
  <c r="N228" i="15"/>
  <c r="N229" i="15"/>
  <c r="N230" i="15" s="1"/>
  <c r="N231" i="15" s="1"/>
  <c r="N232" i="15" s="1"/>
  <c r="N233" i="15" s="1"/>
  <c r="N234" i="15"/>
  <c r="N235" i="15" s="1"/>
  <c r="N236" i="15" s="1"/>
  <c r="N237" i="15" s="1"/>
  <c r="N238" i="15" s="1"/>
  <c r="N239" i="15"/>
  <c r="N240" i="15"/>
  <c r="N241" i="15" s="1"/>
  <c r="N242" i="15" s="1"/>
  <c r="N243" i="15" s="1"/>
  <c r="N10" i="15"/>
  <c r="N11" i="15" s="1"/>
  <c r="N12" i="15" s="1"/>
  <c r="N13" i="15" s="1"/>
  <c r="N9" i="15"/>
  <c r="N6" i="15"/>
  <c r="N7" i="15"/>
  <c r="N8" i="15" s="1"/>
  <c r="N5" i="15"/>
  <c r="P24" i="17" l="1"/>
  <c r="P8" i="17"/>
  <c r="P18" i="17"/>
  <c r="BB1" i="15" l="1"/>
  <c r="BC1" i="15"/>
  <c r="BD1" i="15"/>
  <c r="AH2" i="15"/>
  <c r="S2" i="15"/>
  <c r="C2" i="15"/>
  <c r="W1" i="15"/>
  <c r="U1" i="15"/>
  <c r="G1" i="15"/>
  <c r="H1" i="15"/>
  <c r="I1" i="15"/>
  <c r="F1" i="15"/>
  <c r="P3" i="17"/>
  <c r="Q8" i="17" s="1"/>
  <c r="AT194" i="15"/>
  <c r="AT195" i="15" s="1"/>
  <c r="AT196" i="15" s="1"/>
  <c r="AT197" i="15" s="1"/>
  <c r="AT198" i="15" s="1"/>
  <c r="AT149" i="15"/>
  <c r="AT150" i="15" s="1"/>
  <c r="AT151" i="15" s="1"/>
  <c r="AT152" i="15" s="1"/>
  <c r="AT153" i="15" s="1"/>
  <c r="AT159" i="15"/>
  <c r="AT160" i="15" s="1"/>
  <c r="AT161" i="15" s="1"/>
  <c r="AT162" i="15" s="1"/>
  <c r="AT163" i="15" s="1"/>
  <c r="AT54" i="15"/>
  <c r="AT55" i="15" s="1"/>
  <c r="AT56" i="15" s="1"/>
  <c r="AT57" i="15" s="1"/>
  <c r="AT58" i="15" s="1"/>
  <c r="AT39" i="15"/>
  <c r="AT40" i="15" s="1"/>
  <c r="AT41" i="15" s="1"/>
  <c r="AT42" i="15" s="1"/>
  <c r="AT43" i="15" s="1"/>
  <c r="AT74" i="15"/>
  <c r="AT75" i="15" s="1"/>
  <c r="AT76" i="15" s="1"/>
  <c r="AT77" i="15" s="1"/>
  <c r="AT78" i="15" s="1"/>
  <c r="AT124" i="15"/>
  <c r="AT125" i="15" s="1"/>
  <c r="AT126" i="15" s="1"/>
  <c r="AT127" i="15" s="1"/>
  <c r="AT128" i="15" s="1"/>
  <c r="AT104" i="15"/>
  <c r="AT105" i="15" s="1"/>
  <c r="AT106" i="15" s="1"/>
  <c r="AT107" i="15" s="1"/>
  <c r="AT108" i="15" s="1"/>
  <c r="AT134" i="15"/>
  <c r="AT135" i="15" s="1"/>
  <c r="AT136" i="15" s="1"/>
  <c r="AT137" i="15" s="1"/>
  <c r="AT138" i="15" s="1"/>
  <c r="AT49" i="15"/>
  <c r="AT50" i="15" s="1"/>
  <c r="AT51" i="15" s="1"/>
  <c r="AT52" i="15" s="1"/>
  <c r="AT53" i="15" s="1"/>
  <c r="AT34" i="15"/>
  <c r="AT35" i="15" s="1"/>
  <c r="AT36" i="15" s="1"/>
  <c r="AT37" i="15" s="1"/>
  <c r="AT38" i="15" s="1"/>
  <c r="AT69" i="15"/>
  <c r="AT70" i="15" s="1"/>
  <c r="AT71" i="15" s="1"/>
  <c r="AT72" i="15" s="1"/>
  <c r="AT73" i="15" s="1"/>
  <c r="AT94" i="15"/>
  <c r="AT95" i="15" s="1"/>
  <c r="AT96" i="15" s="1"/>
  <c r="AT97" i="15" s="1"/>
  <c r="AT98" i="15" s="1"/>
  <c r="AT154" i="15"/>
  <c r="AT155" i="15" s="1"/>
  <c r="AT156" i="15" s="1"/>
  <c r="AT157" i="15" s="1"/>
  <c r="AT158" i="15" s="1"/>
  <c r="AT119" i="15"/>
  <c r="AT120" i="15" s="1"/>
  <c r="AT121" i="15" s="1"/>
  <c r="AT122" i="15" s="1"/>
  <c r="AT123" i="15" s="1"/>
  <c r="AT19" i="15"/>
  <c r="AT20" i="15" s="1"/>
  <c r="AT21" i="15" s="1"/>
  <c r="AT22" i="15" s="1"/>
  <c r="AT23" i="15" s="1"/>
  <c r="AT14" i="15"/>
  <c r="AT15" i="15" s="1"/>
  <c r="AT16" i="15" s="1"/>
  <c r="AT17" i="15" s="1"/>
  <c r="AT18" i="15" s="1"/>
  <c r="AT44" i="15"/>
  <c r="AT45" i="15" s="1"/>
  <c r="AT46" i="15" s="1"/>
  <c r="AT47" i="15" s="1"/>
  <c r="AT48" i="15" s="1"/>
  <c r="AT169" i="15"/>
  <c r="AT170" i="15" s="1"/>
  <c r="AT171" i="15" s="1"/>
  <c r="AT172" i="15" s="1"/>
  <c r="AT173" i="15" s="1"/>
  <c r="AT164" i="15"/>
  <c r="AT165" i="15" s="1"/>
  <c r="AT166" i="15" s="1"/>
  <c r="AT167" i="15" s="1"/>
  <c r="AT168" i="15" s="1"/>
  <c r="AT174" i="15"/>
  <c r="AT175" i="15" s="1"/>
  <c r="AT176" i="15" s="1"/>
  <c r="AT177" i="15" s="1"/>
  <c r="AT178" i="15" s="1"/>
  <c r="AT84" i="15"/>
  <c r="AT85" i="15" s="1"/>
  <c r="AT86" i="15" s="1"/>
  <c r="AT87" i="15" s="1"/>
  <c r="AT88" i="15" s="1"/>
  <c r="AT89" i="15"/>
  <c r="AT90" i="15" s="1"/>
  <c r="AT91" i="15" s="1"/>
  <c r="AT92" i="15" s="1"/>
  <c r="AT93" i="15" s="1"/>
  <c r="AT114" i="15"/>
  <c r="AT115" i="15" s="1"/>
  <c r="AT116" i="15" s="1"/>
  <c r="AT117" i="15" s="1"/>
  <c r="AT118" i="15" s="1"/>
  <c r="AT129" i="15"/>
  <c r="AT130" i="15" s="1"/>
  <c r="AT131" i="15" s="1"/>
  <c r="AT132" i="15" s="1"/>
  <c r="AT133" i="15" s="1"/>
  <c r="AT64" i="15"/>
  <c r="AT65" i="15" s="1"/>
  <c r="AT66" i="15" s="1"/>
  <c r="AT67" i="15" s="1"/>
  <c r="AT68" i="15" s="1"/>
  <c r="AT139" i="15"/>
  <c r="AT140" i="15" s="1"/>
  <c r="AT141" i="15" s="1"/>
  <c r="AT142" i="15" s="1"/>
  <c r="AT143" i="15" s="1"/>
  <c r="AT4" i="15"/>
  <c r="AT5" i="15" s="1"/>
  <c r="AT6" i="15" s="1"/>
  <c r="AT7" i="15" s="1"/>
  <c r="AT8" i="15" s="1"/>
  <c r="AT9" i="15"/>
  <c r="AT10" i="15" s="1"/>
  <c r="AT11" i="15" s="1"/>
  <c r="AT12" i="15" s="1"/>
  <c r="AT13" i="15" s="1"/>
  <c r="AT29" i="15"/>
  <c r="AT30" i="15" s="1"/>
  <c r="AT31" i="15" s="1"/>
  <c r="AT32" i="15" s="1"/>
  <c r="AT33" i="15" s="1"/>
  <c r="AT99" i="15"/>
  <c r="AT100" i="15" s="1"/>
  <c r="AT101" i="15" s="1"/>
  <c r="AT102" i="15" s="1"/>
  <c r="AT103" i="15" s="1"/>
  <c r="AT144" i="15"/>
  <c r="AT145" i="15" s="1"/>
  <c r="AT146" i="15" s="1"/>
  <c r="AT147" i="15" s="1"/>
  <c r="AT148" i="15" s="1"/>
  <c r="AT109" i="15"/>
  <c r="AT110" i="15" s="1"/>
  <c r="AT111" i="15" s="1"/>
  <c r="AT112" i="15" s="1"/>
  <c r="AT113" i="15" s="1"/>
  <c r="AT79" i="15"/>
  <c r="AT80" i="15" s="1"/>
  <c r="AT81" i="15" s="1"/>
  <c r="AT82" i="15" s="1"/>
  <c r="AT83" i="15" s="1"/>
  <c r="AT24" i="15"/>
  <c r="AT25" i="15" s="1"/>
  <c r="AT26" i="15" s="1"/>
  <c r="AT27" i="15" s="1"/>
  <c r="AT28" i="15" s="1"/>
  <c r="AT59" i="15"/>
  <c r="AT60" i="15" s="1"/>
  <c r="AT61" i="15" s="1"/>
  <c r="AT62" i="15" s="1"/>
  <c r="AT63" i="15" s="1"/>
  <c r="AT199" i="15"/>
  <c r="AT200" i="15" s="1"/>
  <c r="AT201" i="15" s="1"/>
  <c r="AT202" i="15" s="1"/>
  <c r="AT203" i="15" s="1"/>
  <c r="AT209" i="15"/>
  <c r="AT210" i="15" s="1"/>
  <c r="AT211" i="15" s="1"/>
  <c r="AT212" i="15" s="1"/>
  <c r="AT213" i="15" s="1"/>
  <c r="AT204" i="15"/>
  <c r="AT205" i="15" s="1"/>
  <c r="AT206" i="15" s="1"/>
  <c r="AT207" i="15" s="1"/>
  <c r="AT208" i="15" s="1"/>
  <c r="AT184" i="15"/>
  <c r="AT185" i="15" s="1"/>
  <c r="AT186" i="15" s="1"/>
  <c r="AT187" i="15" s="1"/>
  <c r="AT188" i="15" s="1"/>
  <c r="AT189" i="15"/>
  <c r="AT190" i="15" s="1"/>
  <c r="AT191" i="15" s="1"/>
  <c r="AT192" i="15" s="1"/>
  <c r="AT193" i="15" s="1"/>
  <c r="AT234" i="15"/>
  <c r="AT235" i="15" s="1"/>
  <c r="AT236" i="15" s="1"/>
  <c r="AT237" i="15" s="1"/>
  <c r="AT238" i="15" s="1"/>
  <c r="AT219" i="15"/>
  <c r="AT220" i="15" s="1"/>
  <c r="AT221" i="15" s="1"/>
  <c r="AT222" i="15" s="1"/>
  <c r="AT223" i="15" s="1"/>
  <c r="AT229" i="15"/>
  <c r="AT230" i="15" s="1"/>
  <c r="AT231" i="15" s="1"/>
  <c r="AT232" i="15" s="1"/>
  <c r="AT233" i="15" s="1"/>
  <c r="AT224" i="15"/>
  <c r="AT225" i="15" s="1"/>
  <c r="AT226" i="15" s="1"/>
  <c r="AT227" i="15" s="1"/>
  <c r="AT228" i="15" s="1"/>
  <c r="AT214" i="15"/>
  <c r="AT215" i="15" s="1"/>
  <c r="AT216" i="15" s="1"/>
  <c r="AT217" i="15" s="1"/>
  <c r="AT218" i="15" s="1"/>
  <c r="AT239" i="15"/>
  <c r="AT240" i="15" s="1"/>
  <c r="AT241" i="15" s="1"/>
  <c r="AT242" i="15" s="1"/>
  <c r="AT243" i="15" s="1"/>
  <c r="V1" i="15"/>
  <c r="AX2" i="15"/>
  <c r="N4" i="15"/>
  <c r="Y9" i="12"/>
  <c r="Y34" i="12"/>
  <c r="Y39" i="12"/>
  <c r="Y4" i="12"/>
  <c r="Y44" i="12"/>
  <c r="Y14" i="12"/>
  <c r="Y94" i="12"/>
  <c r="Y29" i="12"/>
  <c r="Y49" i="12"/>
  <c r="Y54" i="12"/>
  <c r="Y64" i="12"/>
  <c r="Y69" i="12"/>
  <c r="Y24" i="12"/>
  <c r="Y129" i="12"/>
  <c r="Y19" i="12"/>
  <c r="Y84" i="12"/>
  <c r="Y59" i="12"/>
  <c r="Y74" i="12"/>
  <c r="Y75" i="12" s="1"/>
  <c r="Y174" i="12"/>
  <c r="Y175" i="12" s="1"/>
  <c r="Y176" i="12" s="1"/>
  <c r="Y177" i="12" s="1"/>
  <c r="Y178" i="12" s="1"/>
  <c r="Y159" i="12"/>
  <c r="Y160" i="12" s="1"/>
  <c r="Y161" i="12" s="1"/>
  <c r="Y162" i="12" s="1"/>
  <c r="Y163" i="12" s="1"/>
  <c r="Y169" i="12"/>
  <c r="Y170" i="12" s="1"/>
  <c r="Y171" i="12" s="1"/>
  <c r="Y172" i="12" s="1"/>
  <c r="Y173" i="12" s="1"/>
  <c r="Y179" i="12"/>
  <c r="Y180" i="12" s="1"/>
  <c r="Y181" i="12" s="1"/>
  <c r="Y182" i="12" s="1"/>
  <c r="Y183" i="12" s="1"/>
  <c r="Y79" i="12"/>
  <c r="Y134" i="12"/>
  <c r="Y104" i="12"/>
  <c r="Y124" i="12"/>
  <c r="Y99" i="12"/>
  <c r="Y109" i="12"/>
  <c r="Y119" i="12"/>
  <c r="Y89" i="12"/>
  <c r="Y90" i="12" l="1"/>
  <c r="Y91" i="12" s="1"/>
  <c r="Y92" i="12" s="1"/>
  <c r="Y93" i="12" s="1"/>
  <c r="Y85" i="12"/>
  <c r="Y86" i="12" s="1"/>
  <c r="Y87" i="12" s="1"/>
  <c r="Y88" i="12" s="1"/>
  <c r="Y60" i="12"/>
  <c r="Y61" i="12" s="1"/>
  <c r="Y62" i="12" s="1"/>
  <c r="Y63" i="12" s="1"/>
  <c r="Y130" i="12"/>
  <c r="Y131" i="12" s="1"/>
  <c r="Y132" i="12" s="1"/>
  <c r="Y133" i="12" s="1"/>
  <c r="Y20" i="12"/>
  <c r="Y21" i="12" s="1"/>
  <c r="Y22" i="12" s="1"/>
  <c r="Y23" i="12" s="1"/>
  <c r="Y50" i="12"/>
  <c r="Y51" i="12" s="1"/>
  <c r="Y52" i="12" s="1"/>
  <c r="Y53" i="12" s="1"/>
  <c r="Y30" i="12"/>
  <c r="Y31" i="12" s="1"/>
  <c r="Y32" i="12" s="1"/>
  <c r="Y33" i="12" s="1"/>
  <c r="Y95" i="12"/>
  <c r="Y96" i="12" s="1"/>
  <c r="Y97" i="12" s="1"/>
  <c r="Y98" i="12" s="1"/>
  <c r="Y15" i="12"/>
  <c r="Y16" i="12" s="1"/>
  <c r="Y17" i="12" s="1"/>
  <c r="Y18" i="12" s="1"/>
  <c r="Y120" i="12"/>
  <c r="Y121" i="12" s="1"/>
  <c r="Y122" i="12" s="1"/>
  <c r="Y123" i="12" s="1"/>
  <c r="Y100" i="12"/>
  <c r="Y101" i="12" s="1"/>
  <c r="Y102" i="12" s="1"/>
  <c r="Y103" i="12" s="1"/>
  <c r="Y40" i="12"/>
  <c r="Y41" i="12" s="1"/>
  <c r="Y42" i="12" s="1"/>
  <c r="Y43" i="12" s="1"/>
  <c r="Y125" i="12"/>
  <c r="Y126" i="12" s="1"/>
  <c r="Y127" i="12" s="1"/>
  <c r="Y128" i="12" s="1"/>
  <c r="Y35" i="12"/>
  <c r="Y36" i="12" s="1"/>
  <c r="Y37" i="12" s="1"/>
  <c r="Y38" i="12" s="1"/>
  <c r="Y25" i="12"/>
  <c r="Y26" i="12" s="1"/>
  <c r="Y27" i="12" s="1"/>
  <c r="Y28" i="12" s="1"/>
  <c r="Y70" i="12"/>
  <c r="Y71" i="12" s="1"/>
  <c r="Y72" i="12" s="1"/>
  <c r="Y73" i="12" s="1"/>
  <c r="Y65" i="12"/>
  <c r="Y66" i="12" s="1"/>
  <c r="Y67" i="12" s="1"/>
  <c r="Y68" i="12" s="1"/>
  <c r="Y76" i="12"/>
  <c r="Y77" i="12" s="1"/>
  <c r="Y78" i="12" s="1"/>
  <c r="Y45" i="12"/>
  <c r="Y46" i="12" s="1"/>
  <c r="Y47" i="12" s="1"/>
  <c r="Y48" i="12" s="1"/>
  <c r="Y110" i="12"/>
  <c r="Y111" i="12" s="1"/>
  <c r="Y112" i="12" s="1"/>
  <c r="Y113" i="12" s="1"/>
  <c r="Y5" i="12"/>
  <c r="Y6" i="12" s="1"/>
  <c r="Y7" i="12" s="1"/>
  <c r="Y8" i="12" s="1"/>
  <c r="Y105" i="12"/>
  <c r="Y106" i="12" s="1"/>
  <c r="Y107" i="12" s="1"/>
  <c r="Y108" i="12" s="1"/>
  <c r="Y10" i="12"/>
  <c r="Y11" i="12" s="1"/>
  <c r="Y12" i="12" s="1"/>
  <c r="Y13" i="12" s="1"/>
  <c r="Y135" i="12"/>
  <c r="Y136" i="12" s="1"/>
  <c r="Y137" i="12" s="1"/>
  <c r="Y138" i="12" s="1"/>
  <c r="Y80" i="12"/>
  <c r="Y81" i="12" s="1"/>
  <c r="Y82" i="12" s="1"/>
  <c r="Y83" i="12" s="1"/>
  <c r="Y55" i="12"/>
  <c r="Y56" i="12" s="1"/>
  <c r="Y57" i="12" s="1"/>
  <c r="Y58" i="12" s="1"/>
  <c r="Y1" i="15"/>
  <c r="X1" i="15"/>
  <c r="AS244" i="15"/>
  <c r="AK1" i="15" s="1"/>
  <c r="AT179" i="15"/>
  <c r="AT180" i="15" s="1"/>
  <c r="AT181" i="15" s="1"/>
  <c r="AT182" i="15" s="1"/>
  <c r="AT183" i="15" s="1"/>
  <c r="Q18" i="17"/>
  <c r="E1" i="15"/>
  <c r="D2" i="12"/>
  <c r="AJ1" i="15" l="1"/>
  <c r="AL1" i="15"/>
  <c r="AM1" i="15"/>
  <c r="AN1" i="15"/>
  <c r="AZ1" i="15"/>
  <c r="BA1" i="15"/>
  <c r="Y114" i="12" l="1"/>
  <c r="H14" i="6"/>
  <c r="I14" i="6" s="1"/>
  <c r="F14" i="6"/>
  <c r="G14" i="6" s="1"/>
  <c r="O14" i="6" s="1"/>
  <c r="H13" i="6"/>
  <c r="I13" i="6" s="1"/>
  <c r="F13" i="6"/>
  <c r="G13" i="6" s="1"/>
  <c r="O13" i="6" s="1"/>
  <c r="Y115" i="12" l="1"/>
  <c r="X114" i="12"/>
  <c r="M13" i="6"/>
  <c r="N13" i="6" s="1"/>
  <c r="P13" i="6" s="1"/>
  <c r="Q13" i="6" s="1"/>
  <c r="M14" i="6"/>
  <c r="N14" i="6" s="1"/>
  <c r="P14" i="6" s="1"/>
  <c r="Q14" i="6" s="1"/>
  <c r="X115" i="12" l="1"/>
  <c r="Y116" i="12"/>
  <c r="X116" i="12" l="1"/>
  <c r="Y117" i="12"/>
  <c r="Y118" i="12" l="1"/>
  <c r="X117" i="12"/>
  <c r="X118" i="12" l="1"/>
  <c r="J1" i="12"/>
  <c r="H1" i="12"/>
  <c r="B1" i="12"/>
  <c r="I1" i="12"/>
  <c r="F1" i="12"/>
  <c r="G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tc={A5703110-4760-4122-8C19-11278EDE14A5}</author>
  </authors>
  <commentList>
    <comment ref="A1" authorId="0" shapeId="0" xr:uid="{A5703110-4760-4122-8C19-11278EDE14A5}">
      <text>
        <t>[Komentar u obliku niti]
Vaša verzija programa Excel omogućuje vam da pročitate ovaj komentar u obliku niti, no sve će izmjene biti uklonjene ako datoteka bude otvorena u novijoj verziji programa Excel. Saznajte više: https://go.microsoft.com/fwlink/?linkid=870924
Komentar:
    Overr su "-F” vs. "-Fa"
Bili su lošiji inicijalno, ali bolji nakon flagsearcha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<sst xmlns="http://schemas.openxmlformats.org/spreadsheetml/2006/main" count="3712" uniqueCount="190">
  <si>
    <t>Cubieboard2</t>
  </si>
  <si>
    <t>N</t>
  </si>
  <si>
    <t>NB</t>
  </si>
  <si>
    <t>P</t>
  </si>
  <si>
    <t>Q</t>
  </si>
  <si>
    <t>Time</t>
  </si>
  <si>
    <t>GFLOPS</t>
  </si>
  <si>
    <t>WR00L2L2</t>
  </si>
  <si>
    <t>SBC</t>
  </si>
  <si>
    <t>Cores</t>
  </si>
  <si>
    <t>march</t>
  </si>
  <si>
    <t>mcpu</t>
  </si>
  <si>
    <t>mtune</t>
  </si>
  <si>
    <t>fpu</t>
  </si>
  <si>
    <t>mfloat-abi</t>
  </si>
  <si>
    <t>ostalo</t>
  </si>
  <si>
    <t>ostalo (Thumb)</t>
  </si>
  <si>
    <t>Rpi 1B</t>
  </si>
  <si>
    <t>armv6</t>
  </si>
  <si>
    <t>arm1176jzf-s</t>
  </si>
  <si>
    <t>vfpv2 (alias is vfp)</t>
  </si>
  <si>
    <t>hard</t>
  </si>
  <si>
    <t>Thumb</t>
  </si>
  <si>
    <t>16KB L1 and no L2</t>
  </si>
  <si>
    <t>armv7-a</t>
  </si>
  <si>
    <t>cortex-a7</t>
  </si>
  <si>
    <t>neon-vfpv4</t>
  </si>
  <si>
    <t>-funsafe-math-optimizations</t>
  </si>
  <si>
    <t>Thumb-2</t>
  </si>
  <si>
    <t>OdroidU3</t>
  </si>
  <si>
    <t>cortex-a9</t>
  </si>
  <si>
    <t>neon-vfpv3 (alias is neon)</t>
  </si>
  <si>
    <t>Thumb or Thumb-2</t>
  </si>
  <si>
    <t>1MB L2 cache total? From paper…</t>
  </si>
  <si>
    <t>OdroidMC1</t>
  </si>
  <si>
    <t>LITTLE</t>
  </si>
  <si>
    <t>2 sockets, 2,5MB L2 cache per socket</t>
  </si>
  <si>
    <t>Big</t>
  </si>
  <si>
    <t>cortex-a15</t>
  </si>
  <si>
    <t>Flags used for flagsearching - mandatory</t>
  </si>
  <si>
    <t>NOTE</t>
  </si>
  <si>
    <t>HPL Runs (fixed parameters)</t>
  </si>
  <si>
    <t>Node</t>
  </si>
  <si>
    <t>Total memory of a node (kB)</t>
  </si>
  <si>
    <t>N, alpha</t>
  </si>
  <si>
    <t>N, alpha (NB round)</t>
  </si>
  <si>
    <t>N, beta</t>
  </si>
  <si>
    <t>N, beta (NB round)</t>
  </si>
  <si>
    <t>Ns difference</t>
  </si>
  <si>
    <t>Half of the Ns difference</t>
  </si>
  <si>
    <t>N1</t>
  </si>
  <si>
    <t>N2</t>
  </si>
  <si>
    <t>N3</t>
  </si>
  <si>
    <t>Number of nodes</t>
  </si>
  <si>
    <t>Percentage of mem</t>
  </si>
  <si>
    <t>atlarch</t>
  </si>
  <si>
    <t>Flags used for flagsearching - optional</t>
  </si>
  <si>
    <t>Machine originally
built on</t>
  </si>
  <si>
    <t>Needs
flagsearching</t>
  </si>
  <si>
    <t>Flagsearched (d)</t>
  </si>
  <si>
    <t>Flagsearched (s)
No need! HPL uses only double precision! See ATLAS install manual</t>
  </si>
  <si>
    <t>Flagsearched (Td)</t>
  </si>
  <si>
    <t>Kernel</t>
  </si>
  <si>
    <t>TODO</t>
  </si>
  <si>
    <t>In progress</t>
  </si>
  <si>
    <t>Freshly finished</t>
  </si>
  <si>
    <t>Done</t>
  </si>
  <si>
    <t>TODO with the same settings!</t>
  </si>
  <si>
    <t>Raspberry Pi 4 B</t>
  </si>
  <si>
    <t>https://gist.github.com/fm4dd/c663217935dc17f0fc73c9c81b0aa845</t>
  </si>
  <si>
    <t>test-4node</t>
  </si>
  <si>
    <t>test-1node</t>
  </si>
  <si>
    <t>id</t>
  </si>
  <si>
    <t>experiment_name</t>
  </si>
  <si>
    <t>HPL_N</t>
  </si>
  <si>
    <t>HPL_NB</t>
  </si>
  <si>
    <t>HPL_P</t>
  </si>
  <si>
    <t>HPL_Q</t>
  </si>
  <si>
    <t>HPL_TIME</t>
  </si>
  <si>
    <t>HPL_FLOPS</t>
  </si>
  <si>
    <t>Raspberry Pi 4B</t>
  </si>
  <si>
    <t>arch-tune</t>
  </si>
  <si>
    <t>atlarch-tune</t>
  </si>
  <si>
    <t>atlarch-tune-spec</t>
  </si>
  <si>
    <t>atlarch-tune-spec-crc</t>
  </si>
  <si>
    <t>cpu</t>
  </si>
  <si>
    <t>cpu-tune</t>
  </si>
  <si>
    <t>atlarch-cpu</t>
  </si>
  <si>
    <t>atlarch-cpu-tune</t>
  </si>
  <si>
    <t>atlarch-tune-overr</t>
  </si>
  <si>
    <t>arch-tune-overr</t>
  </si>
  <si>
    <t>atlarch-tune-spec-crc-overr</t>
  </si>
  <si>
    <t>atlarch-tune-spec-overr</t>
  </si>
  <si>
    <t>cpu-overr</t>
  </si>
  <si>
    <t>cpu-tune-overr</t>
  </si>
  <si>
    <t>atlarch-cpu-overr</t>
  </si>
  <si>
    <t>atlarch-cpu-tune-overr</t>
  </si>
  <si>
    <t>generic</t>
  </si>
  <si>
    <t>noarch</t>
  </si>
  <si>
    <t>Max avg. GFLOPS (and params):</t>
  </si>
  <si>
    <t>ATLAS</t>
  </si>
  <si>
    <t>Average GFLOPs</t>
  </si>
  <si>
    <t>MAX GFLOPS:</t>
  </si>
  <si>
    <t>Build</t>
  </si>
  <si>
    <t>RUN</t>
  </si>
  <si>
    <t>Date</t>
  </si>
  <si>
    <t>1200MHz</t>
  </si>
  <si>
    <t>1300MHz</t>
  </si>
  <si>
    <t>1400MHz</t>
  </si>
  <si>
    <t>raspi21 throttling time [1/100s]</t>
  </si>
  <si>
    <t>raspi22 throttling time [1/100s]</t>
  </si>
  <si>
    <t>raspi23 throttling time [1/100s]</t>
  </si>
  <si>
    <t>raspi24 throttling time [1/100s]</t>
  </si>
  <si>
    <t>Average GFLOP/s</t>
  </si>
  <si>
    <t>OpenBLAS</t>
  </si>
  <si>
    <t>tlarch-flags</t>
  </si>
  <si>
    <t>atlarch-flags</t>
  </si>
  <si>
    <t>atlarch-tune-flags</t>
  </si>
  <si>
    <t>arch-tune-flags</t>
  </si>
  <si>
    <t>atlarch-tune-spec-crc-flags</t>
  </si>
  <si>
    <t>atlarch-tune-spec-flags</t>
  </si>
  <si>
    <t>cpu-flags</t>
  </si>
  <si>
    <t>cpu-tune-flags</t>
  </si>
  <si>
    <t>atlarch-cpu-flags</t>
  </si>
  <si>
    <t>atlarch-cpu-tune-flags</t>
  </si>
  <si>
    <t>atlarch-tune-overr-flags</t>
  </si>
  <si>
    <t>arch-tune-overr-flags</t>
  </si>
  <si>
    <t>cpu-tune-overr-flags</t>
  </si>
  <si>
    <t>atlarch-cpu-overr-flags</t>
  </si>
  <si>
    <t>atlarch-cpu-tune-overr-flags</t>
  </si>
  <si>
    <t>generic-flags</t>
  </si>
  <si>
    <t>atlarch-tune-spec-crc-overr-flags</t>
  </si>
  <si>
    <t>atlarch-tune-spec-overr-flags</t>
  </si>
  <si>
    <t>cpu-overr-flags</t>
  </si>
  <si>
    <t>-march=native
-mtune=native
-mcpu=native
-march=armv8-a+crc
-mtune=cortex-a72
-mcpu=cortex-a72
-mabi=lp64</t>
  </si>
  <si>
    <t>OpenBLAS - old, by Luke Vassallo</t>
  </si>
  <si>
    <t>ATLAS ("--bind to" ne utječe na rez)</t>
  </si>
  <si>
    <t>vars_set_and_bind_to</t>
  </si>
  <si>
    <t>linux_OpenBLAS</t>
  </si>
  <si>
    <t>vars_set</t>
  </si>
  <si>
    <t>OpenBLAS (--bind-to core za mpiexec)</t>
  </si>
  <si>
    <t>% slower than max</t>
  </si>
  <si>
    <t>OMP env vars set</t>
  </si>
  <si>
    <t>OMP env vars set and "--bind-to core" used for mpiexec</t>
  </si>
  <si>
    <t>N/A</t>
  </si>
  <si>
    <t>Results for combinations of OMP environment variables and "--bind-to core" options</t>
  </si>
  <si>
    <t>Repetitive flags</t>
  </si>
  <si>
    <t>32/64 build (or none)</t>
  </si>
  <si>
    <t>Other ATLAS config flags</t>
  </si>
  <si>
    <t>Compiler flags used for building</t>
  </si>
  <si>
    <t>-D c -DWALL</t>
  </si>
  <si>
    <t>-b 64</t>
  </si>
  <si>
    <t>-A ARM64xgene1</t>
  </si>
  <si>
    <t>-Si archdef 1</t>
  </si>
  <si>
    <t>-Si archdef 0</t>
  </si>
  <si>
    <t>Compiler flag addendum type</t>
  </si>
  <si>
    <t>-Fa alg</t>
  </si>
  <si>
    <t>-march=native -mtune=native -mcpu=native -mabi=lp64</t>
  </si>
  <si>
    <t>-march=armv8-a+crc -mtune=cortex-a72 -mcpu=cortex-a72 -mabi=lp64</t>
  </si>
  <si>
    <t>-march=armv8-a -mtune=cortex-a72 -mcpu=cortex-a72 -mabi=lp64</t>
  </si>
  <si>
    <t>-mcpu=cortex-a72 -mabi=lp64</t>
  </si>
  <si>
    <t>-mcpu=cortex-a72 -mtune=cortex-a72 -mabi=lp64</t>
  </si>
  <si>
    <t xml:space="preserve"> -O1 -pipe -fschedule-insns2</t>
  </si>
  <si>
    <t xml:space="preserve"> -O1 -pipe -fno-schedule-insns -fno-expensive-optimizations -fschedule-insns2</t>
  </si>
  <si>
    <t xml:space="preserve"> -Os -pipe -funroll-all-loops</t>
  </si>
  <si>
    <t xml:space="preserve"> -Os -pipe -fschedule-insns2 -mtune=native -fexpensive-optimizations</t>
  </si>
  <si>
    <t xml:space="preserve"> -Os -pipe -fschedule-insns2 -mtune=native -frename-registers</t>
  </si>
  <si>
    <t xml:space="preserve"> -Os -pipe -fno-expensive-optimizations</t>
  </si>
  <si>
    <t xml:space="preserve"> -O1 -pipe -fno-schedule-insns -fschedule-insns2 -fno-tree-ter</t>
  </si>
  <si>
    <t xml:space="preserve"> -Os -pipe -fschedule-insns2 -mtune=native -fno-tree-ter</t>
  </si>
  <si>
    <t xml:space="preserve"> -O1 -pipe -fschedule-insns2 -fexpensive-optimizations</t>
  </si>
  <si>
    <t xml:space="preserve"> -O1 -pipe -fschedule-insns2 -frename-registers</t>
  </si>
  <si>
    <t xml:space="preserve"> -Os -pipe -fschedule-insns2 -mcpu=cortex-a72 -fno-tree-ter</t>
  </si>
  <si>
    <t xml:space="preserve"> -Os -pipe -fschedule-insns2 -mtune=native</t>
  </si>
  <si>
    <t>-F alg</t>
  </si>
  <si>
    <t>(override)</t>
  </si>
  <si>
    <t>OpenBLAS - old measurements</t>
  </si>
  <si>
    <t>OpenBLAS - old</t>
  </si>
  <si>
    <t>All flags</t>
  </si>
  <si>
    <t>4-node ATLAS</t>
  </si>
  <si>
    <t>4-node OpenBLAS</t>
  </si>
  <si>
    <t>1-node ATLAS</t>
  </si>
  <si>
    <t>1-node OpenBLAS</t>
  </si>
  <si>
    <t>N (rounded)</t>
  </si>
  <si>
    <t>ATLAS speedup</t>
  </si>
  <si>
    <t>OpenBLAS speedup</t>
  </si>
  <si>
    <t>N(beta)</t>
  </si>
  <si>
    <t>N(mid)</t>
  </si>
  <si>
    <t>N(alpha)</t>
  </si>
  <si>
    <t>N (roundeed)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</si>
</sst>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[$-F400]h:mm:ss\ AM/PM"/>
    <numFmt numFmtId="167" formatCode="0.0000"/>
  </numFmts>
  <fonts count="10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theme="1"/>
      <name val="Arial Unicode MS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64" fontId="0" fillId="0" borderId="0" xfId="0" applyNumberFormat="1"/>
    <xf numFmtId="0" fontId="5" fillId="0" borderId="0" xfId="1" applyAlignment="1">
      <alignment wrapText="1"/>
    </xf>
    <xf numFmtId="0" fontId="6" fillId="0" borderId="0" xfId="0" applyFont="1"/>
    <xf numFmtId="49" fontId="6" fillId="0" borderId="0" xfId="0" applyNumberFormat="1" applyFont="1" applyAlignment="1">
      <alignment wrapText="1"/>
    </xf>
    <xf numFmtId="49" fontId="6" fillId="0" borderId="0" xfId="0" applyNumberFormat="1" applyFont="1"/>
    <xf numFmtId="14" fontId="0" fillId="0" borderId="0" xfId="0" applyNumberFormat="1"/>
    <xf numFmtId="0" fontId="7" fillId="0" borderId="0" xfId="0" quotePrefix="1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165" fontId="8" fillId="0" borderId="1" xfId="0" applyNumberFormat="1" applyFont="1" applyBorder="1"/>
    <xf numFmtId="1" fontId="0" fillId="0" borderId="1" xfId="0" applyNumberFormat="1" applyBorder="1"/>
    <xf numFmtId="166" fontId="0" fillId="0" borderId="1" xfId="0" applyNumberFormat="1" applyBorder="1"/>
    <xf numFmtId="167" fontId="3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/>
    <xf numFmtId="164" fontId="1" fillId="0" borderId="1" xfId="0" applyNumberFormat="1" applyFont="1" applyBorder="1"/>
    <xf numFmtId="167" fontId="1" fillId="0" borderId="1" xfId="0" applyNumberFormat="1" applyFont="1" applyBorder="1"/>
    <xf numFmtId="166" fontId="1" fillId="0" borderId="1" xfId="0" applyNumberFormat="1" applyFont="1" applyBorder="1"/>
    <xf numFmtId="1" fontId="1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0" fontId="9" fillId="0" borderId="1" xfId="0" applyFont="1" applyBorder="1" applyAlignment="1">
      <alignment horizontal="center" vertical="center"/>
    </xf>
    <xf numFmtId="164" fontId="0" fillId="0" borderId="0" xfId="0" quotePrefix="1" applyNumberFormat="1"/>
    <xf numFmtId="1" fontId="0" fillId="0" borderId="0" xfId="0" applyNumberFormat="1"/>
    <xf numFmtId="14" fontId="0" fillId="0" borderId="1" xfId="0" applyNumberFormat="1" applyBorder="1"/>
    <xf numFmtId="14" fontId="1" fillId="0" borderId="1" xfId="0" applyNumberFormat="1" applyFont="1" applyBorder="1"/>
    <xf numFmtId="166" fontId="0" fillId="0" borderId="0" xfId="0" applyNumberFormat="1"/>
    <xf numFmtId="21" fontId="0" fillId="0" borderId="0" xfId="0" applyNumberFormat="1"/>
    <xf numFmtId="2" fontId="1" fillId="0" borderId="0" xfId="0" applyNumberFormat="1" applyFont="1" applyAlignment="1">
      <alignment vertical="center"/>
    </xf>
    <xf numFmtId="0" fontId="0" fillId="6" borderId="0" xfId="0" applyFill="1"/>
    <xf numFmtId="49" fontId="0" fillId="6" borderId="0" xfId="0" applyNumberFormat="1" applyFill="1" applyAlignment="1">
      <alignment wrapText="1"/>
    </xf>
    <xf numFmtId="49" fontId="0" fillId="6" borderId="0" xfId="0" applyNumberFormat="1" applyFill="1"/>
    <xf numFmtId="0" fontId="0" fillId="6" borderId="0" xfId="0" applyFill="1" applyAlignment="1">
      <alignment wrapText="1"/>
    </xf>
    <xf numFmtId="2" fontId="0" fillId="0" borderId="0" xfId="0" quotePrefix="1" applyNumberFormat="1"/>
    <xf numFmtId="0" fontId="0" fillId="0" borderId="0" xfId="0" quotePrefix="1"/>
    <xf numFmtId="11" fontId="0" fillId="0" borderId="0" xfId="0" quotePrefix="1" applyNumberFormat="1"/>
    <xf numFmtId="166" fontId="0" fillId="0" borderId="1" xfId="0" applyNumberFormat="1" applyBorder="1" applyAlignment="1">
      <alignment horizontal="center" vertical="center"/>
    </xf>
    <xf numFmtId="167" fontId="0" fillId="0" borderId="0" xfId="0" quotePrefix="1" applyNumberFormat="1"/>
    <xf numFmtId="2" fontId="1" fillId="0" borderId="0" xfId="0" applyNumberFormat="1" applyFont="1" applyAlignment="1">
      <alignment horizontal="center" vertical="center" wrapText="1"/>
    </xf>
    <xf numFmtId="11" fontId="0" fillId="0" borderId="0" xfId="0" applyNumberFormat="1"/>
    <xf numFmtId="2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wrapText="1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6" fillId="0" borderId="0" xfId="0" quotePrefix="1" applyNumberFormat="1" applyFont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2">
    <cellStyle name="Hiperveza" xfId="1" builtinId="8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ATLAS - N(beta)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'Scalability analysis'!$AZ$3:$AZ$10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'Scalability analysis'!$BA$3:$BA$10</c:f>
              <c:numCache>
                <c:formatCode>General</c:formatCode>
                <c:ptCount val="8"/>
                <c:pt idx="0">
                  <c:v>3.7800266357745613</c:v>
                </c:pt>
                <c:pt idx="1">
                  <c:v>3.6178710240342662</c:v>
                </c:pt>
                <c:pt idx="2">
                  <c:v>3.8028466020530582</c:v>
                </c:pt>
                <c:pt idx="3">
                  <c:v>3.6016165211426876</c:v>
                </c:pt>
                <c:pt idx="4">
                  <c:v>3.5505515809700285</c:v>
                </c:pt>
                <c:pt idx="5">
                  <c:v>3.5363713557882819</c:v>
                </c:pt>
                <c:pt idx="6">
                  <c:v>3.5879782961031648</c:v>
                </c:pt>
                <c:pt idx="7">
                  <c:v>3.7149433093742332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5F-4E56-886E-F54BF9FACF39}"/>
            </c:ext>
          </c:extLst>
        </c:ser>
        <c:ser>
          <c:idx val="1"/>
          <c:order val="1"/>
          <c:tx>
            <c:v>ATLAS - N(mid)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'Scalability analysis'!$AZ$11:$AZ$18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'Scalability analysis'!$BA$11:$BA$18</c:f>
              <c:numCache>
                <c:formatCode>General</c:formatCode>
                <c:ptCount val="8"/>
                <c:pt idx="0">
                  <c:v>3.7511995785456969</c:v>
                </c:pt>
                <c:pt idx="1">
                  <c:v>3.4728351819420116</c:v>
                </c:pt>
                <c:pt idx="2">
                  <c:v>3.7370252734801754</c:v>
                </c:pt>
                <c:pt idx="3">
                  <c:v>3.5119200491318194</c:v>
                </c:pt>
                <c:pt idx="4">
                  <c:v>3.4260258716696659</c:v>
                </c:pt>
                <c:pt idx="5">
                  <c:v>3.4744795818938794</c:v>
                </c:pt>
                <c:pt idx="6">
                  <c:v>3.5172994891779452</c:v>
                </c:pt>
                <c:pt idx="7">
                  <c:v>3.7939936571782176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5F-4E56-886E-F54BF9FACF39}"/>
            </c:ext>
          </c:extLst>
        </c:ser>
        <c:ser>
          <c:idx val="2"/>
          <c:order val="2"/>
          <c:tx>
            <c:v>ATLAS - N(alpha)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'Scalability analysis'!$AZ$19:$AZ$26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'Scalability analysis'!$BA$19:$BA$26</c:f>
              <c:numCache>
                <c:formatCode>General</c:formatCode>
                <c:ptCount val="8"/>
                <c:pt idx="0">
                  <c:v>3.761058341481585</c:v>
                </c:pt>
                <c:pt idx="1">
                  <c:v>3.4790732584092123</c:v>
                </c:pt>
                <c:pt idx="2">
                  <c:v>3.8080269587474649</c:v>
                </c:pt>
                <c:pt idx="3">
                  <c:v>3.7256503044147604</c:v>
                </c:pt>
                <c:pt idx="4">
                  <c:v>3.6513640121245521</c:v>
                </c:pt>
                <c:pt idx="5">
                  <c:v>3.5712388507026076</c:v>
                </c:pt>
                <c:pt idx="6">
                  <c:v>3.4998508241963155</c:v>
                </c:pt>
                <c:pt idx="7">
                  <c:v>3.658419504790817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5F-4E56-886E-F54BF9FACF39}"/>
            </c:ext>
          </c:extLst>
        </c:ser>
        <c:ser>
          <c:idx val="3"/>
          <c:order val="3"/>
          <c:tx>
            <c:v>OpenBLAS - N(beta)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'Scalability analysis'!$AZ$3:$AZ$10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'Scalability analysis'!$BC$3:$BC$10</c:f>
              <c:numCache>
                <c:formatCode>General</c:formatCode>
                <c:ptCount val="8"/>
                <c:pt idx="0">
                  <c:v>3.7427677057519242</c:v>
                </c:pt>
                <c:pt idx="1">
                  <c:v>3.5634702116518304</c:v>
                </c:pt>
                <c:pt idx="2">
                  <c:v>3.5969059011164268</c:v>
                </c:pt>
                <c:pt idx="3">
                  <c:v>3.4765734319499333</c:v>
                </c:pt>
                <c:pt idx="4">
                  <c:v>3.5174698987576254</c:v>
                </c:pt>
                <c:pt idx="5">
                  <c:v>3.5024317012526005</c:v>
                </c:pt>
                <c:pt idx="6">
                  <c:v>3.5526956137024395</c:v>
                </c:pt>
                <c:pt idx="7">
                  <c:v>3.5411411411411415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5F-4E56-886E-F54BF9FACF39}"/>
            </c:ext>
          </c:extLst>
        </c:ser>
        <c:ser>
          <c:idx val="4"/>
          <c:order val="4"/>
          <c:tx>
            <c:v>OpenBLAS - N(mid)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'Scalability analysis'!$AZ$11:$AZ$18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'Scalability analysis'!$BC$11:$BC$18</c:f>
              <c:numCache>
                <c:formatCode>General</c:formatCode>
                <c:ptCount val="8"/>
                <c:pt idx="0">
                  <c:v>3.7245417320424021</c:v>
                </c:pt>
                <c:pt idx="1">
                  <c:v>3.5166683401947991</c:v>
                </c:pt>
                <c:pt idx="2">
                  <c:v>3.5037013850849044</c:v>
                </c:pt>
                <c:pt idx="3">
                  <c:v>3.4819849707593313</c:v>
                </c:pt>
                <c:pt idx="4">
                  <c:v>3.4907824531135176</c:v>
                </c:pt>
                <c:pt idx="5">
                  <c:v>3.482356417474068</c:v>
                </c:pt>
                <c:pt idx="6">
                  <c:v>3.5278794639350193</c:v>
                </c:pt>
                <c:pt idx="7">
                  <c:v>3.5510448136958703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5F-4E56-886E-F54BF9FACF39}"/>
            </c:ext>
          </c:extLst>
        </c:ser>
        <c:ser>
          <c:idx val="5"/>
          <c:order val="5"/>
          <c:tx>
            <c:v>OpenBLAS - N(alpha)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'Scalability analysis'!$AZ$19:$AZ$26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'Scalability analysis'!$BC$19:$BC$26</c:f>
              <c:numCache>
                <c:formatCode>General</c:formatCode>
                <c:ptCount val="8"/>
                <c:pt idx="0">
                  <c:v>3.684696474593145</c:v>
                </c:pt>
                <c:pt idx="1">
                  <c:v>3.4846534906286712</c:v>
                </c:pt>
                <c:pt idx="2">
                  <c:v>3.4851503937755015</c:v>
                </c:pt>
                <c:pt idx="3">
                  <c:v>3.4781137396208677</c:v>
                </c:pt>
                <c:pt idx="4">
                  <c:v>3.4643400317121316</c:v>
                </c:pt>
                <c:pt idx="5">
                  <c:v>3.4673205190873393</c:v>
                </c:pt>
                <c:pt idx="6">
                  <c:v>3.5053879652881532</c:v>
                </c:pt>
                <c:pt idx="7">
                  <c:v>3.415076335877862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5F-4E56-886E-F54BF9FAC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5141951"/>
        <c:axId val="1335143871"/>
      </c:scatterChart>
      <c:valAx>
        <c:axId val="1335141951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1335143871"/>
        <c:crosses val="autoZero"/>
        <c:crossBetween val="midCat"/>
        <c:majorUnit val="32"/>
      </c:valAx>
      <c:valAx>
        <c:axId val="1335143871"/>
        <c:scaling>
          <c:orientation val="minMax"/>
          <c:max val="4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133514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542925</xdr:colOff>
      <xdr:row>29</xdr:row>
      <xdr:rowOff>104775</xdr:rowOff>
    </xdr:from>
    <xdr:to>
      <xdr:col>39</xdr:col>
      <xdr:colOff>600075</xdr:colOff>
      <xdr:row>52</xdr:row>
      <xdr:rowOff>42863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02BF4F-6B33-4C6B-8CD3-C43BD605F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Zdravko Krpić" id="{667DBC76-3B4D-4DF3-B998-E7246B9B921E}" userId="S::krpic@etfos.hr::6f7c9807-f6cd-4dcc-b5ec-bd0ee0cec0a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93277B-209C-4DF4-AB6B-B8B8ADE16F85}" name="Table2" displayName="Table2" ref="N2:R50" totalsRowShown="0">
  <autoFilter ref="N2:R50" xr:uid="{0093277B-209C-4DF4-AB6B-B8B8ADE16F85}"/>
  <sortState xmlns:xlrd2="http://schemas.microsoft.com/office/spreadsheetml/2017/richdata2" ref="N3:R50">
    <sortCondition ref="P3:P50"/>
    <sortCondition descending="1" ref="N3:N50"/>
    <sortCondition ref="O3:O50"/>
  </sortState>
  <tableColumns count="5">
    <tableColumn id="2" xr3:uid="{4D224BE7-46E6-4B75-8E29-F2BA2DEB9E86}" name="N (rounded)"/>
    <tableColumn id="3" xr3:uid="{D1819BB5-5509-452F-8B44-CC9AD34941B5}" name="NB"/>
    <tableColumn id="4" xr3:uid="{EBE7274F-B543-4988-A903-84C0D45058DB}" name="P"/>
    <tableColumn id="5" xr3:uid="{7B85228E-A390-4AC5-B4C7-058BC05EEB3F}" name="Q"/>
    <tableColumn id="6" xr3:uid="{DCE74BBF-C5C6-49A0-93C5-33D73EE5E04E}" name="Average GFLOP/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598615-C605-40BE-B74C-13AE1B14F01B}" name="Table3" displayName="Table3" ref="T2:X50" totalsRowShown="0">
  <autoFilter ref="T2:X50" xr:uid="{11598615-C605-40BE-B74C-13AE1B14F01B}"/>
  <sortState xmlns:xlrd2="http://schemas.microsoft.com/office/spreadsheetml/2017/richdata2" ref="T3:X50">
    <sortCondition ref="V3:V50"/>
    <sortCondition descending="1" ref="T3:T50"/>
    <sortCondition ref="U3:U50"/>
  </sortState>
  <tableColumns count="5">
    <tableColumn id="2" xr3:uid="{C10C507A-7F21-4F52-838A-76E2B5A08506}" name="N (rounded)"/>
    <tableColumn id="3" xr3:uid="{89FD409B-6553-44D0-83FA-419D1397B15B}" name="NB"/>
    <tableColumn id="4" xr3:uid="{3DF2D4F5-0B54-4892-859C-584433F6E007}" name="P"/>
    <tableColumn id="5" xr3:uid="{96D21AA9-8CE4-43C4-806C-9422EFDFAFB5}" name="Q"/>
    <tableColumn id="6" xr3:uid="{619BE203-8B87-44F3-81E4-2811A54A5B17}" name="Average GFLOP/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F5265E-FD71-4A6B-9280-E8A7124C753E}" name="Table4" displayName="Table4" ref="A2:E74" totalsRowShown="0">
  <autoFilter ref="A2:E74" xr:uid="{16F5265E-FD71-4A6B-9280-E8A7124C753E}"/>
  <sortState xmlns:xlrd2="http://schemas.microsoft.com/office/spreadsheetml/2017/richdata2" ref="A3:E74">
    <sortCondition ref="C3:C74"/>
    <sortCondition descending="1" ref="A3:A74"/>
    <sortCondition ref="B3:B74"/>
  </sortState>
  <tableColumns count="5">
    <tableColumn id="2" xr3:uid="{E7269A0F-7C70-44EE-A500-F43394E0A1C6}" name="N (rounded)"/>
    <tableColumn id="3" xr3:uid="{CCDFC4E4-0BF7-4A8E-8699-6CAECDEF1455}" name="NB"/>
    <tableColumn id="4" xr3:uid="{AA74BA52-A4BD-45F2-8486-714D794A952A}" name="P"/>
    <tableColumn id="5" xr3:uid="{D88E048A-3B96-4DC9-B592-5495E04202AE}" name="Q"/>
    <tableColumn id="6" xr3:uid="{876E14FD-14FF-4B5B-ADD3-4E8702862148}" name="Average GFLOP/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A61710-FDB0-47E0-B50C-907DB71755CD}" name="Table5" displayName="Table5" ref="G2:K74" totalsRowShown="0">
  <autoFilter ref="G2:K74" xr:uid="{B3A61710-FDB0-47E0-B50C-907DB71755CD}"/>
  <sortState xmlns:xlrd2="http://schemas.microsoft.com/office/spreadsheetml/2017/richdata2" ref="G3:K74">
    <sortCondition ref="I3:I74"/>
    <sortCondition descending="1" ref="G3:G74"/>
    <sortCondition ref="H3:H74"/>
  </sortState>
  <tableColumns count="5">
    <tableColumn id="2" xr3:uid="{57CCC166-F584-4140-ACFB-CC6FCE2D10BE}" name="N (rounded)"/>
    <tableColumn id="3" xr3:uid="{652E8BBE-77C9-4601-9625-28E39BE73085}" name="NB"/>
    <tableColumn id="4" xr3:uid="{BBD30CCF-BC9D-404B-9652-C1D91FF82242}" name="P"/>
    <tableColumn id="5" xr3:uid="{02C2A2C6-F92D-459C-8698-F41D0F4ACFA5}" name="Q"/>
    <tableColumn id="6" xr3:uid="{58897159-BA50-4C2E-BF95-357EC3FAEB58}" name="Average GFLOP/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sustav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9-04T10:39:37.91" personId="{667DBC76-3B4D-4DF3-B998-E7246B9B921E}" id="{A5703110-4760-4122-8C19-11278EDE14A5}">
    <text>Overr su "-F” vs. "-Fa"
Bili su lošiji inicijalno, ali bolji nakon flagsearcha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st.github.com/fm4dd/c663217935dc17f0fc73c9c81b0aa845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A4B5-93CF-4B8A-8DFF-B002923152E4}">
  <dimension ref="A1:Q14"/>
  <sheetViews>
    <sheetView workbookViewId="0">
      <selection activeCell="O13" sqref="O13:Q13"/>
    </sheetView>
  </sheetViews>
  <sheetFormatPr defaultRowHeight="15"/>
  <cols>
    <col min="1" max="1" width="12.28515625" bestFit="1" customWidth="1"/>
    <col min="2" max="2" width="6.28515625" bestFit="1" customWidth="1"/>
    <col min="3" max="3" width="8.140625" bestFit="1" customWidth="1"/>
    <col min="4" max="4" width="15.140625" bestFit="1" customWidth="1"/>
    <col min="5" max="5" width="12.140625" bestFit="1" customWidth="1"/>
    <col min="6" max="6" width="26.28515625" customWidth="1"/>
    <col min="7" max="7" width="10.5703125" customWidth="1"/>
    <col min="10" max="10" width="27.140625" bestFit="1" customWidth="1"/>
    <col min="11" max="11" width="18" bestFit="1" customWidth="1"/>
    <col min="12" max="12" width="31.140625" bestFit="1" customWidth="1"/>
  </cols>
  <sheetData>
    <row r="1" spans="1:17">
      <c r="A1" s="6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/>
      <c r="I1" s="5"/>
      <c r="J1" s="5" t="s">
        <v>15</v>
      </c>
      <c r="K1" t="s">
        <v>16</v>
      </c>
    </row>
    <row r="2" spans="1:17">
      <c r="A2" s="6" t="s">
        <v>17</v>
      </c>
      <c r="C2" t="s">
        <v>18</v>
      </c>
      <c r="D2" t="s">
        <v>19</v>
      </c>
      <c r="E2" t="s">
        <v>19</v>
      </c>
      <c r="F2" t="s">
        <v>20</v>
      </c>
      <c r="G2" t="s">
        <v>21</v>
      </c>
      <c r="K2" t="s">
        <v>22</v>
      </c>
      <c r="L2" t="s">
        <v>23</v>
      </c>
    </row>
    <row r="3" spans="1:17">
      <c r="A3" s="6" t="s">
        <v>0</v>
      </c>
      <c r="C3" t="s">
        <v>24</v>
      </c>
      <c r="D3" t="s">
        <v>25</v>
      </c>
      <c r="E3" t="s">
        <v>25</v>
      </c>
      <c r="F3" t="s">
        <v>26</v>
      </c>
      <c r="G3" t="s">
        <v>21</v>
      </c>
      <c r="J3" t="s">
        <v>27</v>
      </c>
      <c r="K3" t="s">
        <v>28</v>
      </c>
    </row>
    <row r="4" spans="1:17">
      <c r="A4" s="6" t="s">
        <v>29</v>
      </c>
      <c r="C4" t="s">
        <v>24</v>
      </c>
      <c r="D4" t="s">
        <v>30</v>
      </c>
      <c r="E4" t="s">
        <v>30</v>
      </c>
      <c r="F4" t="s">
        <v>31</v>
      </c>
      <c r="G4" t="s">
        <v>21</v>
      </c>
      <c r="J4" t="s">
        <v>27</v>
      </c>
      <c r="K4" t="s">
        <v>32</v>
      </c>
      <c r="L4" t="s">
        <v>33</v>
      </c>
    </row>
    <row r="5" spans="1:17">
      <c r="A5" s="70" t="s">
        <v>34</v>
      </c>
      <c r="B5" s="2" t="s">
        <v>35</v>
      </c>
      <c r="C5" t="s">
        <v>24</v>
      </c>
      <c r="D5" t="s">
        <v>25</v>
      </c>
      <c r="E5" t="s">
        <v>25</v>
      </c>
      <c r="F5" t="s">
        <v>26</v>
      </c>
      <c r="G5" t="s">
        <v>21</v>
      </c>
      <c r="J5" t="s">
        <v>27</v>
      </c>
      <c r="K5" t="s">
        <v>28</v>
      </c>
      <c r="L5" s="71" t="s">
        <v>36</v>
      </c>
    </row>
    <row r="6" spans="1:17">
      <c r="A6" s="70"/>
      <c r="B6" s="2" t="s">
        <v>37</v>
      </c>
      <c r="C6" t="s">
        <v>24</v>
      </c>
      <c r="D6" t="s">
        <v>38</v>
      </c>
      <c r="E6" t="s">
        <v>38</v>
      </c>
      <c r="F6" t="s">
        <v>26</v>
      </c>
      <c r="G6" t="s">
        <v>21</v>
      </c>
      <c r="J6" t="s">
        <v>27</v>
      </c>
      <c r="K6" t="s">
        <v>28</v>
      </c>
      <c r="L6" s="71"/>
    </row>
    <row r="12" spans="1:17" ht="60">
      <c r="A12" s="72" t="s">
        <v>41</v>
      </c>
      <c r="B12" s="72"/>
      <c r="C12" s="11" t="s">
        <v>53</v>
      </c>
      <c r="D12" s="11" t="s">
        <v>42</v>
      </c>
      <c r="E12" s="11" t="s">
        <v>43</v>
      </c>
      <c r="F12" s="11" t="s">
        <v>44</v>
      </c>
      <c r="G12" s="11" t="s">
        <v>45</v>
      </c>
      <c r="H12" s="11" t="s">
        <v>46</v>
      </c>
      <c r="I12" s="11" t="s">
        <v>47</v>
      </c>
      <c r="J12" s="11" t="s">
        <v>2</v>
      </c>
      <c r="K12" s="11" t="s">
        <v>3</v>
      </c>
      <c r="L12" s="11" t="s">
        <v>4</v>
      </c>
      <c r="M12" s="11" t="s">
        <v>48</v>
      </c>
      <c r="N12" s="11" t="s">
        <v>49</v>
      </c>
      <c r="O12" s="11" t="s">
        <v>50</v>
      </c>
      <c r="P12" s="11" t="s">
        <v>51</v>
      </c>
      <c r="Q12" s="11" t="s">
        <v>52</v>
      </c>
    </row>
    <row r="13" spans="1:17">
      <c r="A13" t="s">
        <v>53</v>
      </c>
      <c r="B13">
        <v>4</v>
      </c>
      <c r="C13">
        <v>1</v>
      </c>
      <c r="D13" t="s">
        <v>68</v>
      </c>
      <c r="E13">
        <v>3937528</v>
      </c>
      <c r="F13">
        <f>$B$14*SQRT(($C13*$E13*1024)/8)</f>
        <v>17960.019314020796</v>
      </c>
      <c r="G13">
        <f>_xlfn.CEILING.MATH(F13/J13)*J13</f>
        <v>17984</v>
      </c>
      <c r="H13">
        <f>SQRT($B$14*($C13*$E13*1024)/8)</f>
        <v>20079.912031679822</v>
      </c>
      <c r="I13">
        <f>_xlfn.CEILING.MATH(H13/J13)*J13</f>
        <v>20096</v>
      </c>
      <c r="J13">
        <v>64</v>
      </c>
      <c r="K13">
        <v>2</v>
      </c>
      <c r="L13">
        <v>2</v>
      </c>
      <c r="M13">
        <f>I13-G13</f>
        <v>2112</v>
      </c>
      <c r="N13">
        <f>M13/2</f>
        <v>1056</v>
      </c>
      <c r="O13">
        <f>G13</f>
        <v>17984</v>
      </c>
      <c r="P13">
        <f>_xlfn.CEILING.MATH((O13+N13)/J13)*J13</f>
        <v>19072</v>
      </c>
      <c r="Q13">
        <f>_xlfn.CEILING.MATH((P13+N13)/J13)*J13</f>
        <v>20160</v>
      </c>
    </row>
    <row r="14" spans="1:17">
      <c r="A14" t="s">
        <v>54</v>
      </c>
      <c r="B14">
        <v>0.8</v>
      </c>
      <c r="C14">
        <v>4</v>
      </c>
      <c r="D14" t="s">
        <v>68</v>
      </c>
      <c r="E14">
        <v>3937528</v>
      </c>
      <c r="F14">
        <f>$B$14*SQRT(($B$13*$E14*1024)/8)</f>
        <v>35920.038628041591</v>
      </c>
      <c r="G14">
        <f>_xlfn.CEILING.MATH(F14/J14)*J14</f>
        <v>36000</v>
      </c>
      <c r="H14">
        <f>SQRT($B$14*($B$13*$E14*1024)/8)</f>
        <v>40159.824063359643</v>
      </c>
      <c r="I14">
        <f>_xlfn.CEILING.MATH(H14/J14)*J14</f>
        <v>40160</v>
      </c>
      <c r="J14">
        <v>160</v>
      </c>
      <c r="K14">
        <v>2</v>
      </c>
      <c r="L14">
        <v>8</v>
      </c>
      <c r="M14">
        <f>I14-G14</f>
        <v>4160</v>
      </c>
      <c r="N14">
        <f>M14/2</f>
        <v>2080</v>
      </c>
      <c r="O14">
        <f>G14</f>
        <v>36000</v>
      </c>
      <c r="P14">
        <f>_xlfn.CEILING.MATH((O14+N14)/J14)*J14</f>
        <v>38080</v>
      </c>
      <c r="Q14">
        <f>_xlfn.CEILING.MATH((P14+N14)/J14)*J14</f>
        <v>40160</v>
      </c>
    </row>
  </sheetData>
  <mergeCells count="3">
    <mergeCell ref="A5:A6"/>
    <mergeCell ref="L5:L6"/>
    <mergeCell ref="A12:B12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2C3B-9CE2-42F1-979D-DD3786550C7D}">
  <dimension ref="A1:U1048576"/>
  <sheetViews>
    <sheetView zoomScale="85" zoomScaleNormal="85" workbookViewId="0">
      <selection activeCell="H2" activeCellId="1" sqref="B2:B38 H2:I38"/>
    </sheetView>
  </sheetViews>
  <sheetFormatPr defaultRowHeight="15"/>
  <cols>
    <col min="2" max="2" width="32.28515625" bestFit="1" customWidth="1"/>
    <col min="3" max="3" width="18.42578125" customWidth="1"/>
    <col min="4" max="4" width="76.140625" bestFit="1" customWidth="1"/>
    <col min="5" max="5" width="23.5703125" bestFit="1" customWidth="1"/>
    <col min="6" max="6" width="26.42578125" customWidth="1"/>
    <col min="7" max="7" width="76.28515625" style="7" customWidth="1"/>
    <col min="8" max="8" width="76.28515625" style="3" customWidth="1"/>
    <col min="9" max="9" width="31.5703125" style="3" customWidth="1"/>
    <col min="10" max="10" width="34.140625" style="7" bestFit="1" customWidth="1"/>
    <col min="11" max="11" width="35.140625" style="4" bestFit="1" customWidth="1"/>
    <col min="12" max="12" width="17.5703125" bestFit="1" customWidth="1"/>
    <col min="13" max="13" width="12.7109375" bestFit="1" customWidth="1"/>
    <col min="14" max="14" width="15.7109375" bestFit="1" customWidth="1"/>
    <col min="15" max="15" width="30.42578125" customWidth="1"/>
    <col min="16" max="16" width="16.7109375" bestFit="1" customWidth="1"/>
    <col min="17" max="17" width="16.42578125" bestFit="1" customWidth="1"/>
    <col min="18" max="18" width="16.42578125" customWidth="1"/>
    <col min="19" max="19" width="79.140625" style="3" customWidth="1"/>
    <col min="21" max="21" width="16.140625" bestFit="1" customWidth="1"/>
  </cols>
  <sheetData>
    <row r="1" spans="1:21" s="13" customFormat="1" ht="60">
      <c r="A1" s="70" t="s">
        <v>80</v>
      </c>
      <c r="B1" s="70"/>
      <c r="C1" s="6" t="s">
        <v>146</v>
      </c>
      <c r="D1" s="6" t="s">
        <v>147</v>
      </c>
      <c r="E1" s="6" t="s">
        <v>148</v>
      </c>
      <c r="F1" s="6" t="s">
        <v>155</v>
      </c>
      <c r="G1" s="10" t="s">
        <v>149</v>
      </c>
      <c r="H1" s="11" t="s">
        <v>178</v>
      </c>
      <c r="I1" s="11"/>
      <c r="J1" s="10" t="s">
        <v>39</v>
      </c>
      <c r="K1" s="10" t="s">
        <v>56</v>
      </c>
      <c r="L1" s="11" t="s">
        <v>57</v>
      </c>
      <c r="M1" s="11" t="s">
        <v>58</v>
      </c>
      <c r="N1" s="9" t="s">
        <v>59</v>
      </c>
      <c r="O1" s="14" t="s">
        <v>60</v>
      </c>
      <c r="P1" s="9" t="s">
        <v>61</v>
      </c>
      <c r="Q1" s="9" t="s">
        <v>62</v>
      </c>
      <c r="R1" s="9"/>
      <c r="S1" s="12" t="s">
        <v>40</v>
      </c>
      <c r="T1" s="15"/>
      <c r="U1" s="16" t="s">
        <v>63</v>
      </c>
    </row>
    <row r="2" spans="1:21" s="8" customFormat="1">
      <c r="A2">
        <v>1</v>
      </c>
      <c r="B2" s="24" t="s">
        <v>55</v>
      </c>
      <c r="C2" s="60" t="s">
        <v>150</v>
      </c>
      <c r="D2" s="60" t="s">
        <v>151</v>
      </c>
      <c r="E2" s="25" t="s">
        <v>152</v>
      </c>
      <c r="F2" s="25"/>
      <c r="G2" s="25"/>
      <c r="H2" s="68" t="str">
        <f>_xlfn.TEXTJOIN(" ", TRUE, C2, D2, E2, F2, G2)</f>
        <v>-D c -DWALL -b 64 -A ARM64xgene1</v>
      </c>
      <c r="I2" s="68">
        <f>VLOOKUP(B2,'HPL 4 nodes, builds'!$A$4:$Y$183,25,FALSE)</f>
        <v>37.718599999999995</v>
      </c>
      <c r="J2" s="73" t="s">
        <v>134</v>
      </c>
      <c r="K2" s="25"/>
      <c r="L2"/>
      <c r="M2"/>
      <c r="N2"/>
      <c r="O2"/>
      <c r="P2"/>
      <c r="Q2"/>
      <c r="R2"/>
      <c r="S2" s="23" t="s">
        <v>69</v>
      </c>
      <c r="T2" s="17"/>
      <c r="U2" s="16" t="s">
        <v>64</v>
      </c>
    </row>
    <row r="3" spans="1:21" s="8" customFormat="1" ht="30">
      <c r="A3">
        <v>2</v>
      </c>
      <c r="B3" s="24" t="s">
        <v>82</v>
      </c>
      <c r="C3" s="60" t="s">
        <v>150</v>
      </c>
      <c r="D3" s="60" t="s">
        <v>151</v>
      </c>
      <c r="E3" s="25" t="s">
        <v>152</v>
      </c>
      <c r="F3" s="25" t="s">
        <v>156</v>
      </c>
      <c r="G3" s="25" t="s">
        <v>157</v>
      </c>
      <c r="H3" s="68" t="str">
        <f t="shared" ref="H3:H38" si="0">_xlfn.TEXTJOIN(" ", TRUE, C3, D3, E3, F3, G3)</f>
        <v>-D c -DWALL -b 64 -A ARM64xgene1 -Fa alg -march=native -mtune=native -mcpu=native -mabi=lp64</v>
      </c>
      <c r="I3" s="68">
        <f>VLOOKUP(B3,'HPL 4 nodes, builds'!$A$4:$Y$183,25,FALSE)</f>
        <v>37.8688</v>
      </c>
      <c r="J3" s="73"/>
      <c r="K3" s="25"/>
      <c r="L3"/>
      <c r="M3"/>
      <c r="N3"/>
      <c r="O3"/>
      <c r="P3"/>
      <c r="Q3"/>
      <c r="R3"/>
      <c r="S3" s="3"/>
      <c r="T3" s="19"/>
      <c r="U3" s="16" t="s">
        <v>65</v>
      </c>
    </row>
    <row r="4" spans="1:21" s="8" customFormat="1">
      <c r="A4">
        <v>3</v>
      </c>
      <c r="B4" s="24" t="s">
        <v>81</v>
      </c>
      <c r="C4" s="60" t="s">
        <v>150</v>
      </c>
      <c r="D4" s="60" t="s">
        <v>151</v>
      </c>
      <c r="E4" s="24"/>
      <c r="F4" s="25" t="s">
        <v>156</v>
      </c>
      <c r="G4" s="25" t="s">
        <v>157</v>
      </c>
      <c r="H4" s="68" t="str">
        <f t="shared" si="0"/>
        <v>-D c -DWALL -b 64 -Fa alg -march=native -mtune=native -mcpu=native -mabi=lp64</v>
      </c>
      <c r="I4" s="68">
        <f>VLOOKUP(B4,'HPL 4 nodes, builds'!$A$4:$Y$183,25,FALSE)</f>
        <v>37.544799999999995</v>
      </c>
      <c r="J4" s="73"/>
      <c r="K4" s="25"/>
      <c r="L4"/>
      <c r="M4"/>
      <c r="N4"/>
      <c r="O4"/>
      <c r="P4"/>
      <c r="Q4"/>
      <c r="R4"/>
      <c r="S4" s="3"/>
      <c r="T4" s="18"/>
      <c r="U4" s="16" t="s">
        <v>66</v>
      </c>
    </row>
    <row r="5" spans="1:21" s="8" customFormat="1" ht="15.75" customHeight="1">
      <c r="A5">
        <v>4</v>
      </c>
      <c r="B5" s="24" t="s">
        <v>84</v>
      </c>
      <c r="C5" s="60" t="s">
        <v>150</v>
      </c>
      <c r="D5" s="60" t="s">
        <v>151</v>
      </c>
      <c r="E5" s="25" t="s">
        <v>152</v>
      </c>
      <c r="F5" s="25" t="s">
        <v>156</v>
      </c>
      <c r="G5" s="25" t="s">
        <v>158</v>
      </c>
      <c r="H5" s="68" t="str">
        <f t="shared" si="0"/>
        <v>-D c -DWALL -b 64 -A ARM64xgene1 -Fa alg -march=armv8-a+crc -mtune=cortex-a72 -mcpu=cortex-a72 -mabi=lp64</v>
      </c>
      <c r="I5" s="68">
        <f>VLOOKUP(B5,'HPL 4 nodes, builds'!$A$4:$Y$183,25,FALSE)</f>
        <v>37.7226</v>
      </c>
      <c r="J5" s="73"/>
      <c r="K5" s="25"/>
      <c r="L5"/>
      <c r="M5"/>
      <c r="N5"/>
      <c r="O5"/>
      <c r="P5"/>
      <c r="Q5"/>
      <c r="R5"/>
      <c r="S5" s="3"/>
      <c r="T5" s="20"/>
      <c r="U5" s="21" t="s">
        <v>67</v>
      </c>
    </row>
    <row r="6" spans="1:21" s="8" customFormat="1" ht="30">
      <c r="A6">
        <v>5</v>
      </c>
      <c r="B6" s="24" t="s">
        <v>83</v>
      </c>
      <c r="C6" s="60" t="s">
        <v>150</v>
      </c>
      <c r="D6" s="60" t="s">
        <v>151</v>
      </c>
      <c r="E6" s="25" t="s">
        <v>152</v>
      </c>
      <c r="F6" s="25" t="s">
        <v>156</v>
      </c>
      <c r="G6" s="25" t="s">
        <v>159</v>
      </c>
      <c r="H6" s="68" t="str">
        <f t="shared" si="0"/>
        <v>-D c -DWALL -b 64 -A ARM64xgene1 -Fa alg -march=armv8-a -mtune=cortex-a72 -mcpu=cortex-a72 -mabi=lp64</v>
      </c>
      <c r="I6" s="68">
        <f>VLOOKUP(B6,'HPL 4 nodes, builds'!$A$4:$Y$183,25,FALSE)</f>
        <v>37.839599999999997</v>
      </c>
      <c r="J6" s="73"/>
      <c r="K6" s="26"/>
      <c r="L6"/>
      <c r="M6"/>
      <c r="N6"/>
      <c r="O6"/>
      <c r="P6"/>
      <c r="Q6"/>
      <c r="R6"/>
      <c r="S6" s="3"/>
    </row>
    <row r="7" spans="1:21">
      <c r="A7">
        <v>6</v>
      </c>
      <c r="B7" s="24" t="s">
        <v>85</v>
      </c>
      <c r="C7" s="60" t="s">
        <v>150</v>
      </c>
      <c r="D7" s="60" t="s">
        <v>151</v>
      </c>
      <c r="E7" s="24"/>
      <c r="F7" s="25" t="s">
        <v>156</v>
      </c>
      <c r="G7" s="25" t="s">
        <v>160</v>
      </c>
      <c r="H7" s="68" t="str">
        <f t="shared" si="0"/>
        <v>-D c -DWALL -b 64 -Fa alg -mcpu=cortex-a72 -mabi=lp64</v>
      </c>
      <c r="I7" s="68">
        <f>VLOOKUP(B7,'HPL 4 nodes, builds'!$A$4:$Y$183,25,FALSE)</f>
        <v>37.482599999999998</v>
      </c>
      <c r="J7" s="73"/>
      <c r="K7" s="26"/>
    </row>
    <row r="8" spans="1:21">
      <c r="A8">
        <v>7</v>
      </c>
      <c r="B8" s="24" t="s">
        <v>86</v>
      </c>
      <c r="C8" s="60" t="s">
        <v>150</v>
      </c>
      <c r="D8" s="60" t="s">
        <v>151</v>
      </c>
      <c r="E8" s="24"/>
      <c r="F8" s="25" t="s">
        <v>156</v>
      </c>
      <c r="G8" s="25" t="s">
        <v>161</v>
      </c>
      <c r="H8" s="68" t="str">
        <f t="shared" si="0"/>
        <v>-D c -DWALL -b 64 -Fa alg -mcpu=cortex-a72 -mtune=cortex-a72 -mabi=lp64</v>
      </c>
      <c r="I8" s="68">
        <f>VLOOKUP(B8,'HPL 4 nodes, builds'!$A$4:$Y$183,25,FALSE)</f>
        <v>37.750999999999998</v>
      </c>
      <c r="J8" s="73"/>
      <c r="K8" s="26"/>
    </row>
    <row r="9" spans="1:21">
      <c r="A9">
        <v>8</v>
      </c>
      <c r="B9" s="24" t="s">
        <v>87</v>
      </c>
      <c r="C9" s="60" t="s">
        <v>150</v>
      </c>
      <c r="D9" s="60" t="s">
        <v>151</v>
      </c>
      <c r="E9" s="25" t="s">
        <v>152</v>
      </c>
      <c r="F9" s="25" t="s">
        <v>156</v>
      </c>
      <c r="G9" s="25" t="s">
        <v>160</v>
      </c>
      <c r="H9" s="68" t="str">
        <f t="shared" si="0"/>
        <v>-D c -DWALL -b 64 -A ARM64xgene1 -Fa alg -mcpu=cortex-a72 -mabi=lp64</v>
      </c>
      <c r="I9" s="68">
        <f>VLOOKUP(B9,'HPL 4 nodes, builds'!$A$4:$Y$183,25,FALSE)</f>
        <v>36.8264</v>
      </c>
      <c r="J9" s="73"/>
      <c r="K9" s="26"/>
    </row>
    <row r="10" spans="1:21" ht="30">
      <c r="A10">
        <v>9</v>
      </c>
      <c r="B10" s="24" t="s">
        <v>88</v>
      </c>
      <c r="C10" s="60" t="s">
        <v>150</v>
      </c>
      <c r="D10" s="60" t="s">
        <v>151</v>
      </c>
      <c r="E10" s="25" t="s">
        <v>152</v>
      </c>
      <c r="F10" s="25" t="s">
        <v>156</v>
      </c>
      <c r="G10" s="25" t="s">
        <v>161</v>
      </c>
      <c r="H10" s="68" t="str">
        <f t="shared" si="0"/>
        <v>-D c -DWALL -b 64 -A ARM64xgene1 -Fa alg -mcpu=cortex-a72 -mtune=cortex-a72 -mabi=lp64</v>
      </c>
      <c r="I10" s="68">
        <f>VLOOKUP(B10,'HPL 4 nodes, builds'!$A$4:$Y$183,25,FALSE)</f>
        <v>38.0274</v>
      </c>
      <c r="J10" s="73"/>
      <c r="K10" s="26"/>
    </row>
    <row r="11" spans="1:21" ht="30">
      <c r="A11">
        <v>10</v>
      </c>
      <c r="B11" s="24" t="s">
        <v>89</v>
      </c>
      <c r="C11" s="60" t="s">
        <v>150</v>
      </c>
      <c r="D11" s="60" t="s">
        <v>151</v>
      </c>
      <c r="E11" s="25" t="s">
        <v>152</v>
      </c>
      <c r="F11" s="25" t="s">
        <v>174</v>
      </c>
      <c r="G11" s="25" t="s">
        <v>157</v>
      </c>
      <c r="H11" s="68" t="str">
        <f t="shared" si="0"/>
        <v>-D c -DWALL -b 64 -A ARM64xgene1 -F alg -march=native -mtune=native -mcpu=native -mabi=lp64</v>
      </c>
      <c r="I11" s="68">
        <f>VLOOKUP(B11,'HPL 4 nodes, builds'!$A$4:$Y$183,25,FALSE)</f>
        <v>26.079599999999999</v>
      </c>
      <c r="J11" s="73"/>
      <c r="K11" s="26"/>
    </row>
    <row r="12" spans="1:21">
      <c r="A12">
        <v>11</v>
      </c>
      <c r="B12" s="24" t="s">
        <v>90</v>
      </c>
      <c r="C12" s="60" t="s">
        <v>150</v>
      </c>
      <c r="D12" s="60" t="s">
        <v>151</v>
      </c>
      <c r="E12" s="24"/>
      <c r="F12" s="25" t="s">
        <v>156</v>
      </c>
      <c r="G12" s="25" t="s">
        <v>157</v>
      </c>
      <c r="H12" s="68" t="str">
        <f t="shared" si="0"/>
        <v>-D c -DWALL -b 64 -Fa alg -march=native -mtune=native -mcpu=native -mabi=lp64</v>
      </c>
      <c r="I12" s="68">
        <f>VLOOKUP(B12,'HPL 4 nodes, builds'!$A$4:$Y$183,25,FALSE)</f>
        <v>27.456599999999998</v>
      </c>
      <c r="J12" s="73"/>
      <c r="K12" s="26"/>
    </row>
    <row r="13" spans="1:21" ht="30">
      <c r="A13">
        <v>12</v>
      </c>
      <c r="B13" s="24" t="s">
        <v>91</v>
      </c>
      <c r="C13" s="60" t="s">
        <v>150</v>
      </c>
      <c r="D13" s="60" t="s">
        <v>151</v>
      </c>
      <c r="E13" s="25" t="s">
        <v>152</v>
      </c>
      <c r="F13" s="25" t="s">
        <v>174</v>
      </c>
      <c r="G13" s="25" t="s">
        <v>158</v>
      </c>
      <c r="H13" s="68" t="str">
        <f t="shared" si="0"/>
        <v>-D c -DWALL -b 64 -A ARM64xgene1 -F alg -march=armv8-a+crc -mtune=cortex-a72 -mcpu=cortex-a72 -mabi=lp64</v>
      </c>
      <c r="I13" s="68">
        <f>VLOOKUP(B13,'HPL 4 nodes, builds'!$A$4:$Y$183,25,FALSE)</f>
        <v>27.763400000000001</v>
      </c>
      <c r="J13" s="73"/>
      <c r="K13" s="26"/>
    </row>
    <row r="14" spans="1:21" ht="30">
      <c r="A14">
        <v>13</v>
      </c>
      <c r="B14" s="24" t="s">
        <v>92</v>
      </c>
      <c r="C14" s="60" t="s">
        <v>150</v>
      </c>
      <c r="D14" s="60" t="s">
        <v>151</v>
      </c>
      <c r="E14" s="25" t="s">
        <v>152</v>
      </c>
      <c r="F14" s="25" t="s">
        <v>174</v>
      </c>
      <c r="G14" s="25" t="s">
        <v>159</v>
      </c>
      <c r="H14" s="68" t="str">
        <f t="shared" si="0"/>
        <v>-D c -DWALL -b 64 -A ARM64xgene1 -F alg -march=armv8-a -mtune=cortex-a72 -mcpu=cortex-a72 -mabi=lp64</v>
      </c>
      <c r="I14" s="68">
        <f>VLOOKUP(B14,'HPL 4 nodes, builds'!$A$4:$Y$183,25,FALSE)</f>
        <v>27.267000000000003</v>
      </c>
      <c r="J14" s="73"/>
      <c r="K14" s="26"/>
    </row>
    <row r="15" spans="1:21">
      <c r="A15">
        <v>14</v>
      </c>
      <c r="B15" s="24" t="s">
        <v>93</v>
      </c>
      <c r="C15" s="60" t="s">
        <v>150</v>
      </c>
      <c r="D15" s="60" t="s">
        <v>151</v>
      </c>
      <c r="E15" s="24"/>
      <c r="F15" s="25" t="s">
        <v>174</v>
      </c>
      <c r="G15" s="25" t="s">
        <v>160</v>
      </c>
      <c r="H15" s="68" t="str">
        <f t="shared" si="0"/>
        <v>-D c -DWALL -b 64 -F alg -mcpu=cortex-a72 -mabi=lp64</v>
      </c>
      <c r="I15" s="68">
        <f>VLOOKUP(B15,'HPL 4 nodes, builds'!$A$4:$Y$183,25,FALSE)</f>
        <v>27.883400000000002</v>
      </c>
      <c r="J15" s="73"/>
      <c r="K15" s="26"/>
    </row>
    <row r="16" spans="1:21">
      <c r="A16">
        <v>15</v>
      </c>
      <c r="B16" s="24" t="s">
        <v>94</v>
      </c>
      <c r="C16" s="60" t="s">
        <v>150</v>
      </c>
      <c r="D16" s="60" t="s">
        <v>151</v>
      </c>
      <c r="E16" s="24"/>
      <c r="F16" s="25" t="s">
        <v>174</v>
      </c>
      <c r="G16" s="25" t="s">
        <v>161</v>
      </c>
      <c r="H16" s="68" t="str">
        <f t="shared" si="0"/>
        <v>-D c -DWALL -b 64 -F alg -mcpu=cortex-a72 -mtune=cortex-a72 -mabi=lp64</v>
      </c>
      <c r="I16" s="68">
        <f>VLOOKUP(B16,'HPL 4 nodes, builds'!$A$4:$Y$183,25,FALSE)</f>
        <v>27.933399999999999</v>
      </c>
      <c r="J16" s="73"/>
      <c r="K16" s="26"/>
    </row>
    <row r="17" spans="1:18">
      <c r="A17">
        <v>16</v>
      </c>
      <c r="B17" s="24" t="s">
        <v>95</v>
      </c>
      <c r="C17" s="60" t="s">
        <v>150</v>
      </c>
      <c r="D17" s="60" t="s">
        <v>151</v>
      </c>
      <c r="E17" s="25" t="s">
        <v>152</v>
      </c>
      <c r="F17" s="25" t="s">
        <v>174</v>
      </c>
      <c r="G17" s="25" t="s">
        <v>160</v>
      </c>
      <c r="H17" s="68" t="str">
        <f t="shared" si="0"/>
        <v>-D c -DWALL -b 64 -A ARM64xgene1 -F alg -mcpu=cortex-a72 -mabi=lp64</v>
      </c>
      <c r="I17" s="68">
        <f>VLOOKUP(B17,'HPL 4 nodes, builds'!$A$4:$Y$183,25,FALSE)</f>
        <v>27.938800000000004</v>
      </c>
      <c r="J17" s="73"/>
      <c r="K17" s="26"/>
    </row>
    <row r="18" spans="1:18" ht="30">
      <c r="A18">
        <v>17</v>
      </c>
      <c r="B18" s="24" t="s">
        <v>96</v>
      </c>
      <c r="C18" s="60" t="s">
        <v>150</v>
      </c>
      <c r="D18" s="60" t="s">
        <v>151</v>
      </c>
      <c r="E18" s="25" t="s">
        <v>152</v>
      </c>
      <c r="F18" s="25" t="s">
        <v>174</v>
      </c>
      <c r="G18" s="25" t="s">
        <v>161</v>
      </c>
      <c r="H18" s="68" t="str">
        <f t="shared" si="0"/>
        <v>-D c -DWALL -b 64 -A ARM64xgene1 -F alg -mcpu=cortex-a72 -mtune=cortex-a72 -mabi=lp64</v>
      </c>
      <c r="I18" s="68">
        <f>VLOOKUP(B18,'HPL 4 nodes, builds'!$A$4:$Y$183,25,FALSE)</f>
        <v>27.615199999999998</v>
      </c>
      <c r="J18" s="73"/>
    </row>
    <row r="19" spans="1:18">
      <c r="A19">
        <v>18</v>
      </c>
      <c r="B19" s="24" t="s">
        <v>97</v>
      </c>
      <c r="C19" s="60" t="s">
        <v>150</v>
      </c>
      <c r="D19" s="60"/>
      <c r="E19" s="28" t="s">
        <v>153</v>
      </c>
      <c r="F19" s="28"/>
      <c r="G19" s="28"/>
      <c r="H19" s="68" t="str">
        <f t="shared" si="0"/>
        <v>-D c -DWALL -Si archdef 1</v>
      </c>
      <c r="I19" s="68">
        <f>VLOOKUP(B19,'HPL 4 nodes, builds'!$A$4:$Y$183,25,FALSE)</f>
        <v>36.664199999999994</v>
      </c>
      <c r="J19" s="73"/>
    </row>
    <row r="20" spans="1:18">
      <c r="A20">
        <v>19</v>
      </c>
      <c r="B20" s="24" t="s">
        <v>98</v>
      </c>
      <c r="C20" s="60" t="s">
        <v>150</v>
      </c>
      <c r="D20" s="60"/>
      <c r="E20" s="28" t="s">
        <v>154</v>
      </c>
      <c r="F20" s="28"/>
      <c r="G20" s="28"/>
      <c r="H20" s="68" t="str">
        <f t="shared" si="0"/>
        <v>-D c -DWALL -Si archdef 0</v>
      </c>
      <c r="I20" s="68" t="e">
        <f>VLOOKUP(B20,'HPL 4 nodes, builds'!$A$4:$Y$183,25,FALSE)</f>
        <v>#N/A</v>
      </c>
      <c r="J20" s="73"/>
    </row>
    <row r="21" spans="1:18" s="55" customFormat="1">
      <c r="A21" s="55">
        <v>20</v>
      </c>
      <c r="B21" s="58" t="s">
        <v>116</v>
      </c>
      <c r="C21" s="60" t="s">
        <v>150</v>
      </c>
      <c r="D21" s="60" t="s">
        <v>151</v>
      </c>
      <c r="E21" s="56"/>
      <c r="F21" s="25" t="s">
        <v>156</v>
      </c>
      <c r="G21" s="56" t="s">
        <v>162</v>
      </c>
      <c r="H21" s="68" t="str">
        <f t="shared" si="0"/>
        <v>-D c -DWALL -b 64 -Fa alg  -O1 -pipe -fschedule-insns2</v>
      </c>
      <c r="I21" s="68">
        <f>VLOOKUP(B21,'HPL 4 nodes, builds'!$A$4:$Y$183,25,FALSE)</f>
        <v>38.111599999999996</v>
      </c>
      <c r="J21" s="57"/>
      <c r="K21" s="55">
        <v>243761</v>
      </c>
      <c r="R21" s="58"/>
    </row>
    <row r="22" spans="1:18" s="55" customFormat="1" ht="30">
      <c r="A22" s="55">
        <v>21</v>
      </c>
      <c r="B22" s="58" t="s">
        <v>117</v>
      </c>
      <c r="C22" s="60" t="s">
        <v>150</v>
      </c>
      <c r="D22" s="60" t="s">
        <v>151</v>
      </c>
      <c r="E22" s="56"/>
      <c r="F22" s="25" t="s">
        <v>156</v>
      </c>
      <c r="G22" s="56" t="s">
        <v>163</v>
      </c>
      <c r="H22" s="68" t="str">
        <f t="shared" si="0"/>
        <v>-D c -DWALL -b 64 -Fa alg  -O1 -pipe -fno-schedule-insns -fno-expensive-optimizations -fschedule-insns2</v>
      </c>
      <c r="I22" s="68">
        <f>VLOOKUP(B22,'HPL 4 nodes, builds'!$A$4:$Y$183,25,FALSE)</f>
        <v>38.278800000000004</v>
      </c>
      <c r="J22" s="57"/>
      <c r="K22" s="55">
        <v>231860</v>
      </c>
      <c r="R22" s="58"/>
    </row>
    <row r="23" spans="1:18" s="55" customFormat="1">
      <c r="A23" s="55">
        <v>22</v>
      </c>
      <c r="B23" s="58" t="s">
        <v>118</v>
      </c>
      <c r="C23" s="60" t="s">
        <v>150</v>
      </c>
      <c r="D23" s="60" t="s">
        <v>151</v>
      </c>
      <c r="E23" s="56"/>
      <c r="F23" s="25" t="s">
        <v>156</v>
      </c>
      <c r="G23" s="56" t="s">
        <v>164</v>
      </c>
      <c r="H23" s="68" t="str">
        <f t="shared" si="0"/>
        <v>-D c -DWALL -b 64 -Fa alg  -Os -pipe -funroll-all-loops</v>
      </c>
      <c r="I23" s="68">
        <f>VLOOKUP(B23,'HPL 4 nodes, builds'!$A$4:$Y$183,25,FALSE)</f>
        <v>38.003400000000006</v>
      </c>
      <c r="J23" s="57"/>
      <c r="K23" s="55">
        <v>217447</v>
      </c>
      <c r="R23" s="58"/>
    </row>
    <row r="24" spans="1:18" s="55" customFormat="1" ht="30">
      <c r="A24" s="55">
        <v>23</v>
      </c>
      <c r="B24" s="58" t="s">
        <v>119</v>
      </c>
      <c r="C24" s="60" t="s">
        <v>150</v>
      </c>
      <c r="D24" s="60" t="s">
        <v>151</v>
      </c>
      <c r="E24" s="56"/>
      <c r="F24" s="25" t="s">
        <v>156</v>
      </c>
      <c r="G24" s="56" t="s">
        <v>165</v>
      </c>
      <c r="H24" s="68" t="str">
        <f t="shared" si="0"/>
        <v>-D c -DWALL -b 64 -Fa alg  -Os -pipe -fschedule-insns2 -mtune=native -fexpensive-optimizations</v>
      </c>
      <c r="I24" s="68">
        <f>VLOOKUP(B24,'HPL 4 nodes, builds'!$A$4:$Y$183,25,FALSE)</f>
        <v>39.194399999999995</v>
      </c>
      <c r="J24" s="57"/>
      <c r="K24" s="55">
        <v>249047</v>
      </c>
      <c r="R24" s="58"/>
    </row>
    <row r="25" spans="1:18" s="55" customFormat="1" ht="30">
      <c r="A25" s="55">
        <v>24</v>
      </c>
      <c r="B25" s="58" t="s">
        <v>120</v>
      </c>
      <c r="C25" s="60" t="s">
        <v>150</v>
      </c>
      <c r="D25" s="60" t="s">
        <v>151</v>
      </c>
      <c r="E25" s="56"/>
      <c r="F25" s="25" t="s">
        <v>156</v>
      </c>
      <c r="G25" s="56" t="s">
        <v>163</v>
      </c>
      <c r="H25" s="68" t="str">
        <f t="shared" si="0"/>
        <v>-D c -DWALL -b 64 -Fa alg  -O1 -pipe -fno-schedule-insns -fno-expensive-optimizations -fschedule-insns2</v>
      </c>
      <c r="I25" s="68">
        <f>VLOOKUP(B25,'HPL 4 nodes, builds'!$A$4:$Y$183,25,FALSE)</f>
        <v>37.389000000000003</v>
      </c>
      <c r="J25" s="57"/>
      <c r="K25" s="55">
        <v>232195</v>
      </c>
      <c r="R25" s="58"/>
    </row>
    <row r="26" spans="1:18" s="55" customFormat="1" ht="30">
      <c r="A26" s="55">
        <v>25</v>
      </c>
      <c r="B26" s="58" t="s">
        <v>121</v>
      </c>
      <c r="C26" s="60" t="s">
        <v>150</v>
      </c>
      <c r="D26" s="60" t="s">
        <v>151</v>
      </c>
      <c r="E26" s="56"/>
      <c r="F26" s="25" t="s">
        <v>156</v>
      </c>
      <c r="G26" s="56" t="s">
        <v>166</v>
      </c>
      <c r="H26" s="68" t="str">
        <f t="shared" si="0"/>
        <v>-D c -DWALL -b 64 -Fa alg  -Os -pipe -fschedule-insns2 -mtune=native -frename-registers</v>
      </c>
      <c r="I26" s="68">
        <f>VLOOKUP(B26,'HPL 4 nodes, builds'!$A$4:$Y$183,25,FALSE)</f>
        <v>39.193399999999997</v>
      </c>
      <c r="J26" s="57"/>
      <c r="K26" s="55">
        <v>250512</v>
      </c>
      <c r="R26" s="58"/>
    </row>
    <row r="27" spans="1:18" s="55" customFormat="1">
      <c r="A27" s="55">
        <v>26</v>
      </c>
      <c r="B27" s="58" t="s">
        <v>122</v>
      </c>
      <c r="C27" s="60" t="s">
        <v>150</v>
      </c>
      <c r="D27" s="60" t="s">
        <v>151</v>
      </c>
      <c r="E27" s="56"/>
      <c r="F27" s="25" t="s">
        <v>156</v>
      </c>
      <c r="G27" s="56" t="s">
        <v>167</v>
      </c>
      <c r="H27" s="68" t="str">
        <f t="shared" si="0"/>
        <v>-D c -DWALL -b 64 -Fa alg  -Os -pipe -fno-expensive-optimizations</v>
      </c>
      <c r="I27" s="68">
        <f>VLOOKUP(B27,'HPL 4 nodes, builds'!$A$4:$Y$183,25,FALSE)</f>
        <v>38.200400000000002</v>
      </c>
      <c r="J27" s="57"/>
      <c r="K27" s="55">
        <v>251713</v>
      </c>
      <c r="R27" s="58"/>
    </row>
    <row r="28" spans="1:18" s="55" customFormat="1">
      <c r="A28" s="55">
        <v>27</v>
      </c>
      <c r="B28" s="58" t="s">
        <v>123</v>
      </c>
      <c r="C28" s="60" t="s">
        <v>150</v>
      </c>
      <c r="D28" s="60" t="s">
        <v>151</v>
      </c>
      <c r="E28" s="56"/>
      <c r="F28" s="25" t="s">
        <v>156</v>
      </c>
      <c r="G28" s="56" t="s">
        <v>162</v>
      </c>
      <c r="H28" s="68" t="str">
        <f t="shared" si="0"/>
        <v>-D c -DWALL -b 64 -Fa alg  -O1 -pipe -fschedule-insns2</v>
      </c>
      <c r="I28" s="68">
        <f>VLOOKUP(B28,'HPL 4 nodes, builds'!$A$4:$Y$183,25,FALSE)</f>
        <v>38.276799999999994</v>
      </c>
      <c r="J28" s="57"/>
      <c r="K28" s="55">
        <v>245070</v>
      </c>
      <c r="R28" s="58"/>
    </row>
    <row r="29" spans="1:18" s="55" customFormat="1" ht="30">
      <c r="A29" s="55">
        <v>28</v>
      </c>
      <c r="B29" s="58" t="s">
        <v>124</v>
      </c>
      <c r="C29" s="60" t="s">
        <v>150</v>
      </c>
      <c r="D29" s="60" t="s">
        <v>151</v>
      </c>
      <c r="E29" s="56"/>
      <c r="F29" s="25" t="s">
        <v>156</v>
      </c>
      <c r="G29" s="56" t="s">
        <v>168</v>
      </c>
      <c r="H29" s="68" t="str">
        <f t="shared" si="0"/>
        <v>-D c -DWALL -b 64 -Fa alg  -O1 -pipe -fno-schedule-insns -fschedule-insns2 -fno-tree-ter</v>
      </c>
      <c r="I29" s="68">
        <f>VLOOKUP(B29,'HPL 4 nodes, builds'!$A$4:$Y$183,25,FALSE)</f>
        <v>38.340999999999994</v>
      </c>
      <c r="J29" s="57"/>
      <c r="K29" s="55">
        <v>245968</v>
      </c>
      <c r="R29" s="58"/>
    </row>
    <row r="30" spans="1:18" s="55" customFormat="1">
      <c r="A30" s="55">
        <v>29</v>
      </c>
      <c r="B30" s="58" t="s">
        <v>125</v>
      </c>
      <c r="C30" s="60" t="s">
        <v>150</v>
      </c>
      <c r="D30" s="60" t="s">
        <v>151</v>
      </c>
      <c r="E30" s="56"/>
      <c r="F30" s="25" t="s">
        <v>156</v>
      </c>
      <c r="G30" s="56" t="s">
        <v>162</v>
      </c>
      <c r="H30" s="68" t="str">
        <f t="shared" si="0"/>
        <v>-D c -DWALL -b 64 -Fa alg  -O1 -pipe -fschedule-insns2</v>
      </c>
      <c r="I30" s="68">
        <f>VLOOKUP(B30,'HPL 4 nodes, builds'!$A$4:$Y$183,25,FALSE)</f>
        <v>38.394400000000005</v>
      </c>
      <c r="J30" s="57"/>
      <c r="K30" s="55">
        <v>229366</v>
      </c>
      <c r="R30" s="58"/>
    </row>
    <row r="31" spans="1:18" s="55" customFormat="1">
      <c r="A31" s="55">
        <v>30</v>
      </c>
      <c r="B31" s="58" t="s">
        <v>126</v>
      </c>
      <c r="C31" s="60" t="s">
        <v>150</v>
      </c>
      <c r="D31" s="60" t="s">
        <v>151</v>
      </c>
      <c r="E31" s="56"/>
      <c r="F31" s="25" t="s">
        <v>156</v>
      </c>
      <c r="G31" s="56" t="s">
        <v>169</v>
      </c>
      <c r="H31" s="68" t="str">
        <f t="shared" si="0"/>
        <v>-D c -DWALL -b 64 -Fa alg  -Os -pipe -fschedule-insns2 -mtune=native -fno-tree-ter</v>
      </c>
      <c r="I31" s="68">
        <f>VLOOKUP(B31,'HPL 4 nodes, builds'!$A$4:$Y$183,25,FALSE)</f>
        <v>39.096600000000002</v>
      </c>
      <c r="J31" s="57"/>
      <c r="K31" s="55">
        <v>246153</v>
      </c>
      <c r="R31" s="58"/>
    </row>
    <row r="32" spans="1:18" s="55" customFormat="1">
      <c r="A32" s="55">
        <v>31</v>
      </c>
      <c r="B32" s="58" t="s">
        <v>131</v>
      </c>
      <c r="C32" s="60" t="s">
        <v>150</v>
      </c>
      <c r="D32" s="60" t="s">
        <v>151</v>
      </c>
      <c r="E32" s="56"/>
      <c r="F32" s="25" t="s">
        <v>156</v>
      </c>
      <c r="G32" s="56" t="s">
        <v>162</v>
      </c>
      <c r="H32" s="68" t="str">
        <f t="shared" si="0"/>
        <v>-D c -DWALL -b 64 -Fa alg  -O1 -pipe -fschedule-insns2</v>
      </c>
      <c r="I32" s="68">
        <f>VLOOKUP(B32,'HPL 4 nodes, builds'!$A$4:$Y$183,25,FALSE)</f>
        <v>37.851600000000005</v>
      </c>
      <c r="J32" s="57"/>
      <c r="K32" s="55">
        <v>231666</v>
      </c>
      <c r="R32" s="58"/>
    </row>
    <row r="33" spans="1:20" s="55" customFormat="1">
      <c r="A33" s="55">
        <v>32</v>
      </c>
      <c r="B33" s="58" t="s">
        <v>132</v>
      </c>
      <c r="C33" s="60" t="s">
        <v>150</v>
      </c>
      <c r="D33" s="60" t="s">
        <v>151</v>
      </c>
      <c r="E33" s="56"/>
      <c r="F33" s="25" t="s">
        <v>156</v>
      </c>
      <c r="G33" s="56" t="s">
        <v>170</v>
      </c>
      <c r="H33" s="68" t="str">
        <f t="shared" si="0"/>
        <v>-D c -DWALL -b 64 -Fa alg  -O1 -pipe -fschedule-insns2 -fexpensive-optimizations</v>
      </c>
      <c r="I33" s="68">
        <f>VLOOKUP(B33,'HPL 4 nodes, builds'!$A$4:$Y$183,25,FALSE)</f>
        <v>39.318399999999997</v>
      </c>
      <c r="J33" s="57"/>
      <c r="K33" s="55">
        <v>234557</v>
      </c>
      <c r="R33" s="58"/>
    </row>
    <row r="34" spans="1:20" s="55" customFormat="1">
      <c r="A34" s="55">
        <v>33</v>
      </c>
      <c r="B34" s="58" t="s">
        <v>133</v>
      </c>
      <c r="C34" s="60" t="s">
        <v>150</v>
      </c>
      <c r="D34" s="60" t="s">
        <v>151</v>
      </c>
      <c r="E34" s="56"/>
      <c r="F34" s="25" t="s">
        <v>156</v>
      </c>
      <c r="G34" s="56" t="s">
        <v>171</v>
      </c>
      <c r="H34" s="68" t="str">
        <f t="shared" si="0"/>
        <v>-D c -DWALL -b 64 -Fa alg  -O1 -pipe -fschedule-insns2 -frename-registers</v>
      </c>
      <c r="I34" s="68">
        <f>VLOOKUP(B34,'HPL 4 nodes, builds'!$A$4:$Y$183,25,FALSE)</f>
        <v>38.7468</v>
      </c>
      <c r="J34" s="57"/>
      <c r="K34" s="55">
        <v>240043</v>
      </c>
      <c r="R34" s="58"/>
    </row>
    <row r="35" spans="1:20" s="55" customFormat="1" ht="30">
      <c r="A35" s="55">
        <v>34</v>
      </c>
      <c r="B35" s="58" t="s">
        <v>127</v>
      </c>
      <c r="C35" s="60" t="s">
        <v>150</v>
      </c>
      <c r="D35" s="60" t="s">
        <v>151</v>
      </c>
      <c r="E35" s="56"/>
      <c r="F35" s="25" t="s">
        <v>156</v>
      </c>
      <c r="G35" s="56" t="s">
        <v>172</v>
      </c>
      <c r="H35" s="68" t="str">
        <f t="shared" si="0"/>
        <v>-D c -DWALL -b 64 -Fa alg  -Os -pipe -fschedule-insns2 -mcpu=cortex-a72 -fno-tree-ter</v>
      </c>
      <c r="I35" s="68">
        <f>VLOOKUP(B35,'HPL 4 nodes, builds'!$A$4:$Y$183,25,FALSE)</f>
        <v>39.445</v>
      </c>
      <c r="J35" s="57"/>
      <c r="K35" s="55">
        <v>254645</v>
      </c>
      <c r="R35" s="58"/>
    </row>
    <row r="36" spans="1:20" s="55" customFormat="1">
      <c r="A36" s="55">
        <v>35</v>
      </c>
      <c r="B36" s="58" t="s">
        <v>128</v>
      </c>
      <c r="C36" s="60" t="s">
        <v>150</v>
      </c>
      <c r="D36" s="60" t="s">
        <v>151</v>
      </c>
      <c r="E36" s="56"/>
      <c r="F36" s="25" t="s">
        <v>156</v>
      </c>
      <c r="G36" s="56" t="s">
        <v>170</v>
      </c>
      <c r="H36" s="68" t="str">
        <f t="shared" si="0"/>
        <v>-D c -DWALL -b 64 -Fa alg  -O1 -pipe -fschedule-insns2 -fexpensive-optimizations</v>
      </c>
      <c r="I36" s="68">
        <f>VLOOKUP(B36,'HPL 4 nodes, builds'!$A$4:$Y$183,25,FALSE)</f>
        <v>38.947199999999995</v>
      </c>
      <c r="J36" s="57"/>
      <c r="K36" s="55">
        <v>234529</v>
      </c>
      <c r="R36" s="58"/>
    </row>
    <row r="37" spans="1:20" s="55" customFormat="1">
      <c r="A37" s="55">
        <v>36</v>
      </c>
      <c r="B37" s="58" t="s">
        <v>129</v>
      </c>
      <c r="C37" s="60" t="s">
        <v>150</v>
      </c>
      <c r="D37" s="60" t="s">
        <v>151</v>
      </c>
      <c r="E37" s="56"/>
      <c r="F37" s="25" t="s">
        <v>156</v>
      </c>
      <c r="G37" s="56" t="s">
        <v>162</v>
      </c>
      <c r="H37" s="68" t="str">
        <f t="shared" si="0"/>
        <v>-D c -DWALL -b 64 -Fa alg  -O1 -pipe -fschedule-insns2</v>
      </c>
      <c r="I37" s="68">
        <f>VLOOKUP(B37,'HPL 4 nodes, builds'!$A$4:$Y$183,25,FALSE)</f>
        <v>39.037599999999998</v>
      </c>
      <c r="J37" s="57"/>
      <c r="K37" s="55">
        <v>235334</v>
      </c>
      <c r="R37" s="58"/>
    </row>
    <row r="38" spans="1:20" s="55" customFormat="1">
      <c r="A38" s="55">
        <v>37</v>
      </c>
      <c r="B38" s="58" t="s">
        <v>130</v>
      </c>
      <c r="C38" s="60" t="s">
        <v>150</v>
      </c>
      <c r="D38" s="60" t="s">
        <v>151</v>
      </c>
      <c r="E38" s="56"/>
      <c r="F38" s="25" t="s">
        <v>156</v>
      </c>
      <c r="G38" s="56" t="s">
        <v>173</v>
      </c>
      <c r="H38" s="68" t="str">
        <f t="shared" si="0"/>
        <v>-D c -DWALL -b 64 -Fa alg  -Os -pipe -fschedule-insns2 -mtune=native</v>
      </c>
      <c r="I38" s="68">
        <f>VLOOKUP(B38,'HPL 4 nodes, builds'!$A$4:$Y$183,25,FALSE)</f>
        <v>39.423000000000002</v>
      </c>
      <c r="J38" s="57"/>
      <c r="K38" s="55">
        <v>253163</v>
      </c>
      <c r="R38" s="58"/>
    </row>
    <row r="43" spans="1:20">
      <c r="A43" t="s">
        <v>80</v>
      </c>
      <c r="C43" t="s">
        <v>148</v>
      </c>
      <c r="E43" t="s">
        <v>149</v>
      </c>
      <c r="G43"/>
      <c r="H43" s="7"/>
      <c r="J43" s="3"/>
      <c r="K43" s="7"/>
      <c r="L43" s="4"/>
      <c r="S43"/>
      <c r="T43" s="3"/>
    </row>
    <row r="44" spans="1:20">
      <c r="A44">
        <v>1</v>
      </c>
      <c r="B44" t="s">
        <v>55</v>
      </c>
      <c r="C44" t="s">
        <v>152</v>
      </c>
      <c r="E44" t="s">
        <v>144</v>
      </c>
      <c r="F44">
        <v>37.718599999999995</v>
      </c>
      <c r="G44"/>
      <c r="H44" s="7"/>
      <c r="J44" s="3"/>
      <c r="K44" s="7"/>
      <c r="L44" s="4"/>
      <c r="S44"/>
      <c r="T44" s="3"/>
    </row>
    <row r="45" spans="1:20">
      <c r="A45">
        <v>19</v>
      </c>
      <c r="B45" t="s">
        <v>98</v>
      </c>
      <c r="C45" t="s">
        <v>154</v>
      </c>
      <c r="E45" t="s">
        <v>144</v>
      </c>
      <c r="F45" t="e">
        <v>#N/A</v>
      </c>
      <c r="G45"/>
      <c r="H45" s="7"/>
      <c r="J45" s="3"/>
      <c r="K45" s="7"/>
      <c r="L45" s="4"/>
      <c r="S45"/>
      <c r="T45" s="3"/>
    </row>
    <row r="46" spans="1:20">
      <c r="A46">
        <v>18</v>
      </c>
      <c r="B46" t="s">
        <v>97</v>
      </c>
      <c r="C46" t="s">
        <v>153</v>
      </c>
      <c r="E46" t="s">
        <v>144</v>
      </c>
      <c r="F46" t="e">
        <v>#N/A</v>
      </c>
      <c r="G46"/>
      <c r="H46" s="7"/>
      <c r="J46" s="3"/>
      <c r="K46" s="7"/>
      <c r="L46" s="4"/>
      <c r="S46"/>
      <c r="T46" s="3"/>
    </row>
    <row r="47" spans="1:20">
      <c r="A47">
        <v>17</v>
      </c>
      <c r="B47" t="s">
        <v>96</v>
      </c>
      <c r="C47" t="s">
        <v>152</v>
      </c>
      <c r="D47" t="s">
        <v>175</v>
      </c>
      <c r="E47" t="s">
        <v>161</v>
      </c>
      <c r="F47" t="e">
        <v>#N/A</v>
      </c>
      <c r="G47"/>
      <c r="H47" s="7"/>
      <c r="J47" s="3"/>
      <c r="K47" s="7"/>
      <c r="L47" s="4"/>
      <c r="S47"/>
      <c r="T47" s="3"/>
    </row>
    <row r="48" spans="1:20">
      <c r="A48">
        <v>9</v>
      </c>
      <c r="B48" t="s">
        <v>88</v>
      </c>
      <c r="C48" t="s">
        <v>152</v>
      </c>
      <c r="E48" t="s">
        <v>161</v>
      </c>
      <c r="F48">
        <v>38.0274</v>
      </c>
      <c r="G48"/>
      <c r="H48" s="7"/>
      <c r="J48" s="3"/>
      <c r="K48" s="7"/>
      <c r="L48" s="4"/>
      <c r="S48"/>
      <c r="T48" s="3"/>
    </row>
    <row r="49" spans="1:20">
      <c r="A49">
        <v>15</v>
      </c>
      <c r="B49" t="s">
        <v>94</v>
      </c>
      <c r="C49" t="s">
        <v>144</v>
      </c>
      <c r="D49" t="s">
        <v>175</v>
      </c>
      <c r="E49" t="s">
        <v>161</v>
      </c>
      <c r="F49" t="e">
        <v>#N/A</v>
      </c>
      <c r="G49"/>
      <c r="H49" s="7"/>
      <c r="J49" s="3"/>
      <c r="K49" s="7"/>
      <c r="L49" s="4"/>
      <c r="S49"/>
      <c r="T49" s="3"/>
    </row>
    <row r="50" spans="1:20">
      <c r="A50">
        <v>7</v>
      </c>
      <c r="B50" t="s">
        <v>86</v>
      </c>
      <c r="C50" t="s">
        <v>144</v>
      </c>
      <c r="E50" t="s">
        <v>161</v>
      </c>
      <c r="F50">
        <v>37.750999999999998</v>
      </c>
      <c r="G50"/>
      <c r="H50" s="7"/>
      <c r="J50" s="3"/>
      <c r="K50" s="7"/>
      <c r="L50" s="4"/>
      <c r="S50"/>
      <c r="T50" s="3"/>
    </row>
    <row r="51" spans="1:20">
      <c r="A51">
        <v>16</v>
      </c>
      <c r="B51" t="s">
        <v>95</v>
      </c>
      <c r="C51" t="s">
        <v>152</v>
      </c>
      <c r="D51" t="s">
        <v>175</v>
      </c>
      <c r="E51" t="s">
        <v>160</v>
      </c>
      <c r="F51" t="e">
        <v>#N/A</v>
      </c>
      <c r="G51"/>
      <c r="H51" s="7"/>
      <c r="J51" s="3"/>
      <c r="K51" s="7"/>
      <c r="L51" s="4"/>
      <c r="S51"/>
      <c r="T51" s="3"/>
    </row>
    <row r="52" spans="1:20">
      <c r="A52">
        <v>8</v>
      </c>
      <c r="B52" t="s">
        <v>87</v>
      </c>
      <c r="C52" t="s">
        <v>152</v>
      </c>
      <c r="E52" t="s">
        <v>160</v>
      </c>
      <c r="F52">
        <v>36.8264</v>
      </c>
      <c r="G52"/>
      <c r="H52" s="7"/>
      <c r="J52" s="3"/>
      <c r="K52" s="7"/>
      <c r="L52" s="4"/>
      <c r="S52"/>
      <c r="T52" s="3"/>
    </row>
    <row r="53" spans="1:20">
      <c r="A53">
        <v>14</v>
      </c>
      <c r="B53" t="s">
        <v>93</v>
      </c>
      <c r="C53" t="s">
        <v>144</v>
      </c>
      <c r="D53" t="s">
        <v>175</v>
      </c>
      <c r="E53" t="s">
        <v>160</v>
      </c>
      <c r="F53" t="e">
        <v>#N/A</v>
      </c>
      <c r="G53"/>
      <c r="H53" s="7"/>
      <c r="J53" s="3"/>
      <c r="K53" s="7"/>
      <c r="L53" s="4"/>
      <c r="S53"/>
      <c r="T53" s="3"/>
    </row>
    <row r="54" spans="1:20">
      <c r="A54">
        <v>6</v>
      </c>
      <c r="B54" t="s">
        <v>85</v>
      </c>
      <c r="C54" t="s">
        <v>144</v>
      </c>
      <c r="E54" t="s">
        <v>160</v>
      </c>
      <c r="F54">
        <v>37.482599999999998</v>
      </c>
      <c r="G54"/>
      <c r="H54" s="7"/>
      <c r="J54" s="3"/>
      <c r="K54" s="7"/>
      <c r="L54" s="4"/>
      <c r="S54"/>
      <c r="T54" s="3"/>
    </row>
    <row r="55" spans="1:20">
      <c r="A55">
        <v>2</v>
      </c>
      <c r="B55" t="s">
        <v>82</v>
      </c>
      <c r="C55" t="s">
        <v>152</v>
      </c>
      <c r="E55" t="s">
        <v>157</v>
      </c>
      <c r="F55">
        <v>37.8688</v>
      </c>
      <c r="G55"/>
      <c r="H55" s="7"/>
      <c r="J55" s="3"/>
      <c r="K55" s="7"/>
      <c r="L55" s="4"/>
      <c r="S55"/>
      <c r="T55" s="3"/>
    </row>
    <row r="56" spans="1:20">
      <c r="A56">
        <v>10</v>
      </c>
      <c r="B56" t="s">
        <v>89</v>
      </c>
      <c r="C56" t="s">
        <v>152</v>
      </c>
      <c r="D56" t="s">
        <v>175</v>
      </c>
      <c r="E56" t="s">
        <v>157</v>
      </c>
      <c r="F56">
        <v>26.079599999999999</v>
      </c>
      <c r="G56"/>
      <c r="H56" s="7"/>
      <c r="J56" s="3"/>
      <c r="K56" s="7"/>
      <c r="L56" s="4"/>
      <c r="S56"/>
      <c r="T56" s="3"/>
    </row>
    <row r="57" spans="1:20">
      <c r="A57">
        <v>3</v>
      </c>
      <c r="B57" t="s">
        <v>81</v>
      </c>
      <c r="C57" t="s">
        <v>144</v>
      </c>
      <c r="E57" t="s">
        <v>157</v>
      </c>
      <c r="F57">
        <v>37.544799999999995</v>
      </c>
      <c r="G57"/>
      <c r="H57" s="7"/>
      <c r="J57" s="3"/>
      <c r="K57" s="7"/>
      <c r="L57" s="4"/>
      <c r="S57"/>
      <c r="T57" s="3"/>
    </row>
    <row r="58" spans="1:20">
      <c r="A58">
        <v>11</v>
      </c>
      <c r="B58" t="s">
        <v>90</v>
      </c>
      <c r="C58" t="s">
        <v>144</v>
      </c>
      <c r="D58" t="s">
        <v>175</v>
      </c>
      <c r="E58" t="s">
        <v>157</v>
      </c>
      <c r="F58">
        <v>27.456599999999998</v>
      </c>
      <c r="G58"/>
      <c r="H58" s="7"/>
      <c r="J58" s="3"/>
      <c r="K58" s="7"/>
      <c r="L58" s="4"/>
      <c r="S58"/>
      <c r="T58" s="3"/>
    </row>
    <row r="59" spans="1:20">
      <c r="A59">
        <v>4</v>
      </c>
      <c r="B59" t="s">
        <v>84</v>
      </c>
      <c r="C59" t="s">
        <v>152</v>
      </c>
      <c r="E59" t="s">
        <v>158</v>
      </c>
      <c r="F59">
        <v>37.7226</v>
      </c>
      <c r="G59"/>
      <c r="H59" s="7"/>
      <c r="J59" s="3"/>
      <c r="K59" s="7"/>
      <c r="L59" s="4"/>
      <c r="S59"/>
      <c r="T59" s="3"/>
    </row>
    <row r="60" spans="1:20">
      <c r="A60">
        <v>12</v>
      </c>
      <c r="B60" t="s">
        <v>91</v>
      </c>
      <c r="C60" t="s">
        <v>152</v>
      </c>
      <c r="D60" t="s">
        <v>175</v>
      </c>
      <c r="E60" t="s">
        <v>158</v>
      </c>
      <c r="F60">
        <v>27.763400000000001</v>
      </c>
      <c r="G60"/>
      <c r="H60" s="7"/>
      <c r="J60" s="3"/>
      <c r="K60" s="7"/>
      <c r="L60" s="4"/>
      <c r="S60"/>
      <c r="T60" s="3"/>
    </row>
    <row r="61" spans="1:20">
      <c r="A61">
        <v>5</v>
      </c>
      <c r="B61" t="s">
        <v>83</v>
      </c>
      <c r="C61" t="s">
        <v>152</v>
      </c>
      <c r="E61" t="s">
        <v>159</v>
      </c>
      <c r="F61">
        <v>37.839599999999997</v>
      </c>
      <c r="G61"/>
      <c r="H61" s="7"/>
      <c r="J61" s="3"/>
      <c r="K61" s="7"/>
      <c r="L61" s="4"/>
      <c r="S61"/>
      <c r="T61" s="3"/>
    </row>
    <row r="62" spans="1:20">
      <c r="A62">
        <v>13</v>
      </c>
      <c r="B62" t="s">
        <v>92</v>
      </c>
      <c r="C62" t="s">
        <v>152</v>
      </c>
      <c r="D62" t="s">
        <v>175</v>
      </c>
      <c r="E62" t="s">
        <v>159</v>
      </c>
      <c r="F62">
        <v>27.267000000000003</v>
      </c>
      <c r="G62"/>
      <c r="H62" s="7"/>
      <c r="J62" s="3"/>
      <c r="K62" s="7"/>
      <c r="L62" s="4"/>
      <c r="S62"/>
      <c r="T62" s="3"/>
    </row>
    <row r="63" spans="1:20">
      <c r="A63">
        <v>22</v>
      </c>
      <c r="B63" t="s">
        <v>118</v>
      </c>
      <c r="C63" t="s">
        <v>144</v>
      </c>
      <c r="E63" t="s">
        <v>164</v>
      </c>
      <c r="F63">
        <v>38.003400000000006</v>
      </c>
      <c r="G63"/>
      <c r="H63" s="7"/>
      <c r="J63" s="3"/>
      <c r="K63" s="7"/>
      <c r="L63" s="4"/>
      <c r="S63"/>
      <c r="T63" s="3"/>
    </row>
    <row r="64" spans="1:20">
      <c r="A64">
        <v>25</v>
      </c>
      <c r="B64" t="s">
        <v>121</v>
      </c>
      <c r="C64" t="s">
        <v>144</v>
      </c>
      <c r="E64" t="s">
        <v>166</v>
      </c>
      <c r="F64">
        <v>39.193399999999997</v>
      </c>
      <c r="G64"/>
      <c r="H64" s="7"/>
      <c r="J64" s="3"/>
      <c r="K64" s="7"/>
      <c r="L64" s="4"/>
      <c r="S64"/>
      <c r="T64" s="3"/>
    </row>
    <row r="65" spans="1:20">
      <c r="A65">
        <v>30</v>
      </c>
      <c r="B65" t="s">
        <v>126</v>
      </c>
      <c r="C65" t="s">
        <v>144</v>
      </c>
      <c r="E65" t="s">
        <v>169</v>
      </c>
      <c r="F65">
        <v>39.096600000000002</v>
      </c>
      <c r="G65"/>
      <c r="H65" s="7"/>
      <c r="J65" s="3"/>
      <c r="K65" s="7"/>
      <c r="L65" s="4"/>
      <c r="S65"/>
      <c r="T65" s="3"/>
    </row>
    <row r="66" spans="1:20">
      <c r="A66">
        <v>23</v>
      </c>
      <c r="B66" t="s">
        <v>119</v>
      </c>
      <c r="C66" t="s">
        <v>144</v>
      </c>
      <c r="E66" t="s">
        <v>165</v>
      </c>
      <c r="F66">
        <v>39.194399999999995</v>
      </c>
      <c r="G66"/>
      <c r="H66" s="7"/>
      <c r="J66" s="3"/>
      <c r="K66" s="7"/>
      <c r="L66" s="4"/>
      <c r="S66"/>
      <c r="T66" s="3"/>
    </row>
    <row r="67" spans="1:20">
      <c r="A67">
        <v>37</v>
      </c>
      <c r="B67" t="s">
        <v>130</v>
      </c>
      <c r="C67" t="s">
        <v>144</v>
      </c>
      <c r="E67" t="s">
        <v>173</v>
      </c>
      <c r="F67">
        <v>39.423000000000002</v>
      </c>
      <c r="G67"/>
      <c r="H67" s="7"/>
      <c r="J67" s="3"/>
      <c r="K67" s="7"/>
      <c r="L67" s="4"/>
      <c r="S67"/>
      <c r="T67" s="3"/>
    </row>
    <row r="68" spans="1:20">
      <c r="A68">
        <v>34</v>
      </c>
      <c r="B68" t="s">
        <v>127</v>
      </c>
      <c r="C68" t="s">
        <v>144</v>
      </c>
      <c r="E68" t="s">
        <v>172</v>
      </c>
      <c r="F68">
        <v>39.445</v>
      </c>
      <c r="G68"/>
      <c r="H68" s="7"/>
      <c r="J68" s="3"/>
      <c r="K68" s="7"/>
      <c r="L68" s="4"/>
      <c r="S68"/>
      <c r="T68" s="3"/>
    </row>
    <row r="69" spans="1:20">
      <c r="A69">
        <v>26</v>
      </c>
      <c r="B69" t="s">
        <v>122</v>
      </c>
      <c r="C69" t="s">
        <v>144</v>
      </c>
      <c r="E69" t="s">
        <v>167</v>
      </c>
      <c r="F69">
        <v>38.200400000000002</v>
      </c>
      <c r="G69"/>
      <c r="H69" s="7"/>
      <c r="J69" s="3"/>
      <c r="K69" s="7"/>
      <c r="L69" s="4"/>
      <c r="S69"/>
      <c r="T69" s="3"/>
    </row>
    <row r="70" spans="1:20">
      <c r="A70">
        <v>33</v>
      </c>
      <c r="B70" t="s">
        <v>133</v>
      </c>
      <c r="C70" t="s">
        <v>144</v>
      </c>
      <c r="E70" t="s">
        <v>171</v>
      </c>
      <c r="F70">
        <v>38.7468</v>
      </c>
      <c r="G70"/>
      <c r="H70" s="7"/>
      <c r="J70" s="3"/>
      <c r="K70" s="7"/>
      <c r="L70" s="4"/>
      <c r="S70"/>
      <c r="T70" s="3"/>
    </row>
    <row r="71" spans="1:20">
      <c r="A71">
        <v>32</v>
      </c>
      <c r="B71" t="s">
        <v>132</v>
      </c>
      <c r="C71" t="s">
        <v>144</v>
      </c>
      <c r="E71" t="s">
        <v>170</v>
      </c>
      <c r="F71">
        <v>39.318399999999997</v>
      </c>
      <c r="G71"/>
      <c r="H71" s="7"/>
      <c r="J71" s="3"/>
      <c r="K71" s="7"/>
      <c r="L71" s="4"/>
      <c r="S71"/>
      <c r="T71" s="3"/>
    </row>
    <row r="72" spans="1:20">
      <c r="A72">
        <v>35</v>
      </c>
      <c r="B72" t="s">
        <v>128</v>
      </c>
      <c r="C72" t="s">
        <v>144</v>
      </c>
      <c r="E72" t="s">
        <v>170</v>
      </c>
      <c r="F72">
        <v>38.947199999999995</v>
      </c>
      <c r="G72"/>
      <c r="H72" s="7"/>
      <c r="J72" s="3"/>
      <c r="K72" s="7"/>
      <c r="L72" s="4"/>
      <c r="S72"/>
      <c r="T72" s="3"/>
    </row>
    <row r="73" spans="1:20">
      <c r="A73">
        <v>36</v>
      </c>
      <c r="B73" t="s">
        <v>129</v>
      </c>
      <c r="C73" t="s">
        <v>144</v>
      </c>
      <c r="E73" t="s">
        <v>162</v>
      </c>
      <c r="F73">
        <v>39.037599999999998</v>
      </c>
      <c r="G73"/>
      <c r="H73" s="7"/>
      <c r="J73" s="3"/>
      <c r="K73" s="7"/>
      <c r="L73" s="4"/>
      <c r="S73"/>
      <c r="T73" s="3"/>
    </row>
    <row r="74" spans="1:20">
      <c r="A74">
        <v>29</v>
      </c>
      <c r="B74" t="s">
        <v>125</v>
      </c>
      <c r="C74" t="s">
        <v>144</v>
      </c>
      <c r="E74" t="s">
        <v>162</v>
      </c>
      <c r="F74">
        <v>38.394400000000005</v>
      </c>
      <c r="G74"/>
      <c r="H74" s="7"/>
      <c r="J74" s="3"/>
      <c r="K74" s="7"/>
      <c r="L74" s="4"/>
      <c r="S74"/>
      <c r="T74" s="3"/>
    </row>
    <row r="75" spans="1:20">
      <c r="A75">
        <v>27</v>
      </c>
      <c r="B75" t="s">
        <v>123</v>
      </c>
      <c r="C75" t="s">
        <v>144</v>
      </c>
      <c r="E75" t="s">
        <v>162</v>
      </c>
      <c r="F75">
        <v>38.276799999999994</v>
      </c>
      <c r="G75"/>
      <c r="H75" s="7"/>
      <c r="J75" s="3"/>
      <c r="K75" s="7"/>
      <c r="L75" s="4"/>
      <c r="S75"/>
      <c r="T75" s="3"/>
    </row>
    <row r="76" spans="1:20">
      <c r="A76">
        <v>20</v>
      </c>
      <c r="B76" t="s">
        <v>116</v>
      </c>
      <c r="C76" t="s">
        <v>144</v>
      </c>
      <c r="E76" t="s">
        <v>162</v>
      </c>
      <c r="F76">
        <v>38.111599999999996</v>
      </c>
      <c r="G76"/>
      <c r="H76" s="7"/>
      <c r="J76" s="3"/>
      <c r="K76" s="7"/>
      <c r="L76" s="4"/>
      <c r="S76"/>
      <c r="T76" s="3"/>
    </row>
    <row r="77" spans="1:20">
      <c r="A77">
        <v>31</v>
      </c>
      <c r="B77" t="s">
        <v>131</v>
      </c>
      <c r="C77" t="s">
        <v>144</v>
      </c>
      <c r="E77" t="s">
        <v>162</v>
      </c>
      <c r="F77">
        <v>37.851600000000005</v>
      </c>
      <c r="G77"/>
      <c r="H77" s="7"/>
      <c r="J77" s="3"/>
      <c r="K77" s="7"/>
      <c r="L77" s="4"/>
      <c r="S77"/>
      <c r="T77" s="3"/>
    </row>
    <row r="78" spans="1:20">
      <c r="A78">
        <v>28</v>
      </c>
      <c r="B78" t="s">
        <v>124</v>
      </c>
      <c r="C78" t="s">
        <v>144</v>
      </c>
      <c r="E78" t="s">
        <v>168</v>
      </c>
      <c r="F78">
        <v>38.340999999999994</v>
      </c>
      <c r="G78"/>
      <c r="H78" s="7"/>
      <c r="J78" s="3"/>
      <c r="K78" s="7"/>
      <c r="L78" s="4"/>
      <c r="S78"/>
      <c r="T78" s="3"/>
    </row>
    <row r="79" spans="1:20">
      <c r="A79">
        <v>21</v>
      </c>
      <c r="B79" t="s">
        <v>117</v>
      </c>
      <c r="C79" t="s">
        <v>144</v>
      </c>
      <c r="E79" t="s">
        <v>163</v>
      </c>
      <c r="F79">
        <v>38.278800000000004</v>
      </c>
      <c r="G79"/>
      <c r="H79" s="7"/>
      <c r="J79" s="3"/>
      <c r="K79" s="7"/>
      <c r="L79" s="4"/>
      <c r="S79"/>
      <c r="T79" s="3"/>
    </row>
    <row r="80" spans="1:20">
      <c r="A80">
        <v>24</v>
      </c>
      <c r="B80" t="s">
        <v>120</v>
      </c>
      <c r="C80" t="s">
        <v>144</v>
      </c>
      <c r="E80" t="s">
        <v>163</v>
      </c>
      <c r="F80">
        <v>37.389000000000003</v>
      </c>
      <c r="G80"/>
      <c r="H80" s="7"/>
      <c r="J80" s="3"/>
      <c r="K80" s="7"/>
      <c r="L80" s="4"/>
      <c r="S80"/>
      <c r="T80" s="3"/>
    </row>
    <row r="1048576" spans="6:6">
      <c r="F1048576" s="25"/>
    </row>
  </sheetData>
  <sortState xmlns:xlrd2="http://schemas.microsoft.com/office/spreadsheetml/2017/richdata2" ref="A44:F80">
    <sortCondition descending="1" ref="E44:E80"/>
    <sortCondition ref="C44:C80"/>
  </sortState>
  <mergeCells count="2">
    <mergeCell ref="A1:B1"/>
    <mergeCell ref="J2:J20"/>
  </mergeCells>
  <phoneticPr fontId="4" type="noConversion"/>
  <conditionalFormatting sqref="K21:K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S2" r:id="rId1" xr:uid="{EBEEBBE2-D5FC-435B-B5C5-8945488398B2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1260-EAAF-4A97-9410-92857D597ED2}">
  <dimension ref="A1:Y183"/>
  <sheetViews>
    <sheetView topLeftCell="A133" zoomScale="85" zoomScaleNormal="85" workbookViewId="0">
      <selection activeCell="A78" sqref="A78:XFD78"/>
    </sheetView>
  </sheetViews>
  <sheetFormatPr defaultRowHeight="15"/>
  <cols>
    <col min="1" max="1" width="26.140625" bestFit="1" customWidth="1"/>
    <col min="7" max="7" width="10.7109375" style="49" bestFit="1" customWidth="1"/>
    <col min="8" max="8" width="9.140625" style="1"/>
    <col min="9" max="9" width="9.140625" style="22"/>
    <col min="10" max="10" width="10.28515625" style="27" bestFit="1" customWidth="1"/>
    <col min="11" max="11" width="9.140625" style="52"/>
  </cols>
  <sheetData>
    <row r="1" spans="1:25">
      <c r="A1" s="29" t="s">
        <v>99</v>
      </c>
      <c r="B1" s="74" t="str">
        <f>INDEX(A:A,MATCH(MAX($Y:$Y),$Y:$Y,0))</f>
        <v>cpu-tune-overr-flags</v>
      </c>
      <c r="C1" s="74"/>
      <c r="D1" s="74"/>
      <c r="E1" s="74"/>
      <c r="F1" s="30">
        <f>MAX(Y:Y)</f>
        <v>39.445</v>
      </c>
      <c r="G1" s="31">
        <f>INDEX(D:D,MATCH(MAX($Y:$Y),$Y:$Y,0))</f>
        <v>36000</v>
      </c>
      <c r="H1" s="35">
        <f>INDEX(E:E,MATCH(MAX($Y:$Y),$Y:$Y,0))</f>
        <v>160</v>
      </c>
      <c r="I1" s="36">
        <f>INDEX(F:F,MATCH(MAX($Y:$Y),$Y:$Y,0))</f>
        <v>2</v>
      </c>
      <c r="J1" s="50">
        <f>INDEX(G:G,MATCH(MAX($Y:$Y),$Y:$Y,0))</f>
        <v>8</v>
      </c>
      <c r="K1" s="32"/>
      <c r="L1" s="75" t="s">
        <v>100</v>
      </c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62"/>
      <c r="Y1" s="76" t="s">
        <v>101</v>
      </c>
    </row>
    <row r="2" spans="1:25">
      <c r="A2" s="77" t="s">
        <v>102</v>
      </c>
      <c r="B2" s="77"/>
      <c r="C2" s="77"/>
      <c r="D2" s="33">
        <f>MAX(I4:I841)</f>
        <v>40.119999999999997</v>
      </c>
      <c r="E2" s="34"/>
      <c r="F2" s="34"/>
      <c r="G2" s="31"/>
      <c r="H2" s="35"/>
      <c r="I2" s="36"/>
      <c r="J2" s="50"/>
      <c r="K2" s="32"/>
      <c r="L2" s="78" t="s">
        <v>109</v>
      </c>
      <c r="M2" s="78"/>
      <c r="N2" s="78"/>
      <c r="O2" s="78" t="s">
        <v>110</v>
      </c>
      <c r="P2" s="78"/>
      <c r="Q2" s="78"/>
      <c r="R2" s="78" t="s">
        <v>111</v>
      </c>
      <c r="S2" s="78"/>
      <c r="T2" s="78"/>
      <c r="U2" s="78" t="s">
        <v>112</v>
      </c>
      <c r="V2" s="78"/>
      <c r="W2" s="78"/>
      <c r="X2" s="37"/>
      <c r="Y2" s="76"/>
    </row>
    <row r="3" spans="1:25">
      <c r="A3" s="38" t="s">
        <v>103</v>
      </c>
      <c r="B3" s="39" t="s">
        <v>104</v>
      </c>
      <c r="C3" s="39"/>
      <c r="D3" s="39" t="s">
        <v>1</v>
      </c>
      <c r="E3" s="39" t="s">
        <v>2</v>
      </c>
      <c r="F3" s="39" t="s">
        <v>3</v>
      </c>
      <c r="G3" s="44" t="s">
        <v>4</v>
      </c>
      <c r="H3" s="40" t="s">
        <v>5</v>
      </c>
      <c r="I3" s="41" t="s">
        <v>6</v>
      </c>
      <c r="J3" s="51" t="s">
        <v>105</v>
      </c>
      <c r="K3" s="43" t="s">
        <v>5</v>
      </c>
      <c r="L3" s="37" t="s">
        <v>106</v>
      </c>
      <c r="M3" s="37" t="s">
        <v>107</v>
      </c>
      <c r="N3" s="37" t="s">
        <v>108</v>
      </c>
      <c r="O3" s="37" t="s">
        <v>106</v>
      </c>
      <c r="P3" s="37" t="s">
        <v>107</v>
      </c>
      <c r="Q3" s="37" t="s">
        <v>108</v>
      </c>
      <c r="R3" s="37" t="s">
        <v>106</v>
      </c>
      <c r="S3" s="37" t="s">
        <v>107</v>
      </c>
      <c r="T3" s="37" t="s">
        <v>108</v>
      </c>
      <c r="U3" s="37" t="s">
        <v>106</v>
      </c>
      <c r="V3" s="37" t="s">
        <v>107</v>
      </c>
      <c r="W3" s="37" t="s">
        <v>108</v>
      </c>
      <c r="X3" s="37"/>
      <c r="Y3" s="76"/>
    </row>
    <row r="4" spans="1:25">
      <c r="A4" t="s">
        <v>127</v>
      </c>
      <c r="B4">
        <v>0</v>
      </c>
      <c r="C4" t="s">
        <v>7</v>
      </c>
      <c r="D4">
        <v>36000</v>
      </c>
      <c r="E4">
        <v>160</v>
      </c>
      <c r="F4">
        <v>2</v>
      </c>
      <c r="G4" s="49">
        <v>8</v>
      </c>
      <c r="H4" s="1">
        <v>791.03</v>
      </c>
      <c r="I4" s="22">
        <v>39.323</v>
      </c>
      <c r="J4" s="27">
        <v>45481</v>
      </c>
      <c r="K4" s="52">
        <v>0.73668981481481477</v>
      </c>
      <c r="L4" s="49">
        <v>0</v>
      </c>
      <c r="M4" s="49">
        <v>0</v>
      </c>
      <c r="N4" s="49">
        <v>0</v>
      </c>
      <c r="O4" s="49">
        <v>0</v>
      </c>
      <c r="P4" s="49">
        <v>0</v>
      </c>
      <c r="Q4" s="49">
        <v>0</v>
      </c>
      <c r="R4" s="49">
        <v>0</v>
      </c>
      <c r="S4" s="49">
        <v>0</v>
      </c>
      <c r="T4" s="49">
        <v>0</v>
      </c>
      <c r="U4" s="49">
        <v>0</v>
      </c>
      <c r="V4" s="49">
        <v>0</v>
      </c>
      <c r="W4" s="49">
        <v>0</v>
      </c>
      <c r="Y4" s="22">
        <f>AVERAGE(I4:I8)</f>
        <v>39.445</v>
      </c>
    </row>
    <row r="5" spans="1:25">
      <c r="A5" t="s">
        <v>127</v>
      </c>
      <c r="B5">
        <v>1</v>
      </c>
      <c r="C5" t="s">
        <v>7</v>
      </c>
      <c r="D5">
        <v>36000</v>
      </c>
      <c r="E5">
        <v>160</v>
      </c>
      <c r="F5">
        <v>2</v>
      </c>
      <c r="G5" s="49">
        <v>8</v>
      </c>
      <c r="H5" s="1">
        <v>778.07</v>
      </c>
      <c r="I5" s="22">
        <v>39.978000000000002</v>
      </c>
      <c r="J5" s="27">
        <v>45481</v>
      </c>
      <c r="K5" s="52">
        <v>0.74596064814814811</v>
      </c>
      <c r="L5" s="49">
        <v>0</v>
      </c>
      <c r="M5" s="49">
        <v>0</v>
      </c>
      <c r="N5" s="49">
        <v>0</v>
      </c>
      <c r="O5" s="49">
        <v>0</v>
      </c>
      <c r="P5" s="49">
        <v>0</v>
      </c>
      <c r="Q5" s="49">
        <v>0</v>
      </c>
      <c r="R5" s="49">
        <v>0</v>
      </c>
      <c r="S5" s="49">
        <v>0</v>
      </c>
      <c r="T5" s="49">
        <v>0</v>
      </c>
      <c r="U5" s="49">
        <v>0</v>
      </c>
      <c r="V5" s="49">
        <v>0</v>
      </c>
      <c r="W5" s="49">
        <v>0</v>
      </c>
      <c r="Y5" s="22">
        <f>Y4</f>
        <v>39.445</v>
      </c>
    </row>
    <row r="6" spans="1:25">
      <c r="A6" t="s">
        <v>127</v>
      </c>
      <c r="B6">
        <v>2</v>
      </c>
      <c r="C6" t="s">
        <v>7</v>
      </c>
      <c r="D6">
        <v>36000</v>
      </c>
      <c r="E6">
        <v>160</v>
      </c>
      <c r="F6">
        <v>2</v>
      </c>
      <c r="G6" s="49">
        <v>8</v>
      </c>
      <c r="H6" s="1">
        <v>775.32</v>
      </c>
      <c r="I6" s="22">
        <v>40.119999999999997</v>
      </c>
      <c r="J6" s="27">
        <v>45481</v>
      </c>
      <c r="K6" s="52">
        <v>0.75519675925925922</v>
      </c>
      <c r="L6" s="49">
        <v>0</v>
      </c>
      <c r="M6" s="49">
        <v>0</v>
      </c>
      <c r="N6" s="49">
        <v>0</v>
      </c>
      <c r="O6" s="49">
        <v>0</v>
      </c>
      <c r="P6" s="49">
        <v>0</v>
      </c>
      <c r="Q6" s="49">
        <v>0</v>
      </c>
      <c r="R6" s="49">
        <v>0</v>
      </c>
      <c r="S6" s="49">
        <v>0</v>
      </c>
      <c r="T6" s="49">
        <v>0</v>
      </c>
      <c r="U6" s="49">
        <v>0</v>
      </c>
      <c r="V6" s="49">
        <v>0</v>
      </c>
      <c r="W6" s="49">
        <v>0</v>
      </c>
      <c r="Y6" s="22">
        <f>Y5</f>
        <v>39.445</v>
      </c>
    </row>
    <row r="7" spans="1:25">
      <c r="A7" t="s">
        <v>127</v>
      </c>
      <c r="B7">
        <v>3</v>
      </c>
      <c r="C7" t="s">
        <v>7</v>
      </c>
      <c r="D7">
        <v>36000</v>
      </c>
      <c r="E7">
        <v>160</v>
      </c>
      <c r="F7">
        <v>2</v>
      </c>
      <c r="G7" s="49">
        <v>8</v>
      </c>
      <c r="H7" s="1">
        <v>803.21</v>
      </c>
      <c r="I7" s="22">
        <v>38.726999999999997</v>
      </c>
      <c r="J7" s="27">
        <v>45481</v>
      </c>
      <c r="K7" s="52">
        <v>0.76476851851851857</v>
      </c>
      <c r="L7" s="49">
        <v>0</v>
      </c>
      <c r="M7" s="49">
        <v>0</v>
      </c>
      <c r="N7" s="49">
        <v>0</v>
      </c>
      <c r="O7" s="49">
        <v>0</v>
      </c>
      <c r="P7" s="49">
        <v>0</v>
      </c>
      <c r="Q7" s="49">
        <v>0</v>
      </c>
      <c r="R7" s="49">
        <v>0</v>
      </c>
      <c r="S7" s="49">
        <v>0</v>
      </c>
      <c r="T7" s="49">
        <v>0</v>
      </c>
      <c r="U7" s="49">
        <v>0</v>
      </c>
      <c r="V7" s="49">
        <v>0</v>
      </c>
      <c r="W7" s="49">
        <v>0</v>
      </c>
      <c r="Y7" s="22">
        <f>Y6</f>
        <v>39.445</v>
      </c>
    </row>
    <row r="8" spans="1:25">
      <c r="A8" t="s">
        <v>127</v>
      </c>
      <c r="B8">
        <v>4</v>
      </c>
      <c r="C8" t="s">
        <v>7</v>
      </c>
      <c r="D8">
        <v>36000</v>
      </c>
      <c r="E8">
        <v>160</v>
      </c>
      <c r="F8">
        <v>2</v>
      </c>
      <c r="G8" s="49">
        <v>8</v>
      </c>
      <c r="H8" s="1">
        <v>796.02</v>
      </c>
      <c r="I8" s="22">
        <v>39.076999999999998</v>
      </c>
      <c r="J8" s="27">
        <v>45481</v>
      </c>
      <c r="K8" s="52">
        <v>0.77424768518518516</v>
      </c>
      <c r="L8" s="49">
        <v>0</v>
      </c>
      <c r="M8" s="49">
        <v>0</v>
      </c>
      <c r="N8" s="49">
        <v>0</v>
      </c>
      <c r="O8" s="49">
        <v>0</v>
      </c>
      <c r="P8" s="49">
        <v>0</v>
      </c>
      <c r="Q8" s="49">
        <v>0</v>
      </c>
      <c r="R8" s="49">
        <v>0</v>
      </c>
      <c r="S8" s="49">
        <v>0</v>
      </c>
      <c r="T8" s="49">
        <v>0</v>
      </c>
      <c r="U8" s="49">
        <v>0</v>
      </c>
      <c r="V8" s="49">
        <v>0</v>
      </c>
      <c r="W8" s="49">
        <v>0</v>
      </c>
      <c r="Y8" s="22">
        <f>Y7</f>
        <v>39.445</v>
      </c>
    </row>
    <row r="9" spans="1:25">
      <c r="A9" t="s">
        <v>130</v>
      </c>
      <c r="B9">
        <v>0</v>
      </c>
      <c r="C9" t="s">
        <v>7</v>
      </c>
      <c r="D9">
        <v>36000</v>
      </c>
      <c r="E9">
        <v>160</v>
      </c>
      <c r="F9">
        <v>2</v>
      </c>
      <c r="G9" s="49">
        <v>8</v>
      </c>
      <c r="H9" s="1">
        <v>802.43</v>
      </c>
      <c r="I9" s="22">
        <v>38.765000000000001</v>
      </c>
      <c r="J9" s="27">
        <v>45481</v>
      </c>
      <c r="K9" s="52">
        <v>0.87944444444444447</v>
      </c>
      <c r="L9" s="49">
        <v>0</v>
      </c>
      <c r="M9" s="49">
        <v>0</v>
      </c>
      <c r="N9" s="49">
        <v>0</v>
      </c>
      <c r="O9" s="49">
        <v>0</v>
      </c>
      <c r="P9" s="49">
        <v>0</v>
      </c>
      <c r="Q9" s="49">
        <v>0</v>
      </c>
      <c r="R9" s="49">
        <v>0</v>
      </c>
      <c r="S9" s="49">
        <v>0</v>
      </c>
      <c r="T9" s="49">
        <v>0</v>
      </c>
      <c r="U9" s="49">
        <v>0</v>
      </c>
      <c r="V9" s="49">
        <v>0</v>
      </c>
      <c r="W9" s="49">
        <v>0</v>
      </c>
      <c r="Y9" s="22">
        <f>AVERAGE(I9:I13)</f>
        <v>39.423000000000002</v>
      </c>
    </row>
    <row r="10" spans="1:25">
      <c r="A10" t="s">
        <v>130</v>
      </c>
      <c r="B10">
        <v>1</v>
      </c>
      <c r="C10" t="s">
        <v>7</v>
      </c>
      <c r="D10">
        <v>36000</v>
      </c>
      <c r="E10">
        <v>160</v>
      </c>
      <c r="F10">
        <v>2</v>
      </c>
      <c r="G10" s="49">
        <v>8</v>
      </c>
      <c r="H10" s="1">
        <v>782.38</v>
      </c>
      <c r="I10" s="22">
        <v>39.758000000000003</v>
      </c>
      <c r="J10" s="27">
        <v>45481</v>
      </c>
      <c r="K10" s="52">
        <v>0.88878472222222227</v>
      </c>
      <c r="L10" s="49">
        <v>0</v>
      </c>
      <c r="M10" s="49">
        <v>0</v>
      </c>
      <c r="N10" s="49">
        <v>0</v>
      </c>
      <c r="O10" s="49">
        <v>0</v>
      </c>
      <c r="P10" s="49">
        <v>0</v>
      </c>
      <c r="Q10" s="49">
        <v>0</v>
      </c>
      <c r="R10" s="49">
        <v>0</v>
      </c>
      <c r="S10" s="49">
        <v>0</v>
      </c>
      <c r="T10" s="49">
        <v>0</v>
      </c>
      <c r="U10" s="49">
        <v>0</v>
      </c>
      <c r="V10" s="49">
        <v>0</v>
      </c>
      <c r="W10" s="49">
        <v>0</v>
      </c>
      <c r="Y10" s="22">
        <f>Y9</f>
        <v>39.423000000000002</v>
      </c>
    </row>
    <row r="11" spans="1:25">
      <c r="A11" t="s">
        <v>130</v>
      </c>
      <c r="B11">
        <v>2</v>
      </c>
      <c r="C11" t="s">
        <v>7</v>
      </c>
      <c r="D11">
        <v>36000</v>
      </c>
      <c r="E11">
        <v>160</v>
      </c>
      <c r="F11">
        <v>2</v>
      </c>
      <c r="G11" s="49">
        <v>8</v>
      </c>
      <c r="H11" s="1">
        <v>796.9</v>
      </c>
      <c r="I11" s="22">
        <v>39.033000000000001</v>
      </c>
      <c r="J11" s="27">
        <v>45481</v>
      </c>
      <c r="K11" s="52">
        <v>0.89829861111111109</v>
      </c>
      <c r="L11" s="49">
        <v>0</v>
      </c>
      <c r="M11" s="49">
        <v>0</v>
      </c>
      <c r="N11" s="49">
        <v>0</v>
      </c>
      <c r="O11" s="49">
        <v>0</v>
      </c>
      <c r="P11" s="49">
        <v>0</v>
      </c>
      <c r="Q11" s="49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Y11" s="22">
        <f>Y10</f>
        <v>39.423000000000002</v>
      </c>
    </row>
    <row r="12" spans="1:25">
      <c r="A12" t="s">
        <v>130</v>
      </c>
      <c r="B12">
        <v>3</v>
      </c>
      <c r="C12" t="s">
        <v>7</v>
      </c>
      <c r="D12">
        <v>36000</v>
      </c>
      <c r="E12">
        <v>160</v>
      </c>
      <c r="F12">
        <v>2</v>
      </c>
      <c r="G12" s="49">
        <v>8</v>
      </c>
      <c r="H12" s="1">
        <v>787.21</v>
      </c>
      <c r="I12" s="22">
        <v>39.514000000000003</v>
      </c>
      <c r="J12" s="27">
        <v>45481</v>
      </c>
      <c r="K12" s="52">
        <v>0.9076967592592593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Y12" s="22">
        <f>Y11</f>
        <v>39.423000000000002</v>
      </c>
    </row>
    <row r="13" spans="1:25">
      <c r="A13" t="s">
        <v>130</v>
      </c>
      <c r="B13">
        <v>4</v>
      </c>
      <c r="C13" t="s">
        <v>7</v>
      </c>
      <c r="D13">
        <v>36000</v>
      </c>
      <c r="E13">
        <v>160</v>
      </c>
      <c r="F13" s="49">
        <v>2</v>
      </c>
      <c r="G13" s="49">
        <v>8</v>
      </c>
      <c r="H13" s="1">
        <v>776.78</v>
      </c>
      <c r="I13" s="22">
        <v>40.045000000000002</v>
      </c>
      <c r="J13" s="27">
        <v>45481</v>
      </c>
      <c r="K13" s="52">
        <v>0.91697916666666668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22"/>
      <c r="Y13" s="22">
        <f>Y12</f>
        <v>39.423000000000002</v>
      </c>
    </row>
    <row r="14" spans="1:25">
      <c r="A14" t="s">
        <v>132</v>
      </c>
      <c r="B14">
        <v>0</v>
      </c>
      <c r="C14" t="s">
        <v>7</v>
      </c>
      <c r="D14">
        <v>36000</v>
      </c>
      <c r="E14">
        <v>160</v>
      </c>
      <c r="F14">
        <v>2</v>
      </c>
      <c r="G14" s="49">
        <v>8</v>
      </c>
      <c r="H14" s="1">
        <v>784.44</v>
      </c>
      <c r="I14" s="22">
        <v>39.654000000000003</v>
      </c>
      <c r="J14" s="27">
        <v>45481</v>
      </c>
      <c r="K14" s="52">
        <v>0.64101851851851854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Y14" s="22">
        <f>AVERAGE(I14:I18)</f>
        <v>39.318399999999997</v>
      </c>
    </row>
    <row r="15" spans="1:25">
      <c r="A15" t="s">
        <v>132</v>
      </c>
      <c r="B15">
        <v>1</v>
      </c>
      <c r="C15" t="s">
        <v>7</v>
      </c>
      <c r="D15">
        <v>36000</v>
      </c>
      <c r="E15">
        <v>160</v>
      </c>
      <c r="F15">
        <v>2</v>
      </c>
      <c r="G15" s="49">
        <v>8</v>
      </c>
      <c r="H15" s="1">
        <v>799.19</v>
      </c>
      <c r="I15" s="22">
        <v>38.921999999999997</v>
      </c>
      <c r="J15" s="27">
        <v>45481</v>
      </c>
      <c r="K15" s="52">
        <v>0.65060185185185182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Y15" s="22">
        <f>Y14</f>
        <v>39.318399999999997</v>
      </c>
    </row>
    <row r="16" spans="1:25">
      <c r="A16" t="s">
        <v>132</v>
      </c>
      <c r="B16">
        <v>2</v>
      </c>
      <c r="C16" t="s">
        <v>7</v>
      </c>
      <c r="D16">
        <v>36000</v>
      </c>
      <c r="E16">
        <v>160</v>
      </c>
      <c r="F16">
        <v>2</v>
      </c>
      <c r="G16" s="49">
        <v>8</v>
      </c>
      <c r="H16" s="1">
        <v>790.66</v>
      </c>
      <c r="I16" s="22">
        <v>39.341999999999999</v>
      </c>
      <c r="J16" s="27">
        <v>45481</v>
      </c>
      <c r="K16" s="52">
        <v>0.66008101851851853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Y16" s="22">
        <f>Y15</f>
        <v>39.318399999999997</v>
      </c>
    </row>
    <row r="17" spans="1:25">
      <c r="A17" t="s">
        <v>132</v>
      </c>
      <c r="B17">
        <v>3</v>
      </c>
      <c r="C17" t="s">
        <v>7</v>
      </c>
      <c r="D17">
        <v>36000</v>
      </c>
      <c r="E17">
        <v>160</v>
      </c>
      <c r="F17">
        <v>2</v>
      </c>
      <c r="G17" s="49">
        <v>8</v>
      </c>
      <c r="H17" s="1">
        <v>784.6</v>
      </c>
      <c r="I17" s="22">
        <v>39.646000000000001</v>
      </c>
      <c r="J17" s="27">
        <v>45481</v>
      </c>
      <c r="K17" s="52">
        <v>0.66947916666666663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Y17" s="22">
        <f>Y16</f>
        <v>39.318399999999997</v>
      </c>
    </row>
    <row r="18" spans="1:25">
      <c r="A18" t="s">
        <v>132</v>
      </c>
      <c r="B18">
        <v>4</v>
      </c>
      <c r="C18" t="s">
        <v>7</v>
      </c>
      <c r="D18">
        <v>36000</v>
      </c>
      <c r="E18">
        <v>160</v>
      </c>
      <c r="F18">
        <v>2</v>
      </c>
      <c r="G18" s="49">
        <v>8</v>
      </c>
      <c r="H18" s="1">
        <v>797.02</v>
      </c>
      <c r="I18" s="22">
        <v>39.027999999999999</v>
      </c>
      <c r="J18" s="27">
        <v>45481</v>
      </c>
      <c r="K18" s="52">
        <v>0.67903935185185182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Y18" s="22">
        <f>Y17</f>
        <v>39.318399999999997</v>
      </c>
    </row>
    <row r="19" spans="1:25">
      <c r="A19" t="s">
        <v>119</v>
      </c>
      <c r="B19">
        <v>0</v>
      </c>
      <c r="C19" t="s">
        <v>7</v>
      </c>
      <c r="D19">
        <v>36000</v>
      </c>
      <c r="E19">
        <v>160</v>
      </c>
      <c r="F19">
        <v>2</v>
      </c>
      <c r="G19" s="49">
        <v>8</v>
      </c>
      <c r="H19" s="1">
        <v>787.29</v>
      </c>
      <c r="I19" s="48">
        <v>39.51</v>
      </c>
      <c r="J19" s="27">
        <v>45481</v>
      </c>
      <c r="K19" s="52">
        <v>0.20553240740740741</v>
      </c>
      <c r="L19" s="49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9">
        <v>0</v>
      </c>
      <c r="Y19" s="22">
        <f>AVERAGE(I19:I23)</f>
        <v>39.194399999999995</v>
      </c>
    </row>
    <row r="20" spans="1:25">
      <c r="A20" t="s">
        <v>119</v>
      </c>
      <c r="B20">
        <v>1</v>
      </c>
      <c r="C20" t="s">
        <v>7</v>
      </c>
      <c r="D20">
        <v>36000</v>
      </c>
      <c r="E20">
        <v>160</v>
      </c>
      <c r="F20">
        <v>2</v>
      </c>
      <c r="G20" s="49">
        <v>8</v>
      </c>
      <c r="H20" s="1">
        <v>794.48</v>
      </c>
      <c r="I20" s="48">
        <v>39.152999999999999</v>
      </c>
      <c r="J20" s="27">
        <v>45481</v>
      </c>
      <c r="K20" s="52">
        <v>0.21501157407407406</v>
      </c>
      <c r="L20" s="49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  <c r="W20" s="49">
        <v>0</v>
      </c>
      <c r="Y20" s="22">
        <f>Y19</f>
        <v>39.194399999999995</v>
      </c>
    </row>
    <row r="21" spans="1:25">
      <c r="A21" t="s">
        <v>119</v>
      </c>
      <c r="B21">
        <v>2</v>
      </c>
      <c r="C21" t="s">
        <v>7</v>
      </c>
      <c r="D21">
        <v>36000</v>
      </c>
      <c r="E21">
        <v>160</v>
      </c>
      <c r="F21">
        <v>2</v>
      </c>
      <c r="G21" s="49">
        <v>8</v>
      </c>
      <c r="H21" s="1">
        <v>805.93</v>
      </c>
      <c r="I21" s="48">
        <v>38.595999999999997</v>
      </c>
      <c r="J21" s="27">
        <v>45481</v>
      </c>
      <c r="K21" s="52">
        <v>0.22462962962962962</v>
      </c>
      <c r="L21" s="49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  <c r="W21" s="49">
        <v>0</v>
      </c>
      <c r="Y21" s="22">
        <f>Y20</f>
        <v>39.194399999999995</v>
      </c>
    </row>
    <row r="22" spans="1:25">
      <c r="A22" t="s">
        <v>119</v>
      </c>
      <c r="B22">
        <v>3</v>
      </c>
      <c r="C22" t="s">
        <v>7</v>
      </c>
      <c r="D22">
        <v>36000</v>
      </c>
      <c r="E22">
        <v>160</v>
      </c>
      <c r="F22">
        <v>2</v>
      </c>
      <c r="G22" s="49">
        <v>8</v>
      </c>
      <c r="H22" s="1">
        <v>798.87</v>
      </c>
      <c r="I22" s="48">
        <v>38.936999999999998</v>
      </c>
      <c r="J22" s="27">
        <v>45481</v>
      </c>
      <c r="K22" s="52">
        <v>0.23416666666666666</v>
      </c>
      <c r="L22" s="49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  <c r="W22" s="49">
        <v>0</v>
      </c>
      <c r="Y22" s="22">
        <f>Y21</f>
        <v>39.194399999999995</v>
      </c>
    </row>
    <row r="23" spans="1:25">
      <c r="A23" t="s">
        <v>119</v>
      </c>
      <c r="B23">
        <v>4</v>
      </c>
      <c r="C23" t="s">
        <v>7</v>
      </c>
      <c r="D23">
        <v>36000</v>
      </c>
      <c r="E23">
        <v>160</v>
      </c>
      <c r="F23">
        <v>2</v>
      </c>
      <c r="G23" s="49">
        <v>8</v>
      </c>
      <c r="H23" s="1">
        <v>782.03</v>
      </c>
      <c r="I23" s="48">
        <v>39.776000000000003</v>
      </c>
      <c r="J23" s="27">
        <v>45481</v>
      </c>
      <c r="K23" s="52">
        <v>0.24350694444444446</v>
      </c>
      <c r="L23" s="49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  <c r="W23" s="49">
        <v>0</v>
      </c>
      <c r="Y23" s="22">
        <f>Y22</f>
        <v>39.194399999999995</v>
      </c>
    </row>
    <row r="24" spans="1:25">
      <c r="A24" t="s">
        <v>121</v>
      </c>
      <c r="B24">
        <v>0</v>
      </c>
      <c r="C24" t="s">
        <v>7</v>
      </c>
      <c r="D24">
        <v>36000</v>
      </c>
      <c r="E24">
        <v>160</v>
      </c>
      <c r="F24">
        <v>2</v>
      </c>
      <c r="G24" s="49">
        <v>8</v>
      </c>
      <c r="H24" s="1">
        <v>789.32</v>
      </c>
      <c r="I24" s="48">
        <v>39.408999999999999</v>
      </c>
      <c r="J24" s="27">
        <v>45481</v>
      </c>
      <c r="K24" s="52">
        <v>0.30270833333333336</v>
      </c>
      <c r="L24" s="49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Y24" s="22">
        <f>AVERAGE(I24:I28)</f>
        <v>39.193399999999997</v>
      </c>
    </row>
    <row r="25" spans="1:25">
      <c r="A25" t="s">
        <v>121</v>
      </c>
      <c r="B25">
        <v>1</v>
      </c>
      <c r="C25" t="s">
        <v>7</v>
      </c>
      <c r="D25">
        <v>36000</v>
      </c>
      <c r="E25">
        <v>160</v>
      </c>
      <c r="F25">
        <v>2</v>
      </c>
      <c r="G25" s="49">
        <v>8</v>
      </c>
      <c r="H25" s="1">
        <v>797.6</v>
      </c>
      <c r="I25" s="48">
        <v>39</v>
      </c>
      <c r="J25" s="27">
        <v>45481</v>
      </c>
      <c r="K25" s="52">
        <v>0.31221064814814814</v>
      </c>
      <c r="L25" s="49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  <c r="W25" s="49">
        <v>0</v>
      </c>
      <c r="Y25" s="22">
        <f>Y24</f>
        <v>39.193399999999997</v>
      </c>
    </row>
    <row r="26" spans="1:25">
      <c r="A26" t="s">
        <v>121</v>
      </c>
      <c r="B26">
        <v>2</v>
      </c>
      <c r="C26" t="s">
        <v>7</v>
      </c>
      <c r="D26">
        <v>36000</v>
      </c>
      <c r="E26">
        <v>160</v>
      </c>
      <c r="F26">
        <v>2</v>
      </c>
      <c r="G26" s="49">
        <v>8</v>
      </c>
      <c r="H26" s="1">
        <v>794.68</v>
      </c>
      <c r="I26" s="48">
        <v>39.143000000000001</v>
      </c>
      <c r="J26" s="27">
        <v>45481</v>
      </c>
      <c r="K26" s="52">
        <v>0.32168981481481479</v>
      </c>
      <c r="L26" s="49">
        <v>0</v>
      </c>
      <c r="M26" s="49">
        <v>0</v>
      </c>
      <c r="N26" s="49">
        <v>0</v>
      </c>
      <c r="O26" s="49">
        <v>0</v>
      </c>
      <c r="P26" s="49">
        <v>0</v>
      </c>
      <c r="Q26" s="49">
        <v>0</v>
      </c>
      <c r="R26" s="49">
        <v>0</v>
      </c>
      <c r="S26" s="49">
        <v>0</v>
      </c>
      <c r="T26" s="49">
        <v>0</v>
      </c>
      <c r="U26" s="49">
        <v>0</v>
      </c>
      <c r="V26" s="49">
        <v>0</v>
      </c>
      <c r="W26" s="49">
        <v>0</v>
      </c>
      <c r="Y26" s="22">
        <f>Y25</f>
        <v>39.193399999999997</v>
      </c>
    </row>
    <row r="27" spans="1:25">
      <c r="A27" t="s">
        <v>121</v>
      </c>
      <c r="B27">
        <v>3</v>
      </c>
      <c r="C27" t="s">
        <v>7</v>
      </c>
      <c r="D27">
        <v>36000</v>
      </c>
      <c r="E27">
        <v>160</v>
      </c>
      <c r="F27">
        <v>2</v>
      </c>
      <c r="G27" s="49">
        <v>8</v>
      </c>
      <c r="H27" s="1">
        <v>791.7</v>
      </c>
      <c r="I27" s="48">
        <v>39.29</v>
      </c>
      <c r="J27" s="27">
        <v>45481</v>
      </c>
      <c r="K27" s="52">
        <v>0.33113425925925927</v>
      </c>
      <c r="L27" s="49">
        <v>0</v>
      </c>
      <c r="M27" s="49">
        <v>0</v>
      </c>
      <c r="N27" s="49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Y27" s="22">
        <f>Y26</f>
        <v>39.193399999999997</v>
      </c>
    </row>
    <row r="28" spans="1:25">
      <c r="A28" t="s">
        <v>121</v>
      </c>
      <c r="B28">
        <v>4</v>
      </c>
      <c r="C28" t="s">
        <v>7</v>
      </c>
      <c r="D28">
        <v>36000</v>
      </c>
      <c r="E28">
        <v>160</v>
      </c>
      <c r="F28">
        <v>2</v>
      </c>
      <c r="G28" s="49">
        <v>8</v>
      </c>
      <c r="H28" s="1">
        <v>795.03</v>
      </c>
      <c r="I28" s="48">
        <v>39.125</v>
      </c>
      <c r="J28" s="27">
        <v>45481</v>
      </c>
      <c r="K28" s="52">
        <v>0.34062500000000001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  <c r="W28" s="49">
        <v>0</v>
      </c>
      <c r="Y28" s="22">
        <f>Y27</f>
        <v>39.193399999999997</v>
      </c>
    </row>
    <row r="29" spans="1:25">
      <c r="A29" t="s">
        <v>126</v>
      </c>
      <c r="B29">
        <v>0</v>
      </c>
      <c r="C29" t="s">
        <v>7</v>
      </c>
      <c r="D29">
        <v>36000</v>
      </c>
      <c r="E29">
        <v>160</v>
      </c>
      <c r="F29">
        <v>2</v>
      </c>
      <c r="G29" s="49">
        <v>8</v>
      </c>
      <c r="H29" s="1">
        <v>804.65</v>
      </c>
      <c r="I29" s="48">
        <v>38.658000000000001</v>
      </c>
      <c r="J29" s="27">
        <v>45481</v>
      </c>
      <c r="K29" s="52">
        <v>0.54454861111111108</v>
      </c>
      <c r="L29" s="49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  <c r="W29" s="49">
        <v>0</v>
      </c>
      <c r="Y29" s="22">
        <f>AVERAGE(I29:I33)</f>
        <v>39.096600000000002</v>
      </c>
    </row>
    <row r="30" spans="1:25">
      <c r="A30" t="s">
        <v>126</v>
      </c>
      <c r="B30">
        <v>1</v>
      </c>
      <c r="C30" t="s">
        <v>7</v>
      </c>
      <c r="D30">
        <v>36000</v>
      </c>
      <c r="E30">
        <v>160</v>
      </c>
      <c r="F30">
        <v>2</v>
      </c>
      <c r="G30" s="49">
        <v>8</v>
      </c>
      <c r="H30" s="1">
        <v>794.97</v>
      </c>
      <c r="I30" s="48">
        <v>39.128999999999998</v>
      </c>
      <c r="J30" s="27">
        <v>45481</v>
      </c>
      <c r="K30" s="52">
        <v>0.55401620370370375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Y30" s="22">
        <f>Y29</f>
        <v>39.096600000000002</v>
      </c>
    </row>
    <row r="31" spans="1:25">
      <c r="A31" t="s">
        <v>126</v>
      </c>
      <c r="B31">
        <v>2</v>
      </c>
      <c r="C31" t="s">
        <v>7</v>
      </c>
      <c r="D31">
        <v>36000</v>
      </c>
      <c r="E31">
        <v>160</v>
      </c>
      <c r="F31">
        <v>2</v>
      </c>
      <c r="G31" s="49">
        <v>8</v>
      </c>
      <c r="H31" s="1">
        <v>792.38</v>
      </c>
      <c r="I31" s="48">
        <v>39.256999999999998</v>
      </c>
      <c r="J31" s="27">
        <v>45481</v>
      </c>
      <c r="K31" s="52">
        <v>0.56344907407407407</v>
      </c>
      <c r="L31" s="49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49">
        <v>0</v>
      </c>
      <c r="Y31" s="22">
        <f>Y30</f>
        <v>39.096600000000002</v>
      </c>
    </row>
    <row r="32" spans="1:25">
      <c r="A32" t="s">
        <v>126</v>
      </c>
      <c r="B32">
        <v>3</v>
      </c>
      <c r="C32" t="s">
        <v>7</v>
      </c>
      <c r="D32">
        <v>36000</v>
      </c>
      <c r="E32">
        <v>160</v>
      </c>
      <c r="F32">
        <v>2</v>
      </c>
      <c r="G32" s="49">
        <v>8</v>
      </c>
      <c r="H32" s="1">
        <v>789.36</v>
      </c>
      <c r="I32" s="48">
        <v>39.405999999999999</v>
      </c>
      <c r="J32" s="27">
        <v>45481</v>
      </c>
      <c r="K32" s="52">
        <v>0.57285879629629632</v>
      </c>
      <c r="L32" s="49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Y32" s="22">
        <f>Y31</f>
        <v>39.096600000000002</v>
      </c>
    </row>
    <row r="33" spans="1:25">
      <c r="A33" t="s">
        <v>126</v>
      </c>
      <c r="B33">
        <v>4</v>
      </c>
      <c r="C33" t="s">
        <v>7</v>
      </c>
      <c r="D33">
        <v>36000</v>
      </c>
      <c r="E33">
        <v>160</v>
      </c>
      <c r="F33">
        <v>2</v>
      </c>
      <c r="G33" s="49">
        <v>8</v>
      </c>
      <c r="H33" s="1">
        <v>796.92</v>
      </c>
      <c r="I33" s="22">
        <v>39.033000000000001</v>
      </c>
      <c r="J33" s="27">
        <v>45481</v>
      </c>
      <c r="K33" s="52">
        <v>0.58234953703703707</v>
      </c>
      <c r="L33" s="49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  <c r="W33" s="49">
        <v>0</v>
      </c>
      <c r="Y33" s="22">
        <f>Y32</f>
        <v>39.096600000000002</v>
      </c>
    </row>
    <row r="34" spans="1:25">
      <c r="A34" t="s">
        <v>129</v>
      </c>
      <c r="B34">
        <v>0</v>
      </c>
      <c r="C34" t="s">
        <v>7</v>
      </c>
      <c r="D34">
        <v>36000</v>
      </c>
      <c r="E34">
        <v>160</v>
      </c>
      <c r="F34">
        <v>2</v>
      </c>
      <c r="G34" s="49">
        <v>8</v>
      </c>
      <c r="H34" s="1">
        <v>804.88</v>
      </c>
      <c r="I34" s="22">
        <v>38.646999999999998</v>
      </c>
      <c r="J34" s="27">
        <v>45481</v>
      </c>
      <c r="K34" s="52">
        <v>0.83175925925925931</v>
      </c>
      <c r="L34" s="49">
        <v>0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0</v>
      </c>
      <c r="S34" s="49">
        <v>0</v>
      </c>
      <c r="T34" s="49">
        <v>0</v>
      </c>
      <c r="U34" s="49">
        <v>0</v>
      </c>
      <c r="V34" s="49">
        <v>0</v>
      </c>
      <c r="W34" s="49">
        <v>0</v>
      </c>
      <c r="Y34" s="22">
        <f>AVERAGE(I34:I38)</f>
        <v>39.037599999999998</v>
      </c>
    </row>
    <row r="35" spans="1:25">
      <c r="A35" t="s">
        <v>129</v>
      </c>
      <c r="B35">
        <v>1</v>
      </c>
      <c r="C35" t="s">
        <v>7</v>
      </c>
      <c r="D35">
        <v>36000</v>
      </c>
      <c r="E35">
        <v>160</v>
      </c>
      <c r="F35">
        <v>2</v>
      </c>
      <c r="G35" s="49">
        <v>8</v>
      </c>
      <c r="H35" s="1">
        <v>798.67</v>
      </c>
      <c r="I35" s="22">
        <v>38.947000000000003</v>
      </c>
      <c r="J35" s="27">
        <v>45481</v>
      </c>
      <c r="K35" s="52">
        <v>0.84133101851851855</v>
      </c>
      <c r="L35" s="49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  <c r="U35" s="49">
        <v>0</v>
      </c>
      <c r="V35" s="49">
        <v>0</v>
      </c>
      <c r="W35" s="49">
        <v>0</v>
      </c>
      <c r="Y35" s="22">
        <f>Y34</f>
        <v>39.037599999999998</v>
      </c>
    </row>
    <row r="36" spans="1:25">
      <c r="A36" t="s">
        <v>129</v>
      </c>
      <c r="B36">
        <v>2</v>
      </c>
      <c r="C36" t="s">
        <v>7</v>
      </c>
      <c r="D36">
        <v>36000</v>
      </c>
      <c r="E36">
        <v>160</v>
      </c>
      <c r="F36">
        <v>2</v>
      </c>
      <c r="G36" s="49">
        <v>8</v>
      </c>
      <c r="H36" s="1">
        <v>803.29</v>
      </c>
      <c r="I36" s="22">
        <v>38.722999999999999</v>
      </c>
      <c r="J36" s="27">
        <v>45481</v>
      </c>
      <c r="K36" s="52">
        <v>0.85094907407407405</v>
      </c>
      <c r="L36" s="49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  <c r="W36" s="49">
        <v>0</v>
      </c>
      <c r="Y36" s="22">
        <f>Y35</f>
        <v>39.037599999999998</v>
      </c>
    </row>
    <row r="37" spans="1:25">
      <c r="A37" t="s">
        <v>129</v>
      </c>
      <c r="B37">
        <v>3</v>
      </c>
      <c r="C37" t="s">
        <v>7</v>
      </c>
      <c r="D37">
        <v>36000</v>
      </c>
      <c r="E37">
        <v>160</v>
      </c>
      <c r="F37">
        <v>2</v>
      </c>
      <c r="G37" s="49">
        <v>8</v>
      </c>
      <c r="H37" s="1">
        <v>798.62</v>
      </c>
      <c r="I37" s="22">
        <v>38.950000000000003</v>
      </c>
      <c r="J37" s="27">
        <v>45481</v>
      </c>
      <c r="K37" s="52">
        <v>0.86052083333333329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Y37" s="22">
        <f>Y36</f>
        <v>39.037599999999998</v>
      </c>
    </row>
    <row r="38" spans="1:25">
      <c r="A38" t="s">
        <v>129</v>
      </c>
      <c r="B38">
        <v>4</v>
      </c>
      <c r="C38" t="s">
        <v>7</v>
      </c>
      <c r="D38">
        <v>36000</v>
      </c>
      <c r="E38">
        <v>160</v>
      </c>
      <c r="F38">
        <v>2</v>
      </c>
      <c r="G38" s="49">
        <v>8</v>
      </c>
      <c r="H38" s="1">
        <v>779.19</v>
      </c>
      <c r="I38" s="22">
        <v>39.920999999999999</v>
      </c>
      <c r="J38" s="27">
        <v>45481</v>
      </c>
      <c r="K38" s="52">
        <v>0.86986111111111108</v>
      </c>
      <c r="L38" s="49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  <c r="W38" s="49">
        <v>0</v>
      </c>
      <c r="Y38" s="22">
        <f>Y37</f>
        <v>39.037599999999998</v>
      </c>
    </row>
    <row r="39" spans="1:25">
      <c r="A39" t="s">
        <v>128</v>
      </c>
      <c r="B39">
        <v>0</v>
      </c>
      <c r="C39" t="s">
        <v>7</v>
      </c>
      <c r="D39">
        <v>36000</v>
      </c>
      <c r="E39">
        <v>160</v>
      </c>
      <c r="F39">
        <v>2</v>
      </c>
      <c r="G39" s="49">
        <v>8</v>
      </c>
      <c r="H39" s="1">
        <v>802.1</v>
      </c>
      <c r="I39" s="22">
        <v>38.780999999999999</v>
      </c>
      <c r="J39" s="27">
        <v>45481</v>
      </c>
      <c r="K39" s="52">
        <v>0.78385416666666663</v>
      </c>
      <c r="L39" s="49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  <c r="W39" s="49">
        <v>0</v>
      </c>
      <c r="Y39" s="22">
        <f>AVERAGE(I39:I43)</f>
        <v>38.947199999999995</v>
      </c>
    </row>
    <row r="40" spans="1:25">
      <c r="A40" t="s">
        <v>128</v>
      </c>
      <c r="B40">
        <v>1</v>
      </c>
      <c r="C40" t="s">
        <v>7</v>
      </c>
      <c r="D40">
        <v>36000</v>
      </c>
      <c r="E40">
        <v>160</v>
      </c>
      <c r="F40">
        <v>2</v>
      </c>
      <c r="G40" s="49">
        <v>8</v>
      </c>
      <c r="H40" s="1">
        <v>800.8</v>
      </c>
      <c r="I40" s="22">
        <v>38.844000000000001</v>
      </c>
      <c r="J40" s="27">
        <v>45481</v>
      </c>
      <c r="K40" s="52">
        <v>0.79344907407407406</v>
      </c>
      <c r="L40" s="49">
        <v>0</v>
      </c>
      <c r="M40" s="49">
        <v>0</v>
      </c>
      <c r="N40" s="49">
        <v>0</v>
      </c>
      <c r="O40" s="49">
        <v>0</v>
      </c>
      <c r="P40" s="49">
        <v>0</v>
      </c>
      <c r="Q40" s="49">
        <v>0</v>
      </c>
      <c r="R40" s="49">
        <v>0</v>
      </c>
      <c r="S40" s="49">
        <v>0</v>
      </c>
      <c r="T40" s="49">
        <v>0</v>
      </c>
      <c r="U40" s="49">
        <v>0</v>
      </c>
      <c r="V40" s="49">
        <v>0</v>
      </c>
      <c r="W40" s="49">
        <v>0</v>
      </c>
      <c r="Y40" s="22">
        <f>Y39</f>
        <v>38.947199999999995</v>
      </c>
    </row>
    <row r="41" spans="1:25">
      <c r="A41" t="s">
        <v>128</v>
      </c>
      <c r="B41">
        <v>2</v>
      </c>
      <c r="C41" t="s">
        <v>7</v>
      </c>
      <c r="D41">
        <v>36000</v>
      </c>
      <c r="E41">
        <v>160</v>
      </c>
      <c r="F41">
        <v>2</v>
      </c>
      <c r="G41" s="49">
        <v>8</v>
      </c>
      <c r="H41" s="1">
        <v>784.94</v>
      </c>
      <c r="I41" s="22">
        <v>39.628999999999998</v>
      </c>
      <c r="J41" s="27">
        <v>45481</v>
      </c>
      <c r="K41" s="52">
        <v>0.80287037037037035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Y41" s="22">
        <f>Y40</f>
        <v>38.947199999999995</v>
      </c>
    </row>
    <row r="42" spans="1:25">
      <c r="A42" t="s">
        <v>128</v>
      </c>
      <c r="B42">
        <v>3</v>
      </c>
      <c r="C42" t="s">
        <v>7</v>
      </c>
      <c r="D42">
        <v>36000</v>
      </c>
      <c r="E42">
        <v>160</v>
      </c>
      <c r="F42">
        <v>2</v>
      </c>
      <c r="G42" s="49">
        <v>8</v>
      </c>
      <c r="H42" s="1">
        <v>795.08</v>
      </c>
      <c r="I42" s="22">
        <v>39.122999999999998</v>
      </c>
      <c r="J42" s="27">
        <v>45481</v>
      </c>
      <c r="K42" s="52">
        <v>0.81239583333333332</v>
      </c>
      <c r="L42" s="49">
        <v>0</v>
      </c>
      <c r="M42" s="49">
        <v>0</v>
      </c>
      <c r="N42" s="49">
        <v>0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  <c r="U42" s="49">
        <v>0</v>
      </c>
      <c r="V42" s="49">
        <v>0</v>
      </c>
      <c r="W42" s="49">
        <v>0</v>
      </c>
      <c r="Y42" s="22">
        <f>Y41</f>
        <v>38.947199999999995</v>
      </c>
    </row>
    <row r="43" spans="1:25">
      <c r="A43" t="s">
        <v>128</v>
      </c>
      <c r="B43">
        <v>4</v>
      </c>
      <c r="C43" t="s">
        <v>7</v>
      </c>
      <c r="D43">
        <v>36000</v>
      </c>
      <c r="E43">
        <v>160</v>
      </c>
      <c r="F43">
        <v>2</v>
      </c>
      <c r="G43" s="49">
        <v>8</v>
      </c>
      <c r="H43" s="1">
        <v>810.91</v>
      </c>
      <c r="I43" s="22">
        <v>38.359000000000002</v>
      </c>
      <c r="J43" s="27">
        <v>45481</v>
      </c>
      <c r="K43" s="52">
        <v>0.8221180555555555</v>
      </c>
      <c r="L43" s="49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  <c r="W43" s="49">
        <v>0</v>
      </c>
      <c r="Y43" s="22">
        <f>Y42</f>
        <v>38.947199999999995</v>
      </c>
    </row>
    <row r="44" spans="1:25">
      <c r="A44" t="s">
        <v>133</v>
      </c>
      <c r="B44">
        <v>0</v>
      </c>
      <c r="C44" t="s">
        <v>7</v>
      </c>
      <c r="D44">
        <v>36000</v>
      </c>
      <c r="E44">
        <v>160</v>
      </c>
      <c r="F44">
        <v>2</v>
      </c>
      <c r="G44" s="49">
        <v>8</v>
      </c>
      <c r="H44" s="1">
        <v>804.18</v>
      </c>
      <c r="I44" s="22">
        <v>38.68</v>
      </c>
      <c r="J44" s="27">
        <v>45481</v>
      </c>
      <c r="K44" s="52">
        <v>0.68870370370370371</v>
      </c>
      <c r="L44" s="49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Y44" s="22">
        <f>AVERAGE(I44:I48)</f>
        <v>38.7468</v>
      </c>
    </row>
    <row r="45" spans="1:25">
      <c r="A45" t="s">
        <v>133</v>
      </c>
      <c r="B45">
        <v>1</v>
      </c>
      <c r="C45" t="s">
        <v>7</v>
      </c>
      <c r="D45">
        <v>36000</v>
      </c>
      <c r="E45">
        <v>160</v>
      </c>
      <c r="F45">
        <v>2</v>
      </c>
      <c r="G45" s="49">
        <v>8</v>
      </c>
      <c r="H45" s="1">
        <v>799.12</v>
      </c>
      <c r="I45" s="22">
        <v>38.924999999999997</v>
      </c>
      <c r="J45" s="27">
        <v>45481</v>
      </c>
      <c r="K45" s="52">
        <v>0.69829861111111113</v>
      </c>
      <c r="L45" s="49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  <c r="W45" s="49">
        <v>0</v>
      </c>
      <c r="Y45" s="22">
        <f>Y44</f>
        <v>38.7468</v>
      </c>
    </row>
    <row r="46" spans="1:25">
      <c r="A46" t="s">
        <v>133</v>
      </c>
      <c r="B46">
        <v>2</v>
      </c>
      <c r="C46" t="s">
        <v>7</v>
      </c>
      <c r="D46">
        <v>36000</v>
      </c>
      <c r="E46">
        <v>160</v>
      </c>
      <c r="F46">
        <v>2</v>
      </c>
      <c r="G46" s="49">
        <v>8</v>
      </c>
      <c r="H46" s="1">
        <v>802.26</v>
      </c>
      <c r="I46" s="22">
        <v>38.773000000000003</v>
      </c>
      <c r="J46" s="27">
        <v>45481</v>
      </c>
      <c r="K46" s="52">
        <v>0.70793981481481483</v>
      </c>
      <c r="L46" s="49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  <c r="W46" s="49">
        <v>0</v>
      </c>
      <c r="Y46" s="22">
        <f>Y45</f>
        <v>38.7468</v>
      </c>
    </row>
    <row r="47" spans="1:25">
      <c r="A47" t="s">
        <v>133</v>
      </c>
      <c r="B47">
        <v>3</v>
      </c>
      <c r="C47" t="s">
        <v>7</v>
      </c>
      <c r="D47">
        <v>36000</v>
      </c>
      <c r="E47">
        <v>160</v>
      </c>
      <c r="F47">
        <v>2</v>
      </c>
      <c r="G47" s="49">
        <v>8</v>
      </c>
      <c r="H47" s="1">
        <v>804.14</v>
      </c>
      <c r="I47" s="22">
        <v>38.682000000000002</v>
      </c>
      <c r="J47" s="27">
        <v>45481</v>
      </c>
      <c r="K47" s="52">
        <v>0.71760416666666671</v>
      </c>
      <c r="L47" s="49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  <c r="W47" s="49">
        <v>0</v>
      </c>
      <c r="Y47" s="22">
        <f>Y46</f>
        <v>38.7468</v>
      </c>
    </row>
    <row r="48" spans="1:25">
      <c r="A48" t="s">
        <v>133</v>
      </c>
      <c r="B48">
        <v>4</v>
      </c>
      <c r="C48" t="s">
        <v>7</v>
      </c>
      <c r="D48">
        <v>36000</v>
      </c>
      <c r="E48">
        <v>160</v>
      </c>
      <c r="F48">
        <v>2</v>
      </c>
      <c r="G48" s="49">
        <v>8</v>
      </c>
      <c r="H48" s="1">
        <v>804.3</v>
      </c>
      <c r="I48" s="22">
        <v>38.673999999999999</v>
      </c>
      <c r="J48" s="27">
        <v>45481</v>
      </c>
      <c r="K48" s="52">
        <v>0.72726851851851848</v>
      </c>
      <c r="L48" s="49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  <c r="W48" s="49">
        <v>0</v>
      </c>
      <c r="Y48" s="22">
        <f>Y47</f>
        <v>38.7468</v>
      </c>
    </row>
    <row r="49" spans="1:25">
      <c r="A49" t="s">
        <v>125</v>
      </c>
      <c r="B49">
        <v>0</v>
      </c>
      <c r="C49" t="s">
        <v>7</v>
      </c>
      <c r="D49">
        <v>36000</v>
      </c>
      <c r="E49">
        <v>160</v>
      </c>
      <c r="F49">
        <v>2</v>
      </c>
      <c r="G49" s="49">
        <v>8</v>
      </c>
      <c r="H49" s="1">
        <v>806.12</v>
      </c>
      <c r="I49" s="48">
        <v>38.587000000000003</v>
      </c>
      <c r="J49" s="27">
        <v>45481</v>
      </c>
      <c r="K49" s="52">
        <v>0.49609953703703702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  <c r="W49" s="49">
        <v>0</v>
      </c>
      <c r="Y49" s="22">
        <f>AVERAGE(I49:I53)</f>
        <v>38.394400000000005</v>
      </c>
    </row>
    <row r="50" spans="1:25">
      <c r="A50" t="s">
        <v>125</v>
      </c>
      <c r="B50">
        <v>1</v>
      </c>
      <c r="C50" t="s">
        <v>7</v>
      </c>
      <c r="D50">
        <v>36000</v>
      </c>
      <c r="E50">
        <v>160</v>
      </c>
      <c r="F50">
        <v>2</v>
      </c>
      <c r="G50" s="49">
        <v>8</v>
      </c>
      <c r="H50" s="1">
        <v>821.4</v>
      </c>
      <c r="I50" s="48">
        <v>37.869999999999997</v>
      </c>
      <c r="J50" s="27">
        <v>45481</v>
      </c>
      <c r="K50" s="52">
        <v>0.50593750000000004</v>
      </c>
      <c r="L50" s="49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  <c r="W50" s="49">
        <v>0</v>
      </c>
      <c r="Y50" s="22">
        <f>Y49</f>
        <v>38.394400000000005</v>
      </c>
    </row>
    <row r="51" spans="1:25">
      <c r="A51" t="s">
        <v>125</v>
      </c>
      <c r="B51">
        <v>2</v>
      </c>
      <c r="C51" t="s">
        <v>7</v>
      </c>
      <c r="D51">
        <v>36000</v>
      </c>
      <c r="E51">
        <v>160</v>
      </c>
      <c r="F51">
        <v>2</v>
      </c>
      <c r="G51" s="49">
        <v>8</v>
      </c>
      <c r="H51" s="1">
        <v>805.32</v>
      </c>
      <c r="I51" s="48">
        <v>38.625</v>
      </c>
      <c r="J51" s="27">
        <v>45481</v>
      </c>
      <c r="K51" s="52">
        <v>0.51557870370370373</v>
      </c>
      <c r="L51" s="49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  <c r="W51" s="49">
        <v>0</v>
      </c>
      <c r="Y51" s="22">
        <f>Y50</f>
        <v>38.394400000000005</v>
      </c>
    </row>
    <row r="52" spans="1:25">
      <c r="A52" t="s">
        <v>125</v>
      </c>
      <c r="B52">
        <v>3</v>
      </c>
      <c r="C52" t="s">
        <v>7</v>
      </c>
      <c r="D52">
        <v>36000</v>
      </c>
      <c r="E52">
        <v>160</v>
      </c>
      <c r="F52">
        <v>2</v>
      </c>
      <c r="G52" s="49">
        <v>8</v>
      </c>
      <c r="H52" s="1">
        <v>823.42</v>
      </c>
      <c r="I52" s="48">
        <v>37.776000000000003</v>
      </c>
      <c r="J52" s="27">
        <v>45481</v>
      </c>
      <c r="K52" s="52">
        <v>0.52543981481481483</v>
      </c>
      <c r="L52" s="49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Y52" s="22">
        <f>Y51</f>
        <v>38.394400000000005</v>
      </c>
    </row>
    <row r="53" spans="1:25">
      <c r="A53" t="s">
        <v>125</v>
      </c>
      <c r="B53">
        <v>4</v>
      </c>
      <c r="C53" t="s">
        <v>7</v>
      </c>
      <c r="D53">
        <v>36000</v>
      </c>
      <c r="E53">
        <v>160</v>
      </c>
      <c r="F53">
        <v>2</v>
      </c>
      <c r="G53" s="49">
        <v>8</v>
      </c>
      <c r="H53" s="1">
        <v>795.27</v>
      </c>
      <c r="I53" s="48">
        <v>39.113999999999997</v>
      </c>
      <c r="J53" s="27">
        <v>45481</v>
      </c>
      <c r="K53" s="52">
        <v>0.5349652777777778</v>
      </c>
      <c r="L53" s="49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  <c r="W53" s="49">
        <v>0</v>
      </c>
      <c r="Y53" s="22">
        <f>Y52</f>
        <v>38.394400000000005</v>
      </c>
    </row>
    <row r="54" spans="1:25">
      <c r="A54" t="s">
        <v>124</v>
      </c>
      <c r="B54">
        <v>0</v>
      </c>
      <c r="C54" t="s">
        <v>7</v>
      </c>
      <c r="D54">
        <v>36000</v>
      </c>
      <c r="E54">
        <v>160</v>
      </c>
      <c r="F54">
        <v>2</v>
      </c>
      <c r="G54" s="49">
        <v>8</v>
      </c>
      <c r="H54" s="1">
        <v>811.18</v>
      </c>
      <c r="I54" s="48">
        <v>38.345999999999997</v>
      </c>
      <c r="J54" s="27">
        <v>45481</v>
      </c>
      <c r="K54" s="52">
        <v>0.44755787037037037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  <c r="W54" s="49">
        <v>0</v>
      </c>
      <c r="Y54" s="22">
        <f>AVERAGE(I54:I58)</f>
        <v>38.340999999999994</v>
      </c>
    </row>
    <row r="55" spans="1:25">
      <c r="A55" t="s">
        <v>124</v>
      </c>
      <c r="B55">
        <v>1</v>
      </c>
      <c r="C55" t="s">
        <v>7</v>
      </c>
      <c r="D55">
        <v>36000</v>
      </c>
      <c r="E55">
        <v>160</v>
      </c>
      <c r="F55">
        <v>2</v>
      </c>
      <c r="G55" s="49">
        <v>8</v>
      </c>
      <c r="H55" s="1">
        <v>820.51</v>
      </c>
      <c r="I55" s="48">
        <v>37.911000000000001</v>
      </c>
      <c r="J55" s="27">
        <v>45481</v>
      </c>
      <c r="K55" s="52">
        <v>0.45738425925925924</v>
      </c>
      <c r="L55" s="49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  <c r="W55" s="49">
        <v>0</v>
      </c>
      <c r="Y55" s="22">
        <f>Y54</f>
        <v>38.340999999999994</v>
      </c>
    </row>
    <row r="56" spans="1:25">
      <c r="A56" t="s">
        <v>124</v>
      </c>
      <c r="B56">
        <v>2</v>
      </c>
      <c r="C56" t="s">
        <v>7</v>
      </c>
      <c r="D56">
        <v>36000</v>
      </c>
      <c r="E56">
        <v>160</v>
      </c>
      <c r="F56">
        <v>2</v>
      </c>
      <c r="G56" s="49">
        <v>8</v>
      </c>
      <c r="H56" s="1">
        <v>804.7</v>
      </c>
      <c r="I56" s="48">
        <v>38.655000000000001</v>
      </c>
      <c r="J56" s="27">
        <v>45481</v>
      </c>
      <c r="K56" s="52">
        <v>0.46702546296296299</v>
      </c>
      <c r="L56" s="49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  <c r="W56" s="49">
        <v>0</v>
      </c>
      <c r="Y56" s="22">
        <f>Y55</f>
        <v>38.340999999999994</v>
      </c>
    </row>
    <row r="57" spans="1:25">
      <c r="A57" t="s">
        <v>124</v>
      </c>
      <c r="B57">
        <v>3</v>
      </c>
      <c r="C57" t="s">
        <v>7</v>
      </c>
      <c r="D57">
        <v>36000</v>
      </c>
      <c r="E57">
        <v>160</v>
      </c>
      <c r="F57">
        <v>2</v>
      </c>
      <c r="G57" s="49">
        <v>8</v>
      </c>
      <c r="H57" s="1">
        <v>809.98</v>
      </c>
      <c r="I57" s="48">
        <v>38.402999999999999</v>
      </c>
      <c r="J57" s="27">
        <v>45481</v>
      </c>
      <c r="K57" s="52">
        <v>0.47673611111111114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  <c r="W57" s="49">
        <v>0</v>
      </c>
      <c r="Y57" s="22">
        <f>Y56</f>
        <v>38.340999999999994</v>
      </c>
    </row>
    <row r="58" spans="1:25">
      <c r="A58" t="s">
        <v>124</v>
      </c>
      <c r="B58">
        <v>4</v>
      </c>
      <c r="C58" t="s">
        <v>7</v>
      </c>
      <c r="D58">
        <v>36000</v>
      </c>
      <c r="E58">
        <v>160</v>
      </c>
      <c r="F58">
        <v>2</v>
      </c>
      <c r="G58" s="49">
        <v>8</v>
      </c>
      <c r="H58" s="1">
        <v>810.27</v>
      </c>
      <c r="I58" s="48">
        <v>38.39</v>
      </c>
      <c r="J58" s="27">
        <v>45481</v>
      </c>
      <c r="K58" s="52">
        <v>0.48644675925925923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</v>
      </c>
      <c r="Y58" s="22">
        <f>Y57</f>
        <v>38.340999999999994</v>
      </c>
    </row>
    <row r="59" spans="1:25">
      <c r="A59" t="s">
        <v>117</v>
      </c>
      <c r="B59">
        <v>0</v>
      </c>
      <c r="C59" t="s">
        <v>7</v>
      </c>
      <c r="D59">
        <v>36000</v>
      </c>
      <c r="E59">
        <v>160</v>
      </c>
      <c r="F59">
        <v>2</v>
      </c>
      <c r="G59" s="49">
        <v>8</v>
      </c>
      <c r="H59" s="1">
        <v>811.91</v>
      </c>
      <c r="I59" s="48">
        <v>38.311999999999998</v>
      </c>
      <c r="J59" s="27">
        <v>45481</v>
      </c>
      <c r="K59" s="52">
        <v>0.10841435185185185</v>
      </c>
      <c r="L59" s="49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  <c r="W59" s="49">
        <v>0</v>
      </c>
      <c r="Y59" s="22">
        <f>AVERAGE(I59:I63)</f>
        <v>38.278800000000004</v>
      </c>
    </row>
    <row r="60" spans="1:25">
      <c r="A60" t="s">
        <v>117</v>
      </c>
      <c r="B60">
        <v>1</v>
      </c>
      <c r="C60" t="s">
        <v>7</v>
      </c>
      <c r="D60">
        <v>36000</v>
      </c>
      <c r="E60">
        <v>160</v>
      </c>
      <c r="F60">
        <v>2</v>
      </c>
      <c r="G60" s="49">
        <v>8</v>
      </c>
      <c r="H60" s="1">
        <v>812.37</v>
      </c>
      <c r="I60" s="48">
        <v>38.29</v>
      </c>
      <c r="J60" s="27">
        <v>45481</v>
      </c>
      <c r="K60" s="52">
        <v>0.11813657407407407</v>
      </c>
      <c r="L60" s="49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0</v>
      </c>
      <c r="T60" s="49">
        <v>0</v>
      </c>
      <c r="U60" s="49">
        <v>0</v>
      </c>
      <c r="V60" s="49">
        <v>0</v>
      </c>
      <c r="W60" s="49">
        <v>0</v>
      </c>
      <c r="Y60" s="22">
        <f>Y59</f>
        <v>38.278800000000004</v>
      </c>
    </row>
    <row r="61" spans="1:25">
      <c r="A61" t="s">
        <v>117</v>
      </c>
      <c r="B61">
        <v>2</v>
      </c>
      <c r="C61" t="s">
        <v>7</v>
      </c>
      <c r="D61">
        <v>36000</v>
      </c>
      <c r="E61">
        <v>160</v>
      </c>
      <c r="F61">
        <v>2</v>
      </c>
      <c r="G61" s="49">
        <v>8</v>
      </c>
      <c r="H61" s="1">
        <v>813.1</v>
      </c>
      <c r="I61" s="48">
        <v>38.256</v>
      </c>
      <c r="J61" s="27">
        <v>45481</v>
      </c>
      <c r="K61" s="52">
        <v>0.12788194444444445</v>
      </c>
      <c r="L61" s="49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  <c r="W61" s="49">
        <v>0</v>
      </c>
      <c r="Y61" s="22">
        <f>Y60</f>
        <v>38.278800000000004</v>
      </c>
    </row>
    <row r="62" spans="1:25">
      <c r="A62" t="s">
        <v>117</v>
      </c>
      <c r="B62">
        <v>3</v>
      </c>
      <c r="C62" t="s">
        <v>7</v>
      </c>
      <c r="D62">
        <v>36000</v>
      </c>
      <c r="E62">
        <v>160</v>
      </c>
      <c r="F62">
        <v>2</v>
      </c>
      <c r="G62" s="49">
        <v>8</v>
      </c>
      <c r="H62" s="1">
        <v>808.75</v>
      </c>
      <c r="I62" s="48">
        <v>38.462000000000003</v>
      </c>
      <c r="J62" s="27">
        <v>45481</v>
      </c>
      <c r="K62" s="52">
        <v>0.13755787037037037</v>
      </c>
      <c r="L62" s="49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  <c r="W62" s="49">
        <v>0</v>
      </c>
      <c r="Y62" s="22">
        <f>Y61</f>
        <v>38.278800000000004</v>
      </c>
    </row>
    <row r="63" spans="1:25">
      <c r="A63" t="s">
        <v>117</v>
      </c>
      <c r="B63">
        <v>4</v>
      </c>
      <c r="C63" t="s">
        <v>7</v>
      </c>
      <c r="D63">
        <v>36000</v>
      </c>
      <c r="E63">
        <v>160</v>
      </c>
      <c r="F63">
        <v>2</v>
      </c>
      <c r="G63" s="49">
        <v>8</v>
      </c>
      <c r="H63" s="1">
        <v>816.99</v>
      </c>
      <c r="I63" s="48">
        <v>38.073999999999998</v>
      </c>
      <c r="J63" s="27">
        <v>45481</v>
      </c>
      <c r="K63" s="52">
        <v>0.14734953703703704</v>
      </c>
      <c r="L63" s="49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  <c r="W63" s="49">
        <v>0</v>
      </c>
      <c r="Y63" s="22">
        <f>Y62</f>
        <v>38.278800000000004</v>
      </c>
    </row>
    <row r="64" spans="1:25">
      <c r="A64" t="s">
        <v>123</v>
      </c>
      <c r="B64">
        <v>0</v>
      </c>
      <c r="C64" t="s">
        <v>7</v>
      </c>
      <c r="D64">
        <v>36000</v>
      </c>
      <c r="E64">
        <v>160</v>
      </c>
      <c r="F64">
        <v>2</v>
      </c>
      <c r="G64" s="49">
        <v>8</v>
      </c>
      <c r="H64" s="1">
        <v>818.1</v>
      </c>
      <c r="I64" s="48">
        <v>38.021999999999998</v>
      </c>
      <c r="J64" s="27">
        <v>45481</v>
      </c>
      <c r="K64" s="52">
        <v>0.3989699074074074</v>
      </c>
      <c r="L64" s="49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  <c r="W64" s="49">
        <v>0</v>
      </c>
      <c r="Y64" s="22">
        <f>AVERAGE(I64:I68)</f>
        <v>38.276799999999994</v>
      </c>
    </row>
    <row r="65" spans="1:25">
      <c r="A65" t="s">
        <v>123</v>
      </c>
      <c r="B65">
        <v>1</v>
      </c>
      <c r="C65" t="s">
        <v>7</v>
      </c>
      <c r="D65">
        <v>36000</v>
      </c>
      <c r="E65">
        <v>160</v>
      </c>
      <c r="F65">
        <v>2</v>
      </c>
      <c r="G65" s="49">
        <v>8</v>
      </c>
      <c r="H65" s="1">
        <v>814.21</v>
      </c>
      <c r="I65" s="48">
        <v>38.204000000000001</v>
      </c>
      <c r="J65" s="27">
        <v>45481</v>
      </c>
      <c r="K65" s="52">
        <v>0.40871527777777777</v>
      </c>
      <c r="L65" s="49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  <c r="W65" s="49">
        <v>0</v>
      </c>
      <c r="Y65" s="22">
        <f>Y64</f>
        <v>38.276799999999994</v>
      </c>
    </row>
    <row r="66" spans="1:25">
      <c r="A66" t="s">
        <v>123</v>
      </c>
      <c r="B66">
        <v>2</v>
      </c>
      <c r="C66" t="s">
        <v>7</v>
      </c>
      <c r="D66">
        <v>36000</v>
      </c>
      <c r="E66">
        <v>160</v>
      </c>
      <c r="F66">
        <v>2</v>
      </c>
      <c r="G66" s="49">
        <v>8</v>
      </c>
      <c r="H66" s="1">
        <v>814.77</v>
      </c>
      <c r="I66" s="48">
        <v>38.177</v>
      </c>
      <c r="J66" s="27">
        <v>45481</v>
      </c>
      <c r="K66" s="52">
        <v>0.41847222222222225</v>
      </c>
      <c r="L66" s="49">
        <v>0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0</v>
      </c>
      <c r="S66" s="49">
        <v>0</v>
      </c>
      <c r="T66" s="49">
        <v>0</v>
      </c>
      <c r="U66" s="49">
        <v>0</v>
      </c>
      <c r="V66" s="49">
        <v>0</v>
      </c>
      <c r="W66" s="49">
        <v>0</v>
      </c>
      <c r="Y66" s="22">
        <f>Y65</f>
        <v>38.276799999999994</v>
      </c>
    </row>
    <row r="67" spans="1:25">
      <c r="A67" t="s">
        <v>123</v>
      </c>
      <c r="B67">
        <v>3</v>
      </c>
      <c r="C67" t="s">
        <v>7</v>
      </c>
      <c r="D67">
        <v>36000</v>
      </c>
      <c r="E67">
        <v>160</v>
      </c>
      <c r="F67">
        <v>2</v>
      </c>
      <c r="G67" s="49">
        <v>8</v>
      </c>
      <c r="H67" s="1">
        <v>814.88</v>
      </c>
      <c r="I67" s="48">
        <v>38.171999999999997</v>
      </c>
      <c r="J67" s="27">
        <v>45481</v>
      </c>
      <c r="K67" s="52">
        <v>0.42822916666666666</v>
      </c>
      <c r="L67" s="49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  <c r="W67" s="49">
        <v>0</v>
      </c>
      <c r="Y67" s="22">
        <f>Y66</f>
        <v>38.276799999999994</v>
      </c>
    </row>
    <row r="68" spans="1:25">
      <c r="A68" t="s">
        <v>123</v>
      </c>
      <c r="B68">
        <v>4</v>
      </c>
      <c r="C68" t="s">
        <v>7</v>
      </c>
      <c r="D68">
        <v>36000</v>
      </c>
      <c r="E68">
        <v>160</v>
      </c>
      <c r="F68">
        <v>2</v>
      </c>
      <c r="G68" s="49">
        <v>8</v>
      </c>
      <c r="H68" s="1">
        <v>801.52</v>
      </c>
      <c r="I68" s="48">
        <v>38.808999999999997</v>
      </c>
      <c r="J68" s="27">
        <v>45481</v>
      </c>
      <c r="K68" s="52">
        <v>0.43783564814814813</v>
      </c>
      <c r="L68" s="49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  <c r="W68" s="49">
        <v>0</v>
      </c>
      <c r="Y68" s="22">
        <f>Y67</f>
        <v>38.276799999999994</v>
      </c>
    </row>
    <row r="69" spans="1:25">
      <c r="A69" t="s">
        <v>122</v>
      </c>
      <c r="B69">
        <v>0</v>
      </c>
      <c r="C69" t="s">
        <v>7</v>
      </c>
      <c r="D69">
        <v>36000</v>
      </c>
      <c r="E69">
        <v>160</v>
      </c>
      <c r="F69">
        <v>2</v>
      </c>
      <c r="G69" s="49">
        <v>8</v>
      </c>
      <c r="H69" s="1">
        <v>811.9</v>
      </c>
      <c r="I69" s="48">
        <v>38.313000000000002</v>
      </c>
      <c r="J69" s="27">
        <v>45481</v>
      </c>
      <c r="K69" s="52">
        <v>0.35030092592592593</v>
      </c>
      <c r="L69" s="49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  <c r="W69" s="49">
        <v>0</v>
      </c>
      <c r="Y69" s="22">
        <f>AVERAGE(I69:I73)</f>
        <v>38.200400000000002</v>
      </c>
    </row>
    <row r="70" spans="1:25">
      <c r="A70" t="s">
        <v>122</v>
      </c>
      <c r="B70">
        <v>1</v>
      </c>
      <c r="C70" t="s">
        <v>7</v>
      </c>
      <c r="D70">
        <v>36000</v>
      </c>
      <c r="E70">
        <v>160</v>
      </c>
      <c r="F70">
        <v>2</v>
      </c>
      <c r="G70" s="49">
        <v>8</v>
      </c>
      <c r="H70" s="1">
        <v>816.29</v>
      </c>
      <c r="I70" s="48">
        <v>38.106000000000002</v>
      </c>
      <c r="J70" s="27">
        <v>45481</v>
      </c>
      <c r="K70" s="52">
        <v>0.36003472222222221</v>
      </c>
      <c r="L70" s="49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  <c r="W70" s="49">
        <v>0</v>
      </c>
      <c r="Y70" s="22">
        <f>Y69</f>
        <v>38.200400000000002</v>
      </c>
    </row>
    <row r="71" spans="1:25">
      <c r="A71" t="s">
        <v>122</v>
      </c>
      <c r="B71">
        <v>2</v>
      </c>
      <c r="C71" t="s">
        <v>7</v>
      </c>
      <c r="D71">
        <v>36000</v>
      </c>
      <c r="E71">
        <v>160</v>
      </c>
      <c r="F71">
        <v>2</v>
      </c>
      <c r="G71" s="49">
        <v>8</v>
      </c>
      <c r="H71" s="1">
        <v>822.49</v>
      </c>
      <c r="I71" s="48">
        <v>37.819000000000003</v>
      </c>
      <c r="J71" s="27">
        <v>45481</v>
      </c>
      <c r="K71" s="52">
        <v>0.36983796296296295</v>
      </c>
      <c r="L71" s="49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0</v>
      </c>
      <c r="S71" s="49">
        <v>0</v>
      </c>
      <c r="T71" s="49">
        <v>0</v>
      </c>
      <c r="U71" s="49">
        <v>0</v>
      </c>
      <c r="V71" s="49">
        <v>0</v>
      </c>
      <c r="W71" s="49">
        <v>0</v>
      </c>
      <c r="Y71" s="22">
        <f>Y70</f>
        <v>38.200400000000002</v>
      </c>
    </row>
    <row r="72" spans="1:25">
      <c r="A72" t="s">
        <v>122</v>
      </c>
      <c r="B72">
        <v>3</v>
      </c>
      <c r="C72" t="s">
        <v>7</v>
      </c>
      <c r="D72">
        <v>36000</v>
      </c>
      <c r="E72">
        <v>160</v>
      </c>
      <c r="F72">
        <v>2</v>
      </c>
      <c r="G72" s="49">
        <v>8</v>
      </c>
      <c r="H72" s="1">
        <v>806.67</v>
      </c>
      <c r="I72" s="48">
        <v>38.561</v>
      </c>
      <c r="J72" s="27">
        <v>45481</v>
      </c>
      <c r="K72" s="52">
        <v>0.37946759259259261</v>
      </c>
      <c r="L72" s="49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  <c r="W72" s="49">
        <v>0</v>
      </c>
      <c r="Y72" s="22">
        <f>Y71</f>
        <v>38.200400000000002</v>
      </c>
    </row>
    <row r="73" spans="1:25">
      <c r="A73" t="s">
        <v>122</v>
      </c>
      <c r="B73">
        <v>4</v>
      </c>
      <c r="C73" t="s">
        <v>7</v>
      </c>
      <c r="D73">
        <v>36000</v>
      </c>
      <c r="E73">
        <v>160</v>
      </c>
      <c r="F73">
        <v>2</v>
      </c>
      <c r="G73" s="49">
        <v>8</v>
      </c>
      <c r="H73" s="1">
        <v>814.24</v>
      </c>
      <c r="I73" s="48">
        <v>38.203000000000003</v>
      </c>
      <c r="J73" s="27">
        <v>45481</v>
      </c>
      <c r="K73" s="52">
        <v>0.38917824074074076</v>
      </c>
      <c r="L73" s="49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  <c r="W73" s="49">
        <v>0</v>
      </c>
      <c r="Y73" s="22">
        <f>Y72</f>
        <v>38.200400000000002</v>
      </c>
    </row>
    <row r="74" spans="1:25">
      <c r="A74" t="s">
        <v>115</v>
      </c>
      <c r="B74">
        <v>0</v>
      </c>
      <c r="C74" t="s">
        <v>7</v>
      </c>
      <c r="D74">
        <v>36000</v>
      </c>
      <c r="E74">
        <v>160</v>
      </c>
      <c r="F74">
        <v>2</v>
      </c>
      <c r="G74" s="49">
        <v>8</v>
      </c>
      <c r="H74" s="1">
        <v>804.29</v>
      </c>
      <c r="I74" s="48">
        <v>38.674999999999997</v>
      </c>
      <c r="J74" s="27">
        <v>45481</v>
      </c>
      <c r="K74" s="52">
        <v>5.9432870370370372E-2</v>
      </c>
      <c r="L74" s="49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  <c r="W74" s="49">
        <v>0</v>
      </c>
      <c r="Y74" s="22">
        <f>AVERAGE(I74:I78)</f>
        <v>38.111599999999996</v>
      </c>
    </row>
    <row r="75" spans="1:25">
      <c r="A75" t="s">
        <v>116</v>
      </c>
      <c r="B75">
        <v>1</v>
      </c>
      <c r="C75" t="s">
        <v>7</v>
      </c>
      <c r="D75">
        <v>36000</v>
      </c>
      <c r="E75">
        <v>160</v>
      </c>
      <c r="F75">
        <v>2</v>
      </c>
      <c r="G75" s="49">
        <v>8</v>
      </c>
      <c r="H75" s="1">
        <v>803.67</v>
      </c>
      <c r="I75" s="48">
        <v>38.704999999999998</v>
      </c>
      <c r="J75" s="27">
        <v>45481</v>
      </c>
      <c r="K75" s="52">
        <v>6.9074074074074079E-2</v>
      </c>
      <c r="L75" s="49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  <c r="W75" s="49">
        <v>0</v>
      </c>
      <c r="Y75" s="22">
        <f>Y74</f>
        <v>38.111599999999996</v>
      </c>
    </row>
    <row r="76" spans="1:25">
      <c r="A76" t="s">
        <v>116</v>
      </c>
      <c r="B76">
        <v>2</v>
      </c>
      <c r="C76" t="s">
        <v>7</v>
      </c>
      <c r="D76">
        <v>36000</v>
      </c>
      <c r="E76">
        <v>160</v>
      </c>
      <c r="F76">
        <v>2</v>
      </c>
      <c r="G76" s="49">
        <v>8</v>
      </c>
      <c r="H76" s="1">
        <v>817.98</v>
      </c>
      <c r="I76" s="48">
        <v>38.027999999999999</v>
      </c>
      <c r="J76" s="27">
        <v>45481</v>
      </c>
      <c r="K76" s="52">
        <v>7.8877314814814817E-2</v>
      </c>
      <c r="L76" s="49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  <c r="W76" s="49">
        <v>0</v>
      </c>
      <c r="Y76" s="22">
        <f>Y75</f>
        <v>38.111599999999996</v>
      </c>
    </row>
    <row r="77" spans="1:25">
      <c r="A77" t="s">
        <v>116</v>
      </c>
      <c r="B77">
        <v>3</v>
      </c>
      <c r="C77" t="s">
        <v>7</v>
      </c>
      <c r="D77">
        <v>36000</v>
      </c>
      <c r="E77">
        <v>160</v>
      </c>
      <c r="F77">
        <v>2</v>
      </c>
      <c r="G77" s="49">
        <v>8</v>
      </c>
      <c r="H77" s="1">
        <v>818.09</v>
      </c>
      <c r="I77" s="48">
        <v>38.023000000000003</v>
      </c>
      <c r="J77" s="27">
        <v>45481</v>
      </c>
      <c r="K77" s="52">
        <v>8.8668981481481488E-2</v>
      </c>
      <c r="L77" s="49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  <c r="W77" s="49">
        <v>0</v>
      </c>
      <c r="Y77" s="22">
        <f>Y76</f>
        <v>38.111599999999996</v>
      </c>
    </row>
    <row r="78" spans="1:25">
      <c r="A78" t="s">
        <v>116</v>
      </c>
      <c r="B78">
        <v>4</v>
      </c>
      <c r="C78" t="s">
        <v>7</v>
      </c>
      <c r="D78">
        <v>36000</v>
      </c>
      <c r="E78">
        <v>160</v>
      </c>
      <c r="F78">
        <v>2</v>
      </c>
      <c r="G78" s="49">
        <v>8</v>
      </c>
      <c r="H78" s="1">
        <v>837.81</v>
      </c>
      <c r="I78" s="48">
        <v>37.127000000000002</v>
      </c>
      <c r="J78" s="27">
        <v>45481</v>
      </c>
      <c r="K78" s="52">
        <v>9.869212962962963E-2</v>
      </c>
      <c r="L78" s="49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0</v>
      </c>
      <c r="S78" s="49">
        <v>0</v>
      </c>
      <c r="T78" s="49">
        <v>0</v>
      </c>
      <c r="U78" s="49">
        <v>0</v>
      </c>
      <c r="V78" s="49">
        <v>0</v>
      </c>
      <c r="W78" s="49">
        <v>0</v>
      </c>
      <c r="Y78" s="22">
        <f>Y77</f>
        <v>38.111599999999996</v>
      </c>
    </row>
    <row r="79" spans="1:25">
      <c r="A79" t="s">
        <v>88</v>
      </c>
      <c r="B79">
        <v>0</v>
      </c>
      <c r="C79" t="s">
        <v>7</v>
      </c>
      <c r="D79">
        <v>36000</v>
      </c>
      <c r="E79">
        <v>160</v>
      </c>
      <c r="F79">
        <v>2</v>
      </c>
      <c r="G79" s="49">
        <v>8</v>
      </c>
      <c r="H79" s="1">
        <v>808.48</v>
      </c>
      <c r="I79" s="22">
        <v>38.475000000000001</v>
      </c>
      <c r="J79" s="27">
        <v>45128</v>
      </c>
      <c r="K79" s="52">
        <v>2.8391203703703707E-2</v>
      </c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Y79" s="22">
        <f>AVERAGE(I79:I83)</f>
        <v>38.0274</v>
      </c>
    </row>
    <row r="80" spans="1:25">
      <c r="A80" t="s">
        <v>88</v>
      </c>
      <c r="B80">
        <v>1</v>
      </c>
      <c r="C80" t="s">
        <v>7</v>
      </c>
      <c r="D80">
        <v>36000</v>
      </c>
      <c r="E80">
        <v>160</v>
      </c>
      <c r="F80">
        <v>2</v>
      </c>
      <c r="G80" s="49">
        <v>8</v>
      </c>
      <c r="H80" s="1">
        <v>816.14</v>
      </c>
      <c r="I80" s="22">
        <v>38.113</v>
      </c>
      <c r="J80" s="27">
        <v>45128</v>
      </c>
      <c r="K80" s="52">
        <v>3.8657407407407404E-2</v>
      </c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Y80" s="22">
        <f>Y79</f>
        <v>38.0274</v>
      </c>
    </row>
    <row r="81" spans="1:25">
      <c r="A81" t="s">
        <v>88</v>
      </c>
      <c r="B81">
        <v>2</v>
      </c>
      <c r="C81" t="s">
        <v>7</v>
      </c>
      <c r="D81">
        <v>36000</v>
      </c>
      <c r="E81">
        <v>160</v>
      </c>
      <c r="F81">
        <v>2</v>
      </c>
      <c r="G81" s="49">
        <v>8</v>
      </c>
      <c r="H81" s="1">
        <v>815.42</v>
      </c>
      <c r="I81" s="22">
        <v>38.146999999999998</v>
      </c>
      <c r="J81" s="27">
        <v>45128</v>
      </c>
      <c r="K81" s="52">
        <v>4.8912037037037039E-2</v>
      </c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Y81" s="22">
        <f>Y80</f>
        <v>38.0274</v>
      </c>
    </row>
    <row r="82" spans="1:25">
      <c r="A82" t="s">
        <v>88</v>
      </c>
      <c r="B82">
        <v>3</v>
      </c>
      <c r="C82" t="s">
        <v>7</v>
      </c>
      <c r="D82">
        <v>36000</v>
      </c>
      <c r="E82">
        <v>160</v>
      </c>
      <c r="F82">
        <v>2</v>
      </c>
      <c r="G82" s="49">
        <v>8</v>
      </c>
      <c r="H82" s="1">
        <v>823.2</v>
      </c>
      <c r="I82" s="22">
        <v>37.786999999999999</v>
      </c>
      <c r="J82" s="27">
        <v>45128</v>
      </c>
      <c r="K82" s="52">
        <v>5.9247685185185188E-2</v>
      </c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Y82" s="22">
        <f>Y81</f>
        <v>38.0274</v>
      </c>
    </row>
    <row r="83" spans="1:25">
      <c r="A83" t="s">
        <v>88</v>
      </c>
      <c r="B83">
        <v>4</v>
      </c>
      <c r="C83" t="s">
        <v>7</v>
      </c>
      <c r="D83">
        <v>36000</v>
      </c>
      <c r="E83">
        <v>160</v>
      </c>
      <c r="F83">
        <v>2</v>
      </c>
      <c r="G83" s="49">
        <v>8</v>
      </c>
      <c r="H83" s="1">
        <v>826.96</v>
      </c>
      <c r="I83" s="22">
        <v>37.615000000000002</v>
      </c>
      <c r="J83" s="27">
        <v>45128</v>
      </c>
      <c r="K83" s="52">
        <v>6.9641203703703705E-2</v>
      </c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Y83" s="22">
        <f>Y82</f>
        <v>38.0274</v>
      </c>
    </row>
    <row r="84" spans="1:25">
      <c r="A84" t="s">
        <v>118</v>
      </c>
      <c r="B84">
        <v>0</v>
      </c>
      <c r="C84" t="s">
        <v>7</v>
      </c>
      <c r="D84">
        <v>36000</v>
      </c>
      <c r="E84">
        <v>160</v>
      </c>
      <c r="F84">
        <v>2</v>
      </c>
      <c r="G84" s="49">
        <v>8</v>
      </c>
      <c r="H84" s="1">
        <v>806.01</v>
      </c>
      <c r="I84" s="48">
        <v>38.593000000000004</v>
      </c>
      <c r="J84" s="27">
        <v>45481</v>
      </c>
      <c r="K84" s="52">
        <v>0.15695601851851851</v>
      </c>
      <c r="L84" s="49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  <c r="W84" s="49">
        <v>0</v>
      </c>
      <c r="Y84" s="22">
        <f>AVERAGE(I84:I88)</f>
        <v>38.003400000000006</v>
      </c>
    </row>
    <row r="85" spans="1:25">
      <c r="A85" t="s">
        <v>118</v>
      </c>
      <c r="B85">
        <v>1</v>
      </c>
      <c r="C85" t="s">
        <v>7</v>
      </c>
      <c r="D85">
        <v>36000</v>
      </c>
      <c r="E85">
        <v>160</v>
      </c>
      <c r="F85">
        <v>2</v>
      </c>
      <c r="G85" s="49">
        <v>8</v>
      </c>
      <c r="H85" s="1">
        <v>809.05</v>
      </c>
      <c r="I85" s="48">
        <v>38.447000000000003</v>
      </c>
      <c r="J85" s="27">
        <v>45481</v>
      </c>
      <c r="K85" s="52">
        <v>0.16659722222222223</v>
      </c>
      <c r="L85" s="49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  <c r="W85" s="49">
        <v>0</v>
      </c>
      <c r="Y85" s="22">
        <f>Y84</f>
        <v>38.003400000000006</v>
      </c>
    </row>
    <row r="86" spans="1:25">
      <c r="A86" t="s">
        <v>118</v>
      </c>
      <c r="B86">
        <v>2</v>
      </c>
      <c r="C86" t="s">
        <v>7</v>
      </c>
      <c r="D86">
        <v>36000</v>
      </c>
      <c r="E86">
        <v>160</v>
      </c>
      <c r="F86">
        <v>2</v>
      </c>
      <c r="G86" s="49">
        <v>8</v>
      </c>
      <c r="H86" s="1">
        <v>851.55</v>
      </c>
      <c r="I86" s="48">
        <v>36.529000000000003</v>
      </c>
      <c r="J86" s="27">
        <v>45481</v>
      </c>
      <c r="K86" s="52">
        <v>0.17673611111111112</v>
      </c>
      <c r="L86" s="49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  <c r="W86" s="49">
        <v>0</v>
      </c>
      <c r="Y86" s="22">
        <f>Y85</f>
        <v>38.003400000000006</v>
      </c>
    </row>
    <row r="87" spans="1:25">
      <c r="A87" t="s">
        <v>118</v>
      </c>
      <c r="B87">
        <v>3</v>
      </c>
      <c r="C87" t="s">
        <v>7</v>
      </c>
      <c r="D87">
        <v>36000</v>
      </c>
      <c r="E87">
        <v>160</v>
      </c>
      <c r="F87">
        <v>2</v>
      </c>
      <c r="G87" s="49">
        <v>8</v>
      </c>
      <c r="H87" s="1">
        <v>827.87</v>
      </c>
      <c r="I87" s="48">
        <v>37.573</v>
      </c>
      <c r="J87" s="27">
        <v>45481</v>
      </c>
      <c r="K87" s="52">
        <v>0.18659722222222222</v>
      </c>
      <c r="L87" s="49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  <c r="W87" s="49">
        <v>0</v>
      </c>
      <c r="Y87" s="22">
        <f>Y86</f>
        <v>38.003400000000006</v>
      </c>
    </row>
    <row r="88" spans="1:25">
      <c r="A88" t="s">
        <v>118</v>
      </c>
      <c r="B88">
        <v>4</v>
      </c>
      <c r="C88" t="s">
        <v>7</v>
      </c>
      <c r="D88">
        <v>36000</v>
      </c>
      <c r="E88">
        <v>160</v>
      </c>
      <c r="F88">
        <v>2</v>
      </c>
      <c r="G88" s="49">
        <v>8</v>
      </c>
      <c r="H88" s="1">
        <v>800.15</v>
      </c>
      <c r="I88" s="48">
        <v>38.875</v>
      </c>
      <c r="J88" s="27">
        <v>45481</v>
      </c>
      <c r="K88" s="52">
        <v>0.19613425925925926</v>
      </c>
      <c r="L88" s="49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  <c r="W88" s="49">
        <v>0</v>
      </c>
      <c r="Y88" s="22">
        <f>Y87</f>
        <v>38.003400000000006</v>
      </c>
    </row>
    <row r="89" spans="1:25">
      <c r="A89" t="s">
        <v>82</v>
      </c>
      <c r="B89">
        <v>0</v>
      </c>
      <c r="C89" t="s">
        <v>7</v>
      </c>
      <c r="D89">
        <v>36000</v>
      </c>
      <c r="E89">
        <v>160</v>
      </c>
      <c r="F89">
        <v>2</v>
      </c>
      <c r="G89" s="49">
        <v>8</v>
      </c>
      <c r="H89" s="1">
        <v>819.91</v>
      </c>
      <c r="I89" s="22">
        <v>37.938000000000002</v>
      </c>
      <c r="J89" s="27">
        <v>45127</v>
      </c>
      <c r="K89" s="52">
        <v>0.66418981481481476</v>
      </c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Y89" s="22">
        <f>AVERAGE(I89:I93)</f>
        <v>37.8688</v>
      </c>
    </row>
    <row r="90" spans="1:25">
      <c r="A90" t="s">
        <v>82</v>
      </c>
      <c r="B90">
        <v>1</v>
      </c>
      <c r="C90" t="s">
        <v>7</v>
      </c>
      <c r="D90">
        <v>36000</v>
      </c>
      <c r="E90">
        <v>160</v>
      </c>
      <c r="F90">
        <v>2</v>
      </c>
      <c r="G90" s="49">
        <v>8</v>
      </c>
      <c r="H90" s="1">
        <v>824.55</v>
      </c>
      <c r="I90" s="22">
        <v>37.725000000000001</v>
      </c>
      <c r="J90" s="27">
        <v>45127</v>
      </c>
      <c r="K90" s="52">
        <v>0.67457175925925927</v>
      </c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Y90" s="22">
        <f>Y89</f>
        <v>37.8688</v>
      </c>
    </row>
    <row r="91" spans="1:25">
      <c r="A91" t="s">
        <v>82</v>
      </c>
      <c r="B91">
        <v>2</v>
      </c>
      <c r="C91" t="s">
        <v>7</v>
      </c>
      <c r="D91">
        <v>36000</v>
      </c>
      <c r="E91">
        <v>160</v>
      </c>
      <c r="F91">
        <v>2</v>
      </c>
      <c r="G91" s="49">
        <v>8</v>
      </c>
      <c r="H91" s="1">
        <v>819.52</v>
      </c>
      <c r="I91" s="22">
        <v>37.956000000000003</v>
      </c>
      <c r="J91" s="27">
        <v>45127</v>
      </c>
      <c r="K91" s="52">
        <v>0.68488425925925922</v>
      </c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Y91" s="22">
        <f>Y90</f>
        <v>37.8688</v>
      </c>
    </row>
    <row r="92" spans="1:25">
      <c r="A92" t="s">
        <v>82</v>
      </c>
      <c r="B92">
        <v>3</v>
      </c>
      <c r="C92" t="s">
        <v>7</v>
      </c>
      <c r="D92">
        <v>36000</v>
      </c>
      <c r="E92">
        <v>160</v>
      </c>
      <c r="F92">
        <v>2</v>
      </c>
      <c r="G92" s="49">
        <v>8</v>
      </c>
      <c r="H92" s="1">
        <v>817.24</v>
      </c>
      <c r="I92" s="22">
        <v>38.061999999999998</v>
      </c>
      <c r="J92" s="27">
        <v>45127</v>
      </c>
      <c r="K92" s="52">
        <v>0.69518518518518524</v>
      </c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Y92" s="22">
        <f>Y91</f>
        <v>37.8688</v>
      </c>
    </row>
    <row r="93" spans="1:25">
      <c r="A93" t="s">
        <v>82</v>
      </c>
      <c r="B93">
        <v>4</v>
      </c>
      <c r="C93" t="s">
        <v>7</v>
      </c>
      <c r="D93">
        <v>36000</v>
      </c>
      <c r="E93">
        <v>160</v>
      </c>
      <c r="F93">
        <v>2</v>
      </c>
      <c r="G93" s="49">
        <v>8</v>
      </c>
      <c r="H93" s="1">
        <v>825.89</v>
      </c>
      <c r="I93" s="22">
        <v>37.662999999999997</v>
      </c>
      <c r="J93" s="27">
        <v>45127</v>
      </c>
      <c r="K93" s="52">
        <v>0.70557870370370368</v>
      </c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Y93" s="22">
        <f>Y92</f>
        <v>37.8688</v>
      </c>
    </row>
    <row r="94" spans="1:25">
      <c r="A94" t="s">
        <v>131</v>
      </c>
      <c r="B94">
        <v>0</v>
      </c>
      <c r="C94" t="s">
        <v>7</v>
      </c>
      <c r="D94">
        <v>36000</v>
      </c>
      <c r="E94">
        <v>160</v>
      </c>
      <c r="F94">
        <v>2</v>
      </c>
      <c r="G94" s="49">
        <v>8</v>
      </c>
      <c r="H94" s="1">
        <v>827.03</v>
      </c>
      <c r="I94" s="22">
        <v>37.612000000000002</v>
      </c>
      <c r="J94" s="27">
        <v>45481</v>
      </c>
      <c r="K94" s="52">
        <v>0.59225694444444443</v>
      </c>
      <c r="L94" s="49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  <c r="W94" s="49">
        <v>0</v>
      </c>
      <c r="Y94" s="22">
        <f>AVERAGE(I94:I98)</f>
        <v>37.851600000000005</v>
      </c>
    </row>
    <row r="95" spans="1:25">
      <c r="A95" t="s">
        <v>131</v>
      </c>
      <c r="B95">
        <v>1</v>
      </c>
      <c r="C95" t="s">
        <v>7</v>
      </c>
      <c r="D95">
        <v>36000</v>
      </c>
      <c r="E95">
        <v>160</v>
      </c>
      <c r="F95">
        <v>2</v>
      </c>
      <c r="G95" s="49">
        <v>8</v>
      </c>
      <c r="H95" s="1">
        <v>817.32</v>
      </c>
      <c r="I95" s="22">
        <v>38.058</v>
      </c>
      <c r="J95" s="27">
        <v>45481</v>
      </c>
      <c r="K95" s="52">
        <v>0.60206018518518523</v>
      </c>
      <c r="L95" s="49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  <c r="W95" s="49">
        <v>0</v>
      </c>
      <c r="Y95" s="22">
        <f>Y94</f>
        <v>37.851600000000005</v>
      </c>
    </row>
    <row r="96" spans="1:25">
      <c r="A96" t="s">
        <v>131</v>
      </c>
      <c r="B96">
        <v>2</v>
      </c>
      <c r="C96" t="s">
        <v>7</v>
      </c>
      <c r="D96">
        <v>36000</v>
      </c>
      <c r="E96">
        <v>160</v>
      </c>
      <c r="F96">
        <v>2</v>
      </c>
      <c r="G96" s="49">
        <v>8</v>
      </c>
      <c r="H96" s="1">
        <v>827.82</v>
      </c>
      <c r="I96" s="22">
        <v>37.576000000000001</v>
      </c>
      <c r="J96" s="27">
        <v>45481</v>
      </c>
      <c r="K96" s="52">
        <v>0.61197916666666663</v>
      </c>
      <c r="L96" s="49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  <c r="W96" s="49">
        <v>0</v>
      </c>
      <c r="Y96" s="22">
        <f>Y95</f>
        <v>37.851600000000005</v>
      </c>
    </row>
    <row r="97" spans="1:25">
      <c r="A97" t="s">
        <v>131</v>
      </c>
      <c r="B97">
        <v>3</v>
      </c>
      <c r="C97" t="s">
        <v>7</v>
      </c>
      <c r="D97">
        <v>36000</v>
      </c>
      <c r="E97">
        <v>160</v>
      </c>
      <c r="F97">
        <v>2</v>
      </c>
      <c r="G97" s="49">
        <v>8</v>
      </c>
      <c r="H97" s="1">
        <v>818.02</v>
      </c>
      <c r="I97" s="22">
        <v>38.026000000000003</v>
      </c>
      <c r="J97" s="27">
        <v>45481</v>
      </c>
      <c r="K97" s="52">
        <v>0.62179398148148146</v>
      </c>
      <c r="L97" s="49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  <c r="W97" s="49">
        <v>0</v>
      </c>
      <c r="Y97" s="22">
        <f>Y96</f>
        <v>37.851600000000005</v>
      </c>
    </row>
    <row r="98" spans="1:25">
      <c r="A98" t="s">
        <v>131</v>
      </c>
      <c r="B98">
        <v>4</v>
      </c>
      <c r="C98" t="s">
        <v>7</v>
      </c>
      <c r="D98">
        <v>36000</v>
      </c>
      <c r="E98">
        <v>160</v>
      </c>
      <c r="F98">
        <v>2</v>
      </c>
      <c r="G98" s="49">
        <v>8</v>
      </c>
      <c r="H98" s="1">
        <v>818.87</v>
      </c>
      <c r="I98" s="22">
        <v>37.985999999999997</v>
      </c>
      <c r="J98" s="27">
        <v>45481</v>
      </c>
      <c r="K98" s="52">
        <v>0.63160879629629629</v>
      </c>
      <c r="L98" s="49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  <c r="W98" s="49">
        <v>0</v>
      </c>
      <c r="Y98" s="22">
        <f>Y97</f>
        <v>37.851600000000005</v>
      </c>
    </row>
    <row r="99" spans="1:25">
      <c r="A99" t="s">
        <v>83</v>
      </c>
      <c r="B99">
        <v>0</v>
      </c>
      <c r="C99" t="s">
        <v>7</v>
      </c>
      <c r="D99">
        <v>36000</v>
      </c>
      <c r="E99">
        <v>160</v>
      </c>
      <c r="F99">
        <v>2</v>
      </c>
      <c r="G99" s="49">
        <v>8</v>
      </c>
      <c r="H99" s="1">
        <v>820.12</v>
      </c>
      <c r="I99" s="22">
        <v>37.927999999999997</v>
      </c>
      <c r="J99" s="27">
        <v>45127</v>
      </c>
      <c r="K99" s="52">
        <v>0.81981481481481477</v>
      </c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Y99" s="22">
        <f>AVERAGE(I99:I103)</f>
        <v>37.839599999999997</v>
      </c>
    </row>
    <row r="100" spans="1:25">
      <c r="A100" t="s">
        <v>83</v>
      </c>
      <c r="B100">
        <v>1</v>
      </c>
      <c r="C100" t="s">
        <v>7</v>
      </c>
      <c r="D100">
        <v>36000</v>
      </c>
      <c r="E100">
        <v>160</v>
      </c>
      <c r="F100">
        <v>2</v>
      </c>
      <c r="G100" s="49">
        <v>8</v>
      </c>
      <c r="H100" s="1">
        <v>818.46</v>
      </c>
      <c r="I100" s="22">
        <v>38.005000000000003</v>
      </c>
      <c r="J100" s="27">
        <v>45127</v>
      </c>
      <c r="K100" s="52">
        <v>0.83011574074074079</v>
      </c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Y100" s="22">
        <f>Y99</f>
        <v>37.839599999999997</v>
      </c>
    </row>
    <row r="101" spans="1:25">
      <c r="A101" t="s">
        <v>83</v>
      </c>
      <c r="B101">
        <v>2</v>
      </c>
      <c r="C101" t="s">
        <v>7</v>
      </c>
      <c r="D101">
        <v>36000</v>
      </c>
      <c r="E101">
        <v>160</v>
      </c>
      <c r="F101">
        <v>2</v>
      </c>
      <c r="G101" s="49">
        <v>8</v>
      </c>
      <c r="H101" s="1">
        <v>828.65</v>
      </c>
      <c r="I101" s="22">
        <v>37.537999999999997</v>
      </c>
      <c r="J101" s="27">
        <v>45127</v>
      </c>
      <c r="K101" s="52">
        <v>0.84050925925925923</v>
      </c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Y101" s="22">
        <f>Y100</f>
        <v>37.839599999999997</v>
      </c>
    </row>
    <row r="102" spans="1:25">
      <c r="A102" t="s">
        <v>83</v>
      </c>
      <c r="B102">
        <v>3</v>
      </c>
      <c r="C102" t="s">
        <v>7</v>
      </c>
      <c r="D102">
        <v>36000</v>
      </c>
      <c r="E102">
        <v>160</v>
      </c>
      <c r="F102">
        <v>2</v>
      </c>
      <c r="G102" s="49">
        <v>8</v>
      </c>
      <c r="H102" s="1">
        <v>819.42</v>
      </c>
      <c r="I102" s="22">
        <v>37.960999999999999</v>
      </c>
      <c r="J102" s="27">
        <v>45127</v>
      </c>
      <c r="K102" s="52">
        <v>0.85081018518518514</v>
      </c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Y102" s="22">
        <f>Y101</f>
        <v>37.839599999999997</v>
      </c>
    </row>
    <row r="103" spans="1:25">
      <c r="A103" t="s">
        <v>83</v>
      </c>
      <c r="B103">
        <v>4</v>
      </c>
      <c r="C103" t="s">
        <v>7</v>
      </c>
      <c r="D103">
        <v>36000</v>
      </c>
      <c r="E103">
        <v>160</v>
      </c>
      <c r="F103">
        <v>2</v>
      </c>
      <c r="G103" s="49">
        <v>8</v>
      </c>
      <c r="H103" s="1">
        <v>823.64</v>
      </c>
      <c r="I103" s="22">
        <v>37.765999999999998</v>
      </c>
      <c r="J103" s="27">
        <v>45127</v>
      </c>
      <c r="K103" s="52">
        <v>0.86115740740740743</v>
      </c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Y103" s="22">
        <f>Y102</f>
        <v>37.839599999999997</v>
      </c>
    </row>
    <row r="104" spans="1:25">
      <c r="A104" t="s">
        <v>86</v>
      </c>
      <c r="B104">
        <v>0</v>
      </c>
      <c r="C104" t="s">
        <v>7</v>
      </c>
      <c r="D104">
        <v>36000</v>
      </c>
      <c r="E104">
        <v>160</v>
      </c>
      <c r="F104">
        <v>2</v>
      </c>
      <c r="G104" s="49">
        <v>8</v>
      </c>
      <c r="H104" s="1">
        <v>824</v>
      </c>
      <c r="I104" s="22">
        <v>37.75</v>
      </c>
      <c r="J104" s="27">
        <v>45127</v>
      </c>
      <c r="K104" s="52">
        <v>0.92365740740740743</v>
      </c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Y104" s="22">
        <f>AVERAGE(I104:I108)</f>
        <v>37.750999999999998</v>
      </c>
    </row>
    <row r="105" spans="1:25">
      <c r="A105" t="s">
        <v>86</v>
      </c>
      <c r="B105">
        <v>1</v>
      </c>
      <c r="C105" t="s">
        <v>7</v>
      </c>
      <c r="D105">
        <v>36000</v>
      </c>
      <c r="E105">
        <v>160</v>
      </c>
      <c r="F105">
        <v>2</v>
      </c>
      <c r="G105" s="49">
        <v>8</v>
      </c>
      <c r="H105" s="1">
        <v>820</v>
      </c>
      <c r="I105" s="22">
        <v>37.933999999999997</v>
      </c>
      <c r="J105" s="27">
        <v>45127</v>
      </c>
      <c r="K105" s="52">
        <v>0.93396990740740737</v>
      </c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Y105" s="22">
        <f>Y104</f>
        <v>37.750999999999998</v>
      </c>
    </row>
    <row r="106" spans="1:25">
      <c r="A106" t="s">
        <v>86</v>
      </c>
      <c r="B106">
        <v>2</v>
      </c>
      <c r="C106" t="s">
        <v>7</v>
      </c>
      <c r="D106">
        <v>36000</v>
      </c>
      <c r="E106">
        <v>160</v>
      </c>
      <c r="F106">
        <v>2</v>
      </c>
      <c r="G106" s="49">
        <v>8</v>
      </c>
      <c r="H106" s="1">
        <v>832.2</v>
      </c>
      <c r="I106" s="22">
        <v>37.378</v>
      </c>
      <c r="J106" s="27">
        <v>45127</v>
      </c>
      <c r="K106" s="52">
        <v>0.94444444444444453</v>
      </c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Y106" s="22">
        <f>Y105</f>
        <v>37.750999999999998</v>
      </c>
    </row>
    <row r="107" spans="1:25">
      <c r="A107" t="s">
        <v>86</v>
      </c>
      <c r="B107">
        <v>3</v>
      </c>
      <c r="C107" t="s">
        <v>7</v>
      </c>
      <c r="D107">
        <v>36000</v>
      </c>
      <c r="E107">
        <v>160</v>
      </c>
      <c r="F107">
        <v>2</v>
      </c>
      <c r="G107" s="49">
        <v>8</v>
      </c>
      <c r="H107" s="1">
        <v>822.33</v>
      </c>
      <c r="I107" s="22">
        <v>37.826999999999998</v>
      </c>
      <c r="J107" s="27">
        <v>45127</v>
      </c>
      <c r="K107" s="52">
        <v>0.95479166666666659</v>
      </c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Y107" s="22">
        <f>Y106</f>
        <v>37.750999999999998</v>
      </c>
    </row>
    <row r="108" spans="1:25">
      <c r="A108" t="s">
        <v>86</v>
      </c>
      <c r="B108">
        <v>4</v>
      </c>
      <c r="C108" t="s">
        <v>7</v>
      </c>
      <c r="D108">
        <v>36000</v>
      </c>
      <c r="E108">
        <v>160</v>
      </c>
      <c r="F108">
        <v>2</v>
      </c>
      <c r="G108" s="49">
        <v>8</v>
      </c>
      <c r="H108" s="1">
        <v>821.48</v>
      </c>
      <c r="I108" s="22">
        <v>37.866</v>
      </c>
      <c r="J108" s="27">
        <v>45127</v>
      </c>
      <c r="K108" s="52">
        <v>0.96513888888888888</v>
      </c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Y108" s="22">
        <f>Y107</f>
        <v>37.750999999999998</v>
      </c>
    </row>
    <row r="109" spans="1:25">
      <c r="A109" t="s">
        <v>84</v>
      </c>
      <c r="B109">
        <v>0</v>
      </c>
      <c r="C109" t="s">
        <v>7</v>
      </c>
      <c r="D109">
        <v>36000</v>
      </c>
      <c r="E109">
        <v>160</v>
      </c>
      <c r="F109">
        <v>2</v>
      </c>
      <c r="G109" s="49">
        <v>8</v>
      </c>
      <c r="H109" s="1">
        <v>819.39</v>
      </c>
      <c r="I109" s="22">
        <v>37.962000000000003</v>
      </c>
      <c r="J109" s="27">
        <v>45127</v>
      </c>
      <c r="K109" s="52">
        <v>0.76792824074074073</v>
      </c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Y109" s="22">
        <f>AVERAGE(I109:I113)</f>
        <v>37.7226</v>
      </c>
    </row>
    <row r="110" spans="1:25">
      <c r="A110" t="s">
        <v>84</v>
      </c>
      <c r="B110">
        <v>1</v>
      </c>
      <c r="C110" t="s">
        <v>7</v>
      </c>
      <c r="D110">
        <v>36000</v>
      </c>
      <c r="E110">
        <v>160</v>
      </c>
      <c r="F110">
        <v>2</v>
      </c>
      <c r="G110" s="49">
        <v>8</v>
      </c>
      <c r="H110" s="1">
        <v>817.78</v>
      </c>
      <c r="I110" s="22">
        <v>38.036999999999999</v>
      </c>
      <c r="J110" s="27">
        <v>45127</v>
      </c>
      <c r="K110" s="52">
        <v>0.77822916666666664</v>
      </c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Y110" s="22">
        <f>Y109</f>
        <v>37.7226</v>
      </c>
    </row>
    <row r="111" spans="1:25">
      <c r="A111" t="s">
        <v>84</v>
      </c>
      <c r="B111">
        <v>2</v>
      </c>
      <c r="C111" t="s">
        <v>7</v>
      </c>
      <c r="D111">
        <v>36000</v>
      </c>
      <c r="E111">
        <v>160</v>
      </c>
      <c r="F111">
        <v>2</v>
      </c>
      <c r="G111" s="49">
        <v>8</v>
      </c>
      <c r="H111" s="1">
        <v>829.95</v>
      </c>
      <c r="I111" s="22">
        <v>37.478999999999999</v>
      </c>
      <c r="J111" s="27">
        <v>45127</v>
      </c>
      <c r="K111" s="52">
        <v>0.78866898148148146</v>
      </c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Y111" s="22">
        <f>Y110</f>
        <v>37.7226</v>
      </c>
    </row>
    <row r="112" spans="1:25">
      <c r="A112" t="s">
        <v>84</v>
      </c>
      <c r="B112">
        <v>3</v>
      </c>
      <c r="C112" t="s">
        <v>7</v>
      </c>
      <c r="D112">
        <v>36000</v>
      </c>
      <c r="E112">
        <v>160</v>
      </c>
      <c r="F112">
        <v>2</v>
      </c>
      <c r="G112" s="49">
        <v>8</v>
      </c>
      <c r="H112" s="1">
        <v>831.44</v>
      </c>
      <c r="I112" s="22">
        <v>37.411999999999999</v>
      </c>
      <c r="J112" s="27">
        <v>45127</v>
      </c>
      <c r="K112" s="52">
        <v>0.79913194444444446</v>
      </c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Y112" s="22">
        <f>Y111</f>
        <v>37.7226</v>
      </c>
    </row>
    <row r="113" spans="1:25">
      <c r="A113" t="s">
        <v>84</v>
      </c>
      <c r="B113">
        <v>4</v>
      </c>
      <c r="C113" t="s">
        <v>7</v>
      </c>
      <c r="D113">
        <v>36000</v>
      </c>
      <c r="E113">
        <v>160</v>
      </c>
      <c r="F113">
        <v>2</v>
      </c>
      <c r="G113" s="49">
        <v>8</v>
      </c>
      <c r="H113" s="1">
        <v>824.59</v>
      </c>
      <c r="I113" s="22">
        <v>37.722999999999999</v>
      </c>
      <c r="J113" s="27">
        <v>45127</v>
      </c>
      <c r="K113" s="52">
        <v>0.80951388888888898</v>
      </c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Y113" s="22">
        <f>Y112</f>
        <v>37.7226</v>
      </c>
    </row>
    <row r="114" spans="1:25">
      <c r="A114" t="s">
        <v>55</v>
      </c>
      <c r="B114">
        <v>0</v>
      </c>
      <c r="C114" t="s">
        <v>7</v>
      </c>
      <c r="D114">
        <v>36000</v>
      </c>
      <c r="E114">
        <v>160</v>
      </c>
      <c r="F114">
        <v>2</v>
      </c>
      <c r="G114" s="49">
        <v>8</v>
      </c>
      <c r="H114" s="1">
        <v>821.71</v>
      </c>
      <c r="I114" s="22">
        <v>37.854999999999997</v>
      </c>
      <c r="J114" s="27">
        <v>45127</v>
      </c>
      <c r="K114" s="52">
        <v>0.61230324074074072</v>
      </c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22">
        <f>Y114</f>
        <v>37.718599999999995</v>
      </c>
      <c r="Y114" s="22">
        <f>AVERAGE(I114:I118)</f>
        <v>37.718599999999995</v>
      </c>
    </row>
    <row r="115" spans="1:25">
      <c r="A115" t="s">
        <v>55</v>
      </c>
      <c r="B115">
        <v>1</v>
      </c>
      <c r="C115" t="s">
        <v>7</v>
      </c>
      <c r="D115">
        <v>36000</v>
      </c>
      <c r="E115">
        <v>160</v>
      </c>
      <c r="F115">
        <v>2</v>
      </c>
      <c r="G115" s="49">
        <v>8</v>
      </c>
      <c r="H115" s="1">
        <v>840.3</v>
      </c>
      <c r="I115" s="22">
        <v>37.018000000000001</v>
      </c>
      <c r="J115" s="27">
        <v>45127</v>
      </c>
      <c r="K115" s="52">
        <v>0.62285879629629626</v>
      </c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22">
        <f>Y115</f>
        <v>37.718599999999995</v>
      </c>
      <c r="Y115" s="22">
        <f>Y114</f>
        <v>37.718599999999995</v>
      </c>
    </row>
    <row r="116" spans="1:25">
      <c r="A116" t="s">
        <v>55</v>
      </c>
      <c r="B116">
        <v>2</v>
      </c>
      <c r="C116" t="s">
        <v>7</v>
      </c>
      <c r="D116">
        <v>36000</v>
      </c>
      <c r="E116">
        <v>160</v>
      </c>
      <c r="F116">
        <v>2</v>
      </c>
      <c r="G116" s="49">
        <v>8</v>
      </c>
      <c r="H116" s="1">
        <v>817.86</v>
      </c>
      <c r="I116" s="22">
        <v>38.033000000000001</v>
      </c>
      <c r="J116" s="27">
        <v>45127</v>
      </c>
      <c r="K116" s="52">
        <v>0.63315972222222217</v>
      </c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22">
        <f>Y116</f>
        <v>37.718599999999995</v>
      </c>
      <c r="Y116" s="22">
        <f>Y115</f>
        <v>37.718599999999995</v>
      </c>
    </row>
    <row r="117" spans="1:25">
      <c r="A117" t="s">
        <v>55</v>
      </c>
      <c r="B117">
        <v>3</v>
      </c>
      <c r="C117" t="s">
        <v>7</v>
      </c>
      <c r="D117">
        <v>36000</v>
      </c>
      <c r="E117">
        <v>160</v>
      </c>
      <c r="F117">
        <v>2</v>
      </c>
      <c r="G117" s="49">
        <v>8</v>
      </c>
      <c r="H117" s="1">
        <v>820.21</v>
      </c>
      <c r="I117" s="22">
        <v>37.923999999999999</v>
      </c>
      <c r="J117" s="27">
        <v>45127</v>
      </c>
      <c r="K117" s="52">
        <v>0.64349537037037041</v>
      </c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22">
        <f>Y117</f>
        <v>37.718599999999995</v>
      </c>
      <c r="Y117" s="22">
        <f>Y116</f>
        <v>37.718599999999995</v>
      </c>
    </row>
    <row r="118" spans="1:25">
      <c r="A118" t="s">
        <v>55</v>
      </c>
      <c r="B118">
        <v>4</v>
      </c>
      <c r="C118" t="s">
        <v>7</v>
      </c>
      <c r="D118">
        <v>36000</v>
      </c>
      <c r="E118">
        <v>160</v>
      </c>
      <c r="F118">
        <v>2</v>
      </c>
      <c r="G118" s="49">
        <v>8</v>
      </c>
      <c r="H118" s="1">
        <v>823.72</v>
      </c>
      <c r="I118" s="22">
        <v>37.762999999999998</v>
      </c>
      <c r="J118" s="27">
        <v>45127</v>
      </c>
      <c r="K118" s="52">
        <v>0.65386574074074078</v>
      </c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22">
        <f>Y118</f>
        <v>37.718599999999995</v>
      </c>
      <c r="Y118" s="22">
        <f>Y117</f>
        <v>37.718599999999995</v>
      </c>
    </row>
    <row r="119" spans="1:25">
      <c r="A119" t="s">
        <v>81</v>
      </c>
      <c r="B119">
        <v>0</v>
      </c>
      <c r="C119" t="s">
        <v>7</v>
      </c>
      <c r="D119">
        <v>36000</v>
      </c>
      <c r="E119">
        <v>160</v>
      </c>
      <c r="F119">
        <v>2</v>
      </c>
      <c r="G119" s="49">
        <v>8</v>
      </c>
      <c r="H119" s="1">
        <v>824.3</v>
      </c>
      <c r="I119" s="22">
        <v>37.735999999999997</v>
      </c>
      <c r="J119" s="27">
        <v>45127</v>
      </c>
      <c r="K119" s="52">
        <v>0.71592592592592597</v>
      </c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Y119" s="22">
        <f>AVERAGE(I119:I123)</f>
        <v>37.544799999999995</v>
      </c>
    </row>
    <row r="120" spans="1:25">
      <c r="A120" t="s">
        <v>81</v>
      </c>
      <c r="B120">
        <v>1</v>
      </c>
      <c r="C120" t="s">
        <v>7</v>
      </c>
      <c r="D120">
        <v>36000</v>
      </c>
      <c r="E120">
        <v>160</v>
      </c>
      <c r="F120">
        <v>2</v>
      </c>
      <c r="G120" s="49">
        <v>8</v>
      </c>
      <c r="H120" s="1">
        <v>853.29</v>
      </c>
      <c r="I120" s="22">
        <v>36.454000000000001</v>
      </c>
      <c r="J120" s="27">
        <v>45127</v>
      </c>
      <c r="K120" s="52">
        <v>0.72662037037037042</v>
      </c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Y120" s="22">
        <f>Y119</f>
        <v>37.544799999999995</v>
      </c>
    </row>
    <row r="121" spans="1:25">
      <c r="A121" t="s">
        <v>81</v>
      </c>
      <c r="B121">
        <v>2</v>
      </c>
      <c r="C121" t="s">
        <v>7</v>
      </c>
      <c r="D121">
        <v>36000</v>
      </c>
      <c r="E121">
        <v>160</v>
      </c>
      <c r="F121">
        <v>2</v>
      </c>
      <c r="G121" s="49">
        <v>8</v>
      </c>
      <c r="H121" s="1">
        <v>815.09</v>
      </c>
      <c r="I121" s="22">
        <v>38.162999999999997</v>
      </c>
      <c r="J121" s="27">
        <v>45127</v>
      </c>
      <c r="K121" s="52">
        <v>0.73686342592592602</v>
      </c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Y121" s="22">
        <f>Y120</f>
        <v>37.544799999999995</v>
      </c>
    </row>
    <row r="122" spans="1:25">
      <c r="A122" t="s">
        <v>81</v>
      </c>
      <c r="B122">
        <v>3</v>
      </c>
      <c r="C122" t="s">
        <v>7</v>
      </c>
      <c r="D122">
        <v>36000</v>
      </c>
      <c r="E122">
        <v>160</v>
      </c>
      <c r="F122">
        <v>2</v>
      </c>
      <c r="G122" s="49">
        <v>8</v>
      </c>
      <c r="H122" s="1">
        <v>828.66</v>
      </c>
      <c r="I122" s="22">
        <v>37.537999999999997</v>
      </c>
      <c r="J122" s="27">
        <v>45127</v>
      </c>
      <c r="K122" s="52">
        <v>0.7472685185185185</v>
      </c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Y122" s="22">
        <f>Y121</f>
        <v>37.544799999999995</v>
      </c>
    </row>
    <row r="123" spans="1:25">
      <c r="A123" t="s">
        <v>81</v>
      </c>
      <c r="B123">
        <v>4</v>
      </c>
      <c r="C123" t="s">
        <v>7</v>
      </c>
      <c r="D123">
        <v>36000</v>
      </c>
      <c r="E123">
        <v>160</v>
      </c>
      <c r="F123">
        <v>2</v>
      </c>
      <c r="G123" s="49">
        <v>8</v>
      </c>
      <c r="H123" s="1">
        <v>822.19</v>
      </c>
      <c r="I123" s="22">
        <v>37.832999999999998</v>
      </c>
      <c r="J123" s="27">
        <v>45127</v>
      </c>
      <c r="K123" s="52">
        <v>0.75760416666666675</v>
      </c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Y123" s="22">
        <f>Y122</f>
        <v>37.544799999999995</v>
      </c>
    </row>
    <row r="124" spans="1:25">
      <c r="A124" t="s">
        <v>85</v>
      </c>
      <c r="B124">
        <v>0</v>
      </c>
      <c r="C124" t="s">
        <v>7</v>
      </c>
      <c r="D124">
        <v>36000</v>
      </c>
      <c r="E124">
        <v>160</v>
      </c>
      <c r="F124">
        <v>2</v>
      </c>
      <c r="G124" s="49">
        <v>8</v>
      </c>
      <c r="H124" s="1">
        <v>827.32</v>
      </c>
      <c r="I124" s="22">
        <v>37.597999999999999</v>
      </c>
      <c r="J124" s="27">
        <v>45127</v>
      </c>
      <c r="K124" s="52">
        <v>0.87156250000000002</v>
      </c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Y124" s="22">
        <f>AVERAGE(I124:I128)</f>
        <v>37.482599999999998</v>
      </c>
    </row>
    <row r="125" spans="1:25">
      <c r="A125" t="s">
        <v>85</v>
      </c>
      <c r="B125">
        <v>1</v>
      </c>
      <c r="C125" t="s">
        <v>7</v>
      </c>
      <c r="D125">
        <v>36000</v>
      </c>
      <c r="E125">
        <v>160</v>
      </c>
      <c r="F125">
        <v>2</v>
      </c>
      <c r="G125" s="49">
        <v>8</v>
      </c>
      <c r="H125" s="1">
        <v>834.8</v>
      </c>
      <c r="I125" s="22">
        <v>37.262</v>
      </c>
      <c r="J125" s="27">
        <v>45127</v>
      </c>
      <c r="K125" s="52">
        <v>0.88203703703703706</v>
      </c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Y125" s="22">
        <f>Y124</f>
        <v>37.482599999999998</v>
      </c>
    </row>
    <row r="126" spans="1:25">
      <c r="A126" t="s">
        <v>85</v>
      </c>
      <c r="B126">
        <v>2</v>
      </c>
      <c r="C126" t="s">
        <v>7</v>
      </c>
      <c r="D126">
        <v>36000</v>
      </c>
      <c r="E126">
        <v>160</v>
      </c>
      <c r="F126">
        <v>2</v>
      </c>
      <c r="G126" s="49">
        <v>8</v>
      </c>
      <c r="H126" s="1">
        <v>829.6</v>
      </c>
      <c r="I126" s="22">
        <v>37.494999999999997</v>
      </c>
      <c r="J126" s="27">
        <v>45127</v>
      </c>
      <c r="K126" s="52">
        <v>0.8924537037037038</v>
      </c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Y126" s="22">
        <f>Y125</f>
        <v>37.482599999999998</v>
      </c>
    </row>
    <row r="127" spans="1:25">
      <c r="A127" t="s">
        <v>85</v>
      </c>
      <c r="B127">
        <v>3</v>
      </c>
      <c r="C127" t="s">
        <v>7</v>
      </c>
      <c r="D127">
        <v>36000</v>
      </c>
      <c r="E127">
        <v>160</v>
      </c>
      <c r="F127">
        <v>2</v>
      </c>
      <c r="G127" s="49">
        <v>8</v>
      </c>
      <c r="H127" s="1">
        <v>833.66</v>
      </c>
      <c r="I127" s="22">
        <v>37.311999999999998</v>
      </c>
      <c r="J127" s="27">
        <v>45127</v>
      </c>
      <c r="K127" s="52">
        <v>0.90292824074074074</v>
      </c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Y127" s="22">
        <f>Y126</f>
        <v>37.482599999999998</v>
      </c>
    </row>
    <row r="128" spans="1:25">
      <c r="A128" t="s">
        <v>85</v>
      </c>
      <c r="B128">
        <v>4</v>
      </c>
      <c r="C128" t="s">
        <v>7</v>
      </c>
      <c r="D128">
        <v>36000</v>
      </c>
      <c r="E128">
        <v>160</v>
      </c>
      <c r="F128">
        <v>2</v>
      </c>
      <c r="G128" s="49">
        <v>8</v>
      </c>
      <c r="H128" s="1">
        <v>824.08</v>
      </c>
      <c r="I128" s="22">
        <v>37.746000000000002</v>
      </c>
      <c r="J128" s="27">
        <v>45127</v>
      </c>
      <c r="K128" s="52">
        <v>0.91327546296296302</v>
      </c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Y128" s="22">
        <f>Y127</f>
        <v>37.482599999999998</v>
      </c>
    </row>
    <row r="129" spans="1:25">
      <c r="A129" t="s">
        <v>120</v>
      </c>
      <c r="B129">
        <v>0</v>
      </c>
      <c r="C129" t="s">
        <v>7</v>
      </c>
      <c r="D129">
        <v>36000</v>
      </c>
      <c r="E129">
        <v>160</v>
      </c>
      <c r="F129">
        <v>2</v>
      </c>
      <c r="G129" s="49">
        <v>8</v>
      </c>
      <c r="H129" s="1">
        <v>830.33</v>
      </c>
      <c r="I129" s="48">
        <v>37.462000000000003</v>
      </c>
      <c r="J129" s="27">
        <v>45481</v>
      </c>
      <c r="K129" s="52">
        <v>0.25344907407407408</v>
      </c>
      <c r="L129" s="49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  <c r="W129" s="49">
        <v>0</v>
      </c>
      <c r="Y129" s="22">
        <f>AVERAGE(I129:I133)</f>
        <v>37.389000000000003</v>
      </c>
    </row>
    <row r="130" spans="1:25">
      <c r="A130" t="s">
        <v>120</v>
      </c>
      <c r="B130">
        <v>1</v>
      </c>
      <c r="C130" t="s">
        <v>7</v>
      </c>
      <c r="D130">
        <v>36000</v>
      </c>
      <c r="E130">
        <v>160</v>
      </c>
      <c r="F130">
        <v>2</v>
      </c>
      <c r="G130" s="49">
        <v>8</v>
      </c>
      <c r="H130" s="1">
        <v>831.27</v>
      </c>
      <c r="I130" s="48">
        <v>37.42</v>
      </c>
      <c r="J130" s="27">
        <v>45481</v>
      </c>
      <c r="K130" s="52">
        <v>0.26339120370370372</v>
      </c>
      <c r="L130" s="49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  <c r="W130" s="49">
        <v>0</v>
      </c>
      <c r="Y130" s="22">
        <f>Y129</f>
        <v>37.389000000000003</v>
      </c>
    </row>
    <row r="131" spans="1:25">
      <c r="A131" t="s">
        <v>120</v>
      </c>
      <c r="B131">
        <v>2</v>
      </c>
      <c r="C131" t="s">
        <v>7</v>
      </c>
      <c r="D131">
        <v>36000</v>
      </c>
      <c r="E131">
        <v>160</v>
      </c>
      <c r="F131">
        <v>2</v>
      </c>
      <c r="G131" s="49">
        <v>8</v>
      </c>
      <c r="H131" s="1">
        <v>835.31</v>
      </c>
      <c r="I131" s="48">
        <v>37.238999999999997</v>
      </c>
      <c r="J131" s="27">
        <v>45481</v>
      </c>
      <c r="K131" s="52">
        <v>0.27339120370370368</v>
      </c>
      <c r="L131" s="49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  <c r="W131" s="49">
        <v>0</v>
      </c>
      <c r="Y131" s="22">
        <f>Y130</f>
        <v>37.389000000000003</v>
      </c>
    </row>
    <row r="132" spans="1:25">
      <c r="A132" t="s">
        <v>120</v>
      </c>
      <c r="B132">
        <v>3</v>
      </c>
      <c r="C132" t="s">
        <v>7</v>
      </c>
      <c r="D132">
        <v>36000</v>
      </c>
      <c r="E132">
        <v>160</v>
      </c>
      <c r="F132">
        <v>2</v>
      </c>
      <c r="G132" s="49">
        <v>8</v>
      </c>
      <c r="H132" s="1">
        <v>831.31</v>
      </c>
      <c r="I132" s="48">
        <v>37.417999999999999</v>
      </c>
      <c r="J132" s="27">
        <v>45481</v>
      </c>
      <c r="K132" s="52">
        <v>0.28333333333333333</v>
      </c>
      <c r="L132" s="49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  <c r="W132" s="49">
        <v>0</v>
      </c>
      <c r="Y132" s="22">
        <f>Y131</f>
        <v>37.389000000000003</v>
      </c>
    </row>
    <row r="133" spans="1:25">
      <c r="A133" t="s">
        <v>120</v>
      </c>
      <c r="B133">
        <v>4</v>
      </c>
      <c r="C133" t="s">
        <v>7</v>
      </c>
      <c r="D133">
        <v>36000</v>
      </c>
      <c r="E133">
        <v>160</v>
      </c>
      <c r="F133">
        <v>2</v>
      </c>
      <c r="G133" s="49">
        <v>8</v>
      </c>
      <c r="H133" s="1">
        <v>831.59</v>
      </c>
      <c r="I133" s="48">
        <v>37.405999999999999</v>
      </c>
      <c r="J133" s="27">
        <v>45481</v>
      </c>
      <c r="K133" s="52">
        <v>0.29328703703703701</v>
      </c>
      <c r="L133" s="49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  <c r="W133" s="49">
        <v>0</v>
      </c>
      <c r="Y133" s="22">
        <f>Y132</f>
        <v>37.389000000000003</v>
      </c>
    </row>
    <row r="134" spans="1:25">
      <c r="A134" t="s">
        <v>87</v>
      </c>
      <c r="B134">
        <v>0</v>
      </c>
      <c r="C134" t="s">
        <v>7</v>
      </c>
      <c r="D134">
        <v>36000</v>
      </c>
      <c r="E134">
        <v>160</v>
      </c>
      <c r="F134">
        <v>2</v>
      </c>
      <c r="G134" s="49">
        <v>8</v>
      </c>
      <c r="H134" s="1">
        <v>835.16</v>
      </c>
      <c r="I134" s="22">
        <v>37.246000000000002</v>
      </c>
      <c r="J134" s="27">
        <v>45127</v>
      </c>
      <c r="K134" s="52">
        <v>0.97564814814814815</v>
      </c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Y134" s="22">
        <f>AVERAGE(I134:I138)</f>
        <v>36.8264</v>
      </c>
    </row>
    <row r="135" spans="1:25">
      <c r="A135" t="s">
        <v>87</v>
      </c>
      <c r="B135">
        <v>1</v>
      </c>
      <c r="C135" t="s">
        <v>7</v>
      </c>
      <c r="D135">
        <v>36000</v>
      </c>
      <c r="E135">
        <v>160</v>
      </c>
      <c r="F135">
        <v>2</v>
      </c>
      <c r="G135" s="49">
        <v>8</v>
      </c>
      <c r="H135" s="1">
        <v>854.78</v>
      </c>
      <c r="I135" s="22">
        <v>36.390999999999998</v>
      </c>
      <c r="J135" s="27">
        <v>45127</v>
      </c>
      <c r="K135" s="52">
        <v>0.98637731481481483</v>
      </c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Y135" s="22">
        <f>Y134</f>
        <v>36.8264</v>
      </c>
    </row>
    <row r="136" spans="1:25">
      <c r="A136" t="s">
        <v>87</v>
      </c>
      <c r="B136">
        <v>2</v>
      </c>
      <c r="C136" t="s">
        <v>7</v>
      </c>
      <c r="D136">
        <v>36000</v>
      </c>
      <c r="E136">
        <v>160</v>
      </c>
      <c r="F136">
        <v>2</v>
      </c>
      <c r="G136" s="49">
        <v>8</v>
      </c>
      <c r="H136" s="1">
        <v>843.45</v>
      </c>
      <c r="I136" s="22">
        <v>36.880000000000003</v>
      </c>
      <c r="J136" s="27">
        <v>45127</v>
      </c>
      <c r="K136" s="52">
        <v>0.99697916666666664</v>
      </c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Y136" s="22">
        <f>Y135</f>
        <v>36.8264</v>
      </c>
    </row>
    <row r="137" spans="1:25">
      <c r="A137" t="s">
        <v>87</v>
      </c>
      <c r="B137">
        <v>3</v>
      </c>
      <c r="C137" t="s">
        <v>7</v>
      </c>
      <c r="D137">
        <v>36000</v>
      </c>
      <c r="E137">
        <v>160</v>
      </c>
      <c r="F137">
        <v>2</v>
      </c>
      <c r="G137" s="49">
        <v>8</v>
      </c>
      <c r="H137" s="1">
        <v>845.49</v>
      </c>
      <c r="I137" s="22">
        <v>36.790999999999997</v>
      </c>
      <c r="J137" s="27">
        <v>45128</v>
      </c>
      <c r="K137" s="52">
        <v>7.6041666666666662E-3</v>
      </c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Y137" s="22">
        <f>Y136</f>
        <v>36.8264</v>
      </c>
    </row>
    <row r="138" spans="1:25">
      <c r="A138" t="s">
        <v>87</v>
      </c>
      <c r="B138">
        <v>4</v>
      </c>
      <c r="C138" t="s">
        <v>7</v>
      </c>
      <c r="D138">
        <v>36000</v>
      </c>
      <c r="E138">
        <v>160</v>
      </c>
      <c r="F138">
        <v>2</v>
      </c>
      <c r="G138" s="49">
        <v>8</v>
      </c>
      <c r="H138" s="1">
        <v>844.72</v>
      </c>
      <c r="I138" s="22">
        <v>36.823999999999998</v>
      </c>
      <c r="J138" s="27">
        <v>45128</v>
      </c>
      <c r="K138" s="52">
        <v>1.8217592592592594E-2</v>
      </c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Y138" s="22">
        <f>Y137</f>
        <v>36.8264</v>
      </c>
    </row>
    <row r="139" spans="1:25">
      <c r="A139" t="s">
        <v>97</v>
      </c>
      <c r="B139">
        <v>0</v>
      </c>
      <c r="C139" t="s">
        <v>7</v>
      </c>
      <c r="D139">
        <v>36000</v>
      </c>
      <c r="E139">
        <v>160</v>
      </c>
      <c r="F139">
        <v>2</v>
      </c>
      <c r="G139" s="49">
        <v>8</v>
      </c>
      <c r="H139" s="1">
        <v>853.28</v>
      </c>
      <c r="I139" s="48">
        <v>36.454999999999998</v>
      </c>
      <c r="J139" s="27">
        <v>45575</v>
      </c>
      <c r="K139" s="52">
        <v>0.72388888888888892</v>
      </c>
      <c r="L139" s="49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  <c r="W139" s="49">
        <v>0</v>
      </c>
      <c r="Y139" s="22">
        <f>AVERAGE(I139:I143)</f>
        <v>36.664199999999994</v>
      </c>
    </row>
    <row r="140" spans="1:25">
      <c r="A140" t="s">
        <v>97</v>
      </c>
      <c r="B140">
        <v>1</v>
      </c>
      <c r="C140" t="s">
        <v>7</v>
      </c>
      <c r="D140">
        <v>36000</v>
      </c>
      <c r="E140">
        <v>160</v>
      </c>
      <c r="F140">
        <v>2</v>
      </c>
      <c r="G140" s="49">
        <v>8</v>
      </c>
      <c r="H140" s="1">
        <v>849.08</v>
      </c>
      <c r="I140" s="48">
        <v>36.634999999999998</v>
      </c>
      <c r="J140" s="27">
        <v>45575</v>
      </c>
      <c r="K140" s="52">
        <v>0.73456018518518518</v>
      </c>
      <c r="L140" s="49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  <c r="W140" s="49">
        <v>0</v>
      </c>
      <c r="Y140" s="22">
        <f>Y139</f>
        <v>36.664199999999994</v>
      </c>
    </row>
    <row r="141" spans="1:25">
      <c r="A141" t="s">
        <v>97</v>
      </c>
      <c r="B141">
        <v>2</v>
      </c>
      <c r="C141" t="s">
        <v>7</v>
      </c>
      <c r="D141">
        <v>36000</v>
      </c>
      <c r="E141">
        <v>160</v>
      </c>
      <c r="F141">
        <v>2</v>
      </c>
      <c r="G141" s="49">
        <v>8</v>
      </c>
      <c r="H141" s="1">
        <v>843.61</v>
      </c>
      <c r="I141" s="48">
        <v>36.872999999999998</v>
      </c>
      <c r="J141" s="27">
        <v>45575</v>
      </c>
      <c r="K141" s="52">
        <v>0.74517361111111113</v>
      </c>
      <c r="L141" s="49">
        <v>0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0</v>
      </c>
      <c r="S141" s="49">
        <v>0</v>
      </c>
      <c r="T141" s="49">
        <v>0</v>
      </c>
      <c r="U141" s="49">
        <v>0</v>
      </c>
      <c r="V141" s="49">
        <v>0</v>
      </c>
      <c r="W141" s="49">
        <v>0</v>
      </c>
      <c r="Y141" s="22">
        <f>Y140</f>
        <v>36.664199999999994</v>
      </c>
    </row>
    <row r="142" spans="1:25">
      <c r="A142" t="s">
        <v>97</v>
      </c>
      <c r="B142">
        <v>3</v>
      </c>
      <c r="C142" t="s">
        <v>7</v>
      </c>
      <c r="D142">
        <v>36000</v>
      </c>
      <c r="E142">
        <v>160</v>
      </c>
      <c r="F142">
        <v>2</v>
      </c>
      <c r="G142" s="49">
        <v>8</v>
      </c>
      <c r="H142" s="1">
        <v>842.26</v>
      </c>
      <c r="I142" s="48">
        <v>36.932000000000002</v>
      </c>
      <c r="J142" s="27">
        <v>45575</v>
      </c>
      <c r="K142" s="52">
        <v>0.7557638888888889</v>
      </c>
      <c r="L142" s="49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  <c r="W142" s="49">
        <v>0</v>
      </c>
      <c r="Y142" s="22">
        <f>Y141</f>
        <v>36.664199999999994</v>
      </c>
    </row>
    <row r="143" spans="1:25">
      <c r="A143" t="s">
        <v>97</v>
      </c>
      <c r="B143">
        <v>4</v>
      </c>
      <c r="C143" t="s">
        <v>7</v>
      </c>
      <c r="D143">
        <v>36000</v>
      </c>
      <c r="E143">
        <v>160</v>
      </c>
      <c r="F143">
        <v>2</v>
      </c>
      <c r="G143" s="49">
        <v>8</v>
      </c>
      <c r="H143" s="1">
        <v>853.94</v>
      </c>
      <c r="I143" s="48">
        <v>36.426000000000002</v>
      </c>
      <c r="J143" s="27">
        <v>45575</v>
      </c>
      <c r="K143" s="52">
        <v>0.76649305555555558</v>
      </c>
      <c r="L143" s="49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  <c r="W143" s="49">
        <v>0</v>
      </c>
      <c r="Y143" s="22">
        <f>Y142</f>
        <v>36.664199999999994</v>
      </c>
    </row>
    <row r="144" spans="1:25">
      <c r="A144" t="s">
        <v>95</v>
      </c>
      <c r="B144">
        <v>0</v>
      </c>
      <c r="C144" t="s">
        <v>7</v>
      </c>
      <c r="D144">
        <v>36000</v>
      </c>
      <c r="E144">
        <v>160</v>
      </c>
      <c r="F144">
        <v>2</v>
      </c>
      <c r="G144" s="49">
        <v>8</v>
      </c>
      <c r="H144" s="1">
        <v>1109.25</v>
      </c>
      <c r="I144" s="48">
        <v>28.042000000000002</v>
      </c>
      <c r="J144" s="27">
        <v>45575</v>
      </c>
      <c r="K144" s="52">
        <v>0.58873842592592596</v>
      </c>
      <c r="L144" s="49">
        <v>0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0</v>
      </c>
      <c r="S144" s="49">
        <v>0</v>
      </c>
      <c r="T144" s="49">
        <v>0</v>
      </c>
      <c r="U144" s="49">
        <v>0</v>
      </c>
      <c r="V144" s="49">
        <v>0</v>
      </c>
      <c r="W144" s="49">
        <v>0</v>
      </c>
      <c r="Y144" s="22">
        <f>AVERAGE(I144:I148)</f>
        <v>27.938800000000004</v>
      </c>
    </row>
    <row r="145" spans="1:25">
      <c r="A145" t="s">
        <v>95</v>
      </c>
      <c r="B145">
        <v>1</v>
      </c>
      <c r="C145" t="s">
        <v>7</v>
      </c>
      <c r="D145">
        <v>36000</v>
      </c>
      <c r="E145">
        <v>160</v>
      </c>
      <c r="F145">
        <v>2</v>
      </c>
      <c r="G145" s="49">
        <v>8</v>
      </c>
      <c r="H145" s="1">
        <v>1107.0899999999999</v>
      </c>
      <c r="I145" s="48">
        <v>28.097000000000001</v>
      </c>
      <c r="J145" s="27">
        <v>45575</v>
      </c>
      <c r="K145" s="52">
        <v>0.60239583333333335</v>
      </c>
      <c r="L145" s="49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  <c r="W145" s="49">
        <v>0</v>
      </c>
      <c r="Y145" s="22">
        <f>Y144</f>
        <v>27.938800000000004</v>
      </c>
    </row>
    <row r="146" spans="1:25">
      <c r="A146" t="s">
        <v>95</v>
      </c>
      <c r="B146">
        <v>2</v>
      </c>
      <c r="C146" t="s">
        <v>7</v>
      </c>
      <c r="D146">
        <v>36000</v>
      </c>
      <c r="E146">
        <v>160</v>
      </c>
      <c r="F146">
        <v>2</v>
      </c>
      <c r="G146" s="49">
        <v>8</v>
      </c>
      <c r="H146" s="1">
        <v>1120</v>
      </c>
      <c r="I146" s="48">
        <v>27.773</v>
      </c>
      <c r="J146" s="27">
        <v>45575</v>
      </c>
      <c r="K146" s="52">
        <v>0.6162037037037037</v>
      </c>
      <c r="L146" s="49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9">
        <v>0</v>
      </c>
      <c r="Y146" s="22">
        <f>Y145</f>
        <v>27.938800000000004</v>
      </c>
    </row>
    <row r="147" spans="1:25">
      <c r="A147" t="s">
        <v>95</v>
      </c>
      <c r="B147">
        <v>3</v>
      </c>
      <c r="C147" t="s">
        <v>7</v>
      </c>
      <c r="D147">
        <v>36000</v>
      </c>
      <c r="E147">
        <v>160</v>
      </c>
      <c r="F147">
        <v>2</v>
      </c>
      <c r="G147" s="49">
        <v>8</v>
      </c>
      <c r="H147" s="1">
        <v>1117.31</v>
      </c>
      <c r="I147" s="48">
        <v>27.84</v>
      </c>
      <c r="J147" s="27">
        <v>45575</v>
      </c>
      <c r="K147" s="52">
        <v>0.62997685185185182</v>
      </c>
      <c r="L147" s="49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  <c r="W147" s="49">
        <v>0</v>
      </c>
      <c r="Y147" s="22">
        <f>Y146</f>
        <v>27.938800000000004</v>
      </c>
    </row>
    <row r="148" spans="1:25">
      <c r="A148" t="s">
        <v>95</v>
      </c>
      <c r="B148">
        <v>4</v>
      </c>
      <c r="C148" t="s">
        <v>7</v>
      </c>
      <c r="D148">
        <v>36000</v>
      </c>
      <c r="E148">
        <v>160</v>
      </c>
      <c r="F148">
        <v>2</v>
      </c>
      <c r="G148" s="49">
        <v>8</v>
      </c>
      <c r="H148" s="1">
        <v>1113.24</v>
      </c>
      <c r="I148" s="48">
        <v>27.942</v>
      </c>
      <c r="J148" s="27">
        <v>45575</v>
      </c>
      <c r="K148" s="52">
        <v>0.64370370370370367</v>
      </c>
      <c r="L148" s="49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  <c r="W148" s="49">
        <v>0</v>
      </c>
      <c r="Y148" s="22">
        <f>Y147</f>
        <v>27.938800000000004</v>
      </c>
    </row>
    <row r="149" spans="1:25">
      <c r="A149" t="s">
        <v>94</v>
      </c>
      <c r="B149">
        <v>0</v>
      </c>
      <c r="C149" t="s">
        <v>7</v>
      </c>
      <c r="D149">
        <v>36000</v>
      </c>
      <c r="E149">
        <v>160</v>
      </c>
      <c r="F149">
        <v>2</v>
      </c>
      <c r="G149" s="49">
        <v>8</v>
      </c>
      <c r="H149" s="1">
        <v>1112.74</v>
      </c>
      <c r="I149" s="48">
        <v>27.954000000000001</v>
      </c>
      <c r="J149" s="27">
        <v>45575</v>
      </c>
      <c r="K149" s="52">
        <v>0.52001157407407406</v>
      </c>
      <c r="L149" s="49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  <c r="W149" s="49">
        <v>0</v>
      </c>
      <c r="Y149" s="22">
        <f>AVERAGE(I149:I153)</f>
        <v>27.933399999999999</v>
      </c>
    </row>
    <row r="150" spans="1:25">
      <c r="A150" t="s">
        <v>94</v>
      </c>
      <c r="B150">
        <v>1</v>
      </c>
      <c r="C150" t="s">
        <v>7</v>
      </c>
      <c r="D150">
        <v>36000</v>
      </c>
      <c r="E150">
        <v>160</v>
      </c>
      <c r="F150">
        <v>2</v>
      </c>
      <c r="G150" s="49">
        <v>8</v>
      </c>
      <c r="H150" s="1">
        <v>1114</v>
      </c>
      <c r="I150" s="48">
        <v>27.922999999999998</v>
      </c>
      <c r="J150" s="27">
        <v>45575</v>
      </c>
      <c r="K150" s="52">
        <v>0.53378472222222217</v>
      </c>
      <c r="L150" s="49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  <c r="W150" s="49">
        <v>0</v>
      </c>
      <c r="Y150" s="22">
        <f>Y149</f>
        <v>27.933399999999999</v>
      </c>
    </row>
    <row r="151" spans="1:25">
      <c r="A151" t="s">
        <v>94</v>
      </c>
      <c r="B151">
        <v>2</v>
      </c>
      <c r="C151" t="s">
        <v>7</v>
      </c>
      <c r="D151">
        <v>36000</v>
      </c>
      <c r="E151">
        <v>160</v>
      </c>
      <c r="F151">
        <v>2</v>
      </c>
      <c r="G151" s="49">
        <v>8</v>
      </c>
      <c r="H151" s="1">
        <v>1114.75</v>
      </c>
      <c r="I151" s="48">
        <v>27.904</v>
      </c>
      <c r="J151" s="27">
        <v>45575</v>
      </c>
      <c r="K151" s="52">
        <v>0.54754629629629625</v>
      </c>
      <c r="L151" s="49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  <c r="W151" s="49">
        <v>0</v>
      </c>
      <c r="Y151" s="22">
        <f>Y150</f>
        <v>27.933399999999999</v>
      </c>
    </row>
    <row r="152" spans="1:25">
      <c r="A152" t="s">
        <v>94</v>
      </c>
      <c r="B152">
        <v>3</v>
      </c>
      <c r="C152" t="s">
        <v>7</v>
      </c>
      <c r="D152">
        <v>36000</v>
      </c>
      <c r="E152">
        <v>160</v>
      </c>
      <c r="F152">
        <v>2</v>
      </c>
      <c r="G152" s="49">
        <v>8</v>
      </c>
      <c r="H152" s="1">
        <v>1110.19</v>
      </c>
      <c r="I152" s="48">
        <v>28.018000000000001</v>
      </c>
      <c r="J152" s="27">
        <v>45575</v>
      </c>
      <c r="K152" s="52">
        <v>0.5612731481481481</v>
      </c>
      <c r="L152" s="49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  <c r="W152" s="49">
        <v>0</v>
      </c>
      <c r="Y152" s="22">
        <f>Y151</f>
        <v>27.933399999999999</v>
      </c>
    </row>
    <row r="153" spans="1:25">
      <c r="A153" t="s">
        <v>94</v>
      </c>
      <c r="B153">
        <v>4</v>
      </c>
      <c r="C153" t="s">
        <v>7</v>
      </c>
      <c r="D153">
        <v>36000</v>
      </c>
      <c r="E153">
        <v>160</v>
      </c>
      <c r="F153">
        <v>2</v>
      </c>
      <c r="G153" s="49">
        <v>8</v>
      </c>
      <c r="H153" s="1">
        <v>1116.19</v>
      </c>
      <c r="I153" s="48">
        <v>27.867999999999999</v>
      </c>
      <c r="J153" s="27">
        <v>45575</v>
      </c>
      <c r="K153" s="52">
        <v>0.57505787037037037</v>
      </c>
      <c r="L153" s="49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  <c r="W153" s="49">
        <v>0</v>
      </c>
      <c r="Y153" s="22">
        <f>Y152</f>
        <v>27.933399999999999</v>
      </c>
    </row>
    <row r="154" spans="1:25">
      <c r="A154" t="s">
        <v>93</v>
      </c>
      <c r="B154">
        <v>0</v>
      </c>
      <c r="C154" t="s">
        <v>7</v>
      </c>
      <c r="D154">
        <v>36000</v>
      </c>
      <c r="E154">
        <v>160</v>
      </c>
      <c r="F154">
        <v>2</v>
      </c>
      <c r="G154" s="49">
        <v>8</v>
      </c>
      <c r="H154" s="1">
        <v>1119.05</v>
      </c>
      <c r="I154" s="48">
        <v>27.797000000000001</v>
      </c>
      <c r="J154" s="27">
        <v>45575</v>
      </c>
      <c r="K154" s="52">
        <v>0.45121527777777776</v>
      </c>
      <c r="L154" s="49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  <c r="W154" s="49">
        <v>0</v>
      </c>
      <c r="Y154" s="22">
        <f>AVERAGE(I154:I158)</f>
        <v>27.883400000000002</v>
      </c>
    </row>
    <row r="155" spans="1:25">
      <c r="A155" t="s">
        <v>93</v>
      </c>
      <c r="B155">
        <v>1</v>
      </c>
      <c r="C155" t="s">
        <v>7</v>
      </c>
      <c r="D155">
        <v>36000</v>
      </c>
      <c r="E155">
        <v>160</v>
      </c>
      <c r="F155">
        <v>2</v>
      </c>
      <c r="G155" s="49">
        <v>8</v>
      </c>
      <c r="H155" s="1">
        <v>1114.69</v>
      </c>
      <c r="I155" s="48">
        <v>27.905000000000001</v>
      </c>
      <c r="J155" s="27">
        <v>45575</v>
      </c>
      <c r="K155" s="52">
        <v>0.46497685185185184</v>
      </c>
      <c r="L155" s="49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  <c r="W155" s="49">
        <v>0</v>
      </c>
      <c r="Y155" s="22">
        <f>Y154</f>
        <v>27.883400000000002</v>
      </c>
    </row>
    <row r="156" spans="1:25">
      <c r="A156" t="s">
        <v>93</v>
      </c>
      <c r="B156">
        <v>2</v>
      </c>
      <c r="C156" t="s">
        <v>7</v>
      </c>
      <c r="D156">
        <v>36000</v>
      </c>
      <c r="E156">
        <v>160</v>
      </c>
      <c r="F156">
        <v>2</v>
      </c>
      <c r="G156" s="49">
        <v>8</v>
      </c>
      <c r="H156" s="1">
        <v>1115.19</v>
      </c>
      <c r="I156" s="48">
        <v>27.893000000000001</v>
      </c>
      <c r="J156" s="27">
        <v>45575</v>
      </c>
      <c r="K156" s="52">
        <v>0.47873842592592591</v>
      </c>
      <c r="L156" s="49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  <c r="W156" s="49">
        <v>0</v>
      </c>
      <c r="Y156" s="22">
        <f>Y155</f>
        <v>27.883400000000002</v>
      </c>
    </row>
    <row r="157" spans="1:25">
      <c r="A157" t="s">
        <v>93</v>
      </c>
      <c r="B157">
        <v>3</v>
      </c>
      <c r="C157" t="s">
        <v>7</v>
      </c>
      <c r="D157">
        <v>36000</v>
      </c>
      <c r="E157">
        <v>160</v>
      </c>
      <c r="F157">
        <v>2</v>
      </c>
      <c r="G157" s="49">
        <v>8</v>
      </c>
      <c r="H157" s="1">
        <v>1114.83</v>
      </c>
      <c r="I157" s="48">
        <v>27.902000000000001</v>
      </c>
      <c r="J157" s="27">
        <v>45575</v>
      </c>
      <c r="K157" s="52">
        <v>0.49249999999999999</v>
      </c>
      <c r="L157" s="49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  <c r="W157" s="49">
        <v>0</v>
      </c>
      <c r="Y157" s="22">
        <f>Y156</f>
        <v>27.883400000000002</v>
      </c>
    </row>
    <row r="158" spans="1:25">
      <c r="A158" t="s">
        <v>93</v>
      </c>
      <c r="B158">
        <v>4</v>
      </c>
      <c r="C158" t="s">
        <v>7</v>
      </c>
      <c r="D158">
        <v>36000</v>
      </c>
      <c r="E158">
        <v>160</v>
      </c>
      <c r="F158">
        <v>2</v>
      </c>
      <c r="G158" s="49">
        <v>8</v>
      </c>
      <c r="H158" s="1">
        <v>1114.0899999999999</v>
      </c>
      <c r="I158" s="48">
        <v>27.92</v>
      </c>
      <c r="J158" s="27">
        <v>45575</v>
      </c>
      <c r="K158" s="52">
        <v>0.50626157407407413</v>
      </c>
      <c r="L158" s="49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  <c r="W158" s="49">
        <v>0</v>
      </c>
      <c r="Y158" s="22">
        <f>Y157</f>
        <v>27.883400000000002</v>
      </c>
    </row>
    <row r="159" spans="1:25">
      <c r="A159" t="s">
        <v>91</v>
      </c>
      <c r="B159">
        <v>0</v>
      </c>
      <c r="C159" t="s">
        <v>7</v>
      </c>
      <c r="D159">
        <v>36000</v>
      </c>
      <c r="E159">
        <v>160</v>
      </c>
      <c r="F159">
        <v>2</v>
      </c>
      <c r="G159" s="49">
        <v>8</v>
      </c>
      <c r="H159" s="1">
        <v>1116.6099999999999</v>
      </c>
      <c r="I159" s="22">
        <v>27.856999999999999</v>
      </c>
      <c r="J159" s="27">
        <v>45128</v>
      </c>
      <c r="K159" s="52">
        <v>0.22635416666666666</v>
      </c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Y159" s="22">
        <f>AVERAGE(I159:I163)</f>
        <v>27.763400000000001</v>
      </c>
    </row>
    <row r="160" spans="1:25">
      <c r="A160" t="s">
        <v>91</v>
      </c>
      <c r="B160">
        <v>1</v>
      </c>
      <c r="C160" t="s">
        <v>7</v>
      </c>
      <c r="D160">
        <v>36000</v>
      </c>
      <c r="E160">
        <v>160</v>
      </c>
      <c r="F160">
        <v>2</v>
      </c>
      <c r="G160" s="49">
        <v>8</v>
      </c>
      <c r="H160" s="1">
        <v>1123.95</v>
      </c>
      <c r="I160" s="22">
        <v>27.675999999999998</v>
      </c>
      <c r="J160" s="27">
        <v>45128</v>
      </c>
      <c r="K160" s="52">
        <v>0.24019675925925923</v>
      </c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Y160" s="22">
        <f>Y159</f>
        <v>27.763400000000001</v>
      </c>
    </row>
    <row r="161" spans="1:25">
      <c r="A161" t="s">
        <v>91</v>
      </c>
      <c r="B161">
        <v>2</v>
      </c>
      <c r="C161" t="s">
        <v>7</v>
      </c>
      <c r="D161">
        <v>36000</v>
      </c>
      <c r="E161">
        <v>160</v>
      </c>
      <c r="F161">
        <v>2</v>
      </c>
      <c r="G161" s="49">
        <v>8</v>
      </c>
      <c r="H161" s="1">
        <v>1113.69</v>
      </c>
      <c r="I161" s="22">
        <v>27.93</v>
      </c>
      <c r="J161" s="27">
        <v>45128</v>
      </c>
      <c r="K161" s="52">
        <v>0.25392361111111111</v>
      </c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Y161" s="22">
        <f>Y160</f>
        <v>27.763400000000001</v>
      </c>
    </row>
    <row r="162" spans="1:25">
      <c r="A162" t="s">
        <v>91</v>
      </c>
      <c r="B162">
        <v>3</v>
      </c>
      <c r="C162" t="s">
        <v>7</v>
      </c>
      <c r="D162">
        <v>36000</v>
      </c>
      <c r="E162">
        <v>160</v>
      </c>
      <c r="F162">
        <v>2</v>
      </c>
      <c r="G162" s="49">
        <v>8</v>
      </c>
      <c r="H162" s="1">
        <v>1125.1300000000001</v>
      </c>
      <c r="I162" s="22">
        <v>27.646000000000001</v>
      </c>
      <c r="J162" s="27">
        <v>45128</v>
      </c>
      <c r="K162" s="52">
        <v>0.26777777777777778</v>
      </c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Y162" s="22">
        <f>Y161</f>
        <v>27.763400000000001</v>
      </c>
    </row>
    <row r="163" spans="1:25">
      <c r="A163" t="s">
        <v>91</v>
      </c>
      <c r="B163">
        <v>4</v>
      </c>
      <c r="C163" t="s">
        <v>7</v>
      </c>
      <c r="D163">
        <v>36000</v>
      </c>
      <c r="E163">
        <v>160</v>
      </c>
      <c r="F163">
        <v>2</v>
      </c>
      <c r="G163" s="49">
        <v>8</v>
      </c>
      <c r="H163" s="1">
        <v>1122.6400000000001</v>
      </c>
      <c r="I163" s="22">
        <v>27.707999999999998</v>
      </c>
      <c r="J163" s="27">
        <v>45128</v>
      </c>
      <c r="K163" s="52">
        <v>0.28160879629629632</v>
      </c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Y163" s="22">
        <f>Y162</f>
        <v>27.763400000000001</v>
      </c>
    </row>
    <row r="164" spans="1:25">
      <c r="A164" t="s">
        <v>96</v>
      </c>
      <c r="B164">
        <v>0</v>
      </c>
      <c r="C164" t="s">
        <v>7</v>
      </c>
      <c r="D164">
        <v>36000</v>
      </c>
      <c r="E164">
        <v>160</v>
      </c>
      <c r="F164">
        <v>2</v>
      </c>
      <c r="G164" s="49">
        <v>8</v>
      </c>
      <c r="H164" s="1">
        <v>1124.79</v>
      </c>
      <c r="I164" s="48">
        <v>27.655000000000001</v>
      </c>
      <c r="J164" s="27">
        <v>45575</v>
      </c>
      <c r="K164" s="52">
        <v>0.65756944444444443</v>
      </c>
      <c r="L164" s="49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  <c r="W164" s="49">
        <v>0</v>
      </c>
      <c r="Y164" s="22">
        <f>AVERAGE(I164:I168)</f>
        <v>27.615199999999998</v>
      </c>
    </row>
    <row r="165" spans="1:25">
      <c r="A165" t="s">
        <v>96</v>
      </c>
      <c r="B165">
        <v>1</v>
      </c>
      <c r="C165" t="s">
        <v>7</v>
      </c>
      <c r="D165">
        <v>36000</v>
      </c>
      <c r="E165">
        <v>160</v>
      </c>
      <c r="F165">
        <v>2</v>
      </c>
      <c r="G165" s="49">
        <v>8</v>
      </c>
      <c r="H165" s="1">
        <v>1126.9000000000001</v>
      </c>
      <c r="I165" s="48">
        <v>27.603000000000002</v>
      </c>
      <c r="J165" s="27">
        <v>45575</v>
      </c>
      <c r="K165" s="52">
        <v>0.67148148148148146</v>
      </c>
      <c r="L165" s="49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  <c r="W165" s="49">
        <v>0</v>
      </c>
      <c r="Y165" s="22">
        <f>Y164</f>
        <v>27.615199999999998</v>
      </c>
    </row>
    <row r="166" spans="1:25">
      <c r="A166" t="s">
        <v>96</v>
      </c>
      <c r="B166">
        <v>2</v>
      </c>
      <c r="C166" t="s">
        <v>7</v>
      </c>
      <c r="D166">
        <v>36000</v>
      </c>
      <c r="E166">
        <v>160</v>
      </c>
      <c r="F166">
        <v>2</v>
      </c>
      <c r="G166" s="49">
        <v>8</v>
      </c>
      <c r="H166" s="1">
        <v>1131.02</v>
      </c>
      <c r="I166" s="48">
        <v>27.503</v>
      </c>
      <c r="J166" s="27">
        <v>45575</v>
      </c>
      <c r="K166" s="52">
        <v>0.68542824074074071</v>
      </c>
      <c r="L166" s="49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  <c r="W166" s="49">
        <v>0</v>
      </c>
      <c r="Y166" s="22">
        <f>Y165</f>
        <v>27.615199999999998</v>
      </c>
    </row>
    <row r="167" spans="1:25">
      <c r="A167" t="s">
        <v>96</v>
      </c>
      <c r="B167">
        <v>3</v>
      </c>
      <c r="C167" t="s">
        <v>7</v>
      </c>
      <c r="D167">
        <v>36000</v>
      </c>
      <c r="E167">
        <v>160</v>
      </c>
      <c r="F167">
        <v>2</v>
      </c>
      <c r="G167" s="49">
        <v>8</v>
      </c>
      <c r="H167" s="1">
        <v>1125.6300000000001</v>
      </c>
      <c r="I167" s="48">
        <v>27.634</v>
      </c>
      <c r="J167" s="27">
        <v>45575</v>
      </c>
      <c r="K167" s="52">
        <v>0.69929398148148147</v>
      </c>
      <c r="L167" s="49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  <c r="W167" s="49">
        <v>0</v>
      </c>
      <c r="Y167" s="22">
        <f>Y166</f>
        <v>27.615199999999998</v>
      </c>
    </row>
    <row r="168" spans="1:25">
      <c r="A168" t="s">
        <v>96</v>
      </c>
      <c r="B168">
        <v>4</v>
      </c>
      <c r="C168" t="s">
        <v>7</v>
      </c>
      <c r="D168">
        <v>36000</v>
      </c>
      <c r="E168">
        <v>160</v>
      </c>
      <c r="F168">
        <v>2</v>
      </c>
      <c r="G168" s="49">
        <v>8</v>
      </c>
      <c r="H168" s="1">
        <v>1123.75</v>
      </c>
      <c r="I168" s="48">
        <v>27.681000000000001</v>
      </c>
      <c r="J168" s="27">
        <v>45575</v>
      </c>
      <c r="K168" s="52">
        <v>0.71315972222222224</v>
      </c>
      <c r="L168" s="49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  <c r="W168" s="49">
        <v>0</v>
      </c>
      <c r="Y168" s="22">
        <f>Y167</f>
        <v>27.615199999999998</v>
      </c>
    </row>
    <row r="169" spans="1:25">
      <c r="A169" t="s">
        <v>90</v>
      </c>
      <c r="B169">
        <v>0</v>
      </c>
      <c r="C169" t="s">
        <v>7</v>
      </c>
      <c r="D169">
        <v>36000</v>
      </c>
      <c r="E169">
        <v>160</v>
      </c>
      <c r="F169">
        <v>2</v>
      </c>
      <c r="G169" s="49">
        <v>8</v>
      </c>
      <c r="H169" s="1">
        <v>1134.04</v>
      </c>
      <c r="I169" s="22">
        <v>27.428999999999998</v>
      </c>
      <c r="J169" s="27">
        <v>45128</v>
      </c>
      <c r="K169" s="52">
        <v>0.15678240740740743</v>
      </c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Y169" s="22">
        <f>AVERAGE(I169:I173)</f>
        <v>27.456599999999998</v>
      </c>
    </row>
    <row r="170" spans="1:25">
      <c r="A170" t="s">
        <v>90</v>
      </c>
      <c r="B170">
        <v>1</v>
      </c>
      <c r="C170" t="s">
        <v>7</v>
      </c>
      <c r="D170">
        <v>36000</v>
      </c>
      <c r="E170">
        <v>160</v>
      </c>
      <c r="F170">
        <v>2</v>
      </c>
      <c r="G170" s="49">
        <v>8</v>
      </c>
      <c r="H170" s="1">
        <v>1136.25</v>
      </c>
      <c r="I170" s="22">
        <v>27.376000000000001</v>
      </c>
      <c r="J170" s="27">
        <v>45128</v>
      </c>
      <c r="K170" s="52">
        <v>0.17077546296296298</v>
      </c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Y170" s="22">
        <f>Y169</f>
        <v>27.456599999999998</v>
      </c>
    </row>
    <row r="171" spans="1:25">
      <c r="A171" t="s">
        <v>90</v>
      </c>
      <c r="B171">
        <v>2</v>
      </c>
      <c r="C171" t="s">
        <v>7</v>
      </c>
      <c r="D171">
        <v>36000</v>
      </c>
      <c r="E171">
        <v>160</v>
      </c>
      <c r="F171">
        <v>2</v>
      </c>
      <c r="G171" s="49">
        <v>8</v>
      </c>
      <c r="H171" s="1">
        <v>1133.5</v>
      </c>
      <c r="I171" s="22">
        <v>27.442</v>
      </c>
      <c r="J171" s="27">
        <v>45128</v>
      </c>
      <c r="K171" s="52">
        <v>0.1847337962962963</v>
      </c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Y171" s="22">
        <f>Y170</f>
        <v>27.456599999999998</v>
      </c>
    </row>
    <row r="172" spans="1:25">
      <c r="A172" t="s">
        <v>90</v>
      </c>
      <c r="B172">
        <v>3</v>
      </c>
      <c r="C172" t="s">
        <v>7</v>
      </c>
      <c r="D172">
        <v>36000</v>
      </c>
      <c r="E172">
        <v>160</v>
      </c>
      <c r="F172">
        <v>2</v>
      </c>
      <c r="G172" s="49">
        <v>8</v>
      </c>
      <c r="H172" s="1">
        <v>1132.3699999999999</v>
      </c>
      <c r="I172" s="22">
        <v>27.47</v>
      </c>
      <c r="J172" s="27">
        <v>45128</v>
      </c>
      <c r="K172" s="52">
        <v>0.19869212962962965</v>
      </c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Y172" s="22">
        <f>Y171</f>
        <v>27.456599999999998</v>
      </c>
    </row>
    <row r="173" spans="1:25">
      <c r="A173" t="s">
        <v>90</v>
      </c>
      <c r="B173">
        <v>4</v>
      </c>
      <c r="C173" t="s">
        <v>7</v>
      </c>
      <c r="D173">
        <v>36000</v>
      </c>
      <c r="E173">
        <v>160</v>
      </c>
      <c r="F173">
        <v>2</v>
      </c>
      <c r="G173" s="49">
        <v>8</v>
      </c>
      <c r="H173" s="1">
        <v>1128.4000000000001</v>
      </c>
      <c r="I173" s="22">
        <v>27.565999999999999</v>
      </c>
      <c r="J173" s="27">
        <v>45128</v>
      </c>
      <c r="K173" s="52">
        <v>0.21259259259259258</v>
      </c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Y173" s="22">
        <f>Y172</f>
        <v>27.456599999999998</v>
      </c>
    </row>
    <row r="174" spans="1:25">
      <c r="A174" t="s">
        <v>92</v>
      </c>
      <c r="B174">
        <v>0</v>
      </c>
      <c r="C174" t="s">
        <v>7</v>
      </c>
      <c r="D174">
        <v>36000</v>
      </c>
      <c r="E174">
        <v>160</v>
      </c>
      <c r="F174">
        <v>2</v>
      </c>
      <c r="G174" s="49">
        <v>8</v>
      </c>
      <c r="H174" s="1">
        <v>1139.95</v>
      </c>
      <c r="I174" s="22">
        <v>27.286999999999999</v>
      </c>
      <c r="J174" s="27">
        <v>45128</v>
      </c>
      <c r="K174" s="52">
        <v>0.2956597222222222</v>
      </c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Y174" s="22">
        <f>AVERAGE(I174:I178)</f>
        <v>27.267000000000003</v>
      </c>
    </row>
    <row r="175" spans="1:25">
      <c r="A175" t="s">
        <v>92</v>
      </c>
      <c r="B175">
        <v>1</v>
      </c>
      <c r="C175" t="s">
        <v>7</v>
      </c>
      <c r="D175">
        <v>36000</v>
      </c>
      <c r="E175">
        <v>160</v>
      </c>
      <c r="F175">
        <v>2</v>
      </c>
      <c r="G175" s="49">
        <v>8</v>
      </c>
      <c r="H175" s="1">
        <v>1137.31</v>
      </c>
      <c r="I175" s="22">
        <v>27.35</v>
      </c>
      <c r="J175" s="27">
        <v>45128</v>
      </c>
      <c r="K175" s="52">
        <v>0.3096875</v>
      </c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Y175" s="22">
        <f>Y174</f>
        <v>27.267000000000003</v>
      </c>
    </row>
    <row r="176" spans="1:25">
      <c r="A176" t="s">
        <v>92</v>
      </c>
      <c r="B176">
        <v>2</v>
      </c>
      <c r="C176" t="s">
        <v>7</v>
      </c>
      <c r="D176">
        <v>36000</v>
      </c>
      <c r="E176">
        <v>160</v>
      </c>
      <c r="F176">
        <v>2</v>
      </c>
      <c r="G176" s="49">
        <v>8</v>
      </c>
      <c r="H176" s="1">
        <v>1142.03</v>
      </c>
      <c r="I176" s="22">
        <v>27.236999999999998</v>
      </c>
      <c r="J176" s="27">
        <v>45128</v>
      </c>
      <c r="K176" s="52">
        <v>0.32376157407407408</v>
      </c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Y176" s="22">
        <f>Y175</f>
        <v>27.267000000000003</v>
      </c>
    </row>
    <row r="177" spans="1:25">
      <c r="A177" t="s">
        <v>92</v>
      </c>
      <c r="B177">
        <v>3</v>
      </c>
      <c r="C177" t="s">
        <v>7</v>
      </c>
      <c r="D177">
        <v>36000</v>
      </c>
      <c r="E177">
        <v>160</v>
      </c>
      <c r="F177">
        <v>2</v>
      </c>
      <c r="G177" s="49">
        <v>8</v>
      </c>
      <c r="H177" s="1">
        <v>1139.6300000000001</v>
      </c>
      <c r="I177" s="22">
        <v>27.295000000000002</v>
      </c>
      <c r="J177" s="27">
        <v>45128</v>
      </c>
      <c r="K177" s="52">
        <v>0.33780092592592598</v>
      </c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Y177" s="22">
        <f>Y176</f>
        <v>27.267000000000003</v>
      </c>
    </row>
    <row r="178" spans="1:25">
      <c r="A178" t="s">
        <v>92</v>
      </c>
      <c r="B178">
        <v>4</v>
      </c>
      <c r="C178" t="s">
        <v>7</v>
      </c>
      <c r="D178">
        <v>36000</v>
      </c>
      <c r="E178">
        <v>160</v>
      </c>
      <c r="F178">
        <v>2</v>
      </c>
      <c r="G178" s="49">
        <v>8</v>
      </c>
      <c r="H178" s="1">
        <v>1145.02</v>
      </c>
      <c r="I178" s="22">
        <v>27.166</v>
      </c>
      <c r="J178" s="27">
        <v>45128</v>
      </c>
      <c r="K178" s="52">
        <v>0.35189814814814818</v>
      </c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Y178" s="22">
        <f>Y177</f>
        <v>27.267000000000003</v>
      </c>
    </row>
    <row r="179" spans="1:25">
      <c r="A179" t="s">
        <v>89</v>
      </c>
      <c r="B179">
        <v>0</v>
      </c>
      <c r="C179" t="s">
        <v>7</v>
      </c>
      <c r="D179">
        <v>36000</v>
      </c>
      <c r="E179">
        <v>160</v>
      </c>
      <c r="F179">
        <v>2</v>
      </c>
      <c r="G179" s="49">
        <v>8</v>
      </c>
      <c r="H179" s="1">
        <v>1190.48</v>
      </c>
      <c r="I179" s="22">
        <v>26.129000000000001</v>
      </c>
      <c r="J179" s="27">
        <v>45128</v>
      </c>
      <c r="K179" s="52">
        <v>8.4247685185185175E-2</v>
      </c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Y179" s="22">
        <f>AVERAGE(I179:I183)</f>
        <v>26.079599999999999</v>
      </c>
    </row>
    <row r="180" spans="1:25">
      <c r="A180" t="s">
        <v>89</v>
      </c>
      <c r="B180">
        <v>1</v>
      </c>
      <c r="C180" t="s">
        <v>7</v>
      </c>
      <c r="D180">
        <v>36000</v>
      </c>
      <c r="E180">
        <v>160</v>
      </c>
      <c r="F180">
        <v>2</v>
      </c>
      <c r="G180" s="49">
        <v>8</v>
      </c>
      <c r="H180" s="1">
        <v>1193.99</v>
      </c>
      <c r="I180" s="22">
        <v>26.052</v>
      </c>
      <c r="J180" s="27">
        <v>45128</v>
      </c>
      <c r="K180" s="52">
        <v>9.8900462962962954E-2</v>
      </c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Y180" s="22">
        <f>Y179</f>
        <v>26.079599999999999</v>
      </c>
    </row>
    <row r="181" spans="1:25">
      <c r="A181" t="s">
        <v>89</v>
      </c>
      <c r="B181">
        <v>2</v>
      </c>
      <c r="C181" t="s">
        <v>7</v>
      </c>
      <c r="D181">
        <v>36000</v>
      </c>
      <c r="E181">
        <v>160</v>
      </c>
      <c r="F181">
        <v>2</v>
      </c>
      <c r="G181" s="49">
        <v>8</v>
      </c>
      <c r="H181" s="1">
        <v>1197.1099999999999</v>
      </c>
      <c r="I181" s="22">
        <v>25.984000000000002</v>
      </c>
      <c r="J181" s="27">
        <v>45128</v>
      </c>
      <c r="K181" s="52">
        <v>0.11358796296296296</v>
      </c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Y181" s="22">
        <f>Y180</f>
        <v>26.079599999999999</v>
      </c>
    </row>
    <row r="182" spans="1:25">
      <c r="A182" t="s">
        <v>89</v>
      </c>
      <c r="B182">
        <v>3</v>
      </c>
      <c r="C182" t="s">
        <v>7</v>
      </c>
      <c r="D182">
        <v>36000</v>
      </c>
      <c r="E182">
        <v>160</v>
      </c>
      <c r="F182">
        <v>2</v>
      </c>
      <c r="G182" s="49">
        <v>8</v>
      </c>
      <c r="H182" s="1">
        <v>1189.46</v>
      </c>
      <c r="I182" s="22">
        <v>26.151</v>
      </c>
      <c r="J182" s="27">
        <v>45128</v>
      </c>
      <c r="K182" s="52">
        <v>0.12817129629629628</v>
      </c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Y182" s="22">
        <f>Y181</f>
        <v>26.079599999999999</v>
      </c>
    </row>
    <row r="183" spans="1:25">
      <c r="A183" t="s">
        <v>89</v>
      </c>
      <c r="B183">
        <v>4</v>
      </c>
      <c r="C183" t="s">
        <v>7</v>
      </c>
      <c r="D183">
        <v>36000</v>
      </c>
      <c r="E183">
        <v>160</v>
      </c>
      <c r="F183">
        <v>2</v>
      </c>
      <c r="G183" s="49">
        <v>8</v>
      </c>
      <c r="H183" s="1">
        <v>1192.6400000000001</v>
      </c>
      <c r="I183" s="22">
        <v>26.082000000000001</v>
      </c>
      <c r="J183" s="27">
        <v>45128</v>
      </c>
      <c r="K183" s="52">
        <v>0.14280092592592594</v>
      </c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Y183" s="22">
        <f>Y182</f>
        <v>26.079599999999999</v>
      </c>
    </row>
  </sheetData>
  <sortState xmlns:xlrd2="http://schemas.microsoft.com/office/spreadsheetml/2017/richdata2" ref="A4:Y183">
    <sortCondition descending="1" ref="Y4:Y183"/>
    <sortCondition ref="E4:E183"/>
    <sortCondition ref="F4:F183"/>
    <sortCondition ref="D4:D183"/>
    <sortCondition ref="B4:B183"/>
  </sortState>
  <mergeCells count="8">
    <mergeCell ref="B1:E1"/>
    <mergeCell ref="L1:W1"/>
    <mergeCell ref="Y1:Y3"/>
    <mergeCell ref="A2:C2"/>
    <mergeCell ref="L2:N2"/>
    <mergeCell ref="O2:Q2"/>
    <mergeCell ref="R2:T2"/>
    <mergeCell ref="U2:W2"/>
  </mergeCells>
  <conditionalFormatting sqref="Y4:Y183 X1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E7B5-691F-4D43-A5CE-6453C39061F4}">
  <dimension ref="A1:BI292"/>
  <sheetViews>
    <sheetView workbookViewId="0">
      <selection activeCell="K11" sqref="K11"/>
    </sheetView>
  </sheetViews>
  <sheetFormatPr defaultRowHeight="15"/>
  <cols>
    <col min="7" max="7" width="9.140625" style="1"/>
    <col min="8" max="8" width="9.140625" style="46"/>
    <col min="14" max="14" width="9.140625" style="1"/>
    <col min="54" max="54" width="9.140625" style="1"/>
    <col min="55" max="55" width="9.140625" style="46"/>
    <col min="61" max="61" width="9.140625" style="1"/>
  </cols>
  <sheetData>
    <row r="1" spans="1:61">
      <c r="A1" s="87" t="s">
        <v>99</v>
      </c>
      <c r="B1" s="87"/>
      <c r="C1" s="87"/>
      <c r="D1" s="87"/>
      <c r="E1" s="30">
        <f>MAX(N:N)</f>
        <v>11.672999999999998</v>
      </c>
      <c r="F1" s="44">
        <f>INDEX(C:C,MATCH(MAX($N:$N),$N:$N,0))</f>
        <v>19040</v>
      </c>
      <c r="G1" s="44">
        <f t="shared" ref="G1:I1" si="0">INDEX(D:D,MATCH(MAX($N:$N),$N:$N,0))</f>
        <v>160</v>
      </c>
      <c r="H1" s="44">
        <f t="shared" si="0"/>
        <v>1</v>
      </c>
      <c r="I1" s="44">
        <f t="shared" si="0"/>
        <v>4</v>
      </c>
      <c r="J1" s="32"/>
      <c r="K1" s="82" t="s">
        <v>136</v>
      </c>
      <c r="L1" s="82"/>
      <c r="M1" s="82"/>
      <c r="N1" s="83" t="s">
        <v>113</v>
      </c>
      <c r="Q1" s="87" t="s">
        <v>99</v>
      </c>
      <c r="R1" s="87"/>
      <c r="S1" s="87"/>
      <c r="T1" s="87"/>
      <c r="U1" s="30">
        <f>MAX(AD:AD)</f>
        <v>12.922599999999999</v>
      </c>
      <c r="V1" s="44">
        <f>INDEX(S:S,MATCH(MAX($AD:$AD),$AD:$AD,0))</f>
        <v>20096</v>
      </c>
      <c r="W1" s="44">
        <f t="shared" ref="W1:Y1" si="1">INDEX(T:T,MATCH(MAX($AD:$AD),$AD:$AD,0))</f>
        <v>128</v>
      </c>
      <c r="X1" s="44">
        <f t="shared" si="1"/>
        <v>1</v>
      </c>
      <c r="Y1" s="44">
        <f t="shared" si="1"/>
        <v>4</v>
      </c>
      <c r="Z1" s="32"/>
      <c r="AA1" s="82" t="s">
        <v>114</v>
      </c>
      <c r="AB1" s="82"/>
      <c r="AC1" s="82"/>
      <c r="AD1" s="83" t="s">
        <v>113</v>
      </c>
      <c r="AE1" s="64"/>
      <c r="AF1" s="87" t="s">
        <v>99</v>
      </c>
      <c r="AG1" s="87"/>
      <c r="AH1" s="87"/>
      <c r="AI1" s="87"/>
      <c r="AJ1" s="30">
        <f>MAX(AS:AS)</f>
        <v>13.006600000000001</v>
      </c>
      <c r="AK1" s="44">
        <f>INDEX(AH:AH,MATCH(MAX($AS:$AS),$AS:$AS,0))</f>
        <v>20096</v>
      </c>
      <c r="AL1" s="44">
        <f t="shared" ref="AL1:AN1" si="2">INDEX(AI:AI,MATCH(MAX($AS:$AS),$AS:$AS,0))</f>
        <v>128</v>
      </c>
      <c r="AM1" s="44">
        <f t="shared" si="2"/>
        <v>1</v>
      </c>
      <c r="AN1" s="44">
        <f t="shared" si="2"/>
        <v>4</v>
      </c>
      <c r="AO1" s="32"/>
      <c r="AP1" s="82" t="s">
        <v>140</v>
      </c>
      <c r="AQ1" s="82"/>
      <c r="AR1" s="82"/>
      <c r="AS1" s="83" t="s">
        <v>113</v>
      </c>
      <c r="AT1" s="64"/>
      <c r="AV1" s="79" t="s">
        <v>99</v>
      </c>
      <c r="AW1" s="80"/>
      <c r="AX1" s="80"/>
      <c r="AY1" s="81"/>
      <c r="AZ1" s="30">
        <f>MAX(BI:BI)</f>
        <v>12.889333333333333</v>
      </c>
      <c r="BA1" s="44">
        <f>INDEX(AX:AX,MATCH(MAX($BI:$BI),$BI:$BI,0))</f>
        <v>20096</v>
      </c>
      <c r="BB1" s="44">
        <f t="shared" ref="BB1:BD1" si="3">INDEX(AY:AY,MATCH(MAX($BI:$BI),$BI:$BI,0))</f>
        <v>128</v>
      </c>
      <c r="BC1" s="44">
        <f t="shared" si="3"/>
        <v>1</v>
      </c>
      <c r="BD1" s="44">
        <f t="shared" si="3"/>
        <v>4</v>
      </c>
      <c r="BE1" s="32"/>
      <c r="BF1" s="82" t="s">
        <v>135</v>
      </c>
      <c r="BG1" s="82"/>
      <c r="BH1" s="82"/>
      <c r="BI1" s="83" t="s">
        <v>113</v>
      </c>
    </row>
    <row r="2" spans="1:61">
      <c r="A2" s="77" t="s">
        <v>102</v>
      </c>
      <c r="B2" s="77"/>
      <c r="C2" s="33">
        <f>MAX(H4:H835)</f>
        <v>11.747999999999999</v>
      </c>
      <c r="D2" s="34"/>
      <c r="E2" s="34"/>
      <c r="F2" s="34"/>
      <c r="G2" s="35"/>
      <c r="H2" s="45"/>
      <c r="I2" s="34"/>
      <c r="J2" s="32"/>
      <c r="K2" s="86" t="s">
        <v>109</v>
      </c>
      <c r="L2" s="86"/>
      <c r="M2" s="86"/>
      <c r="N2" s="83"/>
      <c r="Q2" s="77" t="s">
        <v>102</v>
      </c>
      <c r="R2" s="77"/>
      <c r="S2" s="33">
        <f>MAX(X4:X835)</f>
        <v>13.224</v>
      </c>
      <c r="T2" s="34"/>
      <c r="U2" s="34"/>
      <c r="V2" s="34"/>
      <c r="W2" s="35"/>
      <c r="X2" s="45"/>
      <c r="Y2" s="34"/>
      <c r="Z2" s="32"/>
      <c r="AA2" s="86" t="s">
        <v>109</v>
      </c>
      <c r="AB2" s="86"/>
      <c r="AC2" s="86"/>
      <c r="AD2" s="83"/>
      <c r="AE2" s="64"/>
      <c r="AF2" s="77" t="s">
        <v>102</v>
      </c>
      <c r="AG2" s="77"/>
      <c r="AH2" s="33">
        <f>MAX(AM4:AM835)</f>
        <v>13.113</v>
      </c>
      <c r="AI2" s="34"/>
      <c r="AJ2" s="34"/>
      <c r="AK2" s="34"/>
      <c r="AL2" s="35"/>
      <c r="AM2" s="45"/>
      <c r="AN2" s="34"/>
      <c r="AO2" s="32"/>
      <c r="AP2" s="86" t="s">
        <v>109</v>
      </c>
      <c r="AQ2" s="86"/>
      <c r="AR2" s="86"/>
      <c r="AS2" s="83"/>
      <c r="AT2" s="64"/>
      <c r="AV2" s="84" t="s">
        <v>102</v>
      </c>
      <c r="AW2" s="85"/>
      <c r="AX2" s="33">
        <f>MAX(BC4:BC835)</f>
        <v>13.034000000000001</v>
      </c>
      <c r="AY2" s="34"/>
      <c r="AZ2" s="34"/>
      <c r="BA2" s="34"/>
      <c r="BB2" s="35"/>
      <c r="BC2" s="45"/>
      <c r="BD2" s="34"/>
      <c r="BE2" s="32"/>
      <c r="BF2" s="86" t="s">
        <v>109</v>
      </c>
      <c r="BG2" s="86"/>
      <c r="BH2" s="86"/>
      <c r="BI2" s="83"/>
    </row>
    <row r="3" spans="1:61">
      <c r="A3" s="39" t="s">
        <v>104</v>
      </c>
      <c r="B3" s="39"/>
      <c r="C3" s="39" t="s">
        <v>1</v>
      </c>
      <c r="D3" s="39" t="s">
        <v>2</v>
      </c>
      <c r="E3" s="39" t="s">
        <v>3</v>
      </c>
      <c r="F3" s="39" t="s">
        <v>4</v>
      </c>
      <c r="G3" s="40" t="s">
        <v>5</v>
      </c>
      <c r="H3" s="42" t="s">
        <v>6</v>
      </c>
      <c r="I3" s="42" t="s">
        <v>105</v>
      </c>
      <c r="J3" s="43" t="s">
        <v>5</v>
      </c>
      <c r="K3" s="47" t="s">
        <v>106</v>
      </c>
      <c r="L3" s="47" t="s">
        <v>107</v>
      </c>
      <c r="M3" s="47" t="s">
        <v>108</v>
      </c>
      <c r="N3" s="83"/>
      <c r="Q3" s="39" t="s">
        <v>104</v>
      </c>
      <c r="R3" s="39"/>
      <c r="S3" s="39" t="s">
        <v>1</v>
      </c>
      <c r="T3" s="39" t="s">
        <v>2</v>
      </c>
      <c r="U3" s="39" t="s">
        <v>3</v>
      </c>
      <c r="V3" s="39" t="s">
        <v>4</v>
      </c>
      <c r="W3" s="40" t="s">
        <v>5</v>
      </c>
      <c r="X3" s="42" t="s">
        <v>6</v>
      </c>
      <c r="Y3" s="42" t="s">
        <v>105</v>
      </c>
      <c r="Z3" s="43" t="s">
        <v>5</v>
      </c>
      <c r="AA3" s="47" t="s">
        <v>106</v>
      </c>
      <c r="AB3" s="47" t="s">
        <v>107</v>
      </c>
      <c r="AC3" s="47" t="s">
        <v>108</v>
      </c>
      <c r="AD3" s="83"/>
      <c r="AE3" s="64"/>
      <c r="AF3" s="39" t="s">
        <v>104</v>
      </c>
      <c r="AG3" s="39"/>
      <c r="AH3" s="39" t="s">
        <v>1</v>
      </c>
      <c r="AI3" s="39" t="s">
        <v>2</v>
      </c>
      <c r="AJ3" s="39" t="s">
        <v>3</v>
      </c>
      <c r="AK3" s="39" t="s">
        <v>4</v>
      </c>
      <c r="AL3" s="40" t="s">
        <v>5</v>
      </c>
      <c r="AM3" s="42" t="s">
        <v>6</v>
      </c>
      <c r="AN3" s="42" t="s">
        <v>105</v>
      </c>
      <c r="AO3" s="43" t="s">
        <v>5</v>
      </c>
      <c r="AP3" s="47" t="s">
        <v>106</v>
      </c>
      <c r="AQ3" s="47" t="s">
        <v>107</v>
      </c>
      <c r="AR3" s="47" t="s">
        <v>108</v>
      </c>
      <c r="AS3" s="83"/>
      <c r="AT3" s="64"/>
      <c r="AV3" s="39" t="s">
        <v>104</v>
      </c>
      <c r="AW3" s="39"/>
      <c r="AX3" s="39" t="s">
        <v>1</v>
      </c>
      <c r="AY3" s="39" t="s">
        <v>2</v>
      </c>
      <c r="AZ3" s="39" t="s">
        <v>3</v>
      </c>
      <c r="BA3" s="39" t="s">
        <v>4</v>
      </c>
      <c r="BB3" s="40" t="s">
        <v>5</v>
      </c>
      <c r="BC3" s="42" t="s">
        <v>6</v>
      </c>
      <c r="BD3" s="42" t="s">
        <v>105</v>
      </c>
      <c r="BE3" s="43" t="s">
        <v>5</v>
      </c>
      <c r="BF3" s="47" t="s">
        <v>106</v>
      </c>
      <c r="BG3" s="47" t="s">
        <v>107</v>
      </c>
      <c r="BH3" s="47" t="s">
        <v>108</v>
      </c>
      <c r="BI3" s="83"/>
    </row>
    <row r="4" spans="1:61">
      <c r="A4">
        <v>0</v>
      </c>
      <c r="B4" t="s">
        <v>7</v>
      </c>
      <c r="C4">
        <v>17984</v>
      </c>
      <c r="D4">
        <v>32</v>
      </c>
      <c r="E4">
        <v>1</v>
      </c>
      <c r="F4">
        <v>4</v>
      </c>
      <c r="G4" s="1">
        <v>566.48</v>
      </c>
      <c r="H4" s="63">
        <v>6.8460000000000001</v>
      </c>
      <c r="I4" s="27">
        <v>45508</v>
      </c>
      <c r="J4" s="53">
        <v>0.84255787037037033</v>
      </c>
      <c r="K4">
        <v>0</v>
      </c>
      <c r="L4">
        <v>0</v>
      </c>
      <c r="M4">
        <v>0</v>
      </c>
      <c r="N4" s="54">
        <f>AVERAGE(H4:H8)</f>
        <v>6.8726399999999996</v>
      </c>
      <c r="Q4">
        <v>0</v>
      </c>
      <c r="R4" t="s">
        <v>7</v>
      </c>
      <c r="S4">
        <v>17984</v>
      </c>
      <c r="T4">
        <v>32</v>
      </c>
      <c r="U4">
        <v>1</v>
      </c>
      <c r="V4">
        <v>4</v>
      </c>
      <c r="W4">
        <v>518.20000000000005</v>
      </c>
      <c r="X4" s="48">
        <v>7.4837999999999996</v>
      </c>
      <c r="Y4" s="27">
        <v>45505</v>
      </c>
      <c r="Z4" s="53">
        <v>0.72141203703703705</v>
      </c>
      <c r="AA4">
        <v>0</v>
      </c>
      <c r="AB4">
        <v>0</v>
      </c>
      <c r="AC4">
        <v>0</v>
      </c>
      <c r="AD4" s="54">
        <f>AVERAGE(X4:X8)</f>
        <v>7.46272</v>
      </c>
      <c r="AF4">
        <v>0</v>
      </c>
      <c r="AG4" t="s">
        <v>7</v>
      </c>
      <c r="AH4">
        <v>20096</v>
      </c>
      <c r="AI4">
        <v>128</v>
      </c>
      <c r="AJ4">
        <v>1</v>
      </c>
      <c r="AK4">
        <v>4</v>
      </c>
      <c r="AL4">
        <v>412.64</v>
      </c>
      <c r="AM4" s="48">
        <v>13.113</v>
      </c>
      <c r="AN4" s="27">
        <v>45509</v>
      </c>
      <c r="AO4" s="53">
        <v>2.6041666666666668E-2</v>
      </c>
      <c r="AP4">
        <v>0</v>
      </c>
      <c r="AQ4">
        <v>0</v>
      </c>
      <c r="AR4">
        <v>0</v>
      </c>
      <c r="AS4" s="54">
        <f>AVERAGE(AM4:AM8)</f>
        <v>13.006600000000001</v>
      </c>
      <c r="AT4" s="1">
        <f>AS4</f>
        <v>13.006600000000001</v>
      </c>
      <c r="AV4" t="s">
        <v>72</v>
      </c>
      <c r="AW4" t="s">
        <v>73</v>
      </c>
      <c r="AX4" t="s">
        <v>74</v>
      </c>
      <c r="AY4" t="s">
        <v>75</v>
      </c>
      <c r="AZ4" t="s">
        <v>76</v>
      </c>
      <c r="BA4" t="s">
        <v>77</v>
      </c>
      <c r="BB4" s="1" t="s">
        <v>78</v>
      </c>
      <c r="BC4" s="46" t="s">
        <v>79</v>
      </c>
    </row>
    <row r="5" spans="1:61">
      <c r="A5">
        <v>1</v>
      </c>
      <c r="B5" t="s">
        <v>7</v>
      </c>
      <c r="C5">
        <v>17984</v>
      </c>
      <c r="D5">
        <v>32</v>
      </c>
      <c r="E5">
        <v>1</v>
      </c>
      <c r="F5">
        <v>4</v>
      </c>
      <c r="G5" s="1">
        <v>563.96</v>
      </c>
      <c r="H5" s="63">
        <v>6.8765999999999998</v>
      </c>
      <c r="I5" s="27">
        <v>45509</v>
      </c>
      <c r="J5" s="53">
        <v>0.11178240740740741</v>
      </c>
      <c r="K5">
        <v>0</v>
      </c>
      <c r="L5">
        <v>0</v>
      </c>
      <c r="M5">
        <v>0</v>
      </c>
      <c r="N5" s="54">
        <f>N4</f>
        <v>6.8726399999999996</v>
      </c>
      <c r="Q5">
        <v>1</v>
      </c>
      <c r="R5" t="s">
        <v>7</v>
      </c>
      <c r="S5">
        <v>17984</v>
      </c>
      <c r="T5">
        <v>32</v>
      </c>
      <c r="U5">
        <v>1</v>
      </c>
      <c r="V5">
        <v>4</v>
      </c>
      <c r="W5">
        <v>519.9</v>
      </c>
      <c r="X5" s="48">
        <v>7.4593999999999996</v>
      </c>
      <c r="Y5" s="27">
        <v>45505</v>
      </c>
      <c r="Z5" s="53">
        <v>0.96112268518518518</v>
      </c>
      <c r="AA5">
        <v>0</v>
      </c>
      <c r="AB5">
        <v>0</v>
      </c>
      <c r="AC5">
        <v>0</v>
      </c>
      <c r="AD5" s="54">
        <f>AD4</f>
        <v>7.46272</v>
      </c>
      <c r="AF5">
        <v>1</v>
      </c>
      <c r="AG5" t="s">
        <v>7</v>
      </c>
      <c r="AH5">
        <v>20096</v>
      </c>
      <c r="AI5">
        <v>128</v>
      </c>
      <c r="AJ5">
        <v>1</v>
      </c>
      <c r="AK5">
        <v>4</v>
      </c>
      <c r="AL5">
        <v>415.81</v>
      </c>
      <c r="AM5" s="48">
        <v>13.013</v>
      </c>
      <c r="AN5" s="27">
        <v>45509</v>
      </c>
      <c r="AO5" s="53">
        <v>0.26369212962962962</v>
      </c>
      <c r="AP5">
        <v>0</v>
      </c>
      <c r="AQ5">
        <v>0</v>
      </c>
      <c r="AR5">
        <v>0</v>
      </c>
      <c r="AS5" s="54">
        <f>AS4</f>
        <v>13.006600000000001</v>
      </c>
      <c r="AT5" s="1">
        <f>AT4</f>
        <v>13.006600000000001</v>
      </c>
      <c r="AV5">
        <v>1</v>
      </c>
      <c r="AW5" t="s">
        <v>71</v>
      </c>
      <c r="AX5">
        <v>18048</v>
      </c>
      <c r="AY5">
        <v>32</v>
      </c>
      <c r="AZ5">
        <v>1</v>
      </c>
      <c r="BA5">
        <v>4</v>
      </c>
      <c r="BB5" s="1">
        <v>527.20000000000005</v>
      </c>
      <c r="BC5" s="46">
        <v>7.4348999999999998</v>
      </c>
      <c r="BF5">
        <v>0</v>
      </c>
      <c r="BG5">
        <v>0</v>
      </c>
      <c r="BH5">
        <v>0</v>
      </c>
      <c r="BI5" s="54">
        <f>AVERAGE(BC5:BC10)</f>
        <v>7.4426333333333332</v>
      </c>
    </row>
    <row r="6" spans="1:61">
      <c r="A6">
        <v>2</v>
      </c>
      <c r="B6" t="s">
        <v>7</v>
      </c>
      <c r="C6">
        <v>17984</v>
      </c>
      <c r="D6">
        <v>32</v>
      </c>
      <c r="E6">
        <v>1</v>
      </c>
      <c r="F6">
        <v>4</v>
      </c>
      <c r="G6" s="1">
        <v>563.83000000000004</v>
      </c>
      <c r="H6" s="63">
        <v>6.8781999999999996</v>
      </c>
      <c r="I6" s="27">
        <v>45509</v>
      </c>
      <c r="J6" s="53">
        <v>0.37996527777777778</v>
      </c>
      <c r="K6">
        <v>0</v>
      </c>
      <c r="L6">
        <v>0</v>
      </c>
      <c r="M6">
        <v>0</v>
      </c>
      <c r="N6" s="54">
        <f t="shared" ref="N6:N8" si="4">N5</f>
        <v>6.8726399999999996</v>
      </c>
      <c r="Q6">
        <v>2</v>
      </c>
      <c r="R6" t="s">
        <v>7</v>
      </c>
      <c r="S6">
        <v>17984</v>
      </c>
      <c r="T6">
        <v>32</v>
      </c>
      <c r="U6">
        <v>1</v>
      </c>
      <c r="V6">
        <v>4</v>
      </c>
      <c r="W6">
        <v>520.34</v>
      </c>
      <c r="X6" s="48">
        <v>7.4531000000000001</v>
      </c>
      <c r="Y6" s="27">
        <v>45506</v>
      </c>
      <c r="Z6" s="53">
        <v>0.19832175925925927</v>
      </c>
      <c r="AA6">
        <v>0</v>
      </c>
      <c r="AB6">
        <v>0</v>
      </c>
      <c r="AC6">
        <v>0</v>
      </c>
      <c r="AD6" s="54">
        <f t="shared" ref="AD6:AD8" si="5">AD5</f>
        <v>7.46272</v>
      </c>
      <c r="AF6">
        <v>2</v>
      </c>
      <c r="AG6" t="s">
        <v>7</v>
      </c>
      <c r="AH6">
        <v>20096</v>
      </c>
      <c r="AI6">
        <v>128</v>
      </c>
      <c r="AJ6">
        <v>1</v>
      </c>
      <c r="AK6">
        <v>4</v>
      </c>
      <c r="AL6">
        <v>418.29</v>
      </c>
      <c r="AM6" s="48">
        <v>12.936</v>
      </c>
      <c r="AN6" s="27">
        <v>45509</v>
      </c>
      <c r="AO6" s="53">
        <v>0.50192129629629634</v>
      </c>
      <c r="AP6">
        <v>0</v>
      </c>
      <c r="AQ6">
        <v>0</v>
      </c>
      <c r="AR6">
        <v>0</v>
      </c>
      <c r="AS6" s="54">
        <f t="shared" ref="AS6:AS8" si="6">AS5</f>
        <v>13.006600000000001</v>
      </c>
      <c r="AT6" s="1">
        <f>AT5</f>
        <v>13.006600000000001</v>
      </c>
      <c r="AV6">
        <v>49</v>
      </c>
      <c r="AW6" t="s">
        <v>71</v>
      </c>
      <c r="AX6">
        <v>18048</v>
      </c>
      <c r="AY6">
        <v>32</v>
      </c>
      <c r="AZ6">
        <v>1</v>
      </c>
      <c r="BA6">
        <v>4</v>
      </c>
      <c r="BB6" s="1">
        <v>525.69000000000005</v>
      </c>
      <c r="BC6" s="46">
        <v>7.4562999999999997</v>
      </c>
      <c r="BF6">
        <v>0</v>
      </c>
      <c r="BG6">
        <v>0</v>
      </c>
      <c r="BH6">
        <v>0</v>
      </c>
      <c r="BI6" s="54">
        <f>BI5</f>
        <v>7.4426333333333332</v>
      </c>
    </row>
    <row r="7" spans="1:61">
      <c r="A7">
        <v>3</v>
      </c>
      <c r="B7" t="s">
        <v>7</v>
      </c>
      <c r="C7">
        <v>17984</v>
      </c>
      <c r="D7">
        <v>32</v>
      </c>
      <c r="E7">
        <v>1</v>
      </c>
      <c r="F7">
        <v>4</v>
      </c>
      <c r="G7" s="1">
        <v>563.4</v>
      </c>
      <c r="H7" s="63">
        <v>6.8834999999999997</v>
      </c>
      <c r="I7" s="27">
        <v>45509</v>
      </c>
      <c r="J7" s="53">
        <v>0.64785879629629628</v>
      </c>
      <c r="K7">
        <v>0</v>
      </c>
      <c r="L7">
        <v>0</v>
      </c>
      <c r="M7">
        <v>0</v>
      </c>
      <c r="N7" s="54">
        <f t="shared" si="4"/>
        <v>6.8726399999999996</v>
      </c>
      <c r="Q7">
        <v>3</v>
      </c>
      <c r="R7" t="s">
        <v>7</v>
      </c>
      <c r="S7">
        <v>17984</v>
      </c>
      <c r="T7">
        <v>32</v>
      </c>
      <c r="U7">
        <v>1</v>
      </c>
      <c r="V7">
        <v>4</v>
      </c>
      <c r="W7">
        <v>519.86</v>
      </c>
      <c r="X7" s="48">
        <v>7.46</v>
      </c>
      <c r="Y7" s="27">
        <v>45506</v>
      </c>
      <c r="Z7" s="53">
        <v>0.4357523148148148</v>
      </c>
      <c r="AA7">
        <v>0</v>
      </c>
      <c r="AB7">
        <v>0</v>
      </c>
      <c r="AC7">
        <v>0</v>
      </c>
      <c r="AD7" s="54">
        <f t="shared" si="5"/>
        <v>7.46272</v>
      </c>
      <c r="AF7">
        <v>3</v>
      </c>
      <c r="AG7" t="s">
        <v>7</v>
      </c>
      <c r="AH7">
        <v>20096</v>
      </c>
      <c r="AI7">
        <v>128</v>
      </c>
      <c r="AJ7">
        <v>1</v>
      </c>
      <c r="AK7">
        <v>4</v>
      </c>
      <c r="AL7">
        <v>415.47</v>
      </c>
      <c r="AM7" s="48">
        <v>13.023999999999999</v>
      </c>
      <c r="AN7" s="27">
        <v>45509</v>
      </c>
      <c r="AO7" s="53">
        <v>0.74020833333333336</v>
      </c>
      <c r="AP7">
        <v>0</v>
      </c>
      <c r="AQ7">
        <v>0</v>
      </c>
      <c r="AR7">
        <v>0</v>
      </c>
      <c r="AS7" s="54">
        <f t="shared" si="6"/>
        <v>13.006600000000001</v>
      </c>
      <c r="AT7" s="1">
        <f>AT6</f>
        <v>13.006600000000001</v>
      </c>
      <c r="AV7">
        <v>97</v>
      </c>
      <c r="AW7" t="s">
        <v>71</v>
      </c>
      <c r="AX7">
        <v>18048</v>
      </c>
      <c r="AY7">
        <v>32</v>
      </c>
      <c r="AZ7">
        <v>1</v>
      </c>
      <c r="BA7">
        <v>4</v>
      </c>
      <c r="BB7" s="1">
        <v>526.57000000000005</v>
      </c>
      <c r="BC7" s="46">
        <v>7.4438000000000004</v>
      </c>
      <c r="BF7">
        <v>0</v>
      </c>
      <c r="BG7">
        <v>0</v>
      </c>
      <c r="BH7">
        <v>0</v>
      </c>
      <c r="BI7" s="54">
        <f t="shared" ref="BI7:BI10" si="7">BI6</f>
        <v>7.4426333333333332</v>
      </c>
    </row>
    <row r="8" spans="1:61">
      <c r="A8">
        <v>4</v>
      </c>
      <c r="B8" t="s">
        <v>7</v>
      </c>
      <c r="C8">
        <v>17984</v>
      </c>
      <c r="D8">
        <v>32</v>
      </c>
      <c r="E8">
        <v>1</v>
      </c>
      <c r="F8">
        <v>4</v>
      </c>
      <c r="G8" s="1">
        <v>563.77</v>
      </c>
      <c r="H8" s="63">
        <v>6.8788999999999998</v>
      </c>
      <c r="I8" s="27">
        <v>45509</v>
      </c>
      <c r="J8" s="53">
        <v>0.91585648148148147</v>
      </c>
      <c r="K8">
        <v>0</v>
      </c>
      <c r="L8">
        <v>0</v>
      </c>
      <c r="M8">
        <v>0</v>
      </c>
      <c r="N8" s="54">
        <f t="shared" si="4"/>
        <v>6.8726399999999996</v>
      </c>
      <c r="Q8">
        <v>4</v>
      </c>
      <c r="R8" t="s">
        <v>7</v>
      </c>
      <c r="S8">
        <v>17984</v>
      </c>
      <c r="T8">
        <v>32</v>
      </c>
      <c r="U8">
        <v>1</v>
      </c>
      <c r="V8">
        <v>4</v>
      </c>
      <c r="W8">
        <v>520.04</v>
      </c>
      <c r="X8" s="48">
        <v>7.4573</v>
      </c>
      <c r="Y8" s="27">
        <v>45506</v>
      </c>
      <c r="Z8" s="53">
        <v>0.67290509259259257</v>
      </c>
      <c r="AA8">
        <v>0</v>
      </c>
      <c r="AB8">
        <v>0</v>
      </c>
      <c r="AC8">
        <v>0</v>
      </c>
      <c r="AD8" s="54">
        <f t="shared" si="5"/>
        <v>7.46272</v>
      </c>
      <c r="AF8">
        <v>4</v>
      </c>
      <c r="AG8" t="s">
        <v>7</v>
      </c>
      <c r="AH8">
        <v>20096</v>
      </c>
      <c r="AI8">
        <v>128</v>
      </c>
      <c r="AJ8">
        <v>1</v>
      </c>
      <c r="AK8">
        <v>4</v>
      </c>
      <c r="AL8">
        <v>417.95</v>
      </c>
      <c r="AM8" s="48">
        <v>12.946999999999999</v>
      </c>
      <c r="AN8" s="27">
        <v>45509</v>
      </c>
      <c r="AO8" s="53">
        <v>0.97791666666666666</v>
      </c>
      <c r="AP8">
        <v>0</v>
      </c>
      <c r="AQ8">
        <v>0</v>
      </c>
      <c r="AR8">
        <v>0</v>
      </c>
      <c r="AS8" s="54">
        <f t="shared" si="6"/>
        <v>13.006600000000001</v>
      </c>
      <c r="AT8" s="1">
        <f>AT7</f>
        <v>13.006600000000001</v>
      </c>
      <c r="AV8">
        <v>145</v>
      </c>
      <c r="AW8" t="s">
        <v>71</v>
      </c>
      <c r="AX8">
        <v>18048</v>
      </c>
      <c r="AY8">
        <v>32</v>
      </c>
      <c r="AZ8">
        <v>1</v>
      </c>
      <c r="BA8">
        <v>4</v>
      </c>
      <c r="BB8" s="1">
        <v>526.26</v>
      </c>
      <c r="BC8" s="46">
        <v>7.4481000000000002</v>
      </c>
      <c r="BF8">
        <v>0</v>
      </c>
      <c r="BG8">
        <v>0</v>
      </c>
      <c r="BH8">
        <v>0</v>
      </c>
      <c r="BI8" s="54">
        <f t="shared" si="7"/>
        <v>7.4426333333333332</v>
      </c>
    </row>
    <row r="9" spans="1:61">
      <c r="A9">
        <v>0</v>
      </c>
      <c r="B9" t="s">
        <v>7</v>
      </c>
      <c r="C9">
        <v>19072</v>
      </c>
      <c r="D9">
        <v>32</v>
      </c>
      <c r="E9">
        <v>1</v>
      </c>
      <c r="F9">
        <v>4</v>
      </c>
      <c r="G9" s="1">
        <v>657.65</v>
      </c>
      <c r="H9" s="63">
        <v>7.0331999999999999</v>
      </c>
      <c r="I9" s="27">
        <v>45508</v>
      </c>
      <c r="J9" s="53">
        <v>0.91997685185185185</v>
      </c>
      <c r="K9">
        <v>0</v>
      </c>
      <c r="L9">
        <v>0</v>
      </c>
      <c r="M9">
        <v>0</v>
      </c>
      <c r="N9" s="54">
        <f>AVERAGE(H9:H13)</f>
        <v>7.0233000000000008</v>
      </c>
      <c r="Q9">
        <v>0</v>
      </c>
      <c r="R9" t="s">
        <v>7</v>
      </c>
      <c r="S9">
        <v>19072</v>
      </c>
      <c r="T9">
        <v>32</v>
      </c>
      <c r="U9">
        <v>1</v>
      </c>
      <c r="V9">
        <v>4</v>
      </c>
      <c r="W9">
        <v>587.41999999999996</v>
      </c>
      <c r="X9" s="48">
        <v>7.8741000000000003</v>
      </c>
      <c r="Y9" s="27">
        <v>45505</v>
      </c>
      <c r="Z9" s="53">
        <v>0.78939814814814813</v>
      </c>
      <c r="AA9">
        <v>0</v>
      </c>
      <c r="AB9">
        <v>0</v>
      </c>
      <c r="AC9">
        <v>0</v>
      </c>
      <c r="AD9" s="54">
        <f>AVERAGE(X9:X13)</f>
        <v>7.8489800000000001</v>
      </c>
      <c r="AF9">
        <v>0</v>
      </c>
      <c r="AG9" t="s">
        <v>7</v>
      </c>
      <c r="AH9">
        <v>19072</v>
      </c>
      <c r="AI9">
        <v>128</v>
      </c>
      <c r="AJ9">
        <v>1</v>
      </c>
      <c r="AK9">
        <v>4</v>
      </c>
      <c r="AL9">
        <v>364.37</v>
      </c>
      <c r="AM9" s="48">
        <v>12.694000000000001</v>
      </c>
      <c r="AN9" s="27">
        <v>45508</v>
      </c>
      <c r="AO9" s="53">
        <v>0.94113425925925931</v>
      </c>
      <c r="AP9">
        <v>0</v>
      </c>
      <c r="AQ9">
        <v>0</v>
      </c>
      <c r="AR9">
        <v>0</v>
      </c>
      <c r="AS9" s="54">
        <f>AVERAGE(AM9:AM13)</f>
        <v>12.961400000000001</v>
      </c>
      <c r="AT9" s="1">
        <f>AS9</f>
        <v>12.961400000000001</v>
      </c>
      <c r="AV9">
        <v>193</v>
      </c>
      <c r="AW9" t="s">
        <v>71</v>
      </c>
      <c r="AX9">
        <v>18048</v>
      </c>
      <c r="AY9">
        <v>32</v>
      </c>
      <c r="AZ9">
        <v>1</v>
      </c>
      <c r="BA9">
        <v>4</v>
      </c>
      <c r="BB9" s="1">
        <v>527.39</v>
      </c>
      <c r="BC9" s="46">
        <v>7.4321999999999999</v>
      </c>
      <c r="BF9">
        <v>0</v>
      </c>
      <c r="BG9">
        <v>0</v>
      </c>
      <c r="BH9">
        <v>0</v>
      </c>
      <c r="BI9" s="54">
        <f t="shared" si="7"/>
        <v>7.4426333333333332</v>
      </c>
    </row>
    <row r="10" spans="1:61">
      <c r="A10">
        <v>1</v>
      </c>
      <c r="B10" t="s">
        <v>7</v>
      </c>
      <c r="C10">
        <v>19072</v>
      </c>
      <c r="D10">
        <v>32</v>
      </c>
      <c r="E10">
        <v>1</v>
      </c>
      <c r="F10">
        <v>4</v>
      </c>
      <c r="G10" s="1">
        <v>665.85</v>
      </c>
      <c r="H10" s="63">
        <v>6.9466000000000001</v>
      </c>
      <c r="I10" s="27">
        <v>45509</v>
      </c>
      <c r="J10" s="53">
        <v>0.18851851851851853</v>
      </c>
      <c r="K10">
        <v>0</v>
      </c>
      <c r="L10">
        <v>0</v>
      </c>
      <c r="M10">
        <v>0</v>
      </c>
      <c r="N10" s="54">
        <f>N9</f>
        <v>7.0233000000000008</v>
      </c>
      <c r="Q10">
        <v>1</v>
      </c>
      <c r="R10" t="s">
        <v>7</v>
      </c>
      <c r="S10">
        <v>19072</v>
      </c>
      <c r="T10">
        <v>32</v>
      </c>
      <c r="U10">
        <v>1</v>
      </c>
      <c r="V10">
        <v>4</v>
      </c>
      <c r="W10">
        <v>587.94000000000005</v>
      </c>
      <c r="X10" s="48">
        <v>7.8670999999999998</v>
      </c>
      <c r="Y10" s="27">
        <v>45506</v>
      </c>
      <c r="Z10" s="53">
        <v>2.841435185185185E-2</v>
      </c>
      <c r="AA10">
        <v>0</v>
      </c>
      <c r="AB10">
        <v>0</v>
      </c>
      <c r="AC10">
        <v>0</v>
      </c>
      <c r="AD10" s="54">
        <f>AD9</f>
        <v>7.8489800000000001</v>
      </c>
      <c r="AF10">
        <v>1</v>
      </c>
      <c r="AG10" t="s">
        <v>7</v>
      </c>
      <c r="AH10">
        <v>19072</v>
      </c>
      <c r="AI10">
        <v>128</v>
      </c>
      <c r="AJ10">
        <v>1</v>
      </c>
      <c r="AK10">
        <v>4</v>
      </c>
      <c r="AL10">
        <v>357.13</v>
      </c>
      <c r="AM10" s="48">
        <v>12.952</v>
      </c>
      <c r="AN10" s="27">
        <v>45509</v>
      </c>
      <c r="AO10" s="53">
        <v>0.1784375</v>
      </c>
      <c r="AP10">
        <v>0</v>
      </c>
      <c r="AQ10">
        <v>0</v>
      </c>
      <c r="AR10">
        <v>0</v>
      </c>
      <c r="AS10" s="54">
        <f>AS9</f>
        <v>12.961400000000001</v>
      </c>
      <c r="AT10" s="1">
        <f>AT9</f>
        <v>12.961400000000001</v>
      </c>
      <c r="AV10">
        <v>241</v>
      </c>
      <c r="AW10" t="s">
        <v>71</v>
      </c>
      <c r="AX10">
        <v>18048</v>
      </c>
      <c r="AY10">
        <v>32</v>
      </c>
      <c r="AZ10">
        <v>1</v>
      </c>
      <c r="BA10">
        <v>4</v>
      </c>
      <c r="BB10" s="1">
        <v>526.79999999999995</v>
      </c>
      <c r="BC10" s="46">
        <v>7.4405000000000001</v>
      </c>
      <c r="BF10">
        <v>0</v>
      </c>
      <c r="BG10">
        <v>0</v>
      </c>
      <c r="BH10">
        <v>0</v>
      </c>
      <c r="BI10" s="54">
        <f t="shared" si="7"/>
        <v>7.4426333333333332</v>
      </c>
    </row>
    <row r="11" spans="1:61">
      <c r="A11">
        <v>2</v>
      </c>
      <c r="B11" t="s">
        <v>7</v>
      </c>
      <c r="C11">
        <v>19072</v>
      </c>
      <c r="D11">
        <v>32</v>
      </c>
      <c r="E11">
        <v>1</v>
      </c>
      <c r="F11">
        <v>4</v>
      </c>
      <c r="G11" s="1">
        <v>656.74</v>
      </c>
      <c r="H11" s="63">
        <v>7.0430000000000001</v>
      </c>
      <c r="I11" s="27">
        <v>45509</v>
      </c>
      <c r="J11" s="53">
        <v>0.45658564814814817</v>
      </c>
      <c r="K11">
        <v>0</v>
      </c>
      <c r="L11">
        <v>0</v>
      </c>
      <c r="M11">
        <v>0</v>
      </c>
      <c r="N11" s="54">
        <f t="shared" ref="N11:N13" si="8">N10</f>
        <v>7.0233000000000008</v>
      </c>
      <c r="Q11">
        <v>2</v>
      </c>
      <c r="R11" t="s">
        <v>7</v>
      </c>
      <c r="S11">
        <v>19072</v>
      </c>
      <c r="T11">
        <v>32</v>
      </c>
      <c r="U11">
        <v>1</v>
      </c>
      <c r="V11">
        <v>4</v>
      </c>
      <c r="W11">
        <v>589.30999999999995</v>
      </c>
      <c r="X11" s="48">
        <v>7.8489000000000004</v>
      </c>
      <c r="Y11" s="27">
        <v>45506</v>
      </c>
      <c r="Z11" s="53">
        <v>0.26583333333333331</v>
      </c>
      <c r="AA11">
        <v>0</v>
      </c>
      <c r="AB11">
        <v>0</v>
      </c>
      <c r="AC11">
        <v>0</v>
      </c>
      <c r="AD11" s="54">
        <f t="shared" ref="AD11:AD13" si="9">AD10</f>
        <v>7.8489800000000001</v>
      </c>
      <c r="AF11">
        <v>2</v>
      </c>
      <c r="AG11" t="s">
        <v>7</v>
      </c>
      <c r="AH11">
        <v>19072</v>
      </c>
      <c r="AI11">
        <v>128</v>
      </c>
      <c r="AJ11">
        <v>1</v>
      </c>
      <c r="AK11">
        <v>4</v>
      </c>
      <c r="AL11">
        <v>353.6</v>
      </c>
      <c r="AM11" s="48">
        <v>13.081</v>
      </c>
      <c r="AN11" s="27">
        <v>45509</v>
      </c>
      <c r="AO11" s="53">
        <v>0.41577546296296297</v>
      </c>
      <c r="AP11">
        <v>0</v>
      </c>
      <c r="AQ11">
        <v>0</v>
      </c>
      <c r="AR11">
        <v>0</v>
      </c>
      <c r="AS11" s="54">
        <f t="shared" ref="AS11:AS13" si="10">AS10</f>
        <v>12.961400000000001</v>
      </c>
      <c r="AT11" s="1">
        <f>AT10</f>
        <v>12.961400000000001</v>
      </c>
      <c r="AV11">
        <v>17</v>
      </c>
      <c r="AW11" t="s">
        <v>71</v>
      </c>
      <c r="AX11">
        <v>19072</v>
      </c>
      <c r="AY11">
        <v>32</v>
      </c>
      <c r="AZ11">
        <v>1</v>
      </c>
      <c r="BA11">
        <v>4</v>
      </c>
      <c r="BB11" s="1">
        <v>593.61</v>
      </c>
      <c r="BC11" s="46">
        <v>7.7919999999999998</v>
      </c>
      <c r="BF11">
        <v>0</v>
      </c>
      <c r="BG11">
        <v>0</v>
      </c>
      <c r="BH11">
        <v>0</v>
      </c>
      <c r="BI11" s="54">
        <f>AVERAGE(BC11:BC16)</f>
        <v>7.787583333333334</v>
      </c>
    </row>
    <row r="12" spans="1:61">
      <c r="A12">
        <v>3</v>
      </c>
      <c r="B12" t="s">
        <v>7</v>
      </c>
      <c r="C12">
        <v>19072</v>
      </c>
      <c r="D12">
        <v>32</v>
      </c>
      <c r="E12">
        <v>1</v>
      </c>
      <c r="F12">
        <v>4</v>
      </c>
      <c r="G12" s="1">
        <v>656.55</v>
      </c>
      <c r="H12" s="63">
        <v>7.0449999999999999</v>
      </c>
      <c r="I12" s="27">
        <v>45509</v>
      </c>
      <c r="J12" s="53">
        <v>0.72453703703703709</v>
      </c>
      <c r="K12">
        <v>0</v>
      </c>
      <c r="L12">
        <v>0</v>
      </c>
      <c r="M12">
        <v>0</v>
      </c>
      <c r="N12" s="54">
        <f t="shared" si="8"/>
        <v>7.0233000000000008</v>
      </c>
      <c r="Q12">
        <v>3</v>
      </c>
      <c r="R12" t="s">
        <v>7</v>
      </c>
      <c r="S12">
        <v>19072</v>
      </c>
      <c r="T12">
        <v>32</v>
      </c>
      <c r="U12">
        <v>1</v>
      </c>
      <c r="V12">
        <v>4</v>
      </c>
      <c r="W12">
        <v>591.47</v>
      </c>
      <c r="X12" s="48">
        <v>7.8201999999999998</v>
      </c>
      <c r="Y12" s="27">
        <v>45506</v>
      </c>
      <c r="Z12" s="53">
        <v>0.50315972222222227</v>
      </c>
      <c r="AA12">
        <v>0</v>
      </c>
      <c r="AB12">
        <v>0</v>
      </c>
      <c r="AC12">
        <v>0</v>
      </c>
      <c r="AD12" s="54">
        <f t="shared" si="9"/>
        <v>7.8489800000000001</v>
      </c>
      <c r="AF12">
        <v>3</v>
      </c>
      <c r="AG12" t="s">
        <v>7</v>
      </c>
      <c r="AH12">
        <v>19072</v>
      </c>
      <c r="AI12">
        <v>128</v>
      </c>
      <c r="AJ12">
        <v>1</v>
      </c>
      <c r="AK12">
        <v>4</v>
      </c>
      <c r="AL12">
        <v>352.89</v>
      </c>
      <c r="AM12" s="48">
        <v>13.106999999999999</v>
      </c>
      <c r="AN12" s="27">
        <v>45509</v>
      </c>
      <c r="AO12" s="53">
        <v>0.65447916666666661</v>
      </c>
      <c r="AP12">
        <v>0</v>
      </c>
      <c r="AQ12">
        <v>0</v>
      </c>
      <c r="AR12">
        <v>0</v>
      </c>
      <c r="AS12" s="54">
        <f t="shared" si="10"/>
        <v>12.961400000000001</v>
      </c>
      <c r="AT12" s="1">
        <f>AT11</f>
        <v>12.961400000000001</v>
      </c>
      <c r="AV12">
        <v>65</v>
      </c>
      <c r="AW12" t="s">
        <v>71</v>
      </c>
      <c r="AX12">
        <v>19072</v>
      </c>
      <c r="AY12">
        <v>32</v>
      </c>
      <c r="AZ12">
        <v>1</v>
      </c>
      <c r="BA12">
        <v>4</v>
      </c>
      <c r="BB12" s="1">
        <v>592.51</v>
      </c>
      <c r="BC12" s="46">
        <v>7.8064</v>
      </c>
      <c r="BF12">
        <v>0</v>
      </c>
      <c r="BG12">
        <v>0</v>
      </c>
      <c r="BH12">
        <v>0</v>
      </c>
      <c r="BI12" s="54">
        <f>BI11</f>
        <v>7.787583333333334</v>
      </c>
    </row>
    <row r="13" spans="1:61">
      <c r="A13">
        <v>4</v>
      </c>
      <c r="B13" t="s">
        <v>7</v>
      </c>
      <c r="C13">
        <v>19072</v>
      </c>
      <c r="D13">
        <v>32</v>
      </c>
      <c r="E13">
        <v>1</v>
      </c>
      <c r="F13">
        <v>4</v>
      </c>
      <c r="G13" s="1">
        <v>656.21</v>
      </c>
      <c r="H13" s="63">
        <v>7.0487000000000002</v>
      </c>
      <c r="I13" s="27">
        <v>45509</v>
      </c>
      <c r="J13" s="53">
        <v>0.99245370370370367</v>
      </c>
      <c r="K13">
        <v>0</v>
      </c>
      <c r="L13">
        <v>0</v>
      </c>
      <c r="M13">
        <v>0</v>
      </c>
      <c r="N13" s="54">
        <f t="shared" si="8"/>
        <v>7.0233000000000008</v>
      </c>
      <c r="Q13">
        <v>4</v>
      </c>
      <c r="R13" t="s">
        <v>7</v>
      </c>
      <c r="S13">
        <v>19072</v>
      </c>
      <c r="T13">
        <v>32</v>
      </c>
      <c r="U13">
        <v>1</v>
      </c>
      <c r="V13">
        <v>4</v>
      </c>
      <c r="W13">
        <v>590.38</v>
      </c>
      <c r="X13" s="48">
        <v>7.8346</v>
      </c>
      <c r="Y13" s="27">
        <v>45506</v>
      </c>
      <c r="Z13" s="53">
        <v>0.74033564814814812</v>
      </c>
      <c r="AA13">
        <v>0</v>
      </c>
      <c r="AB13">
        <v>0</v>
      </c>
      <c r="AC13">
        <v>0</v>
      </c>
      <c r="AD13" s="54">
        <f t="shared" si="9"/>
        <v>7.8489800000000001</v>
      </c>
      <c r="AF13">
        <v>4</v>
      </c>
      <c r="AG13" t="s">
        <v>7</v>
      </c>
      <c r="AH13">
        <v>19072</v>
      </c>
      <c r="AI13">
        <v>128</v>
      </c>
      <c r="AJ13">
        <v>1</v>
      </c>
      <c r="AK13">
        <v>4</v>
      </c>
      <c r="AL13">
        <v>356.53</v>
      </c>
      <c r="AM13" s="48">
        <v>12.973000000000001</v>
      </c>
      <c r="AN13" s="27">
        <v>45509</v>
      </c>
      <c r="AO13" s="53">
        <v>0.89252314814814815</v>
      </c>
      <c r="AP13">
        <v>0</v>
      </c>
      <c r="AQ13">
        <v>0</v>
      </c>
      <c r="AR13">
        <v>0</v>
      </c>
      <c r="AS13" s="54">
        <f t="shared" si="10"/>
        <v>12.961400000000001</v>
      </c>
      <c r="AT13" s="1">
        <f>AT12</f>
        <v>12.961400000000001</v>
      </c>
      <c r="AV13">
        <v>113</v>
      </c>
      <c r="AW13" t="s">
        <v>71</v>
      </c>
      <c r="AX13">
        <v>19072</v>
      </c>
      <c r="AY13">
        <v>32</v>
      </c>
      <c r="AZ13">
        <v>1</v>
      </c>
      <c r="BA13">
        <v>4</v>
      </c>
      <c r="BB13" s="1">
        <v>593.35</v>
      </c>
      <c r="BC13" s="46">
        <v>7.7953999999999999</v>
      </c>
      <c r="BF13">
        <v>0</v>
      </c>
      <c r="BG13">
        <v>0</v>
      </c>
      <c r="BH13">
        <v>0</v>
      </c>
      <c r="BI13" s="54">
        <f t="shared" ref="BI13:BI16" si="11">BI12</f>
        <v>7.787583333333334</v>
      </c>
    </row>
    <row r="14" spans="1:61">
      <c r="A14">
        <v>0</v>
      </c>
      <c r="B14" t="s">
        <v>7</v>
      </c>
      <c r="C14">
        <v>20160</v>
      </c>
      <c r="D14">
        <v>32</v>
      </c>
      <c r="E14">
        <v>1</v>
      </c>
      <c r="F14">
        <v>4</v>
      </c>
      <c r="G14" s="1">
        <v>787.67</v>
      </c>
      <c r="H14" s="63">
        <v>6.9356</v>
      </c>
      <c r="I14" s="27">
        <v>45509</v>
      </c>
      <c r="J14" s="53">
        <v>1.0115740740740741E-2</v>
      </c>
      <c r="K14">
        <v>0</v>
      </c>
      <c r="L14">
        <v>0</v>
      </c>
      <c r="M14">
        <v>0</v>
      </c>
      <c r="N14" s="54">
        <f t="shared" ref="N14" si="12">AVERAGE(H14:H18)</f>
        <v>6.9230199999999993</v>
      </c>
      <c r="Q14">
        <v>0</v>
      </c>
      <c r="R14" t="s">
        <v>7</v>
      </c>
      <c r="S14">
        <v>20160</v>
      </c>
      <c r="T14">
        <v>32</v>
      </c>
      <c r="U14">
        <v>1</v>
      </c>
      <c r="V14">
        <v>4</v>
      </c>
      <c r="W14">
        <v>711.94</v>
      </c>
      <c r="X14" s="48">
        <v>7.6734</v>
      </c>
      <c r="Y14" s="27">
        <v>45505</v>
      </c>
      <c r="Z14" s="53">
        <v>0.87028935185185186</v>
      </c>
      <c r="AA14">
        <v>0</v>
      </c>
      <c r="AB14">
        <v>0</v>
      </c>
      <c r="AC14">
        <v>0</v>
      </c>
      <c r="AD14" s="54">
        <f t="shared" ref="AD14" si="13">AVERAGE(X14:X18)</f>
        <v>7.6701999999999995</v>
      </c>
      <c r="AF14">
        <v>0</v>
      </c>
      <c r="AG14" t="s">
        <v>7</v>
      </c>
      <c r="AH14">
        <v>19008</v>
      </c>
      <c r="AI14">
        <v>192</v>
      </c>
      <c r="AJ14">
        <v>1</v>
      </c>
      <c r="AK14">
        <v>4</v>
      </c>
      <c r="AL14">
        <v>356.68</v>
      </c>
      <c r="AM14" s="48">
        <v>12.837999999999999</v>
      </c>
      <c r="AN14" s="27">
        <v>45508</v>
      </c>
      <c r="AO14" s="53">
        <v>0.95920138888888884</v>
      </c>
      <c r="AP14">
        <v>0</v>
      </c>
      <c r="AQ14">
        <v>0</v>
      </c>
      <c r="AR14">
        <v>0</v>
      </c>
      <c r="AS14" s="54">
        <f t="shared" ref="AS14" si="14">AVERAGE(AM14:AM18)</f>
        <v>12.860199999999997</v>
      </c>
      <c r="AT14" s="1">
        <f>AS14</f>
        <v>12.860199999999997</v>
      </c>
      <c r="AV14">
        <v>161</v>
      </c>
      <c r="AW14" t="s">
        <v>71</v>
      </c>
      <c r="AX14">
        <v>19072</v>
      </c>
      <c r="AY14">
        <v>32</v>
      </c>
      <c r="AZ14">
        <v>1</v>
      </c>
      <c r="BA14">
        <v>4</v>
      </c>
      <c r="BB14" s="1">
        <v>597.04999999999995</v>
      </c>
      <c r="BC14" s="46">
        <v>7.7469999999999999</v>
      </c>
      <c r="BF14">
        <v>0</v>
      </c>
      <c r="BG14">
        <v>0</v>
      </c>
      <c r="BH14">
        <v>0</v>
      </c>
      <c r="BI14" s="54">
        <f t="shared" si="11"/>
        <v>7.787583333333334</v>
      </c>
    </row>
    <row r="15" spans="1:61">
      <c r="A15">
        <v>1</v>
      </c>
      <c r="B15" t="s">
        <v>7</v>
      </c>
      <c r="C15">
        <v>20160</v>
      </c>
      <c r="D15">
        <v>32</v>
      </c>
      <c r="E15">
        <v>1</v>
      </c>
      <c r="F15">
        <v>4</v>
      </c>
      <c r="G15" s="1">
        <v>787.9</v>
      </c>
      <c r="H15" s="63">
        <v>6.9336000000000002</v>
      </c>
      <c r="I15" s="27">
        <v>45509</v>
      </c>
      <c r="J15" s="53">
        <v>0.27825231481481483</v>
      </c>
      <c r="K15">
        <v>0</v>
      </c>
      <c r="L15">
        <v>0</v>
      </c>
      <c r="M15">
        <v>0</v>
      </c>
      <c r="N15" s="54">
        <f t="shared" ref="N15:N78" si="15">N14</f>
        <v>6.9230199999999993</v>
      </c>
      <c r="Q15">
        <v>1</v>
      </c>
      <c r="R15" t="s">
        <v>7</v>
      </c>
      <c r="S15">
        <v>20160</v>
      </c>
      <c r="T15">
        <v>32</v>
      </c>
      <c r="U15">
        <v>1</v>
      </c>
      <c r="V15">
        <v>4</v>
      </c>
      <c r="W15">
        <v>710.23</v>
      </c>
      <c r="X15" s="48">
        <v>7.6917999999999997</v>
      </c>
      <c r="Y15" s="27">
        <v>45506</v>
      </c>
      <c r="Z15" s="53">
        <v>0.10800925925925926</v>
      </c>
      <c r="AA15">
        <v>0</v>
      </c>
      <c r="AB15">
        <v>0</v>
      </c>
      <c r="AC15">
        <v>0</v>
      </c>
      <c r="AD15" s="54">
        <f t="shared" ref="AD15:AD78" si="16">AD14</f>
        <v>7.6701999999999995</v>
      </c>
      <c r="AF15">
        <v>1</v>
      </c>
      <c r="AG15" t="s">
        <v>7</v>
      </c>
      <c r="AH15">
        <v>19008</v>
      </c>
      <c r="AI15">
        <v>192</v>
      </c>
      <c r="AJ15">
        <v>1</v>
      </c>
      <c r="AK15">
        <v>4</v>
      </c>
      <c r="AL15">
        <v>354.92</v>
      </c>
      <c r="AM15" s="48">
        <v>12.901999999999999</v>
      </c>
      <c r="AN15" s="27">
        <v>45509</v>
      </c>
      <c r="AO15" s="53">
        <v>0.19662037037037036</v>
      </c>
      <c r="AP15">
        <v>0</v>
      </c>
      <c r="AQ15">
        <v>0</v>
      </c>
      <c r="AR15">
        <v>0</v>
      </c>
      <c r="AS15" s="54">
        <f t="shared" ref="AS15:AS78" si="17">AS14</f>
        <v>12.860199999999997</v>
      </c>
      <c r="AT15" s="1">
        <f>AT14</f>
        <v>12.860199999999997</v>
      </c>
      <c r="AV15">
        <v>209</v>
      </c>
      <c r="AW15" t="s">
        <v>71</v>
      </c>
      <c r="AX15">
        <v>19072</v>
      </c>
      <c r="AY15">
        <v>32</v>
      </c>
      <c r="AZ15">
        <v>1</v>
      </c>
      <c r="BA15">
        <v>4</v>
      </c>
      <c r="BB15" s="1">
        <v>594.62</v>
      </c>
      <c r="BC15" s="46">
        <v>7.7788000000000004</v>
      </c>
      <c r="BF15">
        <v>0</v>
      </c>
      <c r="BG15">
        <v>0</v>
      </c>
      <c r="BH15">
        <v>0</v>
      </c>
      <c r="BI15" s="54">
        <f t="shared" si="11"/>
        <v>7.787583333333334</v>
      </c>
    </row>
    <row r="16" spans="1:61">
      <c r="A16">
        <v>2</v>
      </c>
      <c r="B16" t="s">
        <v>7</v>
      </c>
      <c r="C16">
        <v>20160</v>
      </c>
      <c r="D16">
        <v>32</v>
      </c>
      <c r="E16">
        <v>1</v>
      </c>
      <c r="F16">
        <v>4</v>
      </c>
      <c r="G16" s="1">
        <v>790.24</v>
      </c>
      <c r="H16" s="63">
        <v>6.9130000000000003</v>
      </c>
      <c r="I16" s="27">
        <v>45509</v>
      </c>
      <c r="J16" s="53">
        <v>0.54626157407407405</v>
      </c>
      <c r="K16">
        <v>0</v>
      </c>
      <c r="L16">
        <v>0</v>
      </c>
      <c r="M16">
        <v>0</v>
      </c>
      <c r="N16" s="54">
        <f t="shared" si="15"/>
        <v>6.9230199999999993</v>
      </c>
      <c r="Q16">
        <v>2</v>
      </c>
      <c r="R16" t="s">
        <v>7</v>
      </c>
      <c r="S16">
        <v>20160</v>
      </c>
      <c r="T16">
        <v>32</v>
      </c>
      <c r="U16">
        <v>1</v>
      </c>
      <c r="V16">
        <v>4</v>
      </c>
      <c r="W16">
        <v>712.64</v>
      </c>
      <c r="X16" s="48">
        <v>7.6658999999999997</v>
      </c>
      <c r="Y16" s="27">
        <v>45506</v>
      </c>
      <c r="Z16" s="53">
        <v>0.34525462962962961</v>
      </c>
      <c r="AA16">
        <v>0</v>
      </c>
      <c r="AB16">
        <v>0</v>
      </c>
      <c r="AC16">
        <v>0</v>
      </c>
      <c r="AD16" s="54">
        <f t="shared" si="16"/>
        <v>7.6701999999999995</v>
      </c>
      <c r="AF16">
        <v>2</v>
      </c>
      <c r="AG16" t="s">
        <v>7</v>
      </c>
      <c r="AH16">
        <v>19008</v>
      </c>
      <c r="AI16">
        <v>192</v>
      </c>
      <c r="AJ16">
        <v>1</v>
      </c>
      <c r="AK16">
        <v>4</v>
      </c>
      <c r="AL16">
        <v>354.32</v>
      </c>
      <c r="AM16" s="48">
        <v>12.923</v>
      </c>
      <c r="AN16" s="27">
        <v>45509</v>
      </c>
      <c r="AO16" s="53">
        <v>0.43391203703703701</v>
      </c>
      <c r="AP16">
        <v>0</v>
      </c>
      <c r="AQ16">
        <v>0</v>
      </c>
      <c r="AR16">
        <v>0</v>
      </c>
      <c r="AS16" s="54">
        <f t="shared" si="17"/>
        <v>12.860199999999997</v>
      </c>
      <c r="AT16" s="1">
        <f>AT15</f>
        <v>12.860199999999997</v>
      </c>
      <c r="AV16">
        <v>257</v>
      </c>
      <c r="AW16" t="s">
        <v>71</v>
      </c>
      <c r="AX16">
        <v>19072</v>
      </c>
      <c r="AY16">
        <v>32</v>
      </c>
      <c r="AZ16">
        <v>1</v>
      </c>
      <c r="BA16">
        <v>4</v>
      </c>
      <c r="BB16" s="1">
        <v>592.54999999999995</v>
      </c>
      <c r="BC16" s="46">
        <v>7.8059000000000003</v>
      </c>
      <c r="BF16">
        <v>0</v>
      </c>
      <c r="BG16">
        <v>0</v>
      </c>
      <c r="BH16">
        <v>0</v>
      </c>
      <c r="BI16" s="54">
        <f t="shared" si="11"/>
        <v>7.787583333333334</v>
      </c>
    </row>
    <row r="17" spans="1:61">
      <c r="A17">
        <v>3</v>
      </c>
      <c r="B17" t="s">
        <v>7</v>
      </c>
      <c r="C17">
        <v>20160</v>
      </c>
      <c r="D17">
        <v>32</v>
      </c>
      <c r="E17">
        <v>1</v>
      </c>
      <c r="F17">
        <v>4</v>
      </c>
      <c r="G17" s="1">
        <v>790.81</v>
      </c>
      <c r="H17" s="63">
        <v>6.9081000000000001</v>
      </c>
      <c r="I17" s="27">
        <v>45509</v>
      </c>
      <c r="J17" s="53">
        <v>0.81415509259259256</v>
      </c>
      <c r="K17">
        <v>0</v>
      </c>
      <c r="L17">
        <v>0</v>
      </c>
      <c r="M17">
        <v>0</v>
      </c>
      <c r="N17" s="54">
        <f t="shared" si="15"/>
        <v>6.9230199999999993</v>
      </c>
      <c r="Q17">
        <v>3</v>
      </c>
      <c r="R17" t="s">
        <v>7</v>
      </c>
      <c r="S17">
        <v>20160</v>
      </c>
      <c r="T17">
        <v>32</v>
      </c>
      <c r="U17">
        <v>1</v>
      </c>
      <c r="V17">
        <v>4</v>
      </c>
      <c r="W17">
        <v>712.52</v>
      </c>
      <c r="X17" s="48">
        <v>7.6670999999999996</v>
      </c>
      <c r="Y17" s="27">
        <v>45506</v>
      </c>
      <c r="Z17" s="53">
        <v>0.58262731481481478</v>
      </c>
      <c r="AA17">
        <v>0</v>
      </c>
      <c r="AB17">
        <v>0</v>
      </c>
      <c r="AC17">
        <v>0</v>
      </c>
      <c r="AD17" s="54">
        <f t="shared" si="16"/>
        <v>7.6701999999999995</v>
      </c>
      <c r="AF17">
        <v>3</v>
      </c>
      <c r="AG17" t="s">
        <v>7</v>
      </c>
      <c r="AH17">
        <v>19008</v>
      </c>
      <c r="AI17">
        <v>192</v>
      </c>
      <c r="AJ17">
        <v>1</v>
      </c>
      <c r="AK17">
        <v>4</v>
      </c>
      <c r="AL17">
        <v>358.9</v>
      </c>
      <c r="AM17" s="48">
        <v>12.757999999999999</v>
      </c>
      <c r="AN17" s="27">
        <v>45509</v>
      </c>
      <c r="AO17" s="53">
        <v>0.67280092592592589</v>
      </c>
      <c r="AP17">
        <v>0</v>
      </c>
      <c r="AQ17">
        <v>0</v>
      </c>
      <c r="AR17">
        <v>0</v>
      </c>
      <c r="AS17" s="54">
        <f t="shared" si="17"/>
        <v>12.860199999999997</v>
      </c>
      <c r="AT17" s="1">
        <f>AT16</f>
        <v>12.860199999999997</v>
      </c>
      <c r="AV17">
        <v>33</v>
      </c>
      <c r="AW17" t="s">
        <v>71</v>
      </c>
      <c r="AX17">
        <v>20096</v>
      </c>
      <c r="AY17">
        <v>32</v>
      </c>
      <c r="AZ17">
        <v>1</v>
      </c>
      <c r="BA17">
        <v>4</v>
      </c>
      <c r="BB17" s="1">
        <v>700.72</v>
      </c>
      <c r="BC17" s="46">
        <v>7.7222</v>
      </c>
      <c r="BF17">
        <v>0</v>
      </c>
      <c r="BG17">
        <v>0</v>
      </c>
      <c r="BH17">
        <v>0</v>
      </c>
      <c r="BI17" s="54">
        <f t="shared" ref="BI17" si="18">AVERAGE(BC17:BC22)</f>
        <v>7.6858500000000012</v>
      </c>
    </row>
    <row r="18" spans="1:61">
      <c r="A18">
        <v>4</v>
      </c>
      <c r="B18" t="s">
        <v>7</v>
      </c>
      <c r="C18">
        <v>20160</v>
      </c>
      <c r="D18">
        <v>32</v>
      </c>
      <c r="E18">
        <v>1</v>
      </c>
      <c r="F18">
        <v>4</v>
      </c>
      <c r="G18" s="1">
        <v>788.9</v>
      </c>
      <c r="H18" s="63">
        <v>6.9248000000000003</v>
      </c>
      <c r="I18" s="27">
        <v>45510</v>
      </c>
      <c r="J18" s="53">
        <v>8.2141203703703702E-2</v>
      </c>
      <c r="K18">
        <v>0</v>
      </c>
      <c r="L18">
        <v>0</v>
      </c>
      <c r="M18">
        <v>0</v>
      </c>
      <c r="N18" s="54">
        <f t="shared" si="15"/>
        <v>6.9230199999999993</v>
      </c>
      <c r="Q18">
        <v>4</v>
      </c>
      <c r="R18" t="s">
        <v>7</v>
      </c>
      <c r="S18">
        <v>20160</v>
      </c>
      <c r="T18">
        <v>32</v>
      </c>
      <c r="U18">
        <v>1</v>
      </c>
      <c r="V18">
        <v>4</v>
      </c>
      <c r="W18">
        <v>713.86</v>
      </c>
      <c r="X18" s="48">
        <v>7.6528</v>
      </c>
      <c r="Y18" s="27">
        <v>45506</v>
      </c>
      <c r="Z18" s="53">
        <v>0.82027777777777777</v>
      </c>
      <c r="AA18">
        <v>0</v>
      </c>
      <c r="AB18">
        <v>0</v>
      </c>
      <c r="AC18">
        <v>0</v>
      </c>
      <c r="AD18" s="54">
        <f t="shared" si="16"/>
        <v>7.6701999999999995</v>
      </c>
      <c r="AF18">
        <v>4</v>
      </c>
      <c r="AG18" t="s">
        <v>7</v>
      </c>
      <c r="AH18">
        <v>19008</v>
      </c>
      <c r="AI18">
        <v>192</v>
      </c>
      <c r="AJ18">
        <v>1</v>
      </c>
      <c r="AK18">
        <v>4</v>
      </c>
      <c r="AL18">
        <v>355.52</v>
      </c>
      <c r="AM18" s="48">
        <v>12.88</v>
      </c>
      <c r="AN18" s="27">
        <v>45509</v>
      </c>
      <c r="AO18" s="53">
        <v>0.91061342592592598</v>
      </c>
      <c r="AP18">
        <v>0</v>
      </c>
      <c r="AQ18">
        <v>0</v>
      </c>
      <c r="AR18">
        <v>0</v>
      </c>
      <c r="AS18" s="54">
        <f t="shared" si="17"/>
        <v>12.860199999999997</v>
      </c>
      <c r="AT18" s="1">
        <f>AT17</f>
        <v>12.860199999999997</v>
      </c>
      <c r="AV18">
        <v>81</v>
      </c>
      <c r="AW18" t="s">
        <v>71</v>
      </c>
      <c r="AX18">
        <v>20096</v>
      </c>
      <c r="AY18">
        <v>32</v>
      </c>
      <c r="AZ18">
        <v>1</v>
      </c>
      <c r="BA18">
        <v>4</v>
      </c>
      <c r="BB18" s="1">
        <v>702.1</v>
      </c>
      <c r="BC18" s="46">
        <v>7.7070999999999996</v>
      </c>
      <c r="BF18">
        <v>0</v>
      </c>
      <c r="BG18">
        <v>0</v>
      </c>
      <c r="BH18">
        <v>0</v>
      </c>
      <c r="BI18" s="54">
        <f t="shared" ref="BI18:BI81" si="19">BI17</f>
        <v>7.6858500000000012</v>
      </c>
    </row>
    <row r="19" spans="1:61">
      <c r="A19">
        <v>0</v>
      </c>
      <c r="B19" t="s">
        <v>7</v>
      </c>
      <c r="C19">
        <v>17984</v>
      </c>
      <c r="D19">
        <v>32</v>
      </c>
      <c r="E19">
        <v>2</v>
      </c>
      <c r="F19">
        <v>2</v>
      </c>
      <c r="G19" s="1">
        <v>563.08000000000004</v>
      </c>
      <c r="H19" s="63">
        <v>6.8872999999999998</v>
      </c>
      <c r="I19" s="27">
        <v>45508</v>
      </c>
      <c r="J19" s="53">
        <v>0.84931712962962957</v>
      </c>
      <c r="K19">
        <v>0</v>
      </c>
      <c r="L19">
        <v>0</v>
      </c>
      <c r="M19">
        <v>0</v>
      </c>
      <c r="N19" s="54">
        <f t="shared" ref="N19" si="20">AVERAGE(H19:H23)</f>
        <v>6.8487999999999998</v>
      </c>
      <c r="Q19">
        <v>0</v>
      </c>
      <c r="R19" t="s">
        <v>7</v>
      </c>
      <c r="S19">
        <v>17984</v>
      </c>
      <c r="T19">
        <v>32</v>
      </c>
      <c r="U19">
        <v>2</v>
      </c>
      <c r="V19">
        <v>2</v>
      </c>
      <c r="W19">
        <v>506.12</v>
      </c>
      <c r="X19" s="48">
        <v>7.6624999999999996</v>
      </c>
      <c r="Y19" s="27">
        <v>45505</v>
      </c>
      <c r="Z19" s="53">
        <v>0.72751157407407407</v>
      </c>
      <c r="AA19">
        <v>0</v>
      </c>
      <c r="AB19">
        <v>0</v>
      </c>
      <c r="AC19">
        <v>0</v>
      </c>
      <c r="AD19" s="54">
        <f t="shared" ref="AD19" si="21">AVERAGE(X19:X23)</f>
        <v>7.6518800000000002</v>
      </c>
      <c r="AF19">
        <v>0</v>
      </c>
      <c r="AG19" t="s">
        <v>7</v>
      </c>
      <c r="AH19">
        <v>20160</v>
      </c>
      <c r="AI19">
        <v>192</v>
      </c>
      <c r="AJ19">
        <v>1</v>
      </c>
      <c r="AK19">
        <v>4</v>
      </c>
      <c r="AL19">
        <v>426.13</v>
      </c>
      <c r="AM19" s="48">
        <v>12.82</v>
      </c>
      <c r="AN19" s="27">
        <v>45509</v>
      </c>
      <c r="AO19" s="53">
        <v>4.7592592592592596E-2</v>
      </c>
      <c r="AP19">
        <v>0</v>
      </c>
      <c r="AQ19">
        <v>0</v>
      </c>
      <c r="AR19">
        <v>0</v>
      </c>
      <c r="AS19" s="54">
        <f t="shared" ref="AS19" si="22">AVERAGE(AM19:AM23)</f>
        <v>12.789399999999999</v>
      </c>
      <c r="AT19" s="1">
        <f>AS19</f>
        <v>12.789399999999999</v>
      </c>
      <c r="AV19">
        <v>129</v>
      </c>
      <c r="AW19" t="s">
        <v>71</v>
      </c>
      <c r="AX19">
        <v>20096</v>
      </c>
      <c r="AY19">
        <v>32</v>
      </c>
      <c r="AZ19">
        <v>1</v>
      </c>
      <c r="BA19">
        <v>4</v>
      </c>
      <c r="BB19" s="1">
        <v>700.34</v>
      </c>
      <c r="BC19" s="46">
        <v>7.7263999999999999</v>
      </c>
      <c r="BF19">
        <v>0</v>
      </c>
      <c r="BG19">
        <v>0</v>
      </c>
      <c r="BH19">
        <v>0</v>
      </c>
      <c r="BI19" s="54">
        <f t="shared" si="19"/>
        <v>7.6858500000000012</v>
      </c>
    </row>
    <row r="20" spans="1:61">
      <c r="A20">
        <v>1</v>
      </c>
      <c r="B20" t="s">
        <v>7</v>
      </c>
      <c r="C20">
        <v>17984</v>
      </c>
      <c r="D20">
        <v>32</v>
      </c>
      <c r="E20">
        <v>2</v>
      </c>
      <c r="F20">
        <v>2</v>
      </c>
      <c r="G20" s="1">
        <v>566.80999999999995</v>
      </c>
      <c r="H20" s="63">
        <v>6.8419999999999996</v>
      </c>
      <c r="I20" s="27">
        <v>45509</v>
      </c>
      <c r="J20" s="53">
        <v>0.11857638888888888</v>
      </c>
      <c r="K20">
        <v>0</v>
      </c>
      <c r="L20">
        <v>0</v>
      </c>
      <c r="M20">
        <v>0</v>
      </c>
      <c r="N20" s="54">
        <f t="shared" ref="N20" si="23">N19</f>
        <v>6.8487999999999998</v>
      </c>
      <c r="Q20">
        <v>1</v>
      </c>
      <c r="R20" t="s">
        <v>7</v>
      </c>
      <c r="S20">
        <v>17984</v>
      </c>
      <c r="T20">
        <v>32</v>
      </c>
      <c r="U20">
        <v>2</v>
      </c>
      <c r="V20">
        <v>2</v>
      </c>
      <c r="W20">
        <v>507.46</v>
      </c>
      <c r="X20" s="48">
        <v>7.6422999999999996</v>
      </c>
      <c r="Y20" s="27">
        <v>45505</v>
      </c>
      <c r="Z20" s="53">
        <v>0.96724537037037039</v>
      </c>
      <c r="AA20">
        <v>0</v>
      </c>
      <c r="AB20">
        <v>0</v>
      </c>
      <c r="AC20">
        <v>0</v>
      </c>
      <c r="AD20" s="54">
        <f t="shared" ref="AD20" si="24">AD19</f>
        <v>7.6518800000000002</v>
      </c>
      <c r="AF20">
        <v>1</v>
      </c>
      <c r="AG20" t="s">
        <v>7</v>
      </c>
      <c r="AH20">
        <v>20160</v>
      </c>
      <c r="AI20">
        <v>192</v>
      </c>
      <c r="AJ20">
        <v>1</v>
      </c>
      <c r="AK20">
        <v>4</v>
      </c>
      <c r="AL20">
        <v>425.08</v>
      </c>
      <c r="AM20" s="48">
        <v>12.852</v>
      </c>
      <c r="AN20" s="27">
        <v>45509</v>
      </c>
      <c r="AO20" s="53">
        <v>0.28524305555555557</v>
      </c>
      <c r="AP20">
        <v>0</v>
      </c>
      <c r="AQ20">
        <v>0</v>
      </c>
      <c r="AR20">
        <v>0</v>
      </c>
      <c r="AS20" s="54">
        <f t="shared" ref="AS20" si="25">AS19</f>
        <v>12.789399999999999</v>
      </c>
      <c r="AT20" s="1">
        <f>AT19</f>
        <v>12.789399999999999</v>
      </c>
      <c r="AV20">
        <v>177</v>
      </c>
      <c r="AW20" t="s">
        <v>71</v>
      </c>
      <c r="AX20">
        <v>20096</v>
      </c>
      <c r="AY20">
        <v>32</v>
      </c>
      <c r="AZ20">
        <v>1</v>
      </c>
      <c r="BA20">
        <v>4</v>
      </c>
      <c r="BB20" s="1">
        <v>702.13</v>
      </c>
      <c r="BC20" s="46">
        <v>7.7066999999999997</v>
      </c>
      <c r="BF20">
        <v>0</v>
      </c>
      <c r="BG20">
        <v>0</v>
      </c>
      <c r="BH20">
        <v>0</v>
      </c>
      <c r="BI20" s="54">
        <f t="shared" si="19"/>
        <v>7.6858500000000012</v>
      </c>
    </row>
    <row r="21" spans="1:61">
      <c r="A21">
        <v>2</v>
      </c>
      <c r="B21" t="s">
        <v>7</v>
      </c>
      <c r="C21">
        <v>17984</v>
      </c>
      <c r="D21">
        <v>32</v>
      </c>
      <c r="E21">
        <v>2</v>
      </c>
      <c r="F21">
        <v>2</v>
      </c>
      <c r="G21" s="1">
        <v>566.09</v>
      </c>
      <c r="H21" s="63">
        <v>6.8506999999999998</v>
      </c>
      <c r="I21" s="27">
        <v>45509</v>
      </c>
      <c r="J21" s="53">
        <v>0.38675925925925925</v>
      </c>
      <c r="K21">
        <v>0</v>
      </c>
      <c r="L21">
        <v>0</v>
      </c>
      <c r="M21">
        <v>0</v>
      </c>
      <c r="N21" s="54">
        <f t="shared" si="15"/>
        <v>6.8487999999999998</v>
      </c>
      <c r="Q21">
        <v>2</v>
      </c>
      <c r="R21" t="s">
        <v>7</v>
      </c>
      <c r="S21">
        <v>17984</v>
      </c>
      <c r="T21">
        <v>32</v>
      </c>
      <c r="U21">
        <v>2</v>
      </c>
      <c r="V21">
        <v>2</v>
      </c>
      <c r="W21">
        <v>506.44</v>
      </c>
      <c r="X21" s="48">
        <v>7.6576000000000004</v>
      </c>
      <c r="Y21" s="27">
        <v>45506</v>
      </c>
      <c r="Z21" s="53">
        <v>0.20443287037037036</v>
      </c>
      <c r="AA21">
        <v>0</v>
      </c>
      <c r="AB21">
        <v>0</v>
      </c>
      <c r="AC21">
        <v>0</v>
      </c>
      <c r="AD21" s="54">
        <f t="shared" si="16"/>
        <v>7.6518800000000002</v>
      </c>
      <c r="AF21">
        <v>2</v>
      </c>
      <c r="AG21" t="s">
        <v>7</v>
      </c>
      <c r="AH21">
        <v>20160</v>
      </c>
      <c r="AI21">
        <v>192</v>
      </c>
      <c r="AJ21">
        <v>1</v>
      </c>
      <c r="AK21">
        <v>4</v>
      </c>
      <c r="AL21">
        <v>429</v>
      </c>
      <c r="AM21" s="48">
        <v>12.734</v>
      </c>
      <c r="AN21" s="27">
        <v>45509</v>
      </c>
      <c r="AO21" s="53">
        <v>0.52356481481481476</v>
      </c>
      <c r="AP21">
        <v>0</v>
      </c>
      <c r="AQ21">
        <v>0</v>
      </c>
      <c r="AR21">
        <v>0</v>
      </c>
      <c r="AS21" s="54">
        <f t="shared" si="17"/>
        <v>12.789399999999999</v>
      </c>
      <c r="AT21" s="1">
        <f>AT20</f>
        <v>12.789399999999999</v>
      </c>
      <c r="AV21">
        <v>225</v>
      </c>
      <c r="AW21" t="s">
        <v>71</v>
      </c>
      <c r="AX21">
        <v>20096</v>
      </c>
      <c r="AY21">
        <v>32</v>
      </c>
      <c r="AZ21">
        <v>1</v>
      </c>
      <c r="BA21">
        <v>4</v>
      </c>
      <c r="BB21" s="1">
        <v>703.8</v>
      </c>
      <c r="BC21" s="46">
        <v>7.6883999999999997</v>
      </c>
      <c r="BF21">
        <v>0</v>
      </c>
      <c r="BG21">
        <v>0</v>
      </c>
      <c r="BH21">
        <v>0</v>
      </c>
      <c r="BI21" s="54">
        <f t="shared" si="19"/>
        <v>7.6858500000000012</v>
      </c>
    </row>
    <row r="22" spans="1:61">
      <c r="A22">
        <v>3</v>
      </c>
      <c r="B22" t="s">
        <v>7</v>
      </c>
      <c r="C22">
        <v>17984</v>
      </c>
      <c r="D22">
        <v>32</v>
      </c>
      <c r="E22">
        <v>2</v>
      </c>
      <c r="F22">
        <v>2</v>
      </c>
      <c r="G22" s="1">
        <v>566.65</v>
      </c>
      <c r="H22" s="63">
        <v>6.8440000000000003</v>
      </c>
      <c r="I22" s="27">
        <v>45509</v>
      </c>
      <c r="J22" s="53">
        <v>0.65465277777777775</v>
      </c>
      <c r="K22">
        <v>0</v>
      </c>
      <c r="L22">
        <v>0</v>
      </c>
      <c r="M22">
        <v>0</v>
      </c>
      <c r="N22" s="54">
        <f t="shared" si="15"/>
        <v>6.8487999999999998</v>
      </c>
      <c r="Q22">
        <v>3</v>
      </c>
      <c r="R22" t="s">
        <v>7</v>
      </c>
      <c r="S22">
        <v>17984</v>
      </c>
      <c r="T22">
        <v>32</v>
      </c>
      <c r="U22">
        <v>2</v>
      </c>
      <c r="V22">
        <v>2</v>
      </c>
      <c r="W22">
        <v>506.87</v>
      </c>
      <c r="X22" s="48">
        <v>7.6512000000000002</v>
      </c>
      <c r="Y22" s="27">
        <v>45506</v>
      </c>
      <c r="Z22" s="53">
        <v>0.44186342592592592</v>
      </c>
      <c r="AA22">
        <v>0</v>
      </c>
      <c r="AB22">
        <v>0</v>
      </c>
      <c r="AC22">
        <v>0</v>
      </c>
      <c r="AD22" s="54">
        <f t="shared" si="16"/>
        <v>7.6518800000000002</v>
      </c>
      <c r="AF22">
        <v>3</v>
      </c>
      <c r="AG22" t="s">
        <v>7</v>
      </c>
      <c r="AH22">
        <v>20160</v>
      </c>
      <c r="AI22">
        <v>192</v>
      </c>
      <c r="AJ22">
        <v>1</v>
      </c>
      <c r="AK22">
        <v>4</v>
      </c>
      <c r="AL22">
        <v>426.39</v>
      </c>
      <c r="AM22" s="48">
        <v>12.811999999999999</v>
      </c>
      <c r="AN22" s="27">
        <v>45509</v>
      </c>
      <c r="AO22" s="53">
        <v>0.76178240740740744</v>
      </c>
      <c r="AP22">
        <v>0</v>
      </c>
      <c r="AQ22">
        <v>0</v>
      </c>
      <c r="AR22">
        <v>0</v>
      </c>
      <c r="AS22" s="54">
        <f t="shared" si="17"/>
        <v>12.789399999999999</v>
      </c>
      <c r="AT22" s="1">
        <f>AT21</f>
        <v>12.789399999999999</v>
      </c>
      <c r="AV22">
        <v>273</v>
      </c>
      <c r="AW22" t="s">
        <v>71</v>
      </c>
      <c r="AX22">
        <v>20096</v>
      </c>
      <c r="AY22">
        <v>32</v>
      </c>
      <c r="AZ22">
        <v>1</v>
      </c>
      <c r="BA22">
        <v>4</v>
      </c>
      <c r="BB22" s="1">
        <v>715.34</v>
      </c>
      <c r="BC22" s="46">
        <v>7.5643000000000002</v>
      </c>
      <c r="BF22">
        <v>0</v>
      </c>
      <c r="BG22">
        <v>0</v>
      </c>
      <c r="BH22">
        <v>0</v>
      </c>
      <c r="BI22" s="54">
        <f t="shared" si="19"/>
        <v>7.6858500000000012</v>
      </c>
    </row>
    <row r="23" spans="1:61">
      <c r="A23">
        <v>4</v>
      </c>
      <c r="B23" t="s">
        <v>7</v>
      </c>
      <c r="C23">
        <v>17984</v>
      </c>
      <c r="D23">
        <v>32</v>
      </c>
      <c r="E23">
        <v>2</v>
      </c>
      <c r="F23">
        <v>2</v>
      </c>
      <c r="G23" s="1">
        <v>568.64</v>
      </c>
      <c r="H23" s="63">
        <v>6.82</v>
      </c>
      <c r="I23" s="27">
        <v>45509</v>
      </c>
      <c r="J23" s="53">
        <v>0.92267361111111112</v>
      </c>
      <c r="K23">
        <v>0</v>
      </c>
      <c r="L23">
        <v>0</v>
      </c>
      <c r="M23">
        <v>0</v>
      </c>
      <c r="N23" s="54">
        <f t="shared" si="15"/>
        <v>6.8487999999999998</v>
      </c>
      <c r="Q23">
        <v>4</v>
      </c>
      <c r="R23" t="s">
        <v>7</v>
      </c>
      <c r="S23">
        <v>17984</v>
      </c>
      <c r="T23">
        <v>32</v>
      </c>
      <c r="U23">
        <v>2</v>
      </c>
      <c r="V23">
        <v>2</v>
      </c>
      <c r="W23">
        <v>507.23</v>
      </c>
      <c r="X23" s="48">
        <v>7.6458000000000004</v>
      </c>
      <c r="Y23" s="27">
        <v>45506</v>
      </c>
      <c r="Z23" s="53">
        <v>0.67901620370370375</v>
      </c>
      <c r="AA23">
        <v>0</v>
      </c>
      <c r="AB23">
        <v>0</v>
      </c>
      <c r="AC23">
        <v>0</v>
      </c>
      <c r="AD23" s="54">
        <f t="shared" si="16"/>
        <v>7.6518800000000002</v>
      </c>
      <c r="AF23">
        <v>4</v>
      </c>
      <c r="AG23" t="s">
        <v>7</v>
      </c>
      <c r="AH23">
        <v>20160</v>
      </c>
      <c r="AI23">
        <v>192</v>
      </c>
      <c r="AJ23">
        <v>1</v>
      </c>
      <c r="AK23">
        <v>4</v>
      </c>
      <c r="AL23">
        <v>429.18</v>
      </c>
      <c r="AM23" s="48">
        <v>12.728999999999999</v>
      </c>
      <c r="AN23" s="27">
        <v>45509</v>
      </c>
      <c r="AO23" s="53">
        <v>0.99950231481481477</v>
      </c>
      <c r="AP23">
        <v>0</v>
      </c>
      <c r="AQ23">
        <v>0</v>
      </c>
      <c r="AR23">
        <v>0</v>
      </c>
      <c r="AS23" s="54">
        <f t="shared" si="17"/>
        <v>12.789399999999999</v>
      </c>
      <c r="AT23" s="1">
        <f>AT22</f>
        <v>12.789399999999999</v>
      </c>
      <c r="AV23">
        <v>2</v>
      </c>
      <c r="AW23" t="s">
        <v>71</v>
      </c>
      <c r="AX23">
        <v>18048</v>
      </c>
      <c r="AY23">
        <v>32</v>
      </c>
      <c r="AZ23">
        <v>2</v>
      </c>
      <c r="BA23">
        <v>2</v>
      </c>
      <c r="BB23" s="1">
        <v>509.84</v>
      </c>
      <c r="BC23" s="46">
        <v>7.6879999999999997</v>
      </c>
      <c r="BF23">
        <v>0</v>
      </c>
      <c r="BG23">
        <v>0</v>
      </c>
      <c r="BH23">
        <v>0</v>
      </c>
      <c r="BI23" s="54">
        <f t="shared" ref="BI23" si="26">AVERAGE(BC23:BC28)</f>
        <v>7.6822499999999998</v>
      </c>
    </row>
    <row r="24" spans="1:61">
      <c r="A24">
        <v>0</v>
      </c>
      <c r="B24" t="s">
        <v>7</v>
      </c>
      <c r="C24">
        <v>19072</v>
      </c>
      <c r="D24">
        <v>32</v>
      </c>
      <c r="E24">
        <v>2</v>
      </c>
      <c r="F24">
        <v>2</v>
      </c>
      <c r="G24" s="1">
        <v>666.08</v>
      </c>
      <c r="H24" s="63">
        <v>6.9442000000000004</v>
      </c>
      <c r="I24" s="27">
        <v>45508</v>
      </c>
      <c r="J24" s="53">
        <v>0.92795138888888884</v>
      </c>
      <c r="K24">
        <v>0</v>
      </c>
      <c r="L24">
        <v>0</v>
      </c>
      <c r="M24">
        <v>0</v>
      </c>
      <c r="N24" s="54">
        <f t="shared" ref="N24" si="27">AVERAGE(H24:H28)</f>
        <v>6.9460600000000001</v>
      </c>
      <c r="Q24">
        <v>0</v>
      </c>
      <c r="R24" t="s">
        <v>7</v>
      </c>
      <c r="S24">
        <v>19072</v>
      </c>
      <c r="T24">
        <v>32</v>
      </c>
      <c r="U24">
        <v>2</v>
      </c>
      <c r="V24">
        <v>2</v>
      </c>
      <c r="W24">
        <v>597.47</v>
      </c>
      <c r="X24" s="48">
        <v>7.7416</v>
      </c>
      <c r="Y24" s="27">
        <v>45505</v>
      </c>
      <c r="Z24" s="53">
        <v>0.79658564814814814</v>
      </c>
      <c r="AA24">
        <v>0</v>
      </c>
      <c r="AB24">
        <v>0</v>
      </c>
      <c r="AC24">
        <v>0</v>
      </c>
      <c r="AD24" s="54">
        <f t="shared" ref="AD24" si="28">AVERAGE(X24:X28)</f>
        <v>7.7467600000000001</v>
      </c>
      <c r="AF24">
        <v>0</v>
      </c>
      <c r="AG24" t="s">
        <v>7</v>
      </c>
      <c r="AH24">
        <v>19008</v>
      </c>
      <c r="AI24">
        <v>96</v>
      </c>
      <c r="AJ24">
        <v>1</v>
      </c>
      <c r="AK24">
        <v>4</v>
      </c>
      <c r="AL24">
        <v>356.45</v>
      </c>
      <c r="AM24" s="48">
        <v>12.846</v>
      </c>
      <c r="AN24" s="27">
        <v>45508</v>
      </c>
      <c r="AO24" s="53">
        <v>0.93208333333333337</v>
      </c>
      <c r="AP24">
        <v>0</v>
      </c>
      <c r="AQ24">
        <v>0</v>
      </c>
      <c r="AR24">
        <v>0</v>
      </c>
      <c r="AS24" s="54">
        <f t="shared" ref="AS24" si="29">AVERAGE(AM24:AM28)</f>
        <v>12.779</v>
      </c>
      <c r="AT24" s="1">
        <f>AS24</f>
        <v>12.779</v>
      </c>
      <c r="AV24">
        <v>50</v>
      </c>
      <c r="AW24" t="s">
        <v>71</v>
      </c>
      <c r="AX24">
        <v>18048</v>
      </c>
      <c r="AY24">
        <v>32</v>
      </c>
      <c r="AZ24">
        <v>2</v>
      </c>
      <c r="BA24">
        <v>2</v>
      </c>
      <c r="BB24" s="1">
        <v>511.07</v>
      </c>
      <c r="BC24" s="46">
        <v>7.6696</v>
      </c>
      <c r="BF24">
        <v>0</v>
      </c>
      <c r="BG24">
        <v>0</v>
      </c>
      <c r="BH24">
        <v>0</v>
      </c>
      <c r="BI24" s="54">
        <f t="shared" ref="BI24" si="30">BI23</f>
        <v>7.6822499999999998</v>
      </c>
    </row>
    <row r="25" spans="1:61">
      <c r="A25">
        <v>1</v>
      </c>
      <c r="B25" t="s">
        <v>7</v>
      </c>
      <c r="C25">
        <v>19072</v>
      </c>
      <c r="D25">
        <v>32</v>
      </c>
      <c r="E25">
        <v>2</v>
      </c>
      <c r="F25">
        <v>2</v>
      </c>
      <c r="G25" s="1">
        <v>665.89</v>
      </c>
      <c r="H25" s="63">
        <v>6.9462000000000002</v>
      </c>
      <c r="I25" s="27">
        <v>45509</v>
      </c>
      <c r="J25" s="53">
        <v>0.19650462962962964</v>
      </c>
      <c r="K25">
        <v>0</v>
      </c>
      <c r="L25">
        <v>0</v>
      </c>
      <c r="M25">
        <v>0</v>
      </c>
      <c r="N25" s="54">
        <f t="shared" ref="N25" si="31">N24</f>
        <v>6.9460600000000001</v>
      </c>
      <c r="Q25">
        <v>1</v>
      </c>
      <c r="R25" t="s">
        <v>7</v>
      </c>
      <c r="S25">
        <v>19072</v>
      </c>
      <c r="T25">
        <v>32</v>
      </c>
      <c r="U25">
        <v>2</v>
      </c>
      <c r="V25">
        <v>2</v>
      </c>
      <c r="W25">
        <v>595.9</v>
      </c>
      <c r="X25" s="48">
        <v>7.7619999999999996</v>
      </c>
      <c r="Y25" s="27">
        <v>45506</v>
      </c>
      <c r="Z25" s="53">
        <v>3.5578703703703703E-2</v>
      </c>
      <c r="AA25">
        <v>0</v>
      </c>
      <c r="AB25">
        <v>0</v>
      </c>
      <c r="AC25">
        <v>0</v>
      </c>
      <c r="AD25" s="54">
        <f t="shared" ref="AD25" si="32">AD24</f>
        <v>7.7467600000000001</v>
      </c>
      <c r="AF25">
        <v>1</v>
      </c>
      <c r="AG25" t="s">
        <v>7</v>
      </c>
      <c r="AH25">
        <v>19008</v>
      </c>
      <c r="AI25">
        <v>96</v>
      </c>
      <c r="AJ25">
        <v>1</v>
      </c>
      <c r="AK25">
        <v>4</v>
      </c>
      <c r="AL25">
        <v>359.75</v>
      </c>
      <c r="AM25" s="48">
        <v>12.728</v>
      </c>
      <c r="AN25" s="27">
        <v>45509</v>
      </c>
      <c r="AO25" s="53">
        <v>0.16943287037037036</v>
      </c>
      <c r="AP25">
        <v>0</v>
      </c>
      <c r="AQ25">
        <v>0</v>
      </c>
      <c r="AR25">
        <v>0</v>
      </c>
      <c r="AS25" s="54">
        <f t="shared" ref="AS25" si="33">AS24</f>
        <v>12.779</v>
      </c>
      <c r="AT25" s="1">
        <f>AT24</f>
        <v>12.779</v>
      </c>
      <c r="AV25">
        <v>98</v>
      </c>
      <c r="AW25" t="s">
        <v>71</v>
      </c>
      <c r="AX25">
        <v>18048</v>
      </c>
      <c r="AY25">
        <v>32</v>
      </c>
      <c r="AZ25">
        <v>2</v>
      </c>
      <c r="BA25">
        <v>2</v>
      </c>
      <c r="BB25" s="1">
        <v>510.21</v>
      </c>
      <c r="BC25" s="46">
        <v>7.6824000000000003</v>
      </c>
      <c r="BF25">
        <v>0</v>
      </c>
      <c r="BG25">
        <v>0</v>
      </c>
      <c r="BH25">
        <v>0</v>
      </c>
      <c r="BI25" s="54">
        <f t="shared" si="19"/>
        <v>7.6822499999999998</v>
      </c>
    </row>
    <row r="26" spans="1:61">
      <c r="A26">
        <v>2</v>
      </c>
      <c r="B26" t="s">
        <v>7</v>
      </c>
      <c r="C26">
        <v>19072</v>
      </c>
      <c r="D26">
        <v>32</v>
      </c>
      <c r="E26">
        <v>2</v>
      </c>
      <c r="F26">
        <v>2</v>
      </c>
      <c r="G26" s="1">
        <v>666.12</v>
      </c>
      <c r="H26" s="63">
        <v>6.9436999999999998</v>
      </c>
      <c r="I26" s="27">
        <v>45509</v>
      </c>
      <c r="J26" s="53">
        <v>0.46456018518518516</v>
      </c>
      <c r="K26">
        <v>0</v>
      </c>
      <c r="L26">
        <v>0</v>
      </c>
      <c r="M26">
        <v>0</v>
      </c>
      <c r="N26" s="54">
        <f t="shared" si="15"/>
        <v>6.9460600000000001</v>
      </c>
      <c r="Q26">
        <v>2</v>
      </c>
      <c r="R26" t="s">
        <v>7</v>
      </c>
      <c r="S26">
        <v>19072</v>
      </c>
      <c r="T26">
        <v>32</v>
      </c>
      <c r="U26">
        <v>2</v>
      </c>
      <c r="V26">
        <v>2</v>
      </c>
      <c r="W26">
        <v>595.89</v>
      </c>
      <c r="X26" s="48">
        <v>7.7622</v>
      </c>
      <c r="Y26" s="27">
        <v>45506</v>
      </c>
      <c r="Z26" s="53">
        <v>0.27299768518518519</v>
      </c>
      <c r="AA26">
        <v>0</v>
      </c>
      <c r="AB26">
        <v>0</v>
      </c>
      <c r="AC26">
        <v>0</v>
      </c>
      <c r="AD26" s="54">
        <f t="shared" si="16"/>
        <v>7.7467600000000001</v>
      </c>
      <c r="AF26">
        <v>2</v>
      </c>
      <c r="AG26" t="s">
        <v>7</v>
      </c>
      <c r="AH26">
        <v>19008</v>
      </c>
      <c r="AI26">
        <v>96</v>
      </c>
      <c r="AJ26">
        <v>1</v>
      </c>
      <c r="AK26">
        <v>4</v>
      </c>
      <c r="AL26">
        <v>358.14</v>
      </c>
      <c r="AM26" s="48">
        <v>12.786</v>
      </c>
      <c r="AN26" s="27">
        <v>45509</v>
      </c>
      <c r="AO26" s="53">
        <v>0.40685185185185185</v>
      </c>
      <c r="AP26">
        <v>0</v>
      </c>
      <c r="AQ26">
        <v>0</v>
      </c>
      <c r="AR26">
        <v>0</v>
      </c>
      <c r="AS26" s="54">
        <f t="shared" si="17"/>
        <v>12.779</v>
      </c>
      <c r="AT26" s="1">
        <f>AT25</f>
        <v>12.779</v>
      </c>
      <c r="AV26">
        <v>146</v>
      </c>
      <c r="AW26" t="s">
        <v>71</v>
      </c>
      <c r="AX26">
        <v>18048</v>
      </c>
      <c r="AY26">
        <v>32</v>
      </c>
      <c r="AZ26">
        <v>2</v>
      </c>
      <c r="BA26">
        <v>2</v>
      </c>
      <c r="BB26" s="1">
        <v>511.16</v>
      </c>
      <c r="BC26" s="46">
        <v>7.6683000000000003</v>
      </c>
      <c r="BF26">
        <v>0</v>
      </c>
      <c r="BG26">
        <v>0</v>
      </c>
      <c r="BH26">
        <v>0</v>
      </c>
      <c r="BI26" s="54">
        <f t="shared" si="19"/>
        <v>7.6822499999999998</v>
      </c>
    </row>
    <row r="27" spans="1:61">
      <c r="A27">
        <v>3</v>
      </c>
      <c r="B27" t="s">
        <v>7</v>
      </c>
      <c r="C27">
        <v>19072</v>
      </c>
      <c r="D27">
        <v>32</v>
      </c>
      <c r="E27">
        <v>2</v>
      </c>
      <c r="F27">
        <v>2</v>
      </c>
      <c r="G27" s="1">
        <v>665.51</v>
      </c>
      <c r="H27" s="63">
        <v>6.9501999999999997</v>
      </c>
      <c r="I27" s="27">
        <v>45509</v>
      </c>
      <c r="J27" s="53">
        <v>0.73251157407407408</v>
      </c>
      <c r="K27">
        <v>0</v>
      </c>
      <c r="L27">
        <v>0</v>
      </c>
      <c r="M27">
        <v>0</v>
      </c>
      <c r="N27" s="54">
        <f t="shared" si="15"/>
        <v>6.9460600000000001</v>
      </c>
      <c r="Q27">
        <v>3</v>
      </c>
      <c r="R27" t="s">
        <v>7</v>
      </c>
      <c r="S27">
        <v>19072</v>
      </c>
      <c r="T27">
        <v>32</v>
      </c>
      <c r="U27">
        <v>2</v>
      </c>
      <c r="V27">
        <v>2</v>
      </c>
      <c r="W27">
        <v>596.23</v>
      </c>
      <c r="X27" s="48">
        <v>7.7577999999999996</v>
      </c>
      <c r="Y27" s="27">
        <v>45506</v>
      </c>
      <c r="Z27" s="53">
        <v>0.51033564814814814</v>
      </c>
      <c r="AA27">
        <v>0</v>
      </c>
      <c r="AB27">
        <v>0</v>
      </c>
      <c r="AC27">
        <v>0</v>
      </c>
      <c r="AD27" s="54">
        <f t="shared" si="16"/>
        <v>7.7467600000000001</v>
      </c>
      <c r="AF27">
        <v>3</v>
      </c>
      <c r="AG27" t="s">
        <v>7</v>
      </c>
      <c r="AH27">
        <v>19008</v>
      </c>
      <c r="AI27">
        <v>96</v>
      </c>
      <c r="AJ27">
        <v>1</v>
      </c>
      <c r="AK27">
        <v>4</v>
      </c>
      <c r="AL27">
        <v>356.73</v>
      </c>
      <c r="AM27" s="48">
        <v>12.836</v>
      </c>
      <c r="AN27" s="27">
        <v>45509</v>
      </c>
      <c r="AO27" s="53">
        <v>0.64530092592592592</v>
      </c>
      <c r="AP27">
        <v>0</v>
      </c>
      <c r="AQ27">
        <v>0</v>
      </c>
      <c r="AR27">
        <v>0</v>
      </c>
      <c r="AS27" s="54">
        <f t="shared" si="17"/>
        <v>12.779</v>
      </c>
      <c r="AT27" s="1">
        <f>AT26</f>
        <v>12.779</v>
      </c>
      <c r="AV27">
        <v>194</v>
      </c>
      <c r="AW27" t="s">
        <v>71</v>
      </c>
      <c r="AX27">
        <v>18048</v>
      </c>
      <c r="AY27">
        <v>32</v>
      </c>
      <c r="AZ27">
        <v>2</v>
      </c>
      <c r="BA27">
        <v>2</v>
      </c>
      <c r="BB27" s="1">
        <v>509.74</v>
      </c>
      <c r="BC27" s="46">
        <v>7.6896000000000004</v>
      </c>
      <c r="BF27">
        <v>0</v>
      </c>
      <c r="BG27">
        <v>0</v>
      </c>
      <c r="BH27">
        <v>0</v>
      </c>
      <c r="BI27" s="54">
        <f t="shared" si="19"/>
        <v>7.6822499999999998</v>
      </c>
    </row>
    <row r="28" spans="1:61">
      <c r="A28">
        <v>4</v>
      </c>
      <c r="B28" t="s">
        <v>7</v>
      </c>
      <c r="C28">
        <v>19072</v>
      </c>
      <c r="D28">
        <v>32</v>
      </c>
      <c r="E28">
        <v>2</v>
      </c>
      <c r="F28">
        <v>2</v>
      </c>
      <c r="G28" s="1">
        <v>665.91</v>
      </c>
      <c r="H28" s="63">
        <v>6.9459999999999997</v>
      </c>
      <c r="I28" s="27">
        <v>45510</v>
      </c>
      <c r="J28" s="53">
        <v>4.3981481481481481E-4</v>
      </c>
      <c r="K28">
        <v>0</v>
      </c>
      <c r="L28">
        <v>0</v>
      </c>
      <c r="M28">
        <v>0</v>
      </c>
      <c r="N28" s="54">
        <f t="shared" si="15"/>
        <v>6.9460600000000001</v>
      </c>
      <c r="Q28">
        <v>4</v>
      </c>
      <c r="R28" t="s">
        <v>7</v>
      </c>
      <c r="S28">
        <v>19072</v>
      </c>
      <c r="T28">
        <v>32</v>
      </c>
      <c r="U28">
        <v>2</v>
      </c>
      <c r="V28">
        <v>2</v>
      </c>
      <c r="W28">
        <v>599.91</v>
      </c>
      <c r="X28" s="48">
        <v>7.7102000000000004</v>
      </c>
      <c r="Y28" s="27">
        <v>45506</v>
      </c>
      <c r="Z28" s="53">
        <v>0.74755787037037036</v>
      </c>
      <c r="AA28">
        <v>0</v>
      </c>
      <c r="AB28">
        <v>0</v>
      </c>
      <c r="AC28">
        <v>0</v>
      </c>
      <c r="AD28" s="54">
        <f t="shared" si="16"/>
        <v>7.7467600000000001</v>
      </c>
      <c r="AF28">
        <v>4</v>
      </c>
      <c r="AG28" t="s">
        <v>7</v>
      </c>
      <c r="AH28">
        <v>19008</v>
      </c>
      <c r="AI28">
        <v>96</v>
      </c>
      <c r="AJ28">
        <v>1</v>
      </c>
      <c r="AK28">
        <v>4</v>
      </c>
      <c r="AL28">
        <v>360.57</v>
      </c>
      <c r="AM28" s="48">
        <v>12.699</v>
      </c>
      <c r="AN28" s="27">
        <v>45509</v>
      </c>
      <c r="AO28" s="53">
        <v>0.88355324074074071</v>
      </c>
      <c r="AP28">
        <v>0</v>
      </c>
      <c r="AQ28">
        <v>0</v>
      </c>
      <c r="AR28">
        <v>0</v>
      </c>
      <c r="AS28" s="54">
        <f t="shared" si="17"/>
        <v>12.779</v>
      </c>
      <c r="AT28" s="1">
        <f>AT27</f>
        <v>12.779</v>
      </c>
      <c r="AV28">
        <v>242</v>
      </c>
      <c r="AW28" t="s">
        <v>71</v>
      </c>
      <c r="AX28">
        <v>18048</v>
      </c>
      <c r="AY28">
        <v>32</v>
      </c>
      <c r="AZ28">
        <v>2</v>
      </c>
      <c r="BA28">
        <v>2</v>
      </c>
      <c r="BB28" s="1">
        <v>509.34</v>
      </c>
      <c r="BC28" s="46">
        <v>7.6955999999999998</v>
      </c>
      <c r="BF28">
        <v>0</v>
      </c>
      <c r="BG28">
        <v>0</v>
      </c>
      <c r="BH28">
        <v>0</v>
      </c>
      <c r="BI28" s="54">
        <f t="shared" si="19"/>
        <v>7.6822499999999998</v>
      </c>
    </row>
    <row r="29" spans="1:61">
      <c r="A29">
        <v>0</v>
      </c>
      <c r="B29" t="s">
        <v>7</v>
      </c>
      <c r="C29">
        <v>20160</v>
      </c>
      <c r="D29">
        <v>32</v>
      </c>
      <c r="E29">
        <v>2</v>
      </c>
      <c r="F29">
        <v>2</v>
      </c>
      <c r="G29" s="1">
        <v>801.97</v>
      </c>
      <c r="H29" s="63">
        <v>6.8118999999999996</v>
      </c>
      <c r="I29" s="27">
        <v>45509</v>
      </c>
      <c r="J29" s="53">
        <v>1.9699074074074074E-2</v>
      </c>
      <c r="K29">
        <v>0</v>
      </c>
      <c r="L29">
        <v>0</v>
      </c>
      <c r="M29">
        <v>0</v>
      </c>
      <c r="N29" s="54">
        <f t="shared" ref="N29" si="34">AVERAGE(H29:H33)</f>
        <v>6.7942599999999995</v>
      </c>
      <c r="Q29">
        <v>0</v>
      </c>
      <c r="R29" t="s">
        <v>7</v>
      </c>
      <c r="S29">
        <v>20160</v>
      </c>
      <c r="T29">
        <v>32</v>
      </c>
      <c r="U29">
        <v>2</v>
      </c>
      <c r="V29">
        <v>2</v>
      </c>
      <c r="W29">
        <v>725.8</v>
      </c>
      <c r="X29" s="48">
        <v>7.5267999999999997</v>
      </c>
      <c r="Y29" s="27">
        <v>45505</v>
      </c>
      <c r="Z29" s="53">
        <v>0.87899305555555551</v>
      </c>
      <c r="AA29">
        <v>0</v>
      </c>
      <c r="AB29">
        <v>0</v>
      </c>
      <c r="AC29">
        <v>0</v>
      </c>
      <c r="AD29" s="54">
        <f t="shared" ref="AD29" si="35">AVERAGE(X29:X33)</f>
        <v>7.5147199999999996</v>
      </c>
      <c r="AF29">
        <v>0</v>
      </c>
      <c r="AG29" t="s">
        <v>7</v>
      </c>
      <c r="AH29">
        <v>17920</v>
      </c>
      <c r="AI29">
        <v>128</v>
      </c>
      <c r="AJ29">
        <v>1</v>
      </c>
      <c r="AK29">
        <v>4</v>
      </c>
      <c r="AL29">
        <v>299.13</v>
      </c>
      <c r="AM29" s="48">
        <v>12.827</v>
      </c>
      <c r="AN29" s="27">
        <v>45508</v>
      </c>
      <c r="AO29" s="53">
        <v>0.8691550925925926</v>
      </c>
      <c r="AP29">
        <v>0</v>
      </c>
      <c r="AQ29">
        <v>0</v>
      </c>
      <c r="AR29">
        <v>0</v>
      </c>
      <c r="AS29" s="54">
        <f t="shared" ref="AS29" si="36">AVERAGE(AM29:AM33)</f>
        <v>12.766</v>
      </c>
      <c r="AT29" s="1">
        <f>AS29</f>
        <v>12.766</v>
      </c>
      <c r="AV29">
        <v>18</v>
      </c>
      <c r="AW29" t="s">
        <v>71</v>
      </c>
      <c r="AX29">
        <v>19072</v>
      </c>
      <c r="AY29">
        <v>32</v>
      </c>
      <c r="AZ29">
        <v>2</v>
      </c>
      <c r="BA29">
        <v>2</v>
      </c>
      <c r="BB29" s="1">
        <v>600.66</v>
      </c>
      <c r="BC29" s="46">
        <v>7.7004999999999999</v>
      </c>
      <c r="BF29">
        <v>0</v>
      </c>
      <c r="BG29">
        <v>0</v>
      </c>
      <c r="BH29">
        <v>0</v>
      </c>
      <c r="BI29" s="54">
        <f t="shared" ref="BI29" si="37">AVERAGE(BC29:BC34)</f>
        <v>7.7301666666666664</v>
      </c>
    </row>
    <row r="30" spans="1:61">
      <c r="A30">
        <v>1</v>
      </c>
      <c r="B30" t="s">
        <v>7</v>
      </c>
      <c r="C30">
        <v>20160</v>
      </c>
      <c r="D30">
        <v>32</v>
      </c>
      <c r="E30">
        <v>2</v>
      </c>
      <c r="F30">
        <v>2</v>
      </c>
      <c r="G30" s="1">
        <v>803.65</v>
      </c>
      <c r="H30" s="63">
        <v>6.7976999999999999</v>
      </c>
      <c r="I30" s="27">
        <v>45509</v>
      </c>
      <c r="J30" s="53">
        <v>0.28785879629629629</v>
      </c>
      <c r="K30">
        <v>0</v>
      </c>
      <c r="L30">
        <v>0</v>
      </c>
      <c r="M30">
        <v>0</v>
      </c>
      <c r="N30" s="54">
        <f t="shared" ref="N30" si="38">N29</f>
        <v>6.7942599999999995</v>
      </c>
      <c r="Q30">
        <v>1</v>
      </c>
      <c r="R30" t="s">
        <v>7</v>
      </c>
      <c r="S30">
        <v>20160</v>
      </c>
      <c r="T30">
        <v>32</v>
      </c>
      <c r="U30">
        <v>2</v>
      </c>
      <c r="V30">
        <v>2</v>
      </c>
      <c r="W30">
        <v>729.64</v>
      </c>
      <c r="X30" s="48">
        <v>7.4871999999999996</v>
      </c>
      <c r="Y30" s="27">
        <v>45506</v>
      </c>
      <c r="Z30" s="53">
        <v>0.11675925925925926</v>
      </c>
      <c r="AA30">
        <v>0</v>
      </c>
      <c r="AB30">
        <v>0</v>
      </c>
      <c r="AC30">
        <v>0</v>
      </c>
      <c r="AD30" s="54">
        <f t="shared" ref="AD30" si="39">AD29</f>
        <v>7.5147199999999996</v>
      </c>
      <c r="AF30">
        <v>1</v>
      </c>
      <c r="AG30" t="s">
        <v>7</v>
      </c>
      <c r="AH30">
        <v>17920</v>
      </c>
      <c r="AI30">
        <v>128</v>
      </c>
      <c r="AJ30">
        <v>1</v>
      </c>
      <c r="AK30">
        <v>4</v>
      </c>
      <c r="AL30">
        <v>298.08</v>
      </c>
      <c r="AM30" s="48">
        <v>12.872</v>
      </c>
      <c r="AN30" s="27">
        <v>45509</v>
      </c>
      <c r="AO30" s="53">
        <v>0.10643518518518519</v>
      </c>
      <c r="AP30">
        <v>0</v>
      </c>
      <c r="AQ30">
        <v>0</v>
      </c>
      <c r="AR30">
        <v>0</v>
      </c>
      <c r="AS30" s="54">
        <f t="shared" ref="AS30" si="40">AS29</f>
        <v>12.766</v>
      </c>
      <c r="AT30" s="1">
        <f>AT29</f>
        <v>12.766</v>
      </c>
      <c r="AV30">
        <v>66</v>
      </c>
      <c r="AW30" t="s">
        <v>71</v>
      </c>
      <c r="AX30">
        <v>19072</v>
      </c>
      <c r="AY30">
        <v>32</v>
      </c>
      <c r="AZ30">
        <v>2</v>
      </c>
      <c r="BA30">
        <v>2</v>
      </c>
      <c r="BB30" s="1">
        <v>597.38</v>
      </c>
      <c r="BC30" s="46">
        <v>7.7427999999999999</v>
      </c>
      <c r="BF30">
        <v>0</v>
      </c>
      <c r="BG30">
        <v>0</v>
      </c>
      <c r="BH30">
        <v>0</v>
      </c>
      <c r="BI30" s="54">
        <f t="shared" ref="BI30" si="41">BI29</f>
        <v>7.7301666666666664</v>
      </c>
    </row>
    <row r="31" spans="1:61">
      <c r="A31">
        <v>2</v>
      </c>
      <c r="B31" t="s">
        <v>7</v>
      </c>
      <c r="C31">
        <v>20160</v>
      </c>
      <c r="D31">
        <v>32</v>
      </c>
      <c r="E31">
        <v>2</v>
      </c>
      <c r="F31">
        <v>2</v>
      </c>
      <c r="G31" s="1">
        <v>803.9</v>
      </c>
      <c r="H31" s="63">
        <v>6.7956000000000003</v>
      </c>
      <c r="I31" s="27">
        <v>45509</v>
      </c>
      <c r="J31" s="53">
        <v>0.55585648148148148</v>
      </c>
      <c r="K31">
        <v>0</v>
      </c>
      <c r="L31">
        <v>0</v>
      </c>
      <c r="M31">
        <v>0</v>
      </c>
      <c r="N31" s="54">
        <f t="shared" si="15"/>
        <v>6.7942599999999995</v>
      </c>
      <c r="Q31">
        <v>2</v>
      </c>
      <c r="R31" t="s">
        <v>7</v>
      </c>
      <c r="S31">
        <v>20160</v>
      </c>
      <c r="T31">
        <v>32</v>
      </c>
      <c r="U31">
        <v>2</v>
      </c>
      <c r="V31">
        <v>2</v>
      </c>
      <c r="W31">
        <v>725.27</v>
      </c>
      <c r="X31" s="48">
        <v>7.5323000000000002</v>
      </c>
      <c r="Y31" s="27">
        <v>45506</v>
      </c>
      <c r="Z31" s="53">
        <v>0.35394675925925928</v>
      </c>
      <c r="AA31">
        <v>0</v>
      </c>
      <c r="AB31">
        <v>0</v>
      </c>
      <c r="AC31">
        <v>0</v>
      </c>
      <c r="AD31" s="54">
        <f t="shared" si="16"/>
        <v>7.5147199999999996</v>
      </c>
      <c r="AF31">
        <v>2</v>
      </c>
      <c r="AG31" t="s">
        <v>7</v>
      </c>
      <c r="AH31">
        <v>17920</v>
      </c>
      <c r="AI31">
        <v>128</v>
      </c>
      <c r="AJ31">
        <v>1</v>
      </c>
      <c r="AK31">
        <v>4</v>
      </c>
      <c r="AL31">
        <v>300.29000000000002</v>
      </c>
      <c r="AM31" s="48">
        <v>12.776999999999999</v>
      </c>
      <c r="AN31" s="27">
        <v>45509</v>
      </c>
      <c r="AO31" s="53">
        <v>0.3439814814814815</v>
      </c>
      <c r="AP31">
        <v>0</v>
      </c>
      <c r="AQ31">
        <v>0</v>
      </c>
      <c r="AR31">
        <v>0</v>
      </c>
      <c r="AS31" s="54">
        <f t="shared" si="17"/>
        <v>12.766</v>
      </c>
      <c r="AT31" s="1">
        <f>AT30</f>
        <v>12.766</v>
      </c>
      <c r="AV31">
        <v>114</v>
      </c>
      <c r="AW31" t="s">
        <v>71</v>
      </c>
      <c r="AX31">
        <v>19072</v>
      </c>
      <c r="AY31">
        <v>32</v>
      </c>
      <c r="AZ31">
        <v>2</v>
      </c>
      <c r="BA31">
        <v>2</v>
      </c>
      <c r="BB31" s="1">
        <v>598.5</v>
      </c>
      <c r="BC31" s="46">
        <v>7.7283999999999997</v>
      </c>
      <c r="BF31">
        <v>0</v>
      </c>
      <c r="BG31">
        <v>0</v>
      </c>
      <c r="BH31">
        <v>0</v>
      </c>
      <c r="BI31" s="54">
        <f t="shared" si="19"/>
        <v>7.7301666666666664</v>
      </c>
    </row>
    <row r="32" spans="1:61">
      <c r="A32">
        <v>3</v>
      </c>
      <c r="B32" t="s">
        <v>7</v>
      </c>
      <c r="C32">
        <v>20160</v>
      </c>
      <c r="D32">
        <v>32</v>
      </c>
      <c r="E32">
        <v>2</v>
      </c>
      <c r="F32">
        <v>2</v>
      </c>
      <c r="G32" s="1">
        <v>804.54</v>
      </c>
      <c r="H32" s="63">
        <v>6.7901999999999996</v>
      </c>
      <c r="I32" s="27">
        <v>45509</v>
      </c>
      <c r="J32" s="53">
        <v>0.82377314814814817</v>
      </c>
      <c r="K32">
        <v>0</v>
      </c>
      <c r="L32">
        <v>0</v>
      </c>
      <c r="M32">
        <v>0</v>
      </c>
      <c r="N32" s="54">
        <f t="shared" si="15"/>
        <v>6.7942599999999995</v>
      </c>
      <c r="Q32">
        <v>3</v>
      </c>
      <c r="R32" t="s">
        <v>7</v>
      </c>
      <c r="S32">
        <v>20160</v>
      </c>
      <c r="T32">
        <v>32</v>
      </c>
      <c r="U32">
        <v>2</v>
      </c>
      <c r="V32">
        <v>2</v>
      </c>
      <c r="W32">
        <v>728.84</v>
      </c>
      <c r="X32" s="48">
        <v>7.4954000000000001</v>
      </c>
      <c r="Y32" s="27">
        <v>45506</v>
      </c>
      <c r="Z32" s="53">
        <v>0.59136574074074078</v>
      </c>
      <c r="AA32">
        <v>0</v>
      </c>
      <c r="AB32">
        <v>0</v>
      </c>
      <c r="AC32">
        <v>0</v>
      </c>
      <c r="AD32" s="54">
        <f t="shared" si="16"/>
        <v>7.5147199999999996</v>
      </c>
      <c r="AF32">
        <v>3</v>
      </c>
      <c r="AG32" t="s">
        <v>7</v>
      </c>
      <c r="AH32">
        <v>17920</v>
      </c>
      <c r="AI32">
        <v>128</v>
      </c>
      <c r="AJ32">
        <v>1</v>
      </c>
      <c r="AK32">
        <v>4</v>
      </c>
      <c r="AL32">
        <v>301.17</v>
      </c>
      <c r="AM32" s="48">
        <v>12.74</v>
      </c>
      <c r="AN32" s="27">
        <v>45509</v>
      </c>
      <c r="AO32" s="53">
        <v>0.58243055555555556</v>
      </c>
      <c r="AP32">
        <v>0</v>
      </c>
      <c r="AQ32">
        <v>0</v>
      </c>
      <c r="AR32">
        <v>0</v>
      </c>
      <c r="AS32" s="54">
        <f t="shared" si="17"/>
        <v>12.766</v>
      </c>
      <c r="AT32" s="1">
        <f>AT31</f>
        <v>12.766</v>
      </c>
      <c r="AV32">
        <v>162</v>
      </c>
      <c r="AW32" t="s">
        <v>71</v>
      </c>
      <c r="AX32">
        <v>19072</v>
      </c>
      <c r="AY32">
        <v>32</v>
      </c>
      <c r="AZ32">
        <v>2</v>
      </c>
      <c r="BA32">
        <v>2</v>
      </c>
      <c r="BB32" s="1">
        <v>598.46</v>
      </c>
      <c r="BC32" s="46">
        <v>7.7287999999999997</v>
      </c>
      <c r="BF32">
        <v>0</v>
      </c>
      <c r="BG32">
        <v>0</v>
      </c>
      <c r="BH32">
        <v>0</v>
      </c>
      <c r="BI32" s="54">
        <f t="shared" si="19"/>
        <v>7.7301666666666664</v>
      </c>
    </row>
    <row r="33" spans="1:61">
      <c r="A33">
        <v>4</v>
      </c>
      <c r="B33" t="s">
        <v>7</v>
      </c>
      <c r="C33">
        <v>20160</v>
      </c>
      <c r="D33">
        <v>32</v>
      </c>
      <c r="E33">
        <v>2</v>
      </c>
      <c r="F33">
        <v>2</v>
      </c>
      <c r="G33" s="1">
        <v>806.24</v>
      </c>
      <c r="H33" s="63">
        <v>6.7759</v>
      </c>
      <c r="I33" s="27">
        <v>45510</v>
      </c>
      <c r="J33" s="53">
        <v>9.178240740740741E-2</v>
      </c>
      <c r="K33">
        <v>0</v>
      </c>
      <c r="L33">
        <v>0</v>
      </c>
      <c r="M33">
        <v>0</v>
      </c>
      <c r="N33" s="54">
        <f t="shared" si="15"/>
        <v>6.7942599999999995</v>
      </c>
      <c r="Q33">
        <v>4</v>
      </c>
      <c r="R33" t="s">
        <v>7</v>
      </c>
      <c r="S33">
        <v>20160</v>
      </c>
      <c r="T33">
        <v>32</v>
      </c>
      <c r="U33">
        <v>2</v>
      </c>
      <c r="V33">
        <v>2</v>
      </c>
      <c r="W33">
        <v>725.31</v>
      </c>
      <c r="X33" s="48">
        <v>7.5319000000000003</v>
      </c>
      <c r="Y33" s="27">
        <v>45506</v>
      </c>
      <c r="Z33" s="53">
        <v>0.82896990740740739</v>
      </c>
      <c r="AA33">
        <v>0</v>
      </c>
      <c r="AB33">
        <v>0</v>
      </c>
      <c r="AC33">
        <v>0</v>
      </c>
      <c r="AD33" s="54">
        <f t="shared" si="16"/>
        <v>7.5147199999999996</v>
      </c>
      <c r="AF33">
        <v>4</v>
      </c>
      <c r="AG33" t="s">
        <v>7</v>
      </c>
      <c r="AH33">
        <v>17920</v>
      </c>
      <c r="AI33">
        <v>128</v>
      </c>
      <c r="AJ33">
        <v>1</v>
      </c>
      <c r="AK33">
        <v>4</v>
      </c>
      <c r="AL33">
        <v>304.17</v>
      </c>
      <c r="AM33" s="48">
        <v>12.614000000000001</v>
      </c>
      <c r="AN33" s="27">
        <v>45509</v>
      </c>
      <c r="AO33" s="53">
        <v>0.82062500000000005</v>
      </c>
      <c r="AP33">
        <v>0</v>
      </c>
      <c r="AQ33">
        <v>0</v>
      </c>
      <c r="AR33">
        <v>0</v>
      </c>
      <c r="AS33" s="54">
        <f t="shared" si="17"/>
        <v>12.766</v>
      </c>
      <c r="AT33" s="1">
        <f>AT32</f>
        <v>12.766</v>
      </c>
      <c r="AV33">
        <v>210</v>
      </c>
      <c r="AW33" t="s">
        <v>71</v>
      </c>
      <c r="AX33">
        <v>19072</v>
      </c>
      <c r="AY33">
        <v>32</v>
      </c>
      <c r="AZ33">
        <v>2</v>
      </c>
      <c r="BA33">
        <v>2</v>
      </c>
      <c r="BB33" s="1">
        <v>597.67999999999995</v>
      </c>
      <c r="BC33" s="46">
        <v>7.7389000000000001</v>
      </c>
      <c r="BF33">
        <v>0</v>
      </c>
      <c r="BG33">
        <v>0</v>
      </c>
      <c r="BH33">
        <v>0</v>
      </c>
      <c r="BI33" s="54">
        <f t="shared" si="19"/>
        <v>7.7301666666666664</v>
      </c>
    </row>
    <row r="34" spans="1:61">
      <c r="A34">
        <v>0</v>
      </c>
      <c r="B34" t="s">
        <v>7</v>
      </c>
      <c r="C34">
        <v>17984</v>
      </c>
      <c r="D34">
        <v>64</v>
      </c>
      <c r="E34">
        <v>1</v>
      </c>
      <c r="F34">
        <v>4</v>
      </c>
      <c r="G34" s="1">
        <v>386.12</v>
      </c>
      <c r="H34" s="63">
        <v>10.044</v>
      </c>
      <c r="I34" s="27">
        <v>45508</v>
      </c>
      <c r="J34" s="53">
        <v>0.85403935185185187</v>
      </c>
      <c r="K34">
        <v>0</v>
      </c>
      <c r="L34">
        <v>0</v>
      </c>
      <c r="M34">
        <v>0</v>
      </c>
      <c r="N34" s="54">
        <f t="shared" ref="N34" si="42">AVERAGE(H34:H38)</f>
        <v>10.1258</v>
      </c>
      <c r="Q34">
        <v>0</v>
      </c>
      <c r="R34" t="s">
        <v>7</v>
      </c>
      <c r="S34">
        <v>17984</v>
      </c>
      <c r="T34">
        <v>64</v>
      </c>
      <c r="U34">
        <v>1</v>
      </c>
      <c r="V34">
        <v>4</v>
      </c>
      <c r="W34">
        <v>332.25</v>
      </c>
      <c r="X34" s="48">
        <v>11.672000000000001</v>
      </c>
      <c r="Y34" s="27">
        <v>45505</v>
      </c>
      <c r="Z34" s="53">
        <v>0.73162037037037042</v>
      </c>
      <c r="AA34">
        <v>0</v>
      </c>
      <c r="AB34">
        <v>0</v>
      </c>
      <c r="AC34">
        <v>0</v>
      </c>
      <c r="AD34" s="54">
        <f t="shared" ref="AD34" si="43">AVERAGE(X34:X38)</f>
        <v>11.690000000000001</v>
      </c>
      <c r="AF34">
        <v>0</v>
      </c>
      <c r="AG34" t="s">
        <v>7</v>
      </c>
      <c r="AH34">
        <v>19040</v>
      </c>
      <c r="AI34">
        <v>224</v>
      </c>
      <c r="AJ34">
        <v>1</v>
      </c>
      <c r="AK34">
        <v>4</v>
      </c>
      <c r="AL34">
        <v>360.5</v>
      </c>
      <c r="AM34" s="48">
        <v>12.766</v>
      </c>
      <c r="AN34" s="27">
        <v>45508</v>
      </c>
      <c r="AO34" s="53">
        <v>0.96825231481481477</v>
      </c>
      <c r="AP34">
        <v>0</v>
      </c>
      <c r="AQ34">
        <v>0</v>
      </c>
      <c r="AR34">
        <v>0</v>
      </c>
      <c r="AS34" s="54">
        <f t="shared" ref="AS34" si="44">AVERAGE(AM34:AM38)</f>
        <v>12.729800000000001</v>
      </c>
      <c r="AT34" s="1">
        <f>AS34</f>
        <v>12.729800000000001</v>
      </c>
      <c r="AV34">
        <v>258</v>
      </c>
      <c r="AW34" t="s">
        <v>71</v>
      </c>
      <c r="AX34">
        <v>19072</v>
      </c>
      <c r="AY34">
        <v>32</v>
      </c>
      <c r="AZ34">
        <v>2</v>
      </c>
      <c r="BA34">
        <v>2</v>
      </c>
      <c r="BB34" s="1">
        <v>597.48</v>
      </c>
      <c r="BC34" s="46">
        <v>7.7416</v>
      </c>
      <c r="BF34">
        <v>0</v>
      </c>
      <c r="BG34">
        <v>0</v>
      </c>
      <c r="BH34">
        <v>0</v>
      </c>
      <c r="BI34" s="54">
        <f t="shared" si="19"/>
        <v>7.7301666666666664</v>
      </c>
    </row>
    <row r="35" spans="1:61">
      <c r="A35">
        <v>1</v>
      </c>
      <c r="B35" t="s">
        <v>7</v>
      </c>
      <c r="C35">
        <v>17984</v>
      </c>
      <c r="D35">
        <v>64</v>
      </c>
      <c r="E35">
        <v>1</v>
      </c>
      <c r="F35">
        <v>4</v>
      </c>
      <c r="G35" s="1">
        <v>382.45</v>
      </c>
      <c r="H35" s="63">
        <v>10.14</v>
      </c>
      <c r="I35" s="27">
        <v>45509</v>
      </c>
      <c r="J35" s="53">
        <v>0.12325231481481481</v>
      </c>
      <c r="K35">
        <v>0</v>
      </c>
      <c r="L35">
        <v>0</v>
      </c>
      <c r="M35">
        <v>0</v>
      </c>
      <c r="N35" s="54">
        <f t="shared" ref="N35" si="45">N34</f>
        <v>10.1258</v>
      </c>
      <c r="Q35">
        <v>1</v>
      </c>
      <c r="R35" t="s">
        <v>7</v>
      </c>
      <c r="S35">
        <v>17984</v>
      </c>
      <c r="T35">
        <v>64</v>
      </c>
      <c r="U35">
        <v>1</v>
      </c>
      <c r="V35">
        <v>4</v>
      </c>
      <c r="W35">
        <v>331.61</v>
      </c>
      <c r="X35" s="48">
        <v>11.695</v>
      </c>
      <c r="Y35" s="27">
        <v>45505</v>
      </c>
      <c r="Z35" s="53">
        <v>0.97134259259259259</v>
      </c>
      <c r="AA35">
        <v>0</v>
      </c>
      <c r="AB35">
        <v>0</v>
      </c>
      <c r="AC35">
        <v>0</v>
      </c>
      <c r="AD35" s="54">
        <f t="shared" ref="AD35" si="46">AD34</f>
        <v>11.690000000000001</v>
      </c>
      <c r="AF35">
        <v>1</v>
      </c>
      <c r="AG35" t="s">
        <v>7</v>
      </c>
      <c r="AH35">
        <v>19040</v>
      </c>
      <c r="AI35">
        <v>224</v>
      </c>
      <c r="AJ35">
        <v>1</v>
      </c>
      <c r="AK35">
        <v>4</v>
      </c>
      <c r="AL35">
        <v>361.12</v>
      </c>
      <c r="AM35" s="48">
        <v>12.744</v>
      </c>
      <c r="AN35" s="27">
        <v>45509</v>
      </c>
      <c r="AO35" s="53">
        <v>0.20565972222222223</v>
      </c>
      <c r="AP35">
        <v>0</v>
      </c>
      <c r="AQ35">
        <v>0</v>
      </c>
      <c r="AR35">
        <v>0</v>
      </c>
      <c r="AS35" s="54">
        <f t="shared" ref="AS35" si="47">AS34</f>
        <v>12.729800000000001</v>
      </c>
      <c r="AT35" s="1">
        <f>AT34</f>
        <v>12.729800000000001</v>
      </c>
      <c r="AV35">
        <v>34</v>
      </c>
      <c r="AW35" t="s">
        <v>71</v>
      </c>
      <c r="AX35">
        <v>20096</v>
      </c>
      <c r="AY35">
        <v>32</v>
      </c>
      <c r="AZ35">
        <v>2</v>
      </c>
      <c r="BA35">
        <v>2</v>
      </c>
      <c r="BB35" s="1">
        <v>715.82</v>
      </c>
      <c r="BC35" s="46">
        <v>7.5593000000000004</v>
      </c>
      <c r="BF35">
        <v>0</v>
      </c>
      <c r="BG35">
        <v>0</v>
      </c>
      <c r="BH35">
        <v>0</v>
      </c>
      <c r="BI35" s="54">
        <f t="shared" ref="BI35" si="48">AVERAGE(BC35:BC40)</f>
        <v>7.5499166666666673</v>
      </c>
    </row>
    <row r="36" spans="1:61">
      <c r="A36">
        <v>2</v>
      </c>
      <c r="B36" t="s">
        <v>7</v>
      </c>
      <c r="C36">
        <v>17984</v>
      </c>
      <c r="D36">
        <v>64</v>
      </c>
      <c r="E36">
        <v>1</v>
      </c>
      <c r="F36">
        <v>4</v>
      </c>
      <c r="G36" s="1">
        <v>382.23</v>
      </c>
      <c r="H36" s="63">
        <v>10.146000000000001</v>
      </c>
      <c r="I36" s="27">
        <v>45509</v>
      </c>
      <c r="J36" s="53">
        <v>0.39143518518518516</v>
      </c>
      <c r="K36">
        <v>0</v>
      </c>
      <c r="L36">
        <v>0</v>
      </c>
      <c r="M36">
        <v>0</v>
      </c>
      <c r="N36" s="54">
        <f t="shared" si="15"/>
        <v>10.1258</v>
      </c>
      <c r="Q36">
        <v>2</v>
      </c>
      <c r="R36" t="s">
        <v>7</v>
      </c>
      <c r="S36">
        <v>17984</v>
      </c>
      <c r="T36">
        <v>64</v>
      </c>
      <c r="U36">
        <v>1</v>
      </c>
      <c r="V36">
        <v>4</v>
      </c>
      <c r="W36">
        <v>330.2</v>
      </c>
      <c r="X36" s="48">
        <v>11.744999999999999</v>
      </c>
      <c r="Y36" s="27">
        <v>45506</v>
      </c>
      <c r="Z36" s="53">
        <v>0.20851851851851852</v>
      </c>
      <c r="AA36">
        <v>0</v>
      </c>
      <c r="AB36">
        <v>0</v>
      </c>
      <c r="AC36">
        <v>0</v>
      </c>
      <c r="AD36" s="54">
        <f t="shared" si="16"/>
        <v>11.690000000000001</v>
      </c>
      <c r="AF36">
        <v>2</v>
      </c>
      <c r="AG36" t="s">
        <v>7</v>
      </c>
      <c r="AH36">
        <v>19040</v>
      </c>
      <c r="AI36">
        <v>224</v>
      </c>
      <c r="AJ36">
        <v>1</v>
      </c>
      <c r="AK36">
        <v>4</v>
      </c>
      <c r="AL36">
        <v>361.94</v>
      </c>
      <c r="AM36" s="48">
        <v>12.715</v>
      </c>
      <c r="AN36" s="27">
        <v>45509</v>
      </c>
      <c r="AO36" s="53">
        <v>0.44331018518518517</v>
      </c>
      <c r="AP36">
        <v>0</v>
      </c>
      <c r="AQ36">
        <v>0</v>
      </c>
      <c r="AR36">
        <v>0</v>
      </c>
      <c r="AS36" s="54">
        <f t="shared" si="17"/>
        <v>12.729800000000001</v>
      </c>
      <c r="AT36" s="1">
        <f>AT35</f>
        <v>12.729800000000001</v>
      </c>
      <c r="AV36">
        <v>82</v>
      </c>
      <c r="AW36" t="s">
        <v>71</v>
      </c>
      <c r="AX36">
        <v>20096</v>
      </c>
      <c r="AY36">
        <v>32</v>
      </c>
      <c r="AZ36">
        <v>2</v>
      </c>
      <c r="BA36">
        <v>2</v>
      </c>
      <c r="BB36" s="1">
        <v>717.22</v>
      </c>
      <c r="BC36" s="46">
        <v>7.5445000000000002</v>
      </c>
      <c r="BF36">
        <v>0</v>
      </c>
      <c r="BG36">
        <v>0</v>
      </c>
      <c r="BH36">
        <v>0</v>
      </c>
      <c r="BI36" s="54">
        <f t="shared" ref="BI36" si="49">BI35</f>
        <v>7.5499166666666673</v>
      </c>
    </row>
    <row r="37" spans="1:61">
      <c r="A37">
        <v>3</v>
      </c>
      <c r="B37" t="s">
        <v>7</v>
      </c>
      <c r="C37">
        <v>17984</v>
      </c>
      <c r="D37">
        <v>64</v>
      </c>
      <c r="E37">
        <v>1</v>
      </c>
      <c r="F37">
        <v>4</v>
      </c>
      <c r="G37" s="1">
        <v>382.33</v>
      </c>
      <c r="H37" s="63">
        <v>10.143000000000001</v>
      </c>
      <c r="I37" s="27">
        <v>45509</v>
      </c>
      <c r="J37" s="53">
        <v>0.65932870370370367</v>
      </c>
      <c r="K37">
        <v>0</v>
      </c>
      <c r="L37">
        <v>0</v>
      </c>
      <c r="M37">
        <v>0</v>
      </c>
      <c r="N37" s="54">
        <f t="shared" si="15"/>
        <v>10.1258</v>
      </c>
      <c r="Q37">
        <v>3</v>
      </c>
      <c r="R37" t="s">
        <v>7</v>
      </c>
      <c r="S37">
        <v>17984</v>
      </c>
      <c r="T37">
        <v>64</v>
      </c>
      <c r="U37">
        <v>1</v>
      </c>
      <c r="V37">
        <v>4</v>
      </c>
      <c r="W37">
        <v>331</v>
      </c>
      <c r="X37" s="48">
        <v>11.715999999999999</v>
      </c>
      <c r="Y37" s="27">
        <v>45506</v>
      </c>
      <c r="Z37" s="53">
        <v>0.44596064814814818</v>
      </c>
      <c r="AA37">
        <v>0</v>
      </c>
      <c r="AB37">
        <v>0</v>
      </c>
      <c r="AC37">
        <v>0</v>
      </c>
      <c r="AD37" s="54">
        <f t="shared" si="16"/>
        <v>11.690000000000001</v>
      </c>
      <c r="AF37">
        <v>3</v>
      </c>
      <c r="AG37" t="s">
        <v>7</v>
      </c>
      <c r="AH37">
        <v>19040</v>
      </c>
      <c r="AI37">
        <v>224</v>
      </c>
      <c r="AJ37">
        <v>1</v>
      </c>
      <c r="AK37">
        <v>4</v>
      </c>
      <c r="AL37">
        <v>361.94</v>
      </c>
      <c r="AM37" s="48">
        <v>12.715</v>
      </c>
      <c r="AN37" s="27">
        <v>45509</v>
      </c>
      <c r="AO37" s="53">
        <v>0.68185185185185182</v>
      </c>
      <c r="AP37">
        <v>0</v>
      </c>
      <c r="AQ37">
        <v>0</v>
      </c>
      <c r="AR37">
        <v>0</v>
      </c>
      <c r="AS37" s="54">
        <f t="shared" si="17"/>
        <v>12.729800000000001</v>
      </c>
      <c r="AT37" s="1">
        <f>AT36</f>
        <v>12.729800000000001</v>
      </c>
      <c r="AV37">
        <v>130</v>
      </c>
      <c r="AW37" t="s">
        <v>71</v>
      </c>
      <c r="AX37">
        <v>20096</v>
      </c>
      <c r="AY37">
        <v>32</v>
      </c>
      <c r="AZ37">
        <v>2</v>
      </c>
      <c r="BA37">
        <v>2</v>
      </c>
      <c r="BB37" s="1">
        <v>716.97</v>
      </c>
      <c r="BC37" s="46">
        <v>7.5471000000000004</v>
      </c>
      <c r="BF37">
        <v>0</v>
      </c>
      <c r="BG37">
        <v>0</v>
      </c>
      <c r="BH37">
        <v>0</v>
      </c>
      <c r="BI37" s="54">
        <f t="shared" si="19"/>
        <v>7.5499166666666673</v>
      </c>
    </row>
    <row r="38" spans="1:61">
      <c r="A38">
        <v>4</v>
      </c>
      <c r="B38" t="s">
        <v>7</v>
      </c>
      <c r="C38">
        <v>17984</v>
      </c>
      <c r="D38">
        <v>64</v>
      </c>
      <c r="E38">
        <v>1</v>
      </c>
      <c r="F38">
        <v>4</v>
      </c>
      <c r="G38" s="1">
        <v>381.85</v>
      </c>
      <c r="H38" s="63">
        <v>10.156000000000001</v>
      </c>
      <c r="I38" s="27">
        <v>45509</v>
      </c>
      <c r="J38" s="53">
        <v>0.92736111111111108</v>
      </c>
      <c r="K38">
        <v>0</v>
      </c>
      <c r="L38">
        <v>0</v>
      </c>
      <c r="M38">
        <v>0</v>
      </c>
      <c r="N38" s="54">
        <f t="shared" si="15"/>
        <v>10.1258</v>
      </c>
      <c r="Q38">
        <v>4</v>
      </c>
      <c r="R38" t="s">
        <v>7</v>
      </c>
      <c r="S38">
        <v>17984</v>
      </c>
      <c r="T38">
        <v>64</v>
      </c>
      <c r="U38">
        <v>1</v>
      </c>
      <c r="V38">
        <v>4</v>
      </c>
      <c r="W38">
        <v>333.69</v>
      </c>
      <c r="X38" s="48">
        <v>11.622</v>
      </c>
      <c r="Y38" s="27">
        <v>45506</v>
      </c>
      <c r="Z38" s="53">
        <v>0.68313657407407402</v>
      </c>
      <c r="AA38">
        <v>0</v>
      </c>
      <c r="AB38">
        <v>0</v>
      </c>
      <c r="AC38">
        <v>0</v>
      </c>
      <c r="AD38" s="54">
        <f t="shared" si="16"/>
        <v>11.690000000000001</v>
      </c>
      <c r="AF38">
        <v>4</v>
      </c>
      <c r="AG38" t="s">
        <v>7</v>
      </c>
      <c r="AH38">
        <v>19040</v>
      </c>
      <c r="AI38">
        <v>224</v>
      </c>
      <c r="AJ38">
        <v>1</v>
      </c>
      <c r="AK38">
        <v>4</v>
      </c>
      <c r="AL38">
        <v>362.11</v>
      </c>
      <c r="AM38" s="48">
        <v>12.709</v>
      </c>
      <c r="AN38" s="27">
        <v>45509</v>
      </c>
      <c r="AO38" s="53">
        <v>0.91965277777777776</v>
      </c>
      <c r="AP38">
        <v>0</v>
      </c>
      <c r="AQ38">
        <v>0</v>
      </c>
      <c r="AR38">
        <v>0</v>
      </c>
      <c r="AS38" s="54">
        <f t="shared" si="17"/>
        <v>12.729800000000001</v>
      </c>
      <c r="AT38" s="1">
        <f>AT37</f>
        <v>12.729800000000001</v>
      </c>
      <c r="AV38">
        <v>178</v>
      </c>
      <c r="AW38" t="s">
        <v>71</v>
      </c>
      <c r="AX38">
        <v>20096</v>
      </c>
      <c r="AY38">
        <v>32</v>
      </c>
      <c r="AZ38">
        <v>2</v>
      </c>
      <c r="BA38">
        <v>2</v>
      </c>
      <c r="BB38" s="1">
        <v>716.99</v>
      </c>
      <c r="BC38" s="46">
        <v>7.5468999999999999</v>
      </c>
      <c r="BF38">
        <v>0</v>
      </c>
      <c r="BG38">
        <v>0</v>
      </c>
      <c r="BH38">
        <v>0</v>
      </c>
      <c r="BI38" s="54">
        <f t="shared" si="19"/>
        <v>7.5499166666666673</v>
      </c>
    </row>
    <row r="39" spans="1:61">
      <c r="A39">
        <v>0</v>
      </c>
      <c r="B39" t="s">
        <v>7</v>
      </c>
      <c r="C39">
        <v>19072</v>
      </c>
      <c r="D39">
        <v>64</v>
      </c>
      <c r="E39">
        <v>1</v>
      </c>
      <c r="F39">
        <v>4</v>
      </c>
      <c r="G39" s="1">
        <v>453.41</v>
      </c>
      <c r="H39" s="63">
        <v>10.201000000000001</v>
      </c>
      <c r="I39" s="27">
        <v>45508</v>
      </c>
      <c r="J39" s="53">
        <v>0.9334837962962963</v>
      </c>
      <c r="K39">
        <v>0</v>
      </c>
      <c r="L39">
        <v>0</v>
      </c>
      <c r="M39">
        <v>0</v>
      </c>
      <c r="N39" s="54">
        <f t="shared" ref="N39" si="50">AVERAGE(H39:H43)</f>
        <v>10.278</v>
      </c>
      <c r="Q39">
        <v>0</v>
      </c>
      <c r="R39" t="s">
        <v>7</v>
      </c>
      <c r="S39">
        <v>19072</v>
      </c>
      <c r="T39">
        <v>64</v>
      </c>
      <c r="U39">
        <v>1</v>
      </c>
      <c r="V39">
        <v>4</v>
      </c>
      <c r="W39">
        <v>385.11</v>
      </c>
      <c r="X39" s="48">
        <v>12.010999999999999</v>
      </c>
      <c r="Y39" s="27">
        <v>45505</v>
      </c>
      <c r="Z39" s="53">
        <v>0.80134259259259255</v>
      </c>
      <c r="AA39">
        <v>0</v>
      </c>
      <c r="AB39">
        <v>0</v>
      </c>
      <c r="AC39">
        <v>0</v>
      </c>
      <c r="AD39" s="54">
        <f t="shared" ref="AD39" si="51">AVERAGE(X39:X43)</f>
        <v>11.9558</v>
      </c>
      <c r="AF39">
        <v>0</v>
      </c>
      <c r="AG39" t="s">
        <v>7</v>
      </c>
      <c r="AH39">
        <v>18944</v>
      </c>
      <c r="AI39">
        <v>256</v>
      </c>
      <c r="AJ39">
        <v>1</v>
      </c>
      <c r="AK39">
        <v>4</v>
      </c>
      <c r="AL39">
        <v>348.56</v>
      </c>
      <c r="AM39" s="48">
        <v>13.004</v>
      </c>
      <c r="AN39" s="27">
        <v>45508</v>
      </c>
      <c r="AO39" s="53">
        <v>0.97709490740740745</v>
      </c>
      <c r="AP39">
        <v>0</v>
      </c>
      <c r="AQ39">
        <v>0</v>
      </c>
      <c r="AR39">
        <v>0</v>
      </c>
      <c r="AS39" s="54">
        <f t="shared" ref="AS39" si="52">AVERAGE(AM39:AM43)</f>
        <v>12.710400000000002</v>
      </c>
      <c r="AT39" s="1">
        <f>AS39</f>
        <v>12.710400000000002</v>
      </c>
      <c r="AV39">
        <v>226</v>
      </c>
      <c r="AW39" t="s">
        <v>71</v>
      </c>
      <c r="AX39">
        <v>20096</v>
      </c>
      <c r="AY39">
        <v>32</v>
      </c>
      <c r="AZ39">
        <v>2</v>
      </c>
      <c r="BA39">
        <v>2</v>
      </c>
      <c r="BB39" s="1">
        <v>716.85</v>
      </c>
      <c r="BC39" s="46">
        <v>7.5484</v>
      </c>
      <c r="BF39">
        <v>0</v>
      </c>
      <c r="BG39">
        <v>0</v>
      </c>
      <c r="BH39">
        <v>0</v>
      </c>
      <c r="BI39" s="54">
        <f t="shared" si="19"/>
        <v>7.5499166666666673</v>
      </c>
    </row>
    <row r="40" spans="1:61">
      <c r="A40">
        <v>1</v>
      </c>
      <c r="B40" t="s">
        <v>7</v>
      </c>
      <c r="C40">
        <v>19072</v>
      </c>
      <c r="D40">
        <v>64</v>
      </c>
      <c r="E40">
        <v>1</v>
      </c>
      <c r="F40">
        <v>4</v>
      </c>
      <c r="G40" s="1">
        <v>448.92</v>
      </c>
      <c r="H40" s="63">
        <v>10.303000000000001</v>
      </c>
      <c r="I40" s="27">
        <v>45509</v>
      </c>
      <c r="J40" s="53">
        <v>0.20197916666666665</v>
      </c>
      <c r="K40">
        <v>0</v>
      </c>
      <c r="L40">
        <v>0</v>
      </c>
      <c r="M40">
        <v>0</v>
      </c>
      <c r="N40" s="54">
        <f t="shared" ref="N40" si="53">N39</f>
        <v>10.278</v>
      </c>
      <c r="Q40">
        <v>1</v>
      </c>
      <c r="R40" t="s">
        <v>7</v>
      </c>
      <c r="S40">
        <v>19072</v>
      </c>
      <c r="T40">
        <v>64</v>
      </c>
      <c r="U40">
        <v>1</v>
      </c>
      <c r="V40">
        <v>4</v>
      </c>
      <c r="W40">
        <v>388.34</v>
      </c>
      <c r="X40" s="48">
        <v>11.911</v>
      </c>
      <c r="Y40" s="27">
        <v>45506</v>
      </c>
      <c r="Z40" s="53">
        <v>4.0370370370370369E-2</v>
      </c>
      <c r="AA40">
        <v>0</v>
      </c>
      <c r="AB40">
        <v>0</v>
      </c>
      <c r="AC40">
        <v>0</v>
      </c>
      <c r="AD40" s="54">
        <f t="shared" ref="AD40" si="54">AD39</f>
        <v>11.9558</v>
      </c>
      <c r="AF40">
        <v>1</v>
      </c>
      <c r="AG40" t="s">
        <v>7</v>
      </c>
      <c r="AH40">
        <v>18944</v>
      </c>
      <c r="AI40">
        <v>256</v>
      </c>
      <c r="AJ40">
        <v>1</v>
      </c>
      <c r="AK40">
        <v>4</v>
      </c>
      <c r="AL40">
        <v>355.91</v>
      </c>
      <c r="AM40" s="48">
        <v>12.736000000000001</v>
      </c>
      <c r="AN40" s="27">
        <v>45509</v>
      </c>
      <c r="AO40" s="53">
        <v>0.21469907407407407</v>
      </c>
      <c r="AP40">
        <v>0</v>
      </c>
      <c r="AQ40">
        <v>0</v>
      </c>
      <c r="AR40">
        <v>0</v>
      </c>
      <c r="AS40" s="54">
        <f t="shared" ref="AS40" si="55">AS39</f>
        <v>12.710400000000002</v>
      </c>
      <c r="AT40" s="1">
        <f>AT39</f>
        <v>12.710400000000002</v>
      </c>
      <c r="AV40">
        <v>274</v>
      </c>
      <c r="AW40" t="s">
        <v>71</v>
      </c>
      <c r="AX40">
        <v>20096</v>
      </c>
      <c r="AY40">
        <v>32</v>
      </c>
      <c r="AZ40">
        <v>2</v>
      </c>
      <c r="BA40">
        <v>2</v>
      </c>
      <c r="BB40" s="1">
        <v>716.39</v>
      </c>
      <c r="BC40" s="46">
        <v>7.5533000000000001</v>
      </c>
      <c r="BF40">
        <v>0</v>
      </c>
      <c r="BG40">
        <v>0</v>
      </c>
      <c r="BH40">
        <v>0</v>
      </c>
      <c r="BI40" s="54">
        <f t="shared" si="19"/>
        <v>7.5499166666666673</v>
      </c>
    </row>
    <row r="41" spans="1:61">
      <c r="A41">
        <v>2</v>
      </c>
      <c r="B41" t="s">
        <v>7</v>
      </c>
      <c r="C41">
        <v>19072</v>
      </c>
      <c r="D41">
        <v>64</v>
      </c>
      <c r="E41">
        <v>1</v>
      </c>
      <c r="F41">
        <v>4</v>
      </c>
      <c r="G41" s="1">
        <v>448.99</v>
      </c>
      <c r="H41" s="63">
        <v>10.302</v>
      </c>
      <c r="I41" s="27">
        <v>45509</v>
      </c>
      <c r="J41" s="53">
        <v>0.4700347222222222</v>
      </c>
      <c r="K41">
        <v>0</v>
      </c>
      <c r="L41">
        <v>0</v>
      </c>
      <c r="M41">
        <v>0</v>
      </c>
      <c r="N41" s="54">
        <f t="shared" si="15"/>
        <v>10.278</v>
      </c>
      <c r="Q41">
        <v>2</v>
      </c>
      <c r="R41" t="s">
        <v>7</v>
      </c>
      <c r="S41">
        <v>19072</v>
      </c>
      <c r="T41">
        <v>64</v>
      </c>
      <c r="U41">
        <v>1</v>
      </c>
      <c r="V41">
        <v>4</v>
      </c>
      <c r="W41">
        <v>386.38</v>
      </c>
      <c r="X41" s="48">
        <v>11.971</v>
      </c>
      <c r="Y41" s="27">
        <v>45506</v>
      </c>
      <c r="Z41" s="53">
        <v>0.2777662037037037</v>
      </c>
      <c r="AA41">
        <v>0</v>
      </c>
      <c r="AB41">
        <v>0</v>
      </c>
      <c r="AC41">
        <v>0</v>
      </c>
      <c r="AD41" s="54">
        <f t="shared" si="16"/>
        <v>11.9558</v>
      </c>
      <c r="AF41">
        <v>2</v>
      </c>
      <c r="AG41" t="s">
        <v>7</v>
      </c>
      <c r="AH41">
        <v>18944</v>
      </c>
      <c r="AI41">
        <v>256</v>
      </c>
      <c r="AJ41">
        <v>1</v>
      </c>
      <c r="AK41">
        <v>4</v>
      </c>
      <c r="AL41">
        <v>362.38</v>
      </c>
      <c r="AM41" s="48">
        <v>12.509</v>
      </c>
      <c r="AN41" s="27">
        <v>45509</v>
      </c>
      <c r="AO41" s="53">
        <v>0.45232638888888888</v>
      </c>
      <c r="AP41">
        <v>0</v>
      </c>
      <c r="AQ41">
        <v>0</v>
      </c>
      <c r="AR41">
        <v>0</v>
      </c>
      <c r="AS41" s="54">
        <f t="shared" si="17"/>
        <v>12.710400000000002</v>
      </c>
      <c r="AT41" s="1">
        <f>AT40</f>
        <v>12.710400000000002</v>
      </c>
      <c r="AV41">
        <v>3</v>
      </c>
      <c r="AW41" t="s">
        <v>71</v>
      </c>
      <c r="AX41">
        <v>18048</v>
      </c>
      <c r="AY41">
        <v>64</v>
      </c>
      <c r="AZ41">
        <v>1</v>
      </c>
      <c r="BA41">
        <v>4</v>
      </c>
      <c r="BB41" s="1">
        <v>336.97</v>
      </c>
      <c r="BC41" s="46">
        <v>11.632</v>
      </c>
      <c r="BF41">
        <v>0</v>
      </c>
      <c r="BG41">
        <v>0</v>
      </c>
      <c r="BH41">
        <v>0</v>
      </c>
      <c r="BI41" s="54">
        <f t="shared" ref="BI41" si="56">AVERAGE(BC41:BC46)</f>
        <v>11.650166666666665</v>
      </c>
    </row>
    <row r="42" spans="1:61">
      <c r="A42">
        <v>3</v>
      </c>
      <c r="B42" t="s">
        <v>7</v>
      </c>
      <c r="C42">
        <v>19072</v>
      </c>
      <c r="D42">
        <v>64</v>
      </c>
      <c r="E42">
        <v>1</v>
      </c>
      <c r="F42">
        <v>4</v>
      </c>
      <c r="G42" s="1">
        <v>449.84</v>
      </c>
      <c r="H42" s="63">
        <v>10.282</v>
      </c>
      <c r="I42" s="27">
        <v>45509</v>
      </c>
      <c r="J42" s="53">
        <v>0.73799768518518516</v>
      </c>
      <c r="K42">
        <v>0</v>
      </c>
      <c r="L42">
        <v>0</v>
      </c>
      <c r="M42">
        <v>0</v>
      </c>
      <c r="N42" s="54">
        <f t="shared" si="15"/>
        <v>10.278</v>
      </c>
      <c r="Q42">
        <v>3</v>
      </c>
      <c r="R42" t="s">
        <v>7</v>
      </c>
      <c r="S42">
        <v>19072</v>
      </c>
      <c r="T42">
        <v>64</v>
      </c>
      <c r="U42">
        <v>1</v>
      </c>
      <c r="V42">
        <v>4</v>
      </c>
      <c r="W42">
        <v>386.03</v>
      </c>
      <c r="X42" s="48">
        <v>11.981999999999999</v>
      </c>
      <c r="Y42" s="27">
        <v>45506</v>
      </c>
      <c r="Z42" s="53">
        <v>0.5151041666666667</v>
      </c>
      <c r="AA42">
        <v>0</v>
      </c>
      <c r="AB42">
        <v>0</v>
      </c>
      <c r="AC42">
        <v>0</v>
      </c>
      <c r="AD42" s="54">
        <f t="shared" si="16"/>
        <v>11.9558</v>
      </c>
      <c r="AF42">
        <v>3</v>
      </c>
      <c r="AG42" t="s">
        <v>7</v>
      </c>
      <c r="AH42">
        <v>18944</v>
      </c>
      <c r="AI42">
        <v>256</v>
      </c>
      <c r="AJ42">
        <v>1</v>
      </c>
      <c r="AK42">
        <v>4</v>
      </c>
      <c r="AL42">
        <v>360.53</v>
      </c>
      <c r="AM42" s="48">
        <v>12.573</v>
      </c>
      <c r="AN42" s="27">
        <v>45509</v>
      </c>
      <c r="AO42" s="53">
        <v>0.69090277777777775</v>
      </c>
      <c r="AP42">
        <v>0</v>
      </c>
      <c r="AQ42">
        <v>0</v>
      </c>
      <c r="AR42">
        <v>0</v>
      </c>
      <c r="AS42" s="54">
        <f t="shared" si="17"/>
        <v>12.710400000000002</v>
      </c>
      <c r="AT42" s="1">
        <f>AT41</f>
        <v>12.710400000000002</v>
      </c>
      <c r="AV42">
        <v>51</v>
      </c>
      <c r="AW42" t="s">
        <v>71</v>
      </c>
      <c r="AX42">
        <v>18048</v>
      </c>
      <c r="AY42">
        <v>64</v>
      </c>
      <c r="AZ42">
        <v>1</v>
      </c>
      <c r="BA42">
        <v>4</v>
      </c>
      <c r="BB42" s="1">
        <v>335.72</v>
      </c>
      <c r="BC42" s="46">
        <v>11.676</v>
      </c>
      <c r="BF42">
        <v>0</v>
      </c>
      <c r="BG42">
        <v>0</v>
      </c>
      <c r="BH42">
        <v>0</v>
      </c>
      <c r="BI42" s="54">
        <f t="shared" ref="BI42" si="57">BI41</f>
        <v>11.650166666666665</v>
      </c>
    </row>
    <row r="43" spans="1:61">
      <c r="A43">
        <v>4</v>
      </c>
      <c r="B43" t="s">
        <v>7</v>
      </c>
      <c r="C43">
        <v>19072</v>
      </c>
      <c r="D43">
        <v>64</v>
      </c>
      <c r="E43">
        <v>1</v>
      </c>
      <c r="F43">
        <v>4</v>
      </c>
      <c r="G43" s="1">
        <v>448.97</v>
      </c>
      <c r="H43" s="63">
        <v>10.302</v>
      </c>
      <c r="I43" s="27">
        <v>45510</v>
      </c>
      <c r="J43" s="53">
        <v>5.9143518518518521E-3</v>
      </c>
      <c r="K43">
        <v>0</v>
      </c>
      <c r="L43">
        <v>0</v>
      </c>
      <c r="M43">
        <v>0</v>
      </c>
      <c r="N43" s="54">
        <f t="shared" si="15"/>
        <v>10.278</v>
      </c>
      <c r="Q43">
        <v>4</v>
      </c>
      <c r="R43" t="s">
        <v>7</v>
      </c>
      <c r="S43">
        <v>19072</v>
      </c>
      <c r="T43">
        <v>64</v>
      </c>
      <c r="U43">
        <v>1</v>
      </c>
      <c r="V43">
        <v>4</v>
      </c>
      <c r="W43">
        <v>388.55</v>
      </c>
      <c r="X43" s="48">
        <v>11.904</v>
      </c>
      <c r="Y43" s="27">
        <v>45506</v>
      </c>
      <c r="Z43" s="53">
        <v>0.752349537037037</v>
      </c>
      <c r="AA43">
        <v>0</v>
      </c>
      <c r="AB43">
        <v>0</v>
      </c>
      <c r="AC43">
        <v>0</v>
      </c>
      <c r="AD43" s="54">
        <f t="shared" si="16"/>
        <v>11.9558</v>
      </c>
      <c r="AF43">
        <v>4</v>
      </c>
      <c r="AG43" t="s">
        <v>7</v>
      </c>
      <c r="AH43">
        <v>18944</v>
      </c>
      <c r="AI43">
        <v>256</v>
      </c>
      <c r="AJ43">
        <v>1</v>
      </c>
      <c r="AK43">
        <v>4</v>
      </c>
      <c r="AL43">
        <v>356.08</v>
      </c>
      <c r="AM43" s="48">
        <v>12.73</v>
      </c>
      <c r="AN43" s="27">
        <v>45509</v>
      </c>
      <c r="AO43" s="53">
        <v>0.92863425925925924</v>
      </c>
      <c r="AP43">
        <v>0</v>
      </c>
      <c r="AQ43">
        <v>0</v>
      </c>
      <c r="AR43">
        <v>0</v>
      </c>
      <c r="AS43" s="54">
        <f t="shared" si="17"/>
        <v>12.710400000000002</v>
      </c>
      <c r="AT43" s="1">
        <f>AT42</f>
        <v>12.710400000000002</v>
      </c>
      <c r="AV43">
        <v>99</v>
      </c>
      <c r="AW43" t="s">
        <v>71</v>
      </c>
      <c r="AX43">
        <v>18048</v>
      </c>
      <c r="AY43">
        <v>64</v>
      </c>
      <c r="AZ43">
        <v>1</v>
      </c>
      <c r="BA43">
        <v>4</v>
      </c>
      <c r="BB43" s="1">
        <v>337.31</v>
      </c>
      <c r="BC43" s="46">
        <v>11.62</v>
      </c>
      <c r="BF43">
        <v>0</v>
      </c>
      <c r="BG43">
        <v>0</v>
      </c>
      <c r="BH43">
        <v>0</v>
      </c>
      <c r="BI43" s="54">
        <f t="shared" si="19"/>
        <v>11.650166666666665</v>
      </c>
    </row>
    <row r="44" spans="1:61">
      <c r="A44">
        <v>0</v>
      </c>
      <c r="B44" t="s">
        <v>7</v>
      </c>
      <c r="C44">
        <v>20160</v>
      </c>
      <c r="D44">
        <v>64</v>
      </c>
      <c r="E44">
        <v>1</v>
      </c>
      <c r="F44">
        <v>4</v>
      </c>
      <c r="G44" s="1">
        <v>540.33000000000004</v>
      </c>
      <c r="H44" s="63">
        <v>10.11</v>
      </c>
      <c r="I44" s="27">
        <v>45509</v>
      </c>
      <c r="J44" s="53">
        <v>2.627314814814815E-2</v>
      </c>
      <c r="K44">
        <v>0</v>
      </c>
      <c r="L44">
        <v>0</v>
      </c>
      <c r="M44">
        <v>0</v>
      </c>
      <c r="N44" s="54">
        <f t="shared" ref="N44" si="58">AVERAGE(H44:H48)</f>
        <v>10.085600000000001</v>
      </c>
      <c r="Q44">
        <v>0</v>
      </c>
      <c r="R44" t="s">
        <v>7</v>
      </c>
      <c r="S44">
        <v>20160</v>
      </c>
      <c r="T44">
        <v>64</v>
      </c>
      <c r="U44">
        <v>1</v>
      </c>
      <c r="V44">
        <v>4</v>
      </c>
      <c r="W44">
        <v>459.75</v>
      </c>
      <c r="X44" s="48">
        <v>11.882</v>
      </c>
      <c r="Y44" s="27">
        <v>45505</v>
      </c>
      <c r="Z44" s="53">
        <v>0.88464120370370369</v>
      </c>
      <c r="AA44">
        <v>0</v>
      </c>
      <c r="AB44">
        <v>0</v>
      </c>
      <c r="AC44">
        <v>0</v>
      </c>
      <c r="AD44" s="54">
        <f t="shared" ref="AD44" si="59">AVERAGE(X44:X48)</f>
        <v>11.8858</v>
      </c>
      <c r="AF44">
        <v>0</v>
      </c>
      <c r="AG44" t="s">
        <v>7</v>
      </c>
      <c r="AH44">
        <v>17856</v>
      </c>
      <c r="AI44">
        <v>192</v>
      </c>
      <c r="AJ44">
        <v>1</v>
      </c>
      <c r="AK44">
        <v>4</v>
      </c>
      <c r="AL44">
        <v>299.20999999999998</v>
      </c>
      <c r="AM44" s="48">
        <v>12.686999999999999</v>
      </c>
      <c r="AN44" s="27">
        <v>45508</v>
      </c>
      <c r="AO44" s="53">
        <v>0.88451388888888893</v>
      </c>
      <c r="AP44">
        <v>0</v>
      </c>
      <c r="AQ44">
        <v>0</v>
      </c>
      <c r="AR44">
        <v>0</v>
      </c>
      <c r="AS44" s="54">
        <f t="shared" ref="AS44" si="60">AVERAGE(AM44:AM48)</f>
        <v>12.6838</v>
      </c>
      <c r="AT44" s="1">
        <f>AS44</f>
        <v>12.6838</v>
      </c>
      <c r="AV44">
        <v>147</v>
      </c>
      <c r="AW44" t="s">
        <v>71</v>
      </c>
      <c r="AX44">
        <v>18048</v>
      </c>
      <c r="AY44">
        <v>64</v>
      </c>
      <c r="AZ44">
        <v>1</v>
      </c>
      <c r="BA44">
        <v>4</v>
      </c>
      <c r="BB44" s="1">
        <v>335.82</v>
      </c>
      <c r="BC44" s="46">
        <v>11.672000000000001</v>
      </c>
      <c r="BF44">
        <v>0</v>
      </c>
      <c r="BG44">
        <v>0</v>
      </c>
      <c r="BH44">
        <v>0</v>
      </c>
      <c r="BI44" s="54">
        <f t="shared" si="19"/>
        <v>11.650166666666665</v>
      </c>
    </row>
    <row r="45" spans="1:61">
      <c r="A45">
        <v>1</v>
      </c>
      <c r="B45" t="s">
        <v>7</v>
      </c>
      <c r="C45">
        <v>20160</v>
      </c>
      <c r="D45">
        <v>64</v>
      </c>
      <c r="E45">
        <v>1</v>
      </c>
      <c r="F45">
        <v>4</v>
      </c>
      <c r="G45" s="1">
        <v>543.21</v>
      </c>
      <c r="H45" s="63">
        <v>10.057</v>
      </c>
      <c r="I45" s="27">
        <v>45509</v>
      </c>
      <c r="J45" s="53">
        <v>0.29446759259259259</v>
      </c>
      <c r="K45">
        <v>0</v>
      </c>
      <c r="L45">
        <v>0</v>
      </c>
      <c r="M45">
        <v>0</v>
      </c>
      <c r="N45" s="54">
        <f t="shared" ref="N45" si="61">N44</f>
        <v>10.085600000000001</v>
      </c>
      <c r="Q45">
        <v>1</v>
      </c>
      <c r="R45" t="s">
        <v>7</v>
      </c>
      <c r="S45">
        <v>20160</v>
      </c>
      <c r="T45">
        <v>64</v>
      </c>
      <c r="U45">
        <v>1</v>
      </c>
      <c r="V45">
        <v>4</v>
      </c>
      <c r="W45">
        <v>459.93</v>
      </c>
      <c r="X45" s="48">
        <v>11.878</v>
      </c>
      <c r="Y45" s="27">
        <v>45506</v>
      </c>
      <c r="Z45" s="53">
        <v>0.12241898148148148</v>
      </c>
      <c r="AA45">
        <v>0</v>
      </c>
      <c r="AB45">
        <v>0</v>
      </c>
      <c r="AC45">
        <v>0</v>
      </c>
      <c r="AD45" s="54">
        <f t="shared" ref="AD45" si="62">AD44</f>
        <v>11.8858</v>
      </c>
      <c r="AF45">
        <v>1</v>
      </c>
      <c r="AG45" t="s">
        <v>7</v>
      </c>
      <c r="AH45">
        <v>17856</v>
      </c>
      <c r="AI45">
        <v>192</v>
      </c>
      <c r="AJ45">
        <v>1</v>
      </c>
      <c r="AK45">
        <v>4</v>
      </c>
      <c r="AL45">
        <v>300.75</v>
      </c>
      <c r="AM45" s="48">
        <v>12.622</v>
      </c>
      <c r="AN45" s="27">
        <v>45509</v>
      </c>
      <c r="AO45" s="53">
        <v>0.121875</v>
      </c>
      <c r="AP45">
        <v>0</v>
      </c>
      <c r="AQ45">
        <v>0</v>
      </c>
      <c r="AR45">
        <v>0</v>
      </c>
      <c r="AS45" s="54">
        <f t="shared" ref="AS45" si="63">AS44</f>
        <v>12.6838</v>
      </c>
      <c r="AT45" s="1">
        <f>AT44</f>
        <v>12.6838</v>
      </c>
      <c r="AV45">
        <v>195</v>
      </c>
      <c r="AW45" t="s">
        <v>71</v>
      </c>
      <c r="AX45">
        <v>18048</v>
      </c>
      <c r="AY45">
        <v>64</v>
      </c>
      <c r="AZ45">
        <v>1</v>
      </c>
      <c r="BA45">
        <v>4</v>
      </c>
      <c r="BB45" s="1">
        <v>336.22</v>
      </c>
      <c r="BC45" s="46">
        <v>11.657999999999999</v>
      </c>
      <c r="BF45">
        <v>0</v>
      </c>
      <c r="BG45">
        <v>0</v>
      </c>
      <c r="BH45">
        <v>0</v>
      </c>
      <c r="BI45" s="54">
        <f t="shared" si="19"/>
        <v>11.650166666666665</v>
      </c>
    </row>
    <row r="46" spans="1:61">
      <c r="A46">
        <v>2</v>
      </c>
      <c r="B46" t="s">
        <v>7</v>
      </c>
      <c r="C46">
        <v>20160</v>
      </c>
      <c r="D46">
        <v>64</v>
      </c>
      <c r="E46">
        <v>1</v>
      </c>
      <c r="F46">
        <v>4</v>
      </c>
      <c r="G46" s="1">
        <v>540.64</v>
      </c>
      <c r="H46" s="63">
        <v>10.105</v>
      </c>
      <c r="I46" s="27">
        <v>45509</v>
      </c>
      <c r="J46" s="53">
        <v>0.56244212962962958</v>
      </c>
      <c r="K46">
        <v>0</v>
      </c>
      <c r="L46">
        <v>0</v>
      </c>
      <c r="M46">
        <v>0</v>
      </c>
      <c r="N46" s="54">
        <f t="shared" si="15"/>
        <v>10.085600000000001</v>
      </c>
      <c r="Q46">
        <v>2</v>
      </c>
      <c r="R46" t="s">
        <v>7</v>
      </c>
      <c r="S46">
        <v>20160</v>
      </c>
      <c r="T46">
        <v>64</v>
      </c>
      <c r="U46">
        <v>1</v>
      </c>
      <c r="V46">
        <v>4</v>
      </c>
      <c r="W46">
        <v>459.05</v>
      </c>
      <c r="X46" s="48">
        <v>11.901</v>
      </c>
      <c r="Y46" s="27">
        <v>45506</v>
      </c>
      <c r="Z46" s="53">
        <v>0.3596064814814815</v>
      </c>
      <c r="AA46">
        <v>0</v>
      </c>
      <c r="AB46">
        <v>0</v>
      </c>
      <c r="AC46">
        <v>0</v>
      </c>
      <c r="AD46" s="54">
        <f t="shared" si="16"/>
        <v>11.8858</v>
      </c>
      <c r="AF46">
        <v>2</v>
      </c>
      <c r="AG46" t="s">
        <v>7</v>
      </c>
      <c r="AH46">
        <v>17856</v>
      </c>
      <c r="AI46">
        <v>192</v>
      </c>
      <c r="AJ46">
        <v>1</v>
      </c>
      <c r="AK46">
        <v>4</v>
      </c>
      <c r="AL46">
        <v>297.93</v>
      </c>
      <c r="AM46" s="48">
        <v>12.741</v>
      </c>
      <c r="AN46" s="27">
        <v>45509</v>
      </c>
      <c r="AO46" s="53">
        <v>0.35929398148148151</v>
      </c>
      <c r="AP46">
        <v>0</v>
      </c>
      <c r="AQ46">
        <v>0</v>
      </c>
      <c r="AR46">
        <v>0</v>
      </c>
      <c r="AS46" s="54">
        <f t="shared" si="17"/>
        <v>12.6838</v>
      </c>
      <c r="AT46" s="1">
        <f>AT45</f>
        <v>12.6838</v>
      </c>
      <c r="AV46">
        <v>243</v>
      </c>
      <c r="AW46" t="s">
        <v>71</v>
      </c>
      <c r="AX46">
        <v>18048</v>
      </c>
      <c r="AY46">
        <v>64</v>
      </c>
      <c r="AZ46">
        <v>1</v>
      </c>
      <c r="BA46">
        <v>4</v>
      </c>
      <c r="BB46" s="1">
        <v>336.64</v>
      </c>
      <c r="BC46" s="46">
        <v>11.643000000000001</v>
      </c>
      <c r="BF46">
        <v>0</v>
      </c>
      <c r="BG46">
        <v>0</v>
      </c>
      <c r="BH46">
        <v>0</v>
      </c>
      <c r="BI46" s="54">
        <f t="shared" si="19"/>
        <v>11.650166666666665</v>
      </c>
    </row>
    <row r="47" spans="1:61">
      <c r="A47">
        <v>3</v>
      </c>
      <c r="B47" t="s">
        <v>7</v>
      </c>
      <c r="C47">
        <v>20160</v>
      </c>
      <c r="D47">
        <v>64</v>
      </c>
      <c r="E47">
        <v>1</v>
      </c>
      <c r="F47">
        <v>4</v>
      </c>
      <c r="G47" s="1">
        <v>543.54999999999995</v>
      </c>
      <c r="H47" s="63">
        <v>10.050000000000001</v>
      </c>
      <c r="I47" s="27">
        <v>45509</v>
      </c>
      <c r="J47" s="53">
        <v>0.83038194444444446</v>
      </c>
      <c r="K47">
        <v>0</v>
      </c>
      <c r="L47">
        <v>0</v>
      </c>
      <c r="M47">
        <v>0</v>
      </c>
      <c r="N47" s="54">
        <f t="shared" si="15"/>
        <v>10.085600000000001</v>
      </c>
      <c r="Q47">
        <v>3</v>
      </c>
      <c r="R47" t="s">
        <v>7</v>
      </c>
      <c r="S47">
        <v>20160</v>
      </c>
      <c r="T47">
        <v>64</v>
      </c>
      <c r="U47">
        <v>1</v>
      </c>
      <c r="V47">
        <v>4</v>
      </c>
      <c r="W47">
        <v>460.09</v>
      </c>
      <c r="X47" s="48">
        <v>11.874000000000001</v>
      </c>
      <c r="Y47" s="27">
        <v>45506</v>
      </c>
      <c r="Z47" s="53">
        <v>0.59702546296296299</v>
      </c>
      <c r="AA47">
        <v>0</v>
      </c>
      <c r="AB47">
        <v>0</v>
      </c>
      <c r="AC47">
        <v>0</v>
      </c>
      <c r="AD47" s="54">
        <f t="shared" si="16"/>
        <v>11.8858</v>
      </c>
      <c r="AF47">
        <v>3</v>
      </c>
      <c r="AG47" t="s">
        <v>7</v>
      </c>
      <c r="AH47">
        <v>17856</v>
      </c>
      <c r="AI47">
        <v>192</v>
      </c>
      <c r="AJ47">
        <v>1</v>
      </c>
      <c r="AK47">
        <v>4</v>
      </c>
      <c r="AL47">
        <v>298.91000000000003</v>
      </c>
      <c r="AM47" s="48">
        <v>12.699</v>
      </c>
      <c r="AN47" s="27">
        <v>45509</v>
      </c>
      <c r="AO47" s="53">
        <v>0.59778935185185189</v>
      </c>
      <c r="AP47">
        <v>0</v>
      </c>
      <c r="AQ47">
        <v>0</v>
      </c>
      <c r="AR47">
        <v>0</v>
      </c>
      <c r="AS47" s="54">
        <f t="shared" si="17"/>
        <v>12.6838</v>
      </c>
      <c r="AT47" s="1">
        <f>AT46</f>
        <v>12.6838</v>
      </c>
      <c r="AV47">
        <v>19</v>
      </c>
      <c r="AW47" t="s">
        <v>71</v>
      </c>
      <c r="AX47">
        <v>19072</v>
      </c>
      <c r="AY47">
        <v>64</v>
      </c>
      <c r="AZ47">
        <v>1</v>
      </c>
      <c r="BA47">
        <v>4</v>
      </c>
      <c r="BB47" s="1">
        <v>392.27</v>
      </c>
      <c r="BC47" s="46">
        <v>11.791</v>
      </c>
      <c r="BF47">
        <v>0</v>
      </c>
      <c r="BG47">
        <v>0</v>
      </c>
      <c r="BH47">
        <v>0</v>
      </c>
      <c r="BI47" s="54">
        <f t="shared" ref="BI47" si="64">AVERAGE(BC47:BC52)</f>
        <v>11.793999999999999</v>
      </c>
    </row>
    <row r="48" spans="1:61">
      <c r="A48">
        <v>4</v>
      </c>
      <c r="B48" t="s">
        <v>7</v>
      </c>
      <c r="C48">
        <v>20160</v>
      </c>
      <c r="D48">
        <v>64</v>
      </c>
      <c r="E48">
        <v>1</v>
      </c>
      <c r="F48">
        <v>4</v>
      </c>
      <c r="G48" s="1">
        <v>540.54</v>
      </c>
      <c r="H48" s="63">
        <v>10.106</v>
      </c>
      <c r="I48" s="27">
        <v>45510</v>
      </c>
      <c r="J48" s="53">
        <v>9.8356481481481475E-2</v>
      </c>
      <c r="K48">
        <v>0</v>
      </c>
      <c r="L48">
        <v>0</v>
      </c>
      <c r="M48">
        <v>0</v>
      </c>
      <c r="N48" s="54">
        <f t="shared" si="15"/>
        <v>10.085600000000001</v>
      </c>
      <c r="Q48">
        <v>4</v>
      </c>
      <c r="R48" t="s">
        <v>7</v>
      </c>
      <c r="S48">
        <v>20160</v>
      </c>
      <c r="T48">
        <v>64</v>
      </c>
      <c r="U48">
        <v>1</v>
      </c>
      <c r="V48">
        <v>4</v>
      </c>
      <c r="W48">
        <v>459.31</v>
      </c>
      <c r="X48" s="48">
        <v>11.894</v>
      </c>
      <c r="Y48" s="27">
        <v>45506</v>
      </c>
      <c r="Z48" s="53">
        <v>0.83462962962962961</v>
      </c>
      <c r="AA48">
        <v>0</v>
      </c>
      <c r="AB48">
        <v>0</v>
      </c>
      <c r="AC48">
        <v>0</v>
      </c>
      <c r="AD48" s="54">
        <f t="shared" si="16"/>
        <v>11.8858</v>
      </c>
      <c r="AF48">
        <v>4</v>
      </c>
      <c r="AG48" t="s">
        <v>7</v>
      </c>
      <c r="AH48">
        <v>17856</v>
      </c>
      <c r="AI48">
        <v>192</v>
      </c>
      <c r="AJ48">
        <v>1</v>
      </c>
      <c r="AK48">
        <v>4</v>
      </c>
      <c r="AL48">
        <v>299.58999999999997</v>
      </c>
      <c r="AM48" s="48">
        <v>12.67</v>
      </c>
      <c r="AN48" s="27">
        <v>45509</v>
      </c>
      <c r="AO48" s="53">
        <v>0.83600694444444446</v>
      </c>
      <c r="AP48">
        <v>0</v>
      </c>
      <c r="AQ48">
        <v>0</v>
      </c>
      <c r="AR48">
        <v>0</v>
      </c>
      <c r="AS48" s="54">
        <f t="shared" si="17"/>
        <v>12.6838</v>
      </c>
      <c r="AT48" s="1">
        <f>AT47</f>
        <v>12.6838</v>
      </c>
      <c r="AV48">
        <v>67</v>
      </c>
      <c r="AW48" t="s">
        <v>71</v>
      </c>
      <c r="AX48">
        <v>19072</v>
      </c>
      <c r="AY48">
        <v>64</v>
      </c>
      <c r="AZ48">
        <v>1</v>
      </c>
      <c r="BA48">
        <v>4</v>
      </c>
      <c r="BB48" s="1">
        <v>392.63</v>
      </c>
      <c r="BC48" s="46">
        <v>11.78</v>
      </c>
      <c r="BF48">
        <v>0</v>
      </c>
      <c r="BG48">
        <v>0</v>
      </c>
      <c r="BH48">
        <v>0</v>
      </c>
      <c r="BI48" s="54">
        <f t="shared" ref="BI48" si="65">BI47</f>
        <v>11.793999999999999</v>
      </c>
    </row>
    <row r="49" spans="1:61">
      <c r="A49">
        <v>0</v>
      </c>
      <c r="B49" t="s">
        <v>7</v>
      </c>
      <c r="C49">
        <v>17984</v>
      </c>
      <c r="D49">
        <v>64</v>
      </c>
      <c r="E49">
        <v>2</v>
      </c>
      <c r="F49">
        <v>2</v>
      </c>
      <c r="G49" s="1">
        <v>393.46</v>
      </c>
      <c r="H49" s="63">
        <v>9.8564000000000007</v>
      </c>
      <c r="I49" s="27">
        <v>45508</v>
      </c>
      <c r="J49" s="53">
        <v>0.85883101851851851</v>
      </c>
      <c r="K49">
        <v>0</v>
      </c>
      <c r="L49">
        <v>0</v>
      </c>
      <c r="M49">
        <v>0</v>
      </c>
      <c r="N49" s="54">
        <f t="shared" ref="N49" si="66">AVERAGE(H49:H53)</f>
        <v>9.8255799999999986</v>
      </c>
      <c r="Q49">
        <v>0</v>
      </c>
      <c r="R49" t="s">
        <v>7</v>
      </c>
      <c r="S49">
        <v>17984</v>
      </c>
      <c r="T49">
        <v>64</v>
      </c>
      <c r="U49">
        <v>2</v>
      </c>
      <c r="V49">
        <v>2</v>
      </c>
      <c r="W49">
        <v>334.72</v>
      </c>
      <c r="X49" s="48">
        <v>11.586</v>
      </c>
      <c r="Y49" s="27">
        <v>45505</v>
      </c>
      <c r="Z49" s="53">
        <v>0.73572916666666666</v>
      </c>
      <c r="AA49">
        <v>0</v>
      </c>
      <c r="AB49">
        <v>0</v>
      </c>
      <c r="AC49">
        <v>0</v>
      </c>
      <c r="AD49" s="54">
        <f t="shared" ref="AD49" si="67">AVERAGE(X49:X53)</f>
        <v>11.602</v>
      </c>
      <c r="AF49">
        <v>0</v>
      </c>
      <c r="AG49" t="s">
        <v>7</v>
      </c>
      <c r="AH49">
        <v>20160</v>
      </c>
      <c r="AI49">
        <v>224</v>
      </c>
      <c r="AJ49">
        <v>1</v>
      </c>
      <c r="AK49">
        <v>4</v>
      </c>
      <c r="AL49">
        <v>429.04</v>
      </c>
      <c r="AM49" s="48">
        <v>12.733000000000001</v>
      </c>
      <c r="AN49" s="27">
        <v>45509</v>
      </c>
      <c r="AO49" s="53">
        <v>5.8275462962962966E-2</v>
      </c>
      <c r="AP49">
        <v>0</v>
      </c>
      <c r="AQ49">
        <v>0</v>
      </c>
      <c r="AR49">
        <v>0</v>
      </c>
      <c r="AS49" s="54">
        <f t="shared" ref="AS49" si="68">AVERAGE(AM49:AM53)</f>
        <v>12.657599999999999</v>
      </c>
      <c r="AT49" s="1">
        <f>AS49</f>
        <v>12.657599999999999</v>
      </c>
      <c r="AV49">
        <v>115</v>
      </c>
      <c r="AW49" t="s">
        <v>71</v>
      </c>
      <c r="AX49">
        <v>19072</v>
      </c>
      <c r="AY49">
        <v>64</v>
      </c>
      <c r="AZ49">
        <v>1</v>
      </c>
      <c r="BA49">
        <v>4</v>
      </c>
      <c r="BB49" s="1">
        <v>394.93</v>
      </c>
      <c r="BC49" s="46">
        <v>11.712</v>
      </c>
      <c r="BF49">
        <v>0</v>
      </c>
      <c r="BG49">
        <v>0</v>
      </c>
      <c r="BH49">
        <v>0</v>
      </c>
      <c r="BI49" s="54">
        <f t="shared" si="19"/>
        <v>11.793999999999999</v>
      </c>
    </row>
    <row r="50" spans="1:61">
      <c r="A50">
        <v>1</v>
      </c>
      <c r="B50" t="s">
        <v>7</v>
      </c>
      <c r="C50">
        <v>17984</v>
      </c>
      <c r="D50">
        <v>64</v>
      </c>
      <c r="E50">
        <v>2</v>
      </c>
      <c r="F50">
        <v>2</v>
      </c>
      <c r="G50" s="1">
        <v>395.05</v>
      </c>
      <c r="H50" s="63">
        <v>9.8167000000000009</v>
      </c>
      <c r="I50" s="27">
        <v>45509</v>
      </c>
      <c r="J50" s="53">
        <v>0.12806712962962963</v>
      </c>
      <c r="K50">
        <v>0</v>
      </c>
      <c r="L50">
        <v>0</v>
      </c>
      <c r="M50">
        <v>0</v>
      </c>
      <c r="N50" s="54">
        <f t="shared" ref="N50" si="69">N49</f>
        <v>9.8255799999999986</v>
      </c>
      <c r="Q50">
        <v>1</v>
      </c>
      <c r="R50" t="s">
        <v>7</v>
      </c>
      <c r="S50">
        <v>17984</v>
      </c>
      <c r="T50">
        <v>64</v>
      </c>
      <c r="U50">
        <v>2</v>
      </c>
      <c r="V50">
        <v>2</v>
      </c>
      <c r="W50">
        <v>332.73</v>
      </c>
      <c r="X50" s="48">
        <v>11.656000000000001</v>
      </c>
      <c r="Y50" s="27">
        <v>45505</v>
      </c>
      <c r="Z50" s="53">
        <v>0.97543981481481479</v>
      </c>
      <c r="AA50">
        <v>0</v>
      </c>
      <c r="AB50">
        <v>0</v>
      </c>
      <c r="AC50">
        <v>0</v>
      </c>
      <c r="AD50" s="54">
        <f t="shared" ref="AD50" si="70">AD49</f>
        <v>11.602</v>
      </c>
      <c r="AF50">
        <v>1</v>
      </c>
      <c r="AG50" t="s">
        <v>7</v>
      </c>
      <c r="AH50">
        <v>20160</v>
      </c>
      <c r="AI50">
        <v>224</v>
      </c>
      <c r="AJ50">
        <v>1</v>
      </c>
      <c r="AK50">
        <v>4</v>
      </c>
      <c r="AL50">
        <v>428.85</v>
      </c>
      <c r="AM50" s="48">
        <v>12.739000000000001</v>
      </c>
      <c r="AN50" s="27">
        <v>45509</v>
      </c>
      <c r="AO50" s="53">
        <v>0.29596064814814815</v>
      </c>
      <c r="AP50">
        <v>0</v>
      </c>
      <c r="AQ50">
        <v>0</v>
      </c>
      <c r="AR50">
        <v>0</v>
      </c>
      <c r="AS50" s="54">
        <f t="shared" ref="AS50" si="71">AS49</f>
        <v>12.657599999999999</v>
      </c>
      <c r="AT50" s="1">
        <f>AT49</f>
        <v>12.657599999999999</v>
      </c>
      <c r="AV50">
        <v>163</v>
      </c>
      <c r="AW50" t="s">
        <v>71</v>
      </c>
      <c r="AX50">
        <v>19072</v>
      </c>
      <c r="AY50">
        <v>64</v>
      </c>
      <c r="AZ50">
        <v>1</v>
      </c>
      <c r="BA50">
        <v>4</v>
      </c>
      <c r="BB50" s="1">
        <v>390.21</v>
      </c>
      <c r="BC50" s="46">
        <v>11.853999999999999</v>
      </c>
      <c r="BF50">
        <v>0</v>
      </c>
      <c r="BG50">
        <v>0</v>
      </c>
      <c r="BH50">
        <v>0</v>
      </c>
      <c r="BI50" s="54">
        <f t="shared" si="19"/>
        <v>11.793999999999999</v>
      </c>
    </row>
    <row r="51" spans="1:61">
      <c r="A51">
        <v>2</v>
      </c>
      <c r="B51" t="s">
        <v>7</v>
      </c>
      <c r="C51">
        <v>17984</v>
      </c>
      <c r="D51">
        <v>64</v>
      </c>
      <c r="E51">
        <v>2</v>
      </c>
      <c r="F51">
        <v>2</v>
      </c>
      <c r="G51" s="1">
        <v>396.15</v>
      </c>
      <c r="H51" s="63">
        <v>9.7894000000000005</v>
      </c>
      <c r="I51" s="27">
        <v>45509</v>
      </c>
      <c r="J51" s="53">
        <v>0.39626157407407409</v>
      </c>
      <c r="K51">
        <v>0</v>
      </c>
      <c r="L51">
        <v>0</v>
      </c>
      <c r="M51">
        <v>0</v>
      </c>
      <c r="N51" s="54">
        <f t="shared" si="15"/>
        <v>9.8255799999999986</v>
      </c>
      <c r="Q51">
        <v>2</v>
      </c>
      <c r="R51" t="s">
        <v>7</v>
      </c>
      <c r="S51">
        <v>17984</v>
      </c>
      <c r="T51">
        <v>64</v>
      </c>
      <c r="U51">
        <v>2</v>
      </c>
      <c r="V51">
        <v>2</v>
      </c>
      <c r="W51">
        <v>333.97</v>
      </c>
      <c r="X51" s="48">
        <v>11.612</v>
      </c>
      <c r="Y51" s="27">
        <v>45506</v>
      </c>
      <c r="Z51" s="53">
        <v>0.21261574074074074</v>
      </c>
      <c r="AA51">
        <v>0</v>
      </c>
      <c r="AB51">
        <v>0</v>
      </c>
      <c r="AC51">
        <v>0</v>
      </c>
      <c r="AD51" s="54">
        <f t="shared" si="16"/>
        <v>11.602</v>
      </c>
      <c r="AF51">
        <v>2</v>
      </c>
      <c r="AG51" t="s">
        <v>7</v>
      </c>
      <c r="AH51">
        <v>20160</v>
      </c>
      <c r="AI51">
        <v>224</v>
      </c>
      <c r="AJ51">
        <v>1</v>
      </c>
      <c r="AK51">
        <v>4</v>
      </c>
      <c r="AL51">
        <v>429.03</v>
      </c>
      <c r="AM51" s="48">
        <v>12.733000000000001</v>
      </c>
      <c r="AN51" s="27">
        <v>45509</v>
      </c>
      <c r="AO51" s="53">
        <v>0.53420138888888891</v>
      </c>
      <c r="AP51">
        <v>0</v>
      </c>
      <c r="AQ51">
        <v>0</v>
      </c>
      <c r="AR51">
        <v>0</v>
      </c>
      <c r="AS51" s="54">
        <f t="shared" si="17"/>
        <v>12.657599999999999</v>
      </c>
      <c r="AT51" s="1">
        <f>AT50</f>
        <v>12.657599999999999</v>
      </c>
      <c r="AV51">
        <v>211</v>
      </c>
      <c r="AW51" t="s">
        <v>71</v>
      </c>
      <c r="AX51">
        <v>19072</v>
      </c>
      <c r="AY51">
        <v>64</v>
      </c>
      <c r="AZ51">
        <v>1</v>
      </c>
      <c r="BA51">
        <v>4</v>
      </c>
      <c r="BB51" s="1">
        <v>392.53</v>
      </c>
      <c r="BC51" s="46">
        <v>11.784000000000001</v>
      </c>
      <c r="BF51">
        <v>0</v>
      </c>
      <c r="BG51">
        <v>0</v>
      </c>
      <c r="BH51">
        <v>0</v>
      </c>
      <c r="BI51" s="54">
        <f t="shared" si="19"/>
        <v>11.793999999999999</v>
      </c>
    </row>
    <row r="52" spans="1:61">
      <c r="A52">
        <v>3</v>
      </c>
      <c r="B52" t="s">
        <v>7</v>
      </c>
      <c r="C52">
        <v>17984</v>
      </c>
      <c r="D52">
        <v>64</v>
      </c>
      <c r="E52">
        <v>2</v>
      </c>
      <c r="F52">
        <v>2</v>
      </c>
      <c r="G52" s="1">
        <v>396.23</v>
      </c>
      <c r="H52" s="63">
        <v>9.7876999999999992</v>
      </c>
      <c r="I52" s="27">
        <v>45509</v>
      </c>
      <c r="J52" s="53">
        <v>0.66415509259259264</v>
      </c>
      <c r="K52">
        <v>0</v>
      </c>
      <c r="L52">
        <v>0</v>
      </c>
      <c r="M52">
        <v>0</v>
      </c>
      <c r="N52" s="54">
        <f t="shared" si="15"/>
        <v>9.8255799999999986</v>
      </c>
      <c r="Q52">
        <v>3</v>
      </c>
      <c r="R52" t="s">
        <v>7</v>
      </c>
      <c r="S52">
        <v>17984</v>
      </c>
      <c r="T52">
        <v>64</v>
      </c>
      <c r="U52">
        <v>2</v>
      </c>
      <c r="V52">
        <v>2</v>
      </c>
      <c r="W52">
        <v>334.3</v>
      </c>
      <c r="X52" s="48">
        <v>11.601000000000001</v>
      </c>
      <c r="Y52" s="27">
        <v>45506</v>
      </c>
      <c r="Z52" s="53">
        <v>0.45006944444444447</v>
      </c>
      <c r="AA52">
        <v>0</v>
      </c>
      <c r="AB52">
        <v>0</v>
      </c>
      <c r="AC52">
        <v>0</v>
      </c>
      <c r="AD52" s="54">
        <f t="shared" si="16"/>
        <v>11.602</v>
      </c>
      <c r="AF52">
        <v>3</v>
      </c>
      <c r="AG52" t="s">
        <v>7</v>
      </c>
      <c r="AH52">
        <v>20160</v>
      </c>
      <c r="AI52">
        <v>224</v>
      </c>
      <c r="AJ52">
        <v>1</v>
      </c>
      <c r="AK52">
        <v>4</v>
      </c>
      <c r="AL52">
        <v>434.85</v>
      </c>
      <c r="AM52" s="48">
        <v>12.563000000000001</v>
      </c>
      <c r="AN52" s="27">
        <v>45509</v>
      </c>
      <c r="AO52" s="53">
        <v>0.77251157407407411</v>
      </c>
      <c r="AP52">
        <v>0</v>
      </c>
      <c r="AQ52">
        <v>0</v>
      </c>
      <c r="AR52">
        <v>0</v>
      </c>
      <c r="AS52" s="54">
        <f t="shared" si="17"/>
        <v>12.657599999999999</v>
      </c>
      <c r="AT52" s="1">
        <f>AT51</f>
        <v>12.657599999999999</v>
      </c>
      <c r="AV52">
        <v>259</v>
      </c>
      <c r="AW52" t="s">
        <v>71</v>
      </c>
      <c r="AX52">
        <v>19072</v>
      </c>
      <c r="AY52">
        <v>64</v>
      </c>
      <c r="AZ52">
        <v>1</v>
      </c>
      <c r="BA52">
        <v>4</v>
      </c>
      <c r="BB52" s="1">
        <v>390.57</v>
      </c>
      <c r="BC52" s="46">
        <v>11.843</v>
      </c>
      <c r="BF52">
        <v>0</v>
      </c>
      <c r="BG52">
        <v>0</v>
      </c>
      <c r="BH52">
        <v>0</v>
      </c>
      <c r="BI52" s="54">
        <f t="shared" si="19"/>
        <v>11.793999999999999</v>
      </c>
    </row>
    <row r="53" spans="1:61">
      <c r="A53">
        <v>4</v>
      </c>
      <c r="B53" t="s">
        <v>7</v>
      </c>
      <c r="C53">
        <v>17984</v>
      </c>
      <c r="D53">
        <v>64</v>
      </c>
      <c r="E53">
        <v>2</v>
      </c>
      <c r="F53">
        <v>2</v>
      </c>
      <c r="G53" s="1">
        <v>392.61</v>
      </c>
      <c r="H53" s="63">
        <v>9.8777000000000008</v>
      </c>
      <c r="I53" s="27">
        <v>45509</v>
      </c>
      <c r="J53" s="53">
        <v>0.93214120370370368</v>
      </c>
      <c r="K53">
        <v>0</v>
      </c>
      <c r="L53">
        <v>0</v>
      </c>
      <c r="M53">
        <v>0</v>
      </c>
      <c r="N53" s="54">
        <f t="shared" si="15"/>
        <v>9.8255799999999986</v>
      </c>
      <c r="Q53">
        <v>4</v>
      </c>
      <c r="R53" t="s">
        <v>7</v>
      </c>
      <c r="S53">
        <v>17984</v>
      </c>
      <c r="T53">
        <v>64</v>
      </c>
      <c r="U53">
        <v>2</v>
      </c>
      <c r="V53">
        <v>2</v>
      </c>
      <c r="W53">
        <v>335.62</v>
      </c>
      <c r="X53" s="48">
        <v>11.555</v>
      </c>
      <c r="Y53" s="27">
        <v>45506</v>
      </c>
      <c r="Z53" s="53">
        <v>0.68726851851851856</v>
      </c>
      <c r="AA53">
        <v>0</v>
      </c>
      <c r="AB53">
        <v>0</v>
      </c>
      <c r="AC53">
        <v>0</v>
      </c>
      <c r="AD53" s="54">
        <f t="shared" si="16"/>
        <v>11.602</v>
      </c>
      <c r="AF53">
        <v>4</v>
      </c>
      <c r="AG53" t="s">
        <v>7</v>
      </c>
      <c r="AH53">
        <v>20160</v>
      </c>
      <c r="AI53">
        <v>224</v>
      </c>
      <c r="AJ53">
        <v>1</v>
      </c>
      <c r="AK53">
        <v>4</v>
      </c>
      <c r="AL53">
        <v>436.35</v>
      </c>
      <c r="AM53" s="48">
        <v>12.52</v>
      </c>
      <c r="AN53" s="27">
        <v>45510</v>
      </c>
      <c r="AO53" s="53">
        <v>1.0266203703703704E-2</v>
      </c>
      <c r="AP53">
        <v>0</v>
      </c>
      <c r="AQ53">
        <v>0</v>
      </c>
      <c r="AR53">
        <v>0</v>
      </c>
      <c r="AS53" s="54">
        <f t="shared" si="17"/>
        <v>12.657599999999999</v>
      </c>
      <c r="AT53" s="1">
        <f>AT52</f>
        <v>12.657599999999999</v>
      </c>
      <c r="AV53">
        <v>35</v>
      </c>
      <c r="AW53" t="s">
        <v>71</v>
      </c>
      <c r="AX53">
        <v>20096</v>
      </c>
      <c r="AY53">
        <v>64</v>
      </c>
      <c r="AZ53">
        <v>1</v>
      </c>
      <c r="BA53">
        <v>4</v>
      </c>
      <c r="BB53" s="1">
        <v>456.68</v>
      </c>
      <c r="BC53" s="46">
        <v>11.849</v>
      </c>
      <c r="BF53">
        <v>0</v>
      </c>
      <c r="BG53">
        <v>0</v>
      </c>
      <c r="BH53">
        <v>0</v>
      </c>
      <c r="BI53" s="54">
        <f t="shared" ref="BI53" si="72">AVERAGE(BC53:BC58)</f>
        <v>11.811333333333332</v>
      </c>
    </row>
    <row r="54" spans="1:61">
      <c r="A54">
        <v>0</v>
      </c>
      <c r="B54" t="s">
        <v>7</v>
      </c>
      <c r="C54">
        <v>19072</v>
      </c>
      <c r="D54">
        <v>64</v>
      </c>
      <c r="E54">
        <v>2</v>
      </c>
      <c r="F54">
        <v>2</v>
      </c>
      <c r="G54" s="1">
        <v>460.81</v>
      </c>
      <c r="H54" s="63">
        <v>10.038</v>
      </c>
      <c r="I54" s="27">
        <v>45508</v>
      </c>
      <c r="J54" s="53">
        <v>0.9390856481481481</v>
      </c>
      <c r="K54">
        <v>0</v>
      </c>
      <c r="L54">
        <v>0</v>
      </c>
      <c r="M54">
        <v>0</v>
      </c>
      <c r="N54" s="54">
        <f t="shared" ref="N54" si="73">AVERAGE(H54:H58)</f>
        <v>10.065800000000001</v>
      </c>
      <c r="Q54">
        <v>0</v>
      </c>
      <c r="R54" t="s">
        <v>7</v>
      </c>
      <c r="S54">
        <v>19072</v>
      </c>
      <c r="T54">
        <v>64</v>
      </c>
      <c r="U54">
        <v>2</v>
      </c>
      <c r="V54">
        <v>2</v>
      </c>
      <c r="W54">
        <v>395.45</v>
      </c>
      <c r="X54" s="48">
        <v>11.696999999999999</v>
      </c>
      <c r="Y54" s="27">
        <v>45505</v>
      </c>
      <c r="Z54" s="53">
        <v>0.80619212962962961</v>
      </c>
      <c r="AA54">
        <v>0</v>
      </c>
      <c r="AB54">
        <v>0</v>
      </c>
      <c r="AC54">
        <v>0</v>
      </c>
      <c r="AD54" s="54">
        <f t="shared" ref="AD54" si="74">AVERAGE(X54:X58)</f>
        <v>11.6942</v>
      </c>
      <c r="AF54">
        <v>0</v>
      </c>
      <c r="AG54" t="s">
        <v>7</v>
      </c>
      <c r="AH54">
        <v>19968</v>
      </c>
      <c r="AI54">
        <v>256</v>
      </c>
      <c r="AJ54">
        <v>1</v>
      </c>
      <c r="AK54">
        <v>4</v>
      </c>
      <c r="AL54">
        <v>417.66</v>
      </c>
      <c r="AM54" s="48">
        <v>12.71</v>
      </c>
      <c r="AN54" s="27">
        <v>45509</v>
      </c>
      <c r="AO54" s="53">
        <v>6.8865740740740741E-2</v>
      </c>
      <c r="AP54">
        <v>0</v>
      </c>
      <c r="AQ54">
        <v>0</v>
      </c>
      <c r="AR54">
        <v>0</v>
      </c>
      <c r="AS54" s="54">
        <f t="shared" ref="AS54" si="75">AVERAGE(AM54:AM58)</f>
        <v>12.654</v>
      </c>
      <c r="AT54" s="1">
        <f>AS54</f>
        <v>12.654</v>
      </c>
      <c r="AV54">
        <v>83</v>
      </c>
      <c r="AW54" t="s">
        <v>71</v>
      </c>
      <c r="AX54">
        <v>20096</v>
      </c>
      <c r="AY54">
        <v>64</v>
      </c>
      <c r="AZ54">
        <v>1</v>
      </c>
      <c r="BA54">
        <v>4</v>
      </c>
      <c r="BB54" s="1">
        <v>457.31</v>
      </c>
      <c r="BC54" s="46">
        <v>11.832000000000001</v>
      </c>
      <c r="BF54">
        <v>0</v>
      </c>
      <c r="BG54">
        <v>0</v>
      </c>
      <c r="BH54">
        <v>0</v>
      </c>
      <c r="BI54" s="54">
        <f t="shared" ref="BI54" si="76">BI53</f>
        <v>11.811333333333332</v>
      </c>
    </row>
    <row r="55" spans="1:61">
      <c r="A55">
        <v>1</v>
      </c>
      <c r="B55" t="s">
        <v>7</v>
      </c>
      <c r="C55">
        <v>19072</v>
      </c>
      <c r="D55">
        <v>64</v>
      </c>
      <c r="E55">
        <v>2</v>
      </c>
      <c r="F55">
        <v>2</v>
      </c>
      <c r="G55" s="1">
        <v>458.79</v>
      </c>
      <c r="H55" s="63">
        <v>10.082000000000001</v>
      </c>
      <c r="I55" s="27">
        <v>45509</v>
      </c>
      <c r="J55" s="53">
        <v>0.20755787037037038</v>
      </c>
      <c r="K55">
        <v>0</v>
      </c>
      <c r="L55">
        <v>0</v>
      </c>
      <c r="M55">
        <v>0</v>
      </c>
      <c r="N55" s="54">
        <f t="shared" ref="N55" si="77">N54</f>
        <v>10.065800000000001</v>
      </c>
      <c r="Q55">
        <v>1</v>
      </c>
      <c r="R55" t="s">
        <v>7</v>
      </c>
      <c r="S55">
        <v>19072</v>
      </c>
      <c r="T55">
        <v>64</v>
      </c>
      <c r="U55">
        <v>2</v>
      </c>
      <c r="V55">
        <v>2</v>
      </c>
      <c r="W55">
        <v>396.52</v>
      </c>
      <c r="X55" s="48">
        <v>11.664999999999999</v>
      </c>
      <c r="Y55" s="27">
        <v>45506</v>
      </c>
      <c r="Z55" s="53">
        <v>4.5231481481481484E-2</v>
      </c>
      <c r="AA55">
        <v>0</v>
      </c>
      <c r="AB55">
        <v>0</v>
      </c>
      <c r="AC55">
        <v>0</v>
      </c>
      <c r="AD55" s="54">
        <f t="shared" ref="AD55" si="78">AD54</f>
        <v>11.6942</v>
      </c>
      <c r="AF55">
        <v>1</v>
      </c>
      <c r="AG55" t="s">
        <v>7</v>
      </c>
      <c r="AH55">
        <v>19968</v>
      </c>
      <c r="AI55">
        <v>256</v>
      </c>
      <c r="AJ55">
        <v>1</v>
      </c>
      <c r="AK55">
        <v>4</v>
      </c>
      <c r="AL55">
        <v>411.63</v>
      </c>
      <c r="AM55" s="48">
        <v>12.896000000000001</v>
      </c>
      <c r="AN55" s="27">
        <v>45509</v>
      </c>
      <c r="AO55" s="53">
        <v>0.30646990740740743</v>
      </c>
      <c r="AP55">
        <v>0</v>
      </c>
      <c r="AQ55">
        <v>0</v>
      </c>
      <c r="AR55">
        <v>0</v>
      </c>
      <c r="AS55" s="54">
        <f t="shared" ref="AS55" si="79">AS54</f>
        <v>12.654</v>
      </c>
      <c r="AT55" s="1">
        <f>AT54</f>
        <v>12.654</v>
      </c>
      <c r="AV55">
        <v>131</v>
      </c>
      <c r="AW55" t="s">
        <v>71</v>
      </c>
      <c r="AX55">
        <v>20096</v>
      </c>
      <c r="AY55">
        <v>64</v>
      </c>
      <c r="AZ55">
        <v>1</v>
      </c>
      <c r="BA55">
        <v>4</v>
      </c>
      <c r="BB55" s="1">
        <v>459.37</v>
      </c>
      <c r="BC55" s="46">
        <v>11.779</v>
      </c>
      <c r="BF55">
        <v>0</v>
      </c>
      <c r="BG55">
        <v>0</v>
      </c>
      <c r="BH55">
        <v>0</v>
      </c>
      <c r="BI55" s="54">
        <f t="shared" si="19"/>
        <v>11.811333333333332</v>
      </c>
    </row>
    <row r="56" spans="1:61">
      <c r="A56">
        <v>2</v>
      </c>
      <c r="B56" t="s">
        <v>7</v>
      </c>
      <c r="C56">
        <v>19072</v>
      </c>
      <c r="D56">
        <v>64</v>
      </c>
      <c r="E56">
        <v>2</v>
      </c>
      <c r="F56">
        <v>2</v>
      </c>
      <c r="G56" s="1">
        <v>458.53</v>
      </c>
      <c r="H56" s="63">
        <v>10.087</v>
      </c>
      <c r="I56" s="27">
        <v>45509</v>
      </c>
      <c r="J56" s="53">
        <v>0.47561342592592593</v>
      </c>
      <c r="K56">
        <v>0</v>
      </c>
      <c r="L56">
        <v>0</v>
      </c>
      <c r="M56">
        <v>0</v>
      </c>
      <c r="N56" s="54">
        <f t="shared" si="15"/>
        <v>10.065800000000001</v>
      </c>
      <c r="Q56">
        <v>2</v>
      </c>
      <c r="R56" t="s">
        <v>7</v>
      </c>
      <c r="S56">
        <v>19072</v>
      </c>
      <c r="T56">
        <v>64</v>
      </c>
      <c r="U56">
        <v>2</v>
      </c>
      <c r="V56">
        <v>2</v>
      </c>
      <c r="W56">
        <v>395.11</v>
      </c>
      <c r="X56" s="48">
        <v>11.707000000000001</v>
      </c>
      <c r="Y56" s="27">
        <v>45506</v>
      </c>
      <c r="Z56" s="53">
        <v>0.28261574074074075</v>
      </c>
      <c r="AA56">
        <v>0</v>
      </c>
      <c r="AB56">
        <v>0</v>
      </c>
      <c r="AC56">
        <v>0</v>
      </c>
      <c r="AD56" s="54">
        <f t="shared" si="16"/>
        <v>11.6942</v>
      </c>
      <c r="AF56">
        <v>2</v>
      </c>
      <c r="AG56" t="s">
        <v>7</v>
      </c>
      <c r="AH56">
        <v>19968</v>
      </c>
      <c r="AI56">
        <v>256</v>
      </c>
      <c r="AJ56">
        <v>1</v>
      </c>
      <c r="AK56">
        <v>4</v>
      </c>
      <c r="AL56">
        <v>424.48</v>
      </c>
      <c r="AM56" s="48">
        <v>12.506</v>
      </c>
      <c r="AN56" s="27">
        <v>45509</v>
      </c>
      <c r="AO56" s="53">
        <v>0.54489583333333336</v>
      </c>
      <c r="AP56">
        <v>0</v>
      </c>
      <c r="AQ56">
        <v>0</v>
      </c>
      <c r="AR56">
        <v>0</v>
      </c>
      <c r="AS56" s="54">
        <f t="shared" si="17"/>
        <v>12.654</v>
      </c>
      <c r="AT56" s="1">
        <f>AT55</f>
        <v>12.654</v>
      </c>
      <c r="AV56">
        <v>179</v>
      </c>
      <c r="AW56" t="s">
        <v>71</v>
      </c>
      <c r="AX56">
        <v>20096</v>
      </c>
      <c r="AY56">
        <v>64</v>
      </c>
      <c r="AZ56">
        <v>1</v>
      </c>
      <c r="BA56">
        <v>4</v>
      </c>
      <c r="BB56" s="1">
        <v>458.32</v>
      </c>
      <c r="BC56" s="46">
        <v>11.805999999999999</v>
      </c>
      <c r="BF56">
        <v>0</v>
      </c>
      <c r="BG56">
        <v>0</v>
      </c>
      <c r="BH56">
        <v>0</v>
      </c>
      <c r="BI56" s="54">
        <f t="shared" si="19"/>
        <v>11.811333333333332</v>
      </c>
    </row>
    <row r="57" spans="1:61">
      <c r="A57">
        <v>3</v>
      </c>
      <c r="B57" t="s">
        <v>7</v>
      </c>
      <c r="C57">
        <v>19072</v>
      </c>
      <c r="D57">
        <v>64</v>
      </c>
      <c r="E57">
        <v>2</v>
      </c>
      <c r="F57">
        <v>2</v>
      </c>
      <c r="G57" s="1">
        <v>460.78</v>
      </c>
      <c r="H57" s="63">
        <v>10.038</v>
      </c>
      <c r="I57" s="27">
        <v>45509</v>
      </c>
      <c r="J57" s="53">
        <v>0.74359953703703707</v>
      </c>
      <c r="K57">
        <v>0</v>
      </c>
      <c r="L57">
        <v>0</v>
      </c>
      <c r="M57">
        <v>0</v>
      </c>
      <c r="N57" s="54">
        <f t="shared" si="15"/>
        <v>10.065800000000001</v>
      </c>
      <c r="Q57">
        <v>3</v>
      </c>
      <c r="R57" t="s">
        <v>7</v>
      </c>
      <c r="S57">
        <v>19072</v>
      </c>
      <c r="T57">
        <v>64</v>
      </c>
      <c r="U57">
        <v>2</v>
      </c>
      <c r="V57">
        <v>2</v>
      </c>
      <c r="W57">
        <v>395.54</v>
      </c>
      <c r="X57" s="48">
        <v>11.694000000000001</v>
      </c>
      <c r="Y57" s="27">
        <v>45506</v>
      </c>
      <c r="Z57" s="53">
        <v>0.5199421296296296</v>
      </c>
      <c r="AA57">
        <v>0</v>
      </c>
      <c r="AB57">
        <v>0</v>
      </c>
      <c r="AC57">
        <v>0</v>
      </c>
      <c r="AD57" s="54">
        <f t="shared" si="16"/>
        <v>11.6942</v>
      </c>
      <c r="AF57">
        <v>3</v>
      </c>
      <c r="AG57" t="s">
        <v>7</v>
      </c>
      <c r="AH57">
        <v>19968</v>
      </c>
      <c r="AI57">
        <v>256</v>
      </c>
      <c r="AJ57">
        <v>1</v>
      </c>
      <c r="AK57">
        <v>4</v>
      </c>
      <c r="AL57">
        <v>421.96</v>
      </c>
      <c r="AM57" s="48">
        <v>12.58</v>
      </c>
      <c r="AN57" s="27">
        <v>45509</v>
      </c>
      <c r="AO57" s="53">
        <v>0.78307870370370369</v>
      </c>
      <c r="AP57">
        <v>0</v>
      </c>
      <c r="AQ57">
        <v>0</v>
      </c>
      <c r="AR57">
        <v>0</v>
      </c>
      <c r="AS57" s="54">
        <f t="shared" si="17"/>
        <v>12.654</v>
      </c>
      <c r="AT57" s="1">
        <f>AT56</f>
        <v>12.654</v>
      </c>
      <c r="AV57">
        <v>227</v>
      </c>
      <c r="AW57" t="s">
        <v>71</v>
      </c>
      <c r="AX57">
        <v>20096</v>
      </c>
      <c r="AY57">
        <v>64</v>
      </c>
      <c r="AZ57">
        <v>1</v>
      </c>
      <c r="BA57">
        <v>4</v>
      </c>
      <c r="BB57" s="1">
        <v>459.78</v>
      </c>
      <c r="BC57" s="46">
        <v>11.769</v>
      </c>
      <c r="BF57">
        <v>0</v>
      </c>
      <c r="BG57">
        <v>0</v>
      </c>
      <c r="BH57">
        <v>0</v>
      </c>
      <c r="BI57" s="54">
        <f t="shared" si="19"/>
        <v>11.811333333333332</v>
      </c>
    </row>
    <row r="58" spans="1:61">
      <c r="A58">
        <v>4</v>
      </c>
      <c r="B58" t="s">
        <v>7</v>
      </c>
      <c r="C58">
        <v>19072</v>
      </c>
      <c r="D58">
        <v>64</v>
      </c>
      <c r="E58">
        <v>2</v>
      </c>
      <c r="F58">
        <v>2</v>
      </c>
      <c r="G58" s="1">
        <v>458.7</v>
      </c>
      <c r="H58" s="63">
        <v>10.084</v>
      </c>
      <c r="I58" s="27">
        <v>45510</v>
      </c>
      <c r="J58" s="53">
        <v>1.1493055555555555E-2</v>
      </c>
      <c r="K58">
        <v>0</v>
      </c>
      <c r="L58">
        <v>0</v>
      </c>
      <c r="M58">
        <v>0</v>
      </c>
      <c r="N58" s="54">
        <f t="shared" si="15"/>
        <v>10.065800000000001</v>
      </c>
      <c r="Q58">
        <v>4</v>
      </c>
      <c r="R58" t="s">
        <v>7</v>
      </c>
      <c r="S58">
        <v>19072</v>
      </c>
      <c r="T58">
        <v>64</v>
      </c>
      <c r="U58">
        <v>2</v>
      </c>
      <c r="V58">
        <v>2</v>
      </c>
      <c r="W58">
        <v>395.05</v>
      </c>
      <c r="X58" s="48">
        <v>11.708</v>
      </c>
      <c r="Y58" s="27">
        <v>45506</v>
      </c>
      <c r="Z58" s="53">
        <v>0.75718750000000001</v>
      </c>
      <c r="AA58">
        <v>0</v>
      </c>
      <c r="AB58">
        <v>0</v>
      </c>
      <c r="AC58">
        <v>0</v>
      </c>
      <c r="AD58" s="54">
        <f t="shared" si="16"/>
        <v>11.6942</v>
      </c>
      <c r="AF58">
        <v>4</v>
      </c>
      <c r="AG58" t="s">
        <v>7</v>
      </c>
      <c r="AH58">
        <v>19968</v>
      </c>
      <c r="AI58">
        <v>256</v>
      </c>
      <c r="AJ58">
        <v>1</v>
      </c>
      <c r="AK58">
        <v>4</v>
      </c>
      <c r="AL58">
        <v>422.03</v>
      </c>
      <c r="AM58" s="48">
        <v>12.577999999999999</v>
      </c>
      <c r="AN58" s="27">
        <v>45510</v>
      </c>
      <c r="AO58" s="53">
        <v>2.0983796296296296E-2</v>
      </c>
      <c r="AP58">
        <v>0</v>
      </c>
      <c r="AQ58">
        <v>0</v>
      </c>
      <c r="AR58">
        <v>0</v>
      </c>
      <c r="AS58" s="54">
        <f t="shared" si="17"/>
        <v>12.654</v>
      </c>
      <c r="AT58" s="1">
        <f>AT57</f>
        <v>12.654</v>
      </c>
      <c r="AV58">
        <v>275</v>
      </c>
      <c r="AW58" t="s">
        <v>71</v>
      </c>
      <c r="AX58">
        <v>20096</v>
      </c>
      <c r="AY58">
        <v>64</v>
      </c>
      <c r="AZ58">
        <v>1</v>
      </c>
      <c r="BA58">
        <v>4</v>
      </c>
      <c r="BB58" s="1">
        <v>457.31</v>
      </c>
      <c r="BC58" s="46">
        <v>11.833</v>
      </c>
      <c r="BF58">
        <v>0</v>
      </c>
      <c r="BG58">
        <v>0</v>
      </c>
      <c r="BH58">
        <v>0</v>
      </c>
      <c r="BI58" s="54">
        <f t="shared" si="19"/>
        <v>11.811333333333332</v>
      </c>
    </row>
    <row r="59" spans="1:61">
      <c r="A59">
        <v>0</v>
      </c>
      <c r="B59" t="s">
        <v>7</v>
      </c>
      <c r="C59">
        <v>20160</v>
      </c>
      <c r="D59">
        <v>64</v>
      </c>
      <c r="E59">
        <v>2</v>
      </c>
      <c r="F59">
        <v>2</v>
      </c>
      <c r="G59" s="1">
        <v>544.33000000000004</v>
      </c>
      <c r="H59" s="63">
        <v>10.036</v>
      </c>
      <c r="I59" s="27">
        <v>45509</v>
      </c>
      <c r="J59" s="53">
        <v>3.2870370370370369E-2</v>
      </c>
      <c r="K59">
        <v>0</v>
      </c>
      <c r="L59">
        <v>0</v>
      </c>
      <c r="M59">
        <v>0</v>
      </c>
      <c r="N59" s="54">
        <f t="shared" ref="N59" si="80">AVERAGE(H59:H63)</f>
        <v>10.029799999999998</v>
      </c>
      <c r="Q59">
        <v>0</v>
      </c>
      <c r="R59" t="s">
        <v>7</v>
      </c>
      <c r="S59">
        <v>20160</v>
      </c>
      <c r="T59">
        <v>64</v>
      </c>
      <c r="U59">
        <v>2</v>
      </c>
      <c r="V59">
        <v>2</v>
      </c>
      <c r="W59">
        <v>471.16</v>
      </c>
      <c r="X59" s="48">
        <v>11.595000000000001</v>
      </c>
      <c r="Y59" s="27">
        <v>45505</v>
      </c>
      <c r="Z59" s="53">
        <v>0.89039351851851856</v>
      </c>
      <c r="AA59">
        <v>0</v>
      </c>
      <c r="AB59">
        <v>0</v>
      </c>
      <c r="AC59">
        <v>0</v>
      </c>
      <c r="AD59" s="54">
        <f t="shared" ref="AD59" si="81">AVERAGE(X59:X63)</f>
        <v>11.609800000000002</v>
      </c>
      <c r="AF59">
        <v>0</v>
      </c>
      <c r="AG59" t="s">
        <v>7</v>
      </c>
      <c r="AH59">
        <v>17952</v>
      </c>
      <c r="AI59">
        <v>96</v>
      </c>
      <c r="AJ59">
        <v>1</v>
      </c>
      <c r="AK59">
        <v>4</v>
      </c>
      <c r="AL59">
        <v>304.8</v>
      </c>
      <c r="AM59" s="48">
        <v>12.656000000000001</v>
      </c>
      <c r="AN59" s="27">
        <v>45508</v>
      </c>
      <c r="AO59" s="53">
        <v>0.8615856481481482</v>
      </c>
      <c r="AP59">
        <v>0</v>
      </c>
      <c r="AQ59">
        <v>0</v>
      </c>
      <c r="AR59">
        <v>0</v>
      </c>
      <c r="AS59" s="54">
        <f t="shared" ref="AS59" si="82">AVERAGE(AM59:AM63)</f>
        <v>12.646799999999999</v>
      </c>
      <c r="AT59" s="1">
        <f>AS59</f>
        <v>12.646799999999999</v>
      </c>
      <c r="AV59">
        <v>4</v>
      </c>
      <c r="AW59" t="s">
        <v>71</v>
      </c>
      <c r="AX59">
        <v>18048</v>
      </c>
      <c r="AY59">
        <v>64</v>
      </c>
      <c r="AZ59">
        <v>2</v>
      </c>
      <c r="BA59">
        <v>2</v>
      </c>
      <c r="BB59" s="1">
        <v>338.31</v>
      </c>
      <c r="BC59" s="46">
        <v>11.586</v>
      </c>
      <c r="BF59">
        <v>0</v>
      </c>
      <c r="BG59">
        <v>0</v>
      </c>
      <c r="BH59">
        <v>0</v>
      </c>
      <c r="BI59" s="54">
        <f t="shared" ref="BI59" si="83">AVERAGE(BC59:BC64)</f>
        <v>11.546833333333334</v>
      </c>
    </row>
    <row r="60" spans="1:61">
      <c r="A60">
        <v>1</v>
      </c>
      <c r="B60" t="s">
        <v>7</v>
      </c>
      <c r="C60">
        <v>20160</v>
      </c>
      <c r="D60">
        <v>64</v>
      </c>
      <c r="E60">
        <v>2</v>
      </c>
      <c r="F60">
        <v>2</v>
      </c>
      <c r="G60" s="1">
        <v>545.42999999999995</v>
      </c>
      <c r="H60" s="63">
        <v>10.016</v>
      </c>
      <c r="I60" s="27">
        <v>45509</v>
      </c>
      <c r="J60" s="53">
        <v>0.30107638888888888</v>
      </c>
      <c r="K60">
        <v>0</v>
      </c>
      <c r="L60">
        <v>0</v>
      </c>
      <c r="M60">
        <v>0</v>
      </c>
      <c r="N60" s="54">
        <f t="shared" ref="N60" si="84">N59</f>
        <v>10.029799999999998</v>
      </c>
      <c r="Q60">
        <v>1</v>
      </c>
      <c r="R60" t="s">
        <v>7</v>
      </c>
      <c r="S60">
        <v>20160</v>
      </c>
      <c r="T60">
        <v>64</v>
      </c>
      <c r="U60">
        <v>2</v>
      </c>
      <c r="V60">
        <v>2</v>
      </c>
      <c r="W60">
        <v>470.61</v>
      </c>
      <c r="X60" s="48">
        <v>11.608000000000001</v>
      </c>
      <c r="Y60" s="27">
        <v>45506</v>
      </c>
      <c r="Z60" s="53">
        <v>0.12815972222222222</v>
      </c>
      <c r="AA60">
        <v>0</v>
      </c>
      <c r="AB60">
        <v>0</v>
      </c>
      <c r="AC60">
        <v>0</v>
      </c>
      <c r="AD60" s="54">
        <f t="shared" ref="AD60" si="85">AD59</f>
        <v>11.609800000000002</v>
      </c>
      <c r="AF60">
        <v>1</v>
      </c>
      <c r="AG60" t="s">
        <v>7</v>
      </c>
      <c r="AH60">
        <v>17952</v>
      </c>
      <c r="AI60">
        <v>96</v>
      </c>
      <c r="AJ60">
        <v>1</v>
      </c>
      <c r="AK60">
        <v>4</v>
      </c>
      <c r="AL60">
        <v>304.62</v>
      </c>
      <c r="AM60" s="48">
        <v>12.663</v>
      </c>
      <c r="AN60" s="27">
        <v>45509</v>
      </c>
      <c r="AO60" s="53">
        <v>9.8900462962962968E-2</v>
      </c>
      <c r="AP60">
        <v>0</v>
      </c>
      <c r="AQ60">
        <v>0</v>
      </c>
      <c r="AR60">
        <v>0</v>
      </c>
      <c r="AS60" s="54">
        <f t="shared" ref="AS60" si="86">AS59</f>
        <v>12.646799999999999</v>
      </c>
      <c r="AT60" s="1">
        <f>AT59</f>
        <v>12.646799999999999</v>
      </c>
      <c r="AV60">
        <v>52</v>
      </c>
      <c r="AW60" t="s">
        <v>71</v>
      </c>
      <c r="AX60">
        <v>18048</v>
      </c>
      <c r="AY60">
        <v>64</v>
      </c>
      <c r="AZ60">
        <v>2</v>
      </c>
      <c r="BA60">
        <v>2</v>
      </c>
      <c r="BB60" s="1">
        <v>340.25</v>
      </c>
      <c r="BC60" s="46">
        <v>11.52</v>
      </c>
      <c r="BF60">
        <v>0</v>
      </c>
      <c r="BG60">
        <v>0</v>
      </c>
      <c r="BH60">
        <v>0</v>
      </c>
      <c r="BI60" s="54">
        <f t="shared" ref="BI60" si="87">BI59</f>
        <v>11.546833333333334</v>
      </c>
    </row>
    <row r="61" spans="1:61">
      <c r="A61">
        <v>2</v>
      </c>
      <c r="B61" t="s">
        <v>7</v>
      </c>
      <c r="C61">
        <v>20160</v>
      </c>
      <c r="D61">
        <v>64</v>
      </c>
      <c r="E61">
        <v>2</v>
      </c>
      <c r="F61">
        <v>2</v>
      </c>
      <c r="G61" s="1">
        <v>544.76</v>
      </c>
      <c r="H61" s="63">
        <v>10.028</v>
      </c>
      <c r="I61" s="27">
        <v>45509</v>
      </c>
      <c r="J61" s="53">
        <v>0.56903935185185184</v>
      </c>
      <c r="K61">
        <v>0</v>
      </c>
      <c r="L61">
        <v>0</v>
      </c>
      <c r="M61">
        <v>0</v>
      </c>
      <c r="N61" s="54">
        <f t="shared" si="15"/>
        <v>10.029799999999998</v>
      </c>
      <c r="Q61">
        <v>2</v>
      </c>
      <c r="R61" t="s">
        <v>7</v>
      </c>
      <c r="S61">
        <v>20160</v>
      </c>
      <c r="T61">
        <v>64</v>
      </c>
      <c r="U61">
        <v>2</v>
      </c>
      <c r="V61">
        <v>2</v>
      </c>
      <c r="W61">
        <v>471.53</v>
      </c>
      <c r="X61" s="48">
        <v>11.586</v>
      </c>
      <c r="Y61" s="27">
        <v>45506</v>
      </c>
      <c r="Z61" s="53">
        <v>0.36535879629629631</v>
      </c>
      <c r="AA61">
        <v>0</v>
      </c>
      <c r="AB61">
        <v>0</v>
      </c>
      <c r="AC61">
        <v>0</v>
      </c>
      <c r="AD61" s="54">
        <f t="shared" si="16"/>
        <v>11.609800000000002</v>
      </c>
      <c r="AF61">
        <v>2</v>
      </c>
      <c r="AG61" t="s">
        <v>7</v>
      </c>
      <c r="AH61">
        <v>17952</v>
      </c>
      <c r="AI61">
        <v>96</v>
      </c>
      <c r="AJ61">
        <v>1</v>
      </c>
      <c r="AK61">
        <v>4</v>
      </c>
      <c r="AL61">
        <v>306.63</v>
      </c>
      <c r="AM61" s="48">
        <v>12.58</v>
      </c>
      <c r="AN61" s="27">
        <v>45509</v>
      </c>
      <c r="AO61" s="53">
        <v>0.33637731481481481</v>
      </c>
      <c r="AP61">
        <v>0</v>
      </c>
      <c r="AQ61">
        <v>0</v>
      </c>
      <c r="AR61">
        <v>0</v>
      </c>
      <c r="AS61" s="54">
        <f t="shared" si="17"/>
        <v>12.646799999999999</v>
      </c>
      <c r="AT61" s="1">
        <f>AT60</f>
        <v>12.646799999999999</v>
      </c>
      <c r="AV61">
        <v>100</v>
      </c>
      <c r="AW61" t="s">
        <v>71</v>
      </c>
      <c r="AX61">
        <v>18048</v>
      </c>
      <c r="AY61">
        <v>64</v>
      </c>
      <c r="AZ61">
        <v>2</v>
      </c>
      <c r="BA61">
        <v>2</v>
      </c>
      <c r="BB61" s="1">
        <v>339.73</v>
      </c>
      <c r="BC61" s="46">
        <v>11.538</v>
      </c>
      <c r="BF61">
        <v>0</v>
      </c>
      <c r="BG61">
        <v>0</v>
      </c>
      <c r="BH61">
        <v>0</v>
      </c>
      <c r="BI61" s="54">
        <f t="shared" si="19"/>
        <v>11.546833333333334</v>
      </c>
    </row>
    <row r="62" spans="1:61">
      <c r="A62">
        <v>3</v>
      </c>
      <c r="B62" t="s">
        <v>7</v>
      </c>
      <c r="C62">
        <v>20160</v>
      </c>
      <c r="D62">
        <v>64</v>
      </c>
      <c r="E62">
        <v>2</v>
      </c>
      <c r="F62">
        <v>2</v>
      </c>
      <c r="G62" s="1">
        <v>545.04</v>
      </c>
      <c r="H62" s="63">
        <v>10.023</v>
      </c>
      <c r="I62" s="27">
        <v>45509</v>
      </c>
      <c r="J62" s="53">
        <v>0.83697916666666672</v>
      </c>
      <c r="K62">
        <v>0</v>
      </c>
      <c r="L62">
        <v>0</v>
      </c>
      <c r="M62">
        <v>0</v>
      </c>
      <c r="N62" s="54">
        <f t="shared" si="15"/>
        <v>10.029799999999998</v>
      </c>
      <c r="Q62">
        <v>3</v>
      </c>
      <c r="R62" t="s">
        <v>7</v>
      </c>
      <c r="S62">
        <v>20160</v>
      </c>
      <c r="T62">
        <v>64</v>
      </c>
      <c r="U62">
        <v>2</v>
      </c>
      <c r="V62">
        <v>2</v>
      </c>
      <c r="W62">
        <v>470.52</v>
      </c>
      <c r="X62" s="48">
        <v>11.611000000000001</v>
      </c>
      <c r="Y62" s="27">
        <v>45506</v>
      </c>
      <c r="Z62" s="53">
        <v>0.60277777777777775</v>
      </c>
      <c r="AA62">
        <v>0</v>
      </c>
      <c r="AB62">
        <v>0</v>
      </c>
      <c r="AC62">
        <v>0</v>
      </c>
      <c r="AD62" s="54">
        <f t="shared" si="16"/>
        <v>11.609800000000002</v>
      </c>
      <c r="AF62">
        <v>3</v>
      </c>
      <c r="AG62" t="s">
        <v>7</v>
      </c>
      <c r="AH62">
        <v>17952</v>
      </c>
      <c r="AI62">
        <v>96</v>
      </c>
      <c r="AJ62">
        <v>1</v>
      </c>
      <c r="AK62">
        <v>4</v>
      </c>
      <c r="AL62">
        <v>304.49</v>
      </c>
      <c r="AM62" s="48">
        <v>12.669</v>
      </c>
      <c r="AN62" s="27">
        <v>45509</v>
      </c>
      <c r="AO62" s="53">
        <v>0.57482638888888893</v>
      </c>
      <c r="AP62">
        <v>0</v>
      </c>
      <c r="AQ62">
        <v>0</v>
      </c>
      <c r="AR62">
        <v>0</v>
      </c>
      <c r="AS62" s="54">
        <f t="shared" si="17"/>
        <v>12.646799999999999</v>
      </c>
      <c r="AT62" s="1">
        <f>AT61</f>
        <v>12.646799999999999</v>
      </c>
      <c r="AV62">
        <v>148</v>
      </c>
      <c r="AW62" t="s">
        <v>71</v>
      </c>
      <c r="AX62">
        <v>18048</v>
      </c>
      <c r="AY62">
        <v>64</v>
      </c>
      <c r="AZ62">
        <v>2</v>
      </c>
      <c r="BA62">
        <v>2</v>
      </c>
      <c r="BB62" s="1">
        <v>338.94</v>
      </c>
      <c r="BC62" s="46">
        <v>11.565</v>
      </c>
      <c r="BF62">
        <v>0</v>
      </c>
      <c r="BG62">
        <v>0</v>
      </c>
      <c r="BH62">
        <v>0</v>
      </c>
      <c r="BI62" s="54">
        <f t="shared" si="19"/>
        <v>11.546833333333334</v>
      </c>
    </row>
    <row r="63" spans="1:61">
      <c r="A63">
        <v>4</v>
      </c>
      <c r="B63" t="s">
        <v>7</v>
      </c>
      <c r="C63">
        <v>20160</v>
      </c>
      <c r="D63">
        <v>64</v>
      </c>
      <c r="E63">
        <v>2</v>
      </c>
      <c r="F63">
        <v>2</v>
      </c>
      <c r="G63" s="1">
        <v>543.79</v>
      </c>
      <c r="H63" s="63">
        <v>10.045999999999999</v>
      </c>
      <c r="I63" s="27">
        <v>45510</v>
      </c>
      <c r="J63" s="53">
        <v>0.10494212962962964</v>
      </c>
      <c r="K63">
        <v>0</v>
      </c>
      <c r="L63">
        <v>0</v>
      </c>
      <c r="M63">
        <v>0</v>
      </c>
      <c r="N63" s="54">
        <f t="shared" si="15"/>
        <v>10.029799999999998</v>
      </c>
      <c r="Q63">
        <v>4</v>
      </c>
      <c r="R63" t="s">
        <v>7</v>
      </c>
      <c r="S63">
        <v>20160</v>
      </c>
      <c r="T63">
        <v>64</v>
      </c>
      <c r="U63">
        <v>2</v>
      </c>
      <c r="V63">
        <v>2</v>
      </c>
      <c r="W63">
        <v>468.97</v>
      </c>
      <c r="X63" s="48">
        <v>11.648999999999999</v>
      </c>
      <c r="Y63" s="27">
        <v>45506</v>
      </c>
      <c r="Z63" s="53">
        <v>0.84035879629629628</v>
      </c>
      <c r="AA63">
        <v>0</v>
      </c>
      <c r="AB63">
        <v>0</v>
      </c>
      <c r="AC63">
        <v>0</v>
      </c>
      <c r="AD63" s="54">
        <f t="shared" si="16"/>
        <v>11.609800000000002</v>
      </c>
      <c r="AF63">
        <v>4</v>
      </c>
      <c r="AG63" t="s">
        <v>7</v>
      </c>
      <c r="AH63">
        <v>17952</v>
      </c>
      <c r="AI63">
        <v>96</v>
      </c>
      <c r="AJ63">
        <v>1</v>
      </c>
      <c r="AK63">
        <v>4</v>
      </c>
      <c r="AL63">
        <v>304.55</v>
      </c>
      <c r="AM63" s="48">
        <v>12.666</v>
      </c>
      <c r="AN63" s="27">
        <v>45509</v>
      </c>
      <c r="AO63" s="53">
        <v>0.81298611111111108</v>
      </c>
      <c r="AP63">
        <v>0</v>
      </c>
      <c r="AQ63">
        <v>0</v>
      </c>
      <c r="AR63">
        <v>0</v>
      </c>
      <c r="AS63" s="54">
        <f t="shared" si="17"/>
        <v>12.646799999999999</v>
      </c>
      <c r="AT63" s="1">
        <f>AT62</f>
        <v>12.646799999999999</v>
      </c>
      <c r="AV63">
        <v>196</v>
      </c>
      <c r="AW63" t="s">
        <v>71</v>
      </c>
      <c r="AX63">
        <v>18048</v>
      </c>
      <c r="AY63">
        <v>64</v>
      </c>
      <c r="AZ63">
        <v>2</v>
      </c>
      <c r="BA63">
        <v>2</v>
      </c>
      <c r="BB63" s="1">
        <v>341.08</v>
      </c>
      <c r="BC63" s="46">
        <v>11.492000000000001</v>
      </c>
      <c r="BF63">
        <v>0</v>
      </c>
      <c r="BG63">
        <v>0</v>
      </c>
      <c r="BH63">
        <v>0</v>
      </c>
      <c r="BI63" s="54">
        <f t="shared" si="19"/>
        <v>11.546833333333334</v>
      </c>
    </row>
    <row r="64" spans="1:61">
      <c r="A64">
        <v>0</v>
      </c>
      <c r="B64" t="s">
        <v>7</v>
      </c>
      <c r="C64">
        <v>17952</v>
      </c>
      <c r="D64">
        <v>96</v>
      </c>
      <c r="E64">
        <v>1</v>
      </c>
      <c r="F64">
        <v>4</v>
      </c>
      <c r="G64" s="1">
        <v>408.75</v>
      </c>
      <c r="H64" s="63">
        <v>9.4373000000000005</v>
      </c>
      <c r="I64" s="27">
        <v>45508</v>
      </c>
      <c r="J64" s="53">
        <v>0.86380787037037032</v>
      </c>
      <c r="K64">
        <v>0</v>
      </c>
      <c r="L64">
        <v>0</v>
      </c>
      <c r="M64">
        <v>0</v>
      </c>
      <c r="N64" s="54">
        <f t="shared" ref="N64" si="88">AVERAGE(H64:H68)</f>
        <v>9.6265600000000013</v>
      </c>
      <c r="Q64">
        <v>0</v>
      </c>
      <c r="R64" t="s">
        <v>7</v>
      </c>
      <c r="S64">
        <v>17952</v>
      </c>
      <c r="T64">
        <v>96</v>
      </c>
      <c r="U64">
        <v>1</v>
      </c>
      <c r="V64">
        <v>4</v>
      </c>
      <c r="W64">
        <v>303.5</v>
      </c>
      <c r="X64" s="48">
        <v>12.71</v>
      </c>
      <c r="Y64" s="27">
        <v>45505</v>
      </c>
      <c r="Z64" s="53">
        <v>0.73951388888888892</v>
      </c>
      <c r="AA64">
        <v>0</v>
      </c>
      <c r="AB64">
        <v>0</v>
      </c>
      <c r="AC64">
        <v>0</v>
      </c>
      <c r="AD64" s="54">
        <f t="shared" ref="AD64" si="89">AVERAGE(X64:X68)</f>
        <v>12.642199999999999</v>
      </c>
      <c r="AF64">
        <v>0</v>
      </c>
      <c r="AG64" t="s">
        <v>7</v>
      </c>
      <c r="AH64">
        <v>19072</v>
      </c>
      <c r="AI64">
        <v>128</v>
      </c>
      <c r="AJ64">
        <v>2</v>
      </c>
      <c r="AK64">
        <v>2</v>
      </c>
      <c r="AL64">
        <v>360.23</v>
      </c>
      <c r="AM64" s="48">
        <v>12.84</v>
      </c>
      <c r="AN64" s="27">
        <v>45508</v>
      </c>
      <c r="AO64" s="53">
        <v>0.94557870370370367</v>
      </c>
      <c r="AP64">
        <v>0</v>
      </c>
      <c r="AQ64">
        <v>0</v>
      </c>
      <c r="AR64">
        <v>0</v>
      </c>
      <c r="AS64" s="54">
        <f t="shared" ref="AS64" si="90">AVERAGE(AM64:AM68)</f>
        <v>12.6206</v>
      </c>
      <c r="AT64" s="1">
        <f>AS64</f>
        <v>12.6206</v>
      </c>
      <c r="AV64">
        <v>244</v>
      </c>
      <c r="AW64" t="s">
        <v>71</v>
      </c>
      <c r="AX64">
        <v>18048</v>
      </c>
      <c r="AY64">
        <v>64</v>
      </c>
      <c r="AZ64">
        <v>2</v>
      </c>
      <c r="BA64">
        <v>2</v>
      </c>
      <c r="BB64" s="1">
        <v>338.48</v>
      </c>
      <c r="BC64" s="46">
        <v>11.58</v>
      </c>
      <c r="BF64">
        <v>0</v>
      </c>
      <c r="BG64">
        <v>0</v>
      </c>
      <c r="BH64">
        <v>0</v>
      </c>
      <c r="BI64" s="54">
        <f t="shared" si="19"/>
        <v>11.546833333333334</v>
      </c>
    </row>
    <row r="65" spans="1:61">
      <c r="A65">
        <v>1</v>
      </c>
      <c r="B65" t="s">
        <v>7</v>
      </c>
      <c r="C65">
        <v>17952</v>
      </c>
      <c r="D65">
        <v>96</v>
      </c>
      <c r="E65">
        <v>1</v>
      </c>
      <c r="F65">
        <v>4</v>
      </c>
      <c r="G65" s="1">
        <v>398.4</v>
      </c>
      <c r="H65" s="63">
        <v>9.6824999999999992</v>
      </c>
      <c r="I65" s="27">
        <v>45509</v>
      </c>
      <c r="J65" s="53">
        <v>0.13292824074074075</v>
      </c>
      <c r="K65">
        <v>0</v>
      </c>
      <c r="L65">
        <v>0</v>
      </c>
      <c r="M65">
        <v>0</v>
      </c>
      <c r="N65" s="54">
        <f t="shared" ref="N65" si="91">N64</f>
        <v>9.6265600000000013</v>
      </c>
      <c r="Q65">
        <v>1</v>
      </c>
      <c r="R65" t="s">
        <v>7</v>
      </c>
      <c r="S65">
        <v>17952</v>
      </c>
      <c r="T65">
        <v>96</v>
      </c>
      <c r="U65">
        <v>1</v>
      </c>
      <c r="V65">
        <v>4</v>
      </c>
      <c r="W65">
        <v>305.61</v>
      </c>
      <c r="X65" s="48">
        <v>12.622</v>
      </c>
      <c r="Y65" s="27">
        <v>45505</v>
      </c>
      <c r="Z65" s="53">
        <v>0.97923611111111108</v>
      </c>
      <c r="AA65">
        <v>0</v>
      </c>
      <c r="AB65">
        <v>0</v>
      </c>
      <c r="AC65">
        <v>0</v>
      </c>
      <c r="AD65" s="54">
        <f t="shared" ref="AD65" si="92">AD64</f>
        <v>12.642199999999999</v>
      </c>
      <c r="AF65">
        <v>1</v>
      </c>
      <c r="AG65" t="s">
        <v>7</v>
      </c>
      <c r="AH65">
        <v>19072</v>
      </c>
      <c r="AI65">
        <v>128</v>
      </c>
      <c r="AJ65">
        <v>2</v>
      </c>
      <c r="AK65">
        <v>2</v>
      </c>
      <c r="AL65">
        <v>368.31</v>
      </c>
      <c r="AM65" s="48">
        <v>12.558</v>
      </c>
      <c r="AN65" s="27">
        <v>45509</v>
      </c>
      <c r="AO65" s="53">
        <v>0.1829861111111111</v>
      </c>
      <c r="AP65">
        <v>0</v>
      </c>
      <c r="AQ65">
        <v>0</v>
      </c>
      <c r="AR65">
        <v>0</v>
      </c>
      <c r="AS65" s="54">
        <f t="shared" ref="AS65" si="93">AS64</f>
        <v>12.6206</v>
      </c>
      <c r="AT65" s="1">
        <f>AT64</f>
        <v>12.6206</v>
      </c>
      <c r="AV65">
        <v>20</v>
      </c>
      <c r="AW65" t="s">
        <v>71</v>
      </c>
      <c r="AX65">
        <v>19072</v>
      </c>
      <c r="AY65">
        <v>64</v>
      </c>
      <c r="AZ65">
        <v>2</v>
      </c>
      <c r="BA65">
        <v>2</v>
      </c>
      <c r="BB65" s="1">
        <v>399.81</v>
      </c>
      <c r="BC65" s="46">
        <v>11.569000000000001</v>
      </c>
      <c r="BF65">
        <v>0</v>
      </c>
      <c r="BG65">
        <v>0</v>
      </c>
      <c r="BH65">
        <v>0</v>
      </c>
      <c r="BI65" s="54">
        <f t="shared" ref="BI65" si="94">AVERAGE(BC65:BC70)</f>
        <v>11.58</v>
      </c>
    </row>
    <row r="66" spans="1:61">
      <c r="A66">
        <v>2</v>
      </c>
      <c r="B66" t="s">
        <v>7</v>
      </c>
      <c r="C66">
        <v>17952</v>
      </c>
      <c r="D66">
        <v>96</v>
      </c>
      <c r="E66">
        <v>1</v>
      </c>
      <c r="F66">
        <v>4</v>
      </c>
      <c r="G66" s="1">
        <v>399.1</v>
      </c>
      <c r="H66" s="63">
        <v>9.6654999999999998</v>
      </c>
      <c r="I66" s="27">
        <v>45509</v>
      </c>
      <c r="J66" s="53">
        <v>0.40113425925925927</v>
      </c>
      <c r="K66">
        <v>0</v>
      </c>
      <c r="L66">
        <v>0</v>
      </c>
      <c r="M66">
        <v>0</v>
      </c>
      <c r="N66" s="54">
        <f t="shared" si="15"/>
        <v>9.6265600000000013</v>
      </c>
      <c r="Q66">
        <v>2</v>
      </c>
      <c r="R66" t="s">
        <v>7</v>
      </c>
      <c r="S66">
        <v>17952</v>
      </c>
      <c r="T66">
        <v>96</v>
      </c>
      <c r="U66">
        <v>1</v>
      </c>
      <c r="V66">
        <v>4</v>
      </c>
      <c r="W66">
        <v>304.95</v>
      </c>
      <c r="X66" s="48">
        <v>12.65</v>
      </c>
      <c r="Y66" s="27">
        <v>45506</v>
      </c>
      <c r="Z66" s="53">
        <v>0.21641203703703704</v>
      </c>
      <c r="AA66">
        <v>0</v>
      </c>
      <c r="AB66">
        <v>0</v>
      </c>
      <c r="AC66">
        <v>0</v>
      </c>
      <c r="AD66" s="54">
        <f t="shared" si="16"/>
        <v>12.642199999999999</v>
      </c>
      <c r="AF66">
        <v>2</v>
      </c>
      <c r="AG66" t="s">
        <v>7</v>
      </c>
      <c r="AH66">
        <v>19072</v>
      </c>
      <c r="AI66">
        <v>128</v>
      </c>
      <c r="AJ66">
        <v>2</v>
      </c>
      <c r="AK66">
        <v>2</v>
      </c>
      <c r="AL66">
        <v>368.02</v>
      </c>
      <c r="AM66" s="48">
        <v>12.568</v>
      </c>
      <c r="AN66" s="27">
        <v>45509</v>
      </c>
      <c r="AO66" s="53">
        <v>0.42030092592592594</v>
      </c>
      <c r="AP66">
        <v>0</v>
      </c>
      <c r="AQ66">
        <v>0</v>
      </c>
      <c r="AR66">
        <v>0</v>
      </c>
      <c r="AS66" s="54">
        <f t="shared" si="17"/>
        <v>12.6206</v>
      </c>
      <c r="AT66" s="1">
        <f>AT65</f>
        <v>12.6206</v>
      </c>
      <c r="AV66">
        <v>68</v>
      </c>
      <c r="AW66" t="s">
        <v>71</v>
      </c>
      <c r="AX66">
        <v>19072</v>
      </c>
      <c r="AY66">
        <v>64</v>
      </c>
      <c r="AZ66">
        <v>2</v>
      </c>
      <c r="BA66">
        <v>2</v>
      </c>
      <c r="BB66" s="1">
        <v>399.9</v>
      </c>
      <c r="BC66" s="46">
        <v>11.566000000000001</v>
      </c>
      <c r="BF66">
        <v>0</v>
      </c>
      <c r="BG66">
        <v>0</v>
      </c>
      <c r="BH66">
        <v>0</v>
      </c>
      <c r="BI66" s="54">
        <f t="shared" ref="BI66" si="95">BI65</f>
        <v>11.58</v>
      </c>
    </row>
    <row r="67" spans="1:61">
      <c r="A67">
        <v>3</v>
      </c>
      <c r="B67" t="s">
        <v>7</v>
      </c>
      <c r="C67">
        <v>17952</v>
      </c>
      <c r="D67">
        <v>96</v>
      </c>
      <c r="E67">
        <v>1</v>
      </c>
      <c r="F67">
        <v>4</v>
      </c>
      <c r="G67" s="1">
        <v>398.4</v>
      </c>
      <c r="H67" s="63">
        <v>9.6823999999999995</v>
      </c>
      <c r="I67" s="27">
        <v>45509</v>
      </c>
      <c r="J67" s="53">
        <v>0.66902777777777778</v>
      </c>
      <c r="K67">
        <v>0</v>
      </c>
      <c r="L67">
        <v>0</v>
      </c>
      <c r="M67">
        <v>0</v>
      </c>
      <c r="N67" s="54">
        <f t="shared" si="15"/>
        <v>9.6265600000000013</v>
      </c>
      <c r="Q67">
        <v>3</v>
      </c>
      <c r="R67" t="s">
        <v>7</v>
      </c>
      <c r="S67">
        <v>17952</v>
      </c>
      <c r="T67">
        <v>96</v>
      </c>
      <c r="U67">
        <v>1</v>
      </c>
      <c r="V67">
        <v>4</v>
      </c>
      <c r="W67">
        <v>305.62</v>
      </c>
      <c r="X67" s="48">
        <v>12.622</v>
      </c>
      <c r="Y67" s="27">
        <v>45506</v>
      </c>
      <c r="Z67" s="53">
        <v>0.45386574074074076</v>
      </c>
      <c r="AA67">
        <v>0</v>
      </c>
      <c r="AB67">
        <v>0</v>
      </c>
      <c r="AC67">
        <v>0</v>
      </c>
      <c r="AD67" s="54">
        <f t="shared" si="16"/>
        <v>12.642199999999999</v>
      </c>
      <c r="AF67">
        <v>3</v>
      </c>
      <c r="AG67" t="s">
        <v>7</v>
      </c>
      <c r="AH67">
        <v>19072</v>
      </c>
      <c r="AI67">
        <v>128</v>
      </c>
      <c r="AJ67">
        <v>2</v>
      </c>
      <c r="AK67">
        <v>2</v>
      </c>
      <c r="AL67">
        <v>374.49</v>
      </c>
      <c r="AM67" s="48">
        <v>12.351000000000001</v>
      </c>
      <c r="AN67" s="27">
        <v>45509</v>
      </c>
      <c r="AO67" s="53">
        <v>0.65908564814814818</v>
      </c>
      <c r="AP67">
        <v>0</v>
      </c>
      <c r="AQ67">
        <v>0</v>
      </c>
      <c r="AR67">
        <v>0</v>
      </c>
      <c r="AS67" s="54">
        <f t="shared" si="17"/>
        <v>12.6206</v>
      </c>
      <c r="AT67" s="1">
        <f>AT66</f>
        <v>12.6206</v>
      </c>
      <c r="AV67">
        <v>116</v>
      </c>
      <c r="AW67" t="s">
        <v>71</v>
      </c>
      <c r="AX67">
        <v>19072</v>
      </c>
      <c r="AY67">
        <v>64</v>
      </c>
      <c r="AZ67">
        <v>2</v>
      </c>
      <c r="BA67">
        <v>2</v>
      </c>
      <c r="BB67" s="1">
        <v>397.49</v>
      </c>
      <c r="BC67" s="46">
        <v>11.635999999999999</v>
      </c>
      <c r="BF67">
        <v>0</v>
      </c>
      <c r="BG67">
        <v>0</v>
      </c>
      <c r="BH67">
        <v>0</v>
      </c>
      <c r="BI67" s="54">
        <f t="shared" si="19"/>
        <v>11.58</v>
      </c>
    </row>
    <row r="68" spans="1:61">
      <c r="A68">
        <v>4</v>
      </c>
      <c r="B68" t="s">
        <v>7</v>
      </c>
      <c r="C68">
        <v>17952</v>
      </c>
      <c r="D68">
        <v>96</v>
      </c>
      <c r="E68">
        <v>1</v>
      </c>
      <c r="F68">
        <v>4</v>
      </c>
      <c r="G68" s="1">
        <v>399.11</v>
      </c>
      <c r="H68" s="63">
        <v>9.6651000000000007</v>
      </c>
      <c r="I68" s="27">
        <v>45509</v>
      </c>
      <c r="J68" s="53">
        <v>0.93700231481481477</v>
      </c>
      <c r="K68">
        <v>0</v>
      </c>
      <c r="L68">
        <v>0</v>
      </c>
      <c r="M68">
        <v>0</v>
      </c>
      <c r="N68" s="54">
        <f t="shared" si="15"/>
        <v>9.6265600000000013</v>
      </c>
      <c r="Q68">
        <v>4</v>
      </c>
      <c r="R68" t="s">
        <v>7</v>
      </c>
      <c r="S68">
        <v>17952</v>
      </c>
      <c r="T68">
        <v>96</v>
      </c>
      <c r="U68">
        <v>1</v>
      </c>
      <c r="V68">
        <v>4</v>
      </c>
      <c r="W68">
        <v>305.98</v>
      </c>
      <c r="X68" s="48">
        <v>12.606999999999999</v>
      </c>
      <c r="Y68" s="27">
        <v>45506</v>
      </c>
      <c r="Z68" s="53">
        <v>0.69107638888888889</v>
      </c>
      <c r="AA68">
        <v>0</v>
      </c>
      <c r="AB68">
        <v>0</v>
      </c>
      <c r="AC68">
        <v>0</v>
      </c>
      <c r="AD68" s="54">
        <f t="shared" si="16"/>
        <v>12.642199999999999</v>
      </c>
      <c r="AF68">
        <v>4</v>
      </c>
      <c r="AG68" t="s">
        <v>7</v>
      </c>
      <c r="AH68">
        <v>19072</v>
      </c>
      <c r="AI68">
        <v>128</v>
      </c>
      <c r="AJ68">
        <v>2</v>
      </c>
      <c r="AK68">
        <v>2</v>
      </c>
      <c r="AL68">
        <v>361.76</v>
      </c>
      <c r="AM68" s="48">
        <v>12.786</v>
      </c>
      <c r="AN68" s="27">
        <v>45509</v>
      </c>
      <c r="AO68" s="53">
        <v>0.8969907407407407</v>
      </c>
      <c r="AP68">
        <v>0</v>
      </c>
      <c r="AQ68">
        <v>0</v>
      </c>
      <c r="AR68">
        <v>0</v>
      </c>
      <c r="AS68" s="54">
        <f t="shared" si="17"/>
        <v>12.6206</v>
      </c>
      <c r="AT68" s="1">
        <f>AT67</f>
        <v>12.6206</v>
      </c>
      <c r="AV68">
        <v>164</v>
      </c>
      <c r="AW68" t="s">
        <v>71</v>
      </c>
      <c r="AX68">
        <v>19072</v>
      </c>
      <c r="AY68">
        <v>64</v>
      </c>
      <c r="AZ68">
        <v>2</v>
      </c>
      <c r="BA68">
        <v>2</v>
      </c>
      <c r="BB68" s="1">
        <v>402.69</v>
      </c>
      <c r="BC68" s="46">
        <v>11.486000000000001</v>
      </c>
      <c r="BF68">
        <v>0</v>
      </c>
      <c r="BG68">
        <v>0</v>
      </c>
      <c r="BH68">
        <v>0</v>
      </c>
      <c r="BI68" s="54">
        <f t="shared" si="19"/>
        <v>11.58</v>
      </c>
    </row>
    <row r="69" spans="1:61">
      <c r="A69">
        <v>0</v>
      </c>
      <c r="B69" t="s">
        <v>7</v>
      </c>
      <c r="C69">
        <v>19008</v>
      </c>
      <c r="D69">
        <v>96</v>
      </c>
      <c r="E69">
        <v>1</v>
      </c>
      <c r="F69">
        <v>4</v>
      </c>
      <c r="G69" s="1">
        <v>469.36</v>
      </c>
      <c r="H69" s="63">
        <v>9.7559000000000005</v>
      </c>
      <c r="I69" s="27">
        <v>45508</v>
      </c>
      <c r="J69" s="53">
        <v>0.9447916666666667</v>
      </c>
      <c r="K69">
        <v>0</v>
      </c>
      <c r="L69">
        <v>0</v>
      </c>
      <c r="M69">
        <v>0</v>
      </c>
      <c r="N69" s="54">
        <f t="shared" ref="N69" si="96">AVERAGE(H69:H73)</f>
        <v>9.8672600000000017</v>
      </c>
      <c r="Q69">
        <v>0</v>
      </c>
      <c r="R69" t="s">
        <v>7</v>
      </c>
      <c r="S69">
        <v>19008</v>
      </c>
      <c r="T69">
        <v>96</v>
      </c>
      <c r="U69">
        <v>1</v>
      </c>
      <c r="V69">
        <v>4</v>
      </c>
      <c r="W69">
        <v>362.17</v>
      </c>
      <c r="X69" s="48">
        <v>12.643000000000001</v>
      </c>
      <c r="Y69" s="27">
        <v>45505</v>
      </c>
      <c r="Z69" s="53">
        <v>0.81068287037037035</v>
      </c>
      <c r="AA69">
        <v>0</v>
      </c>
      <c r="AB69">
        <v>0</v>
      </c>
      <c r="AC69">
        <v>0</v>
      </c>
      <c r="AD69" s="54">
        <f t="shared" ref="AD69" si="97">AVERAGE(X69:X73)</f>
        <v>12.710599999999999</v>
      </c>
      <c r="AF69">
        <v>0</v>
      </c>
      <c r="AG69" t="s">
        <v>7</v>
      </c>
      <c r="AH69">
        <v>17920</v>
      </c>
      <c r="AI69">
        <v>224</v>
      </c>
      <c r="AJ69">
        <v>1</v>
      </c>
      <c r="AK69">
        <v>4</v>
      </c>
      <c r="AL69">
        <v>304.89999999999998</v>
      </c>
      <c r="AM69" s="48">
        <v>12.584</v>
      </c>
      <c r="AN69" s="27">
        <v>45508</v>
      </c>
      <c r="AO69" s="53">
        <v>0.89209490740740738</v>
      </c>
      <c r="AP69">
        <v>0</v>
      </c>
      <c r="AQ69">
        <v>0</v>
      </c>
      <c r="AR69">
        <v>0</v>
      </c>
      <c r="AS69" s="54">
        <f t="shared" ref="AS69" si="98">AVERAGE(AM69:AM73)</f>
        <v>12.583600000000001</v>
      </c>
      <c r="AT69" s="1">
        <f>AS69</f>
        <v>12.583600000000001</v>
      </c>
      <c r="AV69">
        <v>212</v>
      </c>
      <c r="AW69" t="s">
        <v>71</v>
      </c>
      <c r="AX69">
        <v>19072</v>
      </c>
      <c r="AY69">
        <v>64</v>
      </c>
      <c r="AZ69">
        <v>2</v>
      </c>
      <c r="BA69">
        <v>2</v>
      </c>
      <c r="BB69" s="1">
        <v>397.62</v>
      </c>
      <c r="BC69" s="46">
        <v>11.632999999999999</v>
      </c>
      <c r="BF69">
        <v>0</v>
      </c>
      <c r="BG69">
        <v>0</v>
      </c>
      <c r="BH69">
        <v>0</v>
      </c>
      <c r="BI69" s="54">
        <f t="shared" si="19"/>
        <v>11.58</v>
      </c>
    </row>
    <row r="70" spans="1:61">
      <c r="A70">
        <v>1</v>
      </c>
      <c r="B70" t="s">
        <v>7</v>
      </c>
      <c r="C70">
        <v>19008</v>
      </c>
      <c r="D70">
        <v>96</v>
      </c>
      <c r="E70">
        <v>1</v>
      </c>
      <c r="F70">
        <v>4</v>
      </c>
      <c r="G70" s="1">
        <v>462.97</v>
      </c>
      <c r="H70" s="63">
        <v>9.8903999999999996</v>
      </c>
      <c r="I70" s="27">
        <v>45509</v>
      </c>
      <c r="J70" s="53">
        <v>0.21320601851851853</v>
      </c>
      <c r="K70">
        <v>0</v>
      </c>
      <c r="L70">
        <v>0</v>
      </c>
      <c r="M70">
        <v>0</v>
      </c>
      <c r="N70" s="54">
        <f t="shared" ref="N70" si="99">N69</f>
        <v>9.8672600000000017</v>
      </c>
      <c r="Q70">
        <v>1</v>
      </c>
      <c r="R70" t="s">
        <v>7</v>
      </c>
      <c r="S70">
        <v>19008</v>
      </c>
      <c r="T70">
        <v>96</v>
      </c>
      <c r="U70">
        <v>1</v>
      </c>
      <c r="V70">
        <v>4</v>
      </c>
      <c r="W70">
        <v>356.19</v>
      </c>
      <c r="X70" s="48">
        <v>12.856</v>
      </c>
      <c r="Y70" s="27">
        <v>45506</v>
      </c>
      <c r="Z70" s="53">
        <v>4.9652777777777775E-2</v>
      </c>
      <c r="AA70">
        <v>0</v>
      </c>
      <c r="AB70">
        <v>0</v>
      </c>
      <c r="AC70">
        <v>0</v>
      </c>
      <c r="AD70" s="54">
        <f t="shared" ref="AD70" si="100">AD69</f>
        <v>12.710599999999999</v>
      </c>
      <c r="AF70">
        <v>1</v>
      </c>
      <c r="AG70" t="s">
        <v>7</v>
      </c>
      <c r="AH70">
        <v>17920</v>
      </c>
      <c r="AI70">
        <v>224</v>
      </c>
      <c r="AJ70">
        <v>1</v>
      </c>
      <c r="AK70">
        <v>4</v>
      </c>
      <c r="AL70">
        <v>304.16000000000003</v>
      </c>
      <c r="AM70" s="48">
        <v>12.615</v>
      </c>
      <c r="AN70" s="27">
        <v>45509</v>
      </c>
      <c r="AO70" s="53">
        <v>0.12946759259259261</v>
      </c>
      <c r="AP70">
        <v>0</v>
      </c>
      <c r="AQ70">
        <v>0</v>
      </c>
      <c r="AR70">
        <v>0</v>
      </c>
      <c r="AS70" s="54">
        <f t="shared" ref="AS70" si="101">AS69</f>
        <v>12.583600000000001</v>
      </c>
      <c r="AT70" s="1">
        <f>AT69</f>
        <v>12.583600000000001</v>
      </c>
      <c r="AV70">
        <v>260</v>
      </c>
      <c r="AW70" t="s">
        <v>71</v>
      </c>
      <c r="AX70">
        <v>19072</v>
      </c>
      <c r="AY70">
        <v>64</v>
      </c>
      <c r="AZ70">
        <v>2</v>
      </c>
      <c r="BA70">
        <v>2</v>
      </c>
      <c r="BB70" s="1">
        <v>399.09</v>
      </c>
      <c r="BC70" s="46">
        <v>11.59</v>
      </c>
      <c r="BF70">
        <v>0</v>
      </c>
      <c r="BG70">
        <v>0</v>
      </c>
      <c r="BH70">
        <v>0</v>
      </c>
      <c r="BI70" s="54">
        <f t="shared" si="19"/>
        <v>11.58</v>
      </c>
    </row>
    <row r="71" spans="1:61">
      <c r="A71">
        <v>2</v>
      </c>
      <c r="B71" t="s">
        <v>7</v>
      </c>
      <c r="C71">
        <v>19008</v>
      </c>
      <c r="D71">
        <v>96</v>
      </c>
      <c r="E71">
        <v>1</v>
      </c>
      <c r="F71">
        <v>4</v>
      </c>
      <c r="G71" s="1">
        <v>462.68</v>
      </c>
      <c r="H71" s="63">
        <v>9.8968000000000007</v>
      </c>
      <c r="I71" s="27">
        <v>45509</v>
      </c>
      <c r="J71" s="53">
        <v>0.48125000000000001</v>
      </c>
      <c r="K71">
        <v>0</v>
      </c>
      <c r="L71">
        <v>0</v>
      </c>
      <c r="M71">
        <v>0</v>
      </c>
      <c r="N71" s="54">
        <f t="shared" si="15"/>
        <v>9.8672600000000017</v>
      </c>
      <c r="Q71">
        <v>2</v>
      </c>
      <c r="R71" t="s">
        <v>7</v>
      </c>
      <c r="S71">
        <v>19008</v>
      </c>
      <c r="T71">
        <v>96</v>
      </c>
      <c r="U71">
        <v>1</v>
      </c>
      <c r="V71">
        <v>4</v>
      </c>
      <c r="W71">
        <v>363.34</v>
      </c>
      <c r="X71" s="48">
        <v>12.602</v>
      </c>
      <c r="Y71" s="27">
        <v>45506</v>
      </c>
      <c r="Z71" s="53">
        <v>0.28711805555555553</v>
      </c>
      <c r="AA71">
        <v>0</v>
      </c>
      <c r="AB71">
        <v>0</v>
      </c>
      <c r="AC71">
        <v>0</v>
      </c>
      <c r="AD71" s="54">
        <f t="shared" si="16"/>
        <v>12.710599999999999</v>
      </c>
      <c r="AF71">
        <v>2</v>
      </c>
      <c r="AG71" t="s">
        <v>7</v>
      </c>
      <c r="AH71">
        <v>17920</v>
      </c>
      <c r="AI71">
        <v>224</v>
      </c>
      <c r="AJ71">
        <v>1</v>
      </c>
      <c r="AK71">
        <v>4</v>
      </c>
      <c r="AL71">
        <v>305.13</v>
      </c>
      <c r="AM71" s="48">
        <v>12.574</v>
      </c>
      <c r="AN71" s="27">
        <v>45509</v>
      </c>
      <c r="AO71" s="53">
        <v>0.3668865740740741</v>
      </c>
      <c r="AP71">
        <v>0</v>
      </c>
      <c r="AQ71">
        <v>0</v>
      </c>
      <c r="AR71">
        <v>0</v>
      </c>
      <c r="AS71" s="54">
        <f t="shared" si="17"/>
        <v>12.583600000000001</v>
      </c>
      <c r="AT71" s="1">
        <f>AT70</f>
        <v>12.583600000000001</v>
      </c>
      <c r="AV71">
        <v>36</v>
      </c>
      <c r="AW71" t="s">
        <v>71</v>
      </c>
      <c r="AX71">
        <v>20096</v>
      </c>
      <c r="AY71">
        <v>64</v>
      </c>
      <c r="AZ71">
        <v>2</v>
      </c>
      <c r="BA71">
        <v>2</v>
      </c>
      <c r="BB71" s="1">
        <v>467.38</v>
      </c>
      <c r="BC71" s="46">
        <v>11.577999999999999</v>
      </c>
      <c r="BF71">
        <v>0</v>
      </c>
      <c r="BG71">
        <v>0</v>
      </c>
      <c r="BH71">
        <v>0</v>
      </c>
      <c r="BI71" s="54">
        <f t="shared" ref="BI71" si="102">AVERAGE(BC71:BC76)</f>
        <v>11.530333333333333</v>
      </c>
    </row>
    <row r="72" spans="1:61">
      <c r="A72">
        <v>3</v>
      </c>
      <c r="B72" t="s">
        <v>7</v>
      </c>
      <c r="C72">
        <v>19008</v>
      </c>
      <c r="D72">
        <v>96</v>
      </c>
      <c r="E72">
        <v>1</v>
      </c>
      <c r="F72">
        <v>4</v>
      </c>
      <c r="G72" s="1">
        <v>462.54</v>
      </c>
      <c r="H72" s="63">
        <v>9.8996999999999993</v>
      </c>
      <c r="I72" s="27">
        <v>45509</v>
      </c>
      <c r="J72" s="53">
        <v>0.7492361111111111</v>
      </c>
      <c r="K72">
        <v>0</v>
      </c>
      <c r="L72">
        <v>0</v>
      </c>
      <c r="M72">
        <v>0</v>
      </c>
      <c r="N72" s="54">
        <f t="shared" si="15"/>
        <v>9.8672600000000017</v>
      </c>
      <c r="Q72">
        <v>3</v>
      </c>
      <c r="R72" t="s">
        <v>7</v>
      </c>
      <c r="S72">
        <v>19008</v>
      </c>
      <c r="T72">
        <v>96</v>
      </c>
      <c r="U72">
        <v>1</v>
      </c>
      <c r="V72">
        <v>4</v>
      </c>
      <c r="W72">
        <v>356.59</v>
      </c>
      <c r="X72" s="48">
        <v>12.840999999999999</v>
      </c>
      <c r="Y72" s="27">
        <v>45506</v>
      </c>
      <c r="Z72" s="53">
        <v>0.52437500000000004</v>
      </c>
      <c r="AA72">
        <v>0</v>
      </c>
      <c r="AB72">
        <v>0</v>
      </c>
      <c r="AC72">
        <v>0</v>
      </c>
      <c r="AD72" s="54">
        <f t="shared" si="16"/>
        <v>12.710599999999999</v>
      </c>
      <c r="AF72">
        <v>3</v>
      </c>
      <c r="AG72" t="s">
        <v>7</v>
      </c>
      <c r="AH72">
        <v>17920</v>
      </c>
      <c r="AI72">
        <v>224</v>
      </c>
      <c r="AJ72">
        <v>1</v>
      </c>
      <c r="AK72">
        <v>4</v>
      </c>
      <c r="AL72">
        <v>304.47000000000003</v>
      </c>
      <c r="AM72" s="48">
        <v>12.602</v>
      </c>
      <c r="AN72" s="27">
        <v>45509</v>
      </c>
      <c r="AO72" s="53">
        <v>0.60538194444444449</v>
      </c>
      <c r="AP72">
        <v>0</v>
      </c>
      <c r="AQ72">
        <v>0</v>
      </c>
      <c r="AR72">
        <v>0</v>
      </c>
      <c r="AS72" s="54">
        <f t="shared" si="17"/>
        <v>12.583600000000001</v>
      </c>
      <c r="AT72" s="1">
        <f>AT71</f>
        <v>12.583600000000001</v>
      </c>
      <c r="AV72">
        <v>84</v>
      </c>
      <c r="AW72" t="s">
        <v>71</v>
      </c>
      <c r="AX72">
        <v>20096</v>
      </c>
      <c r="AY72">
        <v>64</v>
      </c>
      <c r="AZ72">
        <v>2</v>
      </c>
      <c r="BA72">
        <v>2</v>
      </c>
      <c r="BB72" s="1">
        <v>468.02</v>
      </c>
      <c r="BC72" s="46">
        <v>11.561999999999999</v>
      </c>
      <c r="BF72">
        <v>0</v>
      </c>
      <c r="BG72">
        <v>0</v>
      </c>
      <c r="BH72">
        <v>0</v>
      </c>
      <c r="BI72" s="54">
        <f t="shared" ref="BI72" si="103">BI71</f>
        <v>11.530333333333333</v>
      </c>
    </row>
    <row r="73" spans="1:61">
      <c r="A73">
        <v>4</v>
      </c>
      <c r="B73" t="s">
        <v>7</v>
      </c>
      <c r="C73">
        <v>19008</v>
      </c>
      <c r="D73">
        <v>96</v>
      </c>
      <c r="E73">
        <v>1</v>
      </c>
      <c r="F73">
        <v>4</v>
      </c>
      <c r="G73" s="1">
        <v>462.83</v>
      </c>
      <c r="H73" s="63">
        <v>9.8934999999999995</v>
      </c>
      <c r="I73" s="27">
        <v>45510</v>
      </c>
      <c r="J73" s="53">
        <v>1.712962962962963E-2</v>
      </c>
      <c r="K73">
        <v>0</v>
      </c>
      <c r="L73">
        <v>0</v>
      </c>
      <c r="M73">
        <v>0</v>
      </c>
      <c r="N73" s="54">
        <f t="shared" si="15"/>
        <v>9.8672600000000017</v>
      </c>
      <c r="Q73">
        <v>4</v>
      </c>
      <c r="R73" t="s">
        <v>7</v>
      </c>
      <c r="S73">
        <v>19008</v>
      </c>
      <c r="T73">
        <v>96</v>
      </c>
      <c r="U73">
        <v>1</v>
      </c>
      <c r="V73">
        <v>4</v>
      </c>
      <c r="W73">
        <v>363.11</v>
      </c>
      <c r="X73" s="48">
        <v>12.611000000000001</v>
      </c>
      <c r="Y73" s="27">
        <v>45506</v>
      </c>
      <c r="Z73" s="53">
        <v>0.76168981481481479</v>
      </c>
      <c r="AA73">
        <v>0</v>
      </c>
      <c r="AB73">
        <v>0</v>
      </c>
      <c r="AC73">
        <v>0</v>
      </c>
      <c r="AD73" s="54">
        <f t="shared" si="16"/>
        <v>12.710599999999999</v>
      </c>
      <c r="AF73">
        <v>4</v>
      </c>
      <c r="AG73" t="s">
        <v>7</v>
      </c>
      <c r="AH73">
        <v>17920</v>
      </c>
      <c r="AI73">
        <v>224</v>
      </c>
      <c r="AJ73">
        <v>1</v>
      </c>
      <c r="AK73">
        <v>4</v>
      </c>
      <c r="AL73">
        <v>305.89999999999998</v>
      </c>
      <c r="AM73" s="48">
        <v>12.542999999999999</v>
      </c>
      <c r="AN73" s="27">
        <v>45509</v>
      </c>
      <c r="AO73" s="53">
        <v>0.84361111111111109</v>
      </c>
      <c r="AP73">
        <v>0</v>
      </c>
      <c r="AQ73">
        <v>0</v>
      </c>
      <c r="AR73">
        <v>0</v>
      </c>
      <c r="AS73" s="54">
        <f t="shared" si="17"/>
        <v>12.583600000000001</v>
      </c>
      <c r="AT73" s="1">
        <f>AT72</f>
        <v>12.583600000000001</v>
      </c>
      <c r="AV73">
        <v>132</v>
      </c>
      <c r="AW73" t="s">
        <v>71</v>
      </c>
      <c r="AX73">
        <v>20096</v>
      </c>
      <c r="AY73">
        <v>64</v>
      </c>
      <c r="AZ73">
        <v>2</v>
      </c>
      <c r="BA73">
        <v>2</v>
      </c>
      <c r="BB73" s="1">
        <v>472.08</v>
      </c>
      <c r="BC73" s="46">
        <v>11.462</v>
      </c>
      <c r="BF73">
        <v>0</v>
      </c>
      <c r="BG73">
        <v>0</v>
      </c>
      <c r="BH73">
        <v>0</v>
      </c>
      <c r="BI73" s="54">
        <f t="shared" si="19"/>
        <v>11.530333333333333</v>
      </c>
    </row>
    <row r="74" spans="1:61">
      <c r="A74">
        <v>0</v>
      </c>
      <c r="B74" t="s">
        <v>7</v>
      </c>
      <c r="C74">
        <v>20160</v>
      </c>
      <c r="D74">
        <v>96</v>
      </c>
      <c r="E74">
        <v>1</v>
      </c>
      <c r="F74">
        <v>4</v>
      </c>
      <c r="G74" s="1">
        <v>558.69000000000005</v>
      </c>
      <c r="H74" s="63">
        <v>9.7781000000000002</v>
      </c>
      <c r="I74" s="27">
        <v>45509</v>
      </c>
      <c r="J74" s="53">
        <v>3.965277777777778E-2</v>
      </c>
      <c r="K74">
        <v>0</v>
      </c>
      <c r="L74">
        <v>0</v>
      </c>
      <c r="M74">
        <v>0</v>
      </c>
      <c r="N74" s="54">
        <f t="shared" ref="N74" si="104">AVERAGE(H74:H78)</f>
        <v>9.7688400000000009</v>
      </c>
      <c r="Q74">
        <v>0</v>
      </c>
      <c r="R74" t="s">
        <v>7</v>
      </c>
      <c r="S74">
        <v>20160</v>
      </c>
      <c r="T74">
        <v>96</v>
      </c>
      <c r="U74">
        <v>1</v>
      </c>
      <c r="V74">
        <v>4</v>
      </c>
      <c r="W74">
        <v>426.67</v>
      </c>
      <c r="X74" s="48">
        <v>12.804</v>
      </c>
      <c r="Y74" s="27">
        <v>45505</v>
      </c>
      <c r="Z74" s="53">
        <v>0.89567129629629627</v>
      </c>
      <c r="AA74">
        <v>0</v>
      </c>
      <c r="AB74">
        <v>0</v>
      </c>
      <c r="AC74">
        <v>0</v>
      </c>
      <c r="AD74" s="54">
        <f t="shared" ref="AD74" si="105">AVERAGE(X74:X78)</f>
        <v>12.776199999999999</v>
      </c>
      <c r="AF74">
        <v>0</v>
      </c>
      <c r="AG74" t="s">
        <v>7</v>
      </c>
      <c r="AH74">
        <v>17920</v>
      </c>
      <c r="AI74">
        <v>256</v>
      </c>
      <c r="AJ74">
        <v>1</v>
      </c>
      <c r="AK74">
        <v>4</v>
      </c>
      <c r="AL74">
        <v>304.52</v>
      </c>
      <c r="AM74" s="48">
        <v>12.6</v>
      </c>
      <c r="AN74" s="27">
        <v>45508</v>
      </c>
      <c r="AO74" s="53">
        <v>0.89968749999999997</v>
      </c>
      <c r="AP74">
        <v>0</v>
      </c>
      <c r="AQ74">
        <v>0</v>
      </c>
      <c r="AR74">
        <v>0</v>
      </c>
      <c r="AS74" s="54">
        <f t="shared" ref="AS74" si="106">AVERAGE(AM74:AM78)</f>
        <v>12.576000000000002</v>
      </c>
      <c r="AT74" s="1">
        <f>AS74</f>
        <v>12.576000000000002</v>
      </c>
      <c r="AV74">
        <v>180</v>
      </c>
      <c r="AW74" t="s">
        <v>71</v>
      </c>
      <c r="AX74">
        <v>20096</v>
      </c>
      <c r="AY74">
        <v>64</v>
      </c>
      <c r="AZ74">
        <v>2</v>
      </c>
      <c r="BA74">
        <v>2</v>
      </c>
      <c r="BB74" s="1">
        <v>469.84</v>
      </c>
      <c r="BC74" s="46">
        <v>11.516999999999999</v>
      </c>
      <c r="BF74">
        <v>0</v>
      </c>
      <c r="BG74">
        <v>0</v>
      </c>
      <c r="BH74">
        <v>0</v>
      </c>
      <c r="BI74" s="54">
        <f t="shared" si="19"/>
        <v>11.530333333333333</v>
      </c>
    </row>
    <row r="75" spans="1:61">
      <c r="A75">
        <v>1</v>
      </c>
      <c r="B75" t="s">
        <v>7</v>
      </c>
      <c r="C75">
        <v>20160</v>
      </c>
      <c r="D75">
        <v>96</v>
      </c>
      <c r="E75">
        <v>1</v>
      </c>
      <c r="F75">
        <v>4</v>
      </c>
      <c r="G75" s="1">
        <v>559.65</v>
      </c>
      <c r="H75" s="63">
        <v>9.7614000000000001</v>
      </c>
      <c r="I75" s="27">
        <v>45509</v>
      </c>
      <c r="J75" s="53">
        <v>0.30787037037037035</v>
      </c>
      <c r="K75">
        <v>0</v>
      </c>
      <c r="L75">
        <v>0</v>
      </c>
      <c r="M75">
        <v>0</v>
      </c>
      <c r="N75" s="54">
        <f t="shared" ref="N75" si="107">N74</f>
        <v>9.7688400000000009</v>
      </c>
      <c r="Q75">
        <v>1</v>
      </c>
      <c r="R75" t="s">
        <v>7</v>
      </c>
      <c r="S75">
        <v>20160</v>
      </c>
      <c r="T75">
        <v>96</v>
      </c>
      <c r="U75">
        <v>1</v>
      </c>
      <c r="V75">
        <v>4</v>
      </c>
      <c r="W75">
        <v>426.35</v>
      </c>
      <c r="X75" s="48">
        <v>12.813000000000001</v>
      </c>
      <c r="Y75" s="27">
        <v>45506</v>
      </c>
      <c r="Z75" s="53">
        <v>0.13343749999999999</v>
      </c>
      <c r="AA75">
        <v>0</v>
      </c>
      <c r="AB75">
        <v>0</v>
      </c>
      <c r="AC75">
        <v>0</v>
      </c>
      <c r="AD75" s="54">
        <f t="shared" ref="AD75" si="108">AD74</f>
        <v>12.776199999999999</v>
      </c>
      <c r="AF75">
        <v>1</v>
      </c>
      <c r="AG75" t="s">
        <v>7</v>
      </c>
      <c r="AH75">
        <v>17920</v>
      </c>
      <c r="AI75">
        <v>256</v>
      </c>
      <c r="AJ75">
        <v>1</v>
      </c>
      <c r="AK75">
        <v>4</v>
      </c>
      <c r="AL75">
        <v>308.2</v>
      </c>
      <c r="AM75" s="48">
        <v>12.449</v>
      </c>
      <c r="AN75" s="27">
        <v>45509</v>
      </c>
      <c r="AO75" s="53">
        <v>0.13715277777777779</v>
      </c>
      <c r="AP75">
        <v>0</v>
      </c>
      <c r="AQ75">
        <v>0</v>
      </c>
      <c r="AR75">
        <v>0</v>
      </c>
      <c r="AS75" s="54">
        <f t="shared" ref="AS75" si="109">AS74</f>
        <v>12.576000000000002</v>
      </c>
      <c r="AT75" s="1">
        <f>AT74</f>
        <v>12.576000000000002</v>
      </c>
      <c r="AV75">
        <v>228</v>
      </c>
      <c r="AW75" t="s">
        <v>71</v>
      </c>
      <c r="AX75">
        <v>20096</v>
      </c>
      <c r="AY75">
        <v>64</v>
      </c>
      <c r="AZ75">
        <v>2</v>
      </c>
      <c r="BA75">
        <v>2</v>
      </c>
      <c r="BB75" s="1">
        <v>468.34</v>
      </c>
      <c r="BC75" s="46">
        <v>11.554</v>
      </c>
      <c r="BF75">
        <v>0</v>
      </c>
      <c r="BG75">
        <v>0</v>
      </c>
      <c r="BH75">
        <v>0</v>
      </c>
      <c r="BI75" s="54">
        <f t="shared" si="19"/>
        <v>11.530333333333333</v>
      </c>
    </row>
    <row r="76" spans="1:61">
      <c r="A76">
        <v>2</v>
      </c>
      <c r="B76" t="s">
        <v>7</v>
      </c>
      <c r="C76">
        <v>20160</v>
      </c>
      <c r="D76">
        <v>96</v>
      </c>
      <c r="E76">
        <v>1</v>
      </c>
      <c r="F76">
        <v>4</v>
      </c>
      <c r="G76" s="1">
        <v>557.89</v>
      </c>
      <c r="H76" s="63">
        <v>9.7920999999999996</v>
      </c>
      <c r="I76" s="27">
        <v>45509</v>
      </c>
      <c r="J76" s="53">
        <v>0.57582175925925927</v>
      </c>
      <c r="K76">
        <v>0</v>
      </c>
      <c r="L76">
        <v>0</v>
      </c>
      <c r="M76">
        <v>0</v>
      </c>
      <c r="N76" s="54">
        <f t="shared" si="15"/>
        <v>9.7688400000000009</v>
      </c>
      <c r="Q76">
        <v>2</v>
      </c>
      <c r="R76" t="s">
        <v>7</v>
      </c>
      <c r="S76">
        <v>20160</v>
      </c>
      <c r="T76">
        <v>96</v>
      </c>
      <c r="U76">
        <v>1</v>
      </c>
      <c r="V76">
        <v>4</v>
      </c>
      <c r="W76">
        <v>431.56</v>
      </c>
      <c r="X76" s="48">
        <v>12.659000000000001</v>
      </c>
      <c r="Y76" s="27">
        <v>45506</v>
      </c>
      <c r="Z76" s="53">
        <v>0.37069444444444444</v>
      </c>
      <c r="AA76">
        <v>0</v>
      </c>
      <c r="AB76">
        <v>0</v>
      </c>
      <c r="AC76">
        <v>0</v>
      </c>
      <c r="AD76" s="54">
        <f t="shared" si="16"/>
        <v>12.776199999999999</v>
      </c>
      <c r="AF76">
        <v>2</v>
      </c>
      <c r="AG76" t="s">
        <v>7</v>
      </c>
      <c r="AH76">
        <v>17920</v>
      </c>
      <c r="AI76">
        <v>256</v>
      </c>
      <c r="AJ76">
        <v>1</v>
      </c>
      <c r="AK76">
        <v>4</v>
      </c>
      <c r="AL76">
        <v>302.69</v>
      </c>
      <c r="AM76" s="48">
        <v>12.676</v>
      </c>
      <c r="AN76" s="27">
        <v>45509</v>
      </c>
      <c r="AO76" s="53">
        <v>0.37451388888888887</v>
      </c>
      <c r="AP76">
        <v>0</v>
      </c>
      <c r="AQ76">
        <v>0</v>
      </c>
      <c r="AR76">
        <v>0</v>
      </c>
      <c r="AS76" s="54">
        <f t="shared" si="17"/>
        <v>12.576000000000002</v>
      </c>
      <c r="AT76" s="1">
        <f>AT75</f>
        <v>12.576000000000002</v>
      </c>
      <c r="AV76">
        <v>276</v>
      </c>
      <c r="AW76" t="s">
        <v>71</v>
      </c>
      <c r="AX76">
        <v>20096</v>
      </c>
      <c r="AY76">
        <v>64</v>
      </c>
      <c r="AZ76">
        <v>2</v>
      </c>
      <c r="BA76">
        <v>2</v>
      </c>
      <c r="BB76" s="1">
        <v>470.14</v>
      </c>
      <c r="BC76" s="46">
        <v>11.509</v>
      </c>
      <c r="BF76">
        <v>0</v>
      </c>
      <c r="BG76">
        <v>0</v>
      </c>
      <c r="BH76">
        <v>0</v>
      </c>
      <c r="BI76" s="54">
        <f t="shared" si="19"/>
        <v>11.530333333333333</v>
      </c>
    </row>
    <row r="77" spans="1:61">
      <c r="A77">
        <v>3</v>
      </c>
      <c r="B77" t="s">
        <v>7</v>
      </c>
      <c r="C77">
        <v>20160</v>
      </c>
      <c r="D77">
        <v>96</v>
      </c>
      <c r="E77">
        <v>1</v>
      </c>
      <c r="F77">
        <v>4</v>
      </c>
      <c r="G77" s="1">
        <v>560.53</v>
      </c>
      <c r="H77" s="63">
        <v>9.7460000000000004</v>
      </c>
      <c r="I77" s="27">
        <v>45509</v>
      </c>
      <c r="J77" s="53">
        <v>0.84378472222222223</v>
      </c>
      <c r="K77">
        <v>0</v>
      </c>
      <c r="L77">
        <v>0</v>
      </c>
      <c r="M77">
        <v>0</v>
      </c>
      <c r="N77" s="54">
        <f t="shared" si="15"/>
        <v>9.7688400000000009</v>
      </c>
      <c r="Q77">
        <v>3</v>
      </c>
      <c r="R77" t="s">
        <v>7</v>
      </c>
      <c r="S77">
        <v>20160</v>
      </c>
      <c r="T77">
        <v>96</v>
      </c>
      <c r="U77">
        <v>1</v>
      </c>
      <c r="V77">
        <v>4</v>
      </c>
      <c r="W77">
        <v>426.61</v>
      </c>
      <c r="X77" s="48">
        <v>12.805999999999999</v>
      </c>
      <c r="Y77" s="27">
        <v>45506</v>
      </c>
      <c r="Z77" s="53">
        <v>0.60804398148148153</v>
      </c>
      <c r="AA77">
        <v>0</v>
      </c>
      <c r="AB77">
        <v>0</v>
      </c>
      <c r="AC77">
        <v>0</v>
      </c>
      <c r="AD77" s="54">
        <f t="shared" si="16"/>
        <v>12.776199999999999</v>
      </c>
      <c r="AF77">
        <v>3</v>
      </c>
      <c r="AG77" t="s">
        <v>7</v>
      </c>
      <c r="AH77">
        <v>17920</v>
      </c>
      <c r="AI77">
        <v>256</v>
      </c>
      <c r="AJ77">
        <v>1</v>
      </c>
      <c r="AK77">
        <v>4</v>
      </c>
      <c r="AL77">
        <v>305.64</v>
      </c>
      <c r="AM77" s="48">
        <v>12.553000000000001</v>
      </c>
      <c r="AN77" s="27">
        <v>45509</v>
      </c>
      <c r="AO77" s="53">
        <v>0.61302083333333335</v>
      </c>
      <c r="AP77">
        <v>0</v>
      </c>
      <c r="AQ77">
        <v>0</v>
      </c>
      <c r="AR77">
        <v>0</v>
      </c>
      <c r="AS77" s="54">
        <f t="shared" si="17"/>
        <v>12.576000000000002</v>
      </c>
      <c r="AT77" s="1">
        <f>AT76</f>
        <v>12.576000000000002</v>
      </c>
      <c r="AV77">
        <v>5</v>
      </c>
      <c r="AW77" t="s">
        <v>71</v>
      </c>
      <c r="AX77">
        <v>18048</v>
      </c>
      <c r="AY77">
        <v>96</v>
      </c>
      <c r="AZ77">
        <v>1</v>
      </c>
      <c r="BA77">
        <v>4</v>
      </c>
      <c r="BB77" s="1">
        <v>310.58999999999997</v>
      </c>
      <c r="BC77" s="46">
        <v>12.62</v>
      </c>
      <c r="BF77">
        <v>0</v>
      </c>
      <c r="BG77">
        <v>0</v>
      </c>
      <c r="BH77">
        <v>0</v>
      </c>
      <c r="BI77" s="54">
        <f t="shared" ref="BI77" si="110">AVERAGE(BC77:BC82)</f>
        <v>12.603333333333333</v>
      </c>
    </row>
    <row r="78" spans="1:61">
      <c r="A78">
        <v>4</v>
      </c>
      <c r="B78" t="s">
        <v>7</v>
      </c>
      <c r="C78">
        <v>20160</v>
      </c>
      <c r="D78">
        <v>96</v>
      </c>
      <c r="E78">
        <v>1</v>
      </c>
      <c r="F78">
        <v>4</v>
      </c>
      <c r="G78" s="1">
        <v>559.35</v>
      </c>
      <c r="H78" s="63">
        <v>9.7666000000000004</v>
      </c>
      <c r="I78" s="27">
        <v>45510</v>
      </c>
      <c r="J78" s="53">
        <v>0.11173611111111111</v>
      </c>
      <c r="K78">
        <v>0</v>
      </c>
      <c r="L78">
        <v>0</v>
      </c>
      <c r="M78">
        <v>0</v>
      </c>
      <c r="N78" s="54">
        <f t="shared" si="15"/>
        <v>9.7688400000000009</v>
      </c>
      <c r="Q78">
        <v>4</v>
      </c>
      <c r="R78" t="s">
        <v>7</v>
      </c>
      <c r="S78">
        <v>20160</v>
      </c>
      <c r="T78">
        <v>96</v>
      </c>
      <c r="U78">
        <v>1</v>
      </c>
      <c r="V78">
        <v>4</v>
      </c>
      <c r="W78">
        <v>426.81</v>
      </c>
      <c r="X78" s="48">
        <v>12.798999999999999</v>
      </c>
      <c r="Y78" s="27">
        <v>45506</v>
      </c>
      <c r="Z78" s="53">
        <v>0.84563657407407411</v>
      </c>
      <c r="AA78">
        <v>0</v>
      </c>
      <c r="AB78">
        <v>0</v>
      </c>
      <c r="AC78">
        <v>0</v>
      </c>
      <c r="AD78" s="54">
        <f t="shared" si="16"/>
        <v>12.776199999999999</v>
      </c>
      <c r="AF78">
        <v>4</v>
      </c>
      <c r="AG78" t="s">
        <v>7</v>
      </c>
      <c r="AH78">
        <v>17920</v>
      </c>
      <c r="AI78">
        <v>256</v>
      </c>
      <c r="AJ78">
        <v>1</v>
      </c>
      <c r="AK78">
        <v>4</v>
      </c>
      <c r="AL78">
        <v>304.47000000000003</v>
      </c>
      <c r="AM78" s="48">
        <v>12.602</v>
      </c>
      <c r="AN78" s="27">
        <v>45509</v>
      </c>
      <c r="AO78" s="53">
        <v>0.85129629629629633</v>
      </c>
      <c r="AP78">
        <v>0</v>
      </c>
      <c r="AQ78">
        <v>0</v>
      </c>
      <c r="AR78">
        <v>0</v>
      </c>
      <c r="AS78" s="54">
        <f t="shared" si="17"/>
        <v>12.576000000000002</v>
      </c>
      <c r="AT78" s="1">
        <f>AT77</f>
        <v>12.576000000000002</v>
      </c>
      <c r="AV78">
        <v>53</v>
      </c>
      <c r="AW78" t="s">
        <v>71</v>
      </c>
      <c r="AX78">
        <v>18048</v>
      </c>
      <c r="AY78">
        <v>96</v>
      </c>
      <c r="AZ78">
        <v>1</v>
      </c>
      <c r="BA78">
        <v>4</v>
      </c>
      <c r="BB78" s="1">
        <v>310.32</v>
      </c>
      <c r="BC78" s="46">
        <v>12.631</v>
      </c>
      <c r="BF78">
        <v>0</v>
      </c>
      <c r="BG78">
        <v>0</v>
      </c>
      <c r="BH78">
        <v>0</v>
      </c>
      <c r="BI78" s="54">
        <f t="shared" ref="BI78" si="111">BI77</f>
        <v>12.603333333333333</v>
      </c>
    </row>
    <row r="79" spans="1:61">
      <c r="A79">
        <v>0</v>
      </c>
      <c r="B79" t="s">
        <v>7</v>
      </c>
      <c r="C79">
        <v>17952</v>
      </c>
      <c r="D79">
        <v>96</v>
      </c>
      <c r="E79">
        <v>2</v>
      </c>
      <c r="F79">
        <v>2</v>
      </c>
      <c r="G79" s="1">
        <v>369.37</v>
      </c>
      <c r="H79" s="63">
        <v>10.443</v>
      </c>
      <c r="I79" s="27">
        <v>45508</v>
      </c>
      <c r="J79" s="53">
        <v>0.86832175925925925</v>
      </c>
      <c r="K79">
        <v>0</v>
      </c>
      <c r="L79">
        <v>0</v>
      </c>
      <c r="M79">
        <v>0</v>
      </c>
      <c r="N79" s="54">
        <f t="shared" ref="N79" si="112">AVERAGE(H79:H83)</f>
        <v>10.421799999999999</v>
      </c>
      <c r="Q79">
        <v>0</v>
      </c>
      <c r="R79" t="s">
        <v>7</v>
      </c>
      <c r="S79">
        <v>17952</v>
      </c>
      <c r="T79">
        <v>96</v>
      </c>
      <c r="U79">
        <v>2</v>
      </c>
      <c r="V79">
        <v>2</v>
      </c>
      <c r="W79">
        <v>318.08999999999997</v>
      </c>
      <c r="X79" s="48">
        <v>12.127000000000001</v>
      </c>
      <c r="Y79" s="27">
        <v>45505</v>
      </c>
      <c r="Z79" s="53">
        <v>0.74343749999999997</v>
      </c>
      <c r="AA79">
        <v>0</v>
      </c>
      <c r="AB79">
        <v>0</v>
      </c>
      <c r="AC79">
        <v>0</v>
      </c>
      <c r="AD79" s="54">
        <f t="shared" ref="AD79" si="113">AVERAGE(X79:X83)</f>
        <v>12.354600000000001</v>
      </c>
      <c r="AF79">
        <v>0</v>
      </c>
      <c r="AG79" t="s">
        <v>7</v>
      </c>
      <c r="AH79">
        <v>20160</v>
      </c>
      <c r="AI79">
        <v>96</v>
      </c>
      <c r="AJ79">
        <v>1</v>
      </c>
      <c r="AK79">
        <v>4</v>
      </c>
      <c r="AL79">
        <v>429.06</v>
      </c>
      <c r="AM79" s="48">
        <v>12.731999999999999</v>
      </c>
      <c r="AN79" s="27">
        <v>45509</v>
      </c>
      <c r="AO79" s="53">
        <v>1.5543981481481482E-2</v>
      </c>
      <c r="AP79">
        <v>0</v>
      </c>
      <c r="AQ79">
        <v>0</v>
      </c>
      <c r="AR79">
        <v>0</v>
      </c>
      <c r="AS79" s="54">
        <f t="shared" ref="AS79" si="114">AVERAGE(AM79:AM83)</f>
        <v>12.540000000000001</v>
      </c>
      <c r="AT79" s="1">
        <f>AS79</f>
        <v>12.540000000000001</v>
      </c>
      <c r="AV79">
        <v>101</v>
      </c>
      <c r="AW79" t="s">
        <v>71</v>
      </c>
      <c r="AX79">
        <v>18048</v>
      </c>
      <c r="AY79">
        <v>96</v>
      </c>
      <c r="AZ79">
        <v>1</v>
      </c>
      <c r="BA79">
        <v>4</v>
      </c>
      <c r="BB79" s="1">
        <v>312.58999999999997</v>
      </c>
      <c r="BC79" s="46">
        <v>12.539</v>
      </c>
      <c r="BF79">
        <v>0</v>
      </c>
      <c r="BG79">
        <v>0</v>
      </c>
      <c r="BH79">
        <v>0</v>
      </c>
      <c r="BI79" s="54">
        <f t="shared" si="19"/>
        <v>12.603333333333333</v>
      </c>
    </row>
    <row r="80" spans="1:61">
      <c r="A80">
        <v>1</v>
      </c>
      <c r="B80" t="s">
        <v>7</v>
      </c>
      <c r="C80">
        <v>17952</v>
      </c>
      <c r="D80">
        <v>96</v>
      </c>
      <c r="E80">
        <v>2</v>
      </c>
      <c r="F80">
        <v>2</v>
      </c>
      <c r="G80" s="1">
        <v>370.6</v>
      </c>
      <c r="H80" s="63">
        <v>10.409000000000001</v>
      </c>
      <c r="I80" s="27">
        <v>45509</v>
      </c>
      <c r="J80" s="53">
        <v>0.13745370370370372</v>
      </c>
      <c r="K80">
        <v>0</v>
      </c>
      <c r="L80">
        <v>0</v>
      </c>
      <c r="M80">
        <v>0</v>
      </c>
      <c r="N80" s="54">
        <f t="shared" ref="N80:N143" si="115">N79</f>
        <v>10.421799999999999</v>
      </c>
      <c r="Q80">
        <v>1</v>
      </c>
      <c r="R80" t="s">
        <v>7</v>
      </c>
      <c r="S80">
        <v>17952</v>
      </c>
      <c r="T80">
        <v>96</v>
      </c>
      <c r="U80">
        <v>2</v>
      </c>
      <c r="V80">
        <v>2</v>
      </c>
      <c r="W80">
        <v>311.04000000000002</v>
      </c>
      <c r="X80" s="48">
        <v>12.401999999999999</v>
      </c>
      <c r="Y80" s="27">
        <v>45505</v>
      </c>
      <c r="Z80" s="53">
        <v>0.98307870370370365</v>
      </c>
      <c r="AA80">
        <v>0</v>
      </c>
      <c r="AB80">
        <v>0</v>
      </c>
      <c r="AC80">
        <v>0</v>
      </c>
      <c r="AD80" s="54">
        <f t="shared" ref="AD80:AD143" si="116">AD79</f>
        <v>12.354600000000001</v>
      </c>
      <c r="AF80">
        <v>1</v>
      </c>
      <c r="AG80" t="s">
        <v>7</v>
      </c>
      <c r="AH80">
        <v>20160</v>
      </c>
      <c r="AI80">
        <v>96</v>
      </c>
      <c r="AJ80">
        <v>1</v>
      </c>
      <c r="AK80">
        <v>4</v>
      </c>
      <c r="AL80">
        <v>427.51</v>
      </c>
      <c r="AM80" s="48">
        <v>12.779</v>
      </c>
      <c r="AN80" s="27">
        <v>45509</v>
      </c>
      <c r="AO80" s="53">
        <v>0.25317129629629631</v>
      </c>
      <c r="AP80">
        <v>0</v>
      </c>
      <c r="AQ80">
        <v>0</v>
      </c>
      <c r="AR80">
        <v>0</v>
      </c>
      <c r="AS80" s="54">
        <f t="shared" ref="AS80:AS143" si="117">AS79</f>
        <v>12.540000000000001</v>
      </c>
      <c r="AT80" s="1">
        <f>AT79</f>
        <v>12.540000000000001</v>
      </c>
      <c r="AV80">
        <v>149</v>
      </c>
      <c r="AW80" t="s">
        <v>71</v>
      </c>
      <c r="AX80">
        <v>18048</v>
      </c>
      <c r="AY80">
        <v>96</v>
      </c>
      <c r="AZ80">
        <v>1</v>
      </c>
      <c r="BA80">
        <v>4</v>
      </c>
      <c r="BB80" s="1">
        <v>311.37</v>
      </c>
      <c r="BC80" s="46">
        <v>12.589</v>
      </c>
      <c r="BF80">
        <v>0</v>
      </c>
      <c r="BG80">
        <v>0</v>
      </c>
      <c r="BH80">
        <v>0</v>
      </c>
      <c r="BI80" s="54">
        <f t="shared" si="19"/>
        <v>12.603333333333333</v>
      </c>
    </row>
    <row r="81" spans="1:61">
      <c r="A81">
        <v>2</v>
      </c>
      <c r="B81" t="s">
        <v>7</v>
      </c>
      <c r="C81">
        <v>17952</v>
      </c>
      <c r="D81">
        <v>96</v>
      </c>
      <c r="E81">
        <v>2</v>
      </c>
      <c r="F81">
        <v>2</v>
      </c>
      <c r="G81" s="1">
        <v>370.09</v>
      </c>
      <c r="H81" s="63">
        <v>10.423</v>
      </c>
      <c r="I81" s="27">
        <v>45509</v>
      </c>
      <c r="J81" s="53">
        <v>0.40565972222222224</v>
      </c>
      <c r="K81">
        <v>0</v>
      </c>
      <c r="L81">
        <v>0</v>
      </c>
      <c r="M81">
        <v>0</v>
      </c>
      <c r="N81" s="54">
        <f t="shared" si="115"/>
        <v>10.421799999999999</v>
      </c>
      <c r="Q81">
        <v>2</v>
      </c>
      <c r="R81" t="s">
        <v>7</v>
      </c>
      <c r="S81">
        <v>17952</v>
      </c>
      <c r="T81">
        <v>96</v>
      </c>
      <c r="U81">
        <v>2</v>
      </c>
      <c r="V81">
        <v>2</v>
      </c>
      <c r="W81">
        <v>309.74</v>
      </c>
      <c r="X81" s="48">
        <v>12.454000000000001</v>
      </c>
      <c r="Y81" s="27">
        <v>45506</v>
      </c>
      <c r="Z81" s="53">
        <v>0.22024305555555557</v>
      </c>
      <c r="AA81">
        <v>0</v>
      </c>
      <c r="AB81">
        <v>0</v>
      </c>
      <c r="AC81">
        <v>0</v>
      </c>
      <c r="AD81" s="54">
        <f t="shared" si="116"/>
        <v>12.354600000000001</v>
      </c>
      <c r="AF81">
        <v>2</v>
      </c>
      <c r="AG81" t="s">
        <v>7</v>
      </c>
      <c r="AH81">
        <v>20160</v>
      </c>
      <c r="AI81">
        <v>96</v>
      </c>
      <c r="AJ81">
        <v>1</v>
      </c>
      <c r="AK81">
        <v>4</v>
      </c>
      <c r="AL81">
        <v>464.96</v>
      </c>
      <c r="AM81" s="48">
        <v>11.749000000000001</v>
      </c>
      <c r="AN81" s="27">
        <v>45509</v>
      </c>
      <c r="AO81" s="53">
        <v>0.49134259259259261</v>
      </c>
      <c r="AP81">
        <v>0</v>
      </c>
      <c r="AQ81">
        <v>0</v>
      </c>
      <c r="AR81">
        <v>0</v>
      </c>
      <c r="AS81" s="54">
        <f t="shared" si="117"/>
        <v>12.540000000000001</v>
      </c>
      <c r="AT81" s="1">
        <f>AT80</f>
        <v>12.540000000000001</v>
      </c>
      <c r="AV81">
        <v>197</v>
      </c>
      <c r="AW81" t="s">
        <v>71</v>
      </c>
      <c r="AX81">
        <v>18048</v>
      </c>
      <c r="AY81">
        <v>96</v>
      </c>
      <c r="AZ81">
        <v>1</v>
      </c>
      <c r="BA81">
        <v>4</v>
      </c>
      <c r="BB81" s="1">
        <v>309.91000000000003</v>
      </c>
      <c r="BC81" s="46">
        <v>12.648</v>
      </c>
      <c r="BF81">
        <v>0</v>
      </c>
      <c r="BG81">
        <v>0</v>
      </c>
      <c r="BH81">
        <v>0</v>
      </c>
      <c r="BI81" s="54">
        <f t="shared" si="19"/>
        <v>12.603333333333333</v>
      </c>
    </row>
    <row r="82" spans="1:61">
      <c r="A82">
        <v>3</v>
      </c>
      <c r="B82" t="s">
        <v>7</v>
      </c>
      <c r="C82">
        <v>17952</v>
      </c>
      <c r="D82">
        <v>96</v>
      </c>
      <c r="E82">
        <v>2</v>
      </c>
      <c r="F82">
        <v>2</v>
      </c>
      <c r="G82" s="1">
        <v>370.6</v>
      </c>
      <c r="H82" s="63">
        <v>10.409000000000001</v>
      </c>
      <c r="I82" s="27">
        <v>45509</v>
      </c>
      <c r="J82" s="53">
        <v>0.67355324074074074</v>
      </c>
      <c r="K82">
        <v>0</v>
      </c>
      <c r="L82">
        <v>0</v>
      </c>
      <c r="M82">
        <v>0</v>
      </c>
      <c r="N82" s="54">
        <f t="shared" si="115"/>
        <v>10.421799999999999</v>
      </c>
      <c r="Q82">
        <v>3</v>
      </c>
      <c r="R82" t="s">
        <v>7</v>
      </c>
      <c r="S82">
        <v>17952</v>
      </c>
      <c r="T82">
        <v>96</v>
      </c>
      <c r="U82">
        <v>2</v>
      </c>
      <c r="V82">
        <v>2</v>
      </c>
      <c r="W82">
        <v>310.88</v>
      </c>
      <c r="X82" s="48">
        <v>12.407999999999999</v>
      </c>
      <c r="Y82" s="27">
        <v>45506</v>
      </c>
      <c r="Z82" s="53">
        <v>0.45770833333333333</v>
      </c>
      <c r="AA82">
        <v>0</v>
      </c>
      <c r="AB82">
        <v>0</v>
      </c>
      <c r="AC82">
        <v>0</v>
      </c>
      <c r="AD82" s="54">
        <f t="shared" si="116"/>
        <v>12.354600000000001</v>
      </c>
      <c r="AF82">
        <v>3</v>
      </c>
      <c r="AG82" t="s">
        <v>7</v>
      </c>
      <c r="AH82">
        <v>20160</v>
      </c>
      <c r="AI82">
        <v>96</v>
      </c>
      <c r="AJ82">
        <v>1</v>
      </c>
      <c r="AK82">
        <v>4</v>
      </c>
      <c r="AL82">
        <v>432.76</v>
      </c>
      <c r="AM82" s="48">
        <v>12.624000000000001</v>
      </c>
      <c r="AN82" s="27">
        <v>45509</v>
      </c>
      <c r="AO82" s="53">
        <v>0.72965277777777782</v>
      </c>
      <c r="AP82">
        <v>0</v>
      </c>
      <c r="AQ82">
        <v>0</v>
      </c>
      <c r="AR82">
        <v>0</v>
      </c>
      <c r="AS82" s="54">
        <f t="shared" si="117"/>
        <v>12.540000000000001</v>
      </c>
      <c r="AT82" s="1">
        <f>AT81</f>
        <v>12.540000000000001</v>
      </c>
      <c r="AV82">
        <v>245</v>
      </c>
      <c r="AW82" t="s">
        <v>71</v>
      </c>
      <c r="AX82">
        <v>18048</v>
      </c>
      <c r="AY82">
        <v>96</v>
      </c>
      <c r="AZ82">
        <v>1</v>
      </c>
      <c r="BA82">
        <v>4</v>
      </c>
      <c r="BB82" s="1">
        <v>311.25</v>
      </c>
      <c r="BC82" s="46">
        <v>12.593</v>
      </c>
      <c r="BF82">
        <v>0</v>
      </c>
      <c r="BG82">
        <v>0</v>
      </c>
      <c r="BH82">
        <v>0</v>
      </c>
      <c r="BI82" s="54">
        <f t="shared" ref="BI82:BI145" si="118">BI81</f>
        <v>12.603333333333333</v>
      </c>
    </row>
    <row r="83" spans="1:61">
      <c r="A83">
        <v>4</v>
      </c>
      <c r="B83" t="s">
        <v>7</v>
      </c>
      <c r="C83">
        <v>17952</v>
      </c>
      <c r="D83">
        <v>96</v>
      </c>
      <c r="E83">
        <v>2</v>
      </c>
      <c r="F83">
        <v>2</v>
      </c>
      <c r="G83" s="1">
        <v>370.03</v>
      </c>
      <c r="H83" s="63">
        <v>10.425000000000001</v>
      </c>
      <c r="I83" s="27">
        <v>45509</v>
      </c>
      <c r="J83" s="53">
        <v>0.94152777777777774</v>
      </c>
      <c r="K83">
        <v>0</v>
      </c>
      <c r="L83">
        <v>0</v>
      </c>
      <c r="M83">
        <v>0</v>
      </c>
      <c r="N83" s="54">
        <f t="shared" si="115"/>
        <v>10.421799999999999</v>
      </c>
      <c r="Q83">
        <v>4</v>
      </c>
      <c r="R83" t="s">
        <v>7</v>
      </c>
      <c r="S83">
        <v>17952</v>
      </c>
      <c r="T83">
        <v>96</v>
      </c>
      <c r="U83">
        <v>2</v>
      </c>
      <c r="V83">
        <v>2</v>
      </c>
      <c r="W83">
        <v>311.54000000000002</v>
      </c>
      <c r="X83" s="48">
        <v>12.382</v>
      </c>
      <c r="Y83" s="27">
        <v>45506</v>
      </c>
      <c r="Z83" s="53">
        <v>0.69491898148148146</v>
      </c>
      <c r="AA83">
        <v>0</v>
      </c>
      <c r="AB83">
        <v>0</v>
      </c>
      <c r="AC83">
        <v>0</v>
      </c>
      <c r="AD83" s="54">
        <f t="shared" si="116"/>
        <v>12.354600000000001</v>
      </c>
      <c r="AF83">
        <v>4</v>
      </c>
      <c r="AG83" t="s">
        <v>7</v>
      </c>
      <c r="AH83">
        <v>20160</v>
      </c>
      <c r="AI83">
        <v>96</v>
      </c>
      <c r="AJ83">
        <v>1</v>
      </c>
      <c r="AK83">
        <v>4</v>
      </c>
      <c r="AL83">
        <v>426.27</v>
      </c>
      <c r="AM83" s="48">
        <v>12.816000000000001</v>
      </c>
      <c r="AN83" s="27">
        <v>45509</v>
      </c>
      <c r="AO83" s="53">
        <v>0.9673842592592593</v>
      </c>
      <c r="AP83">
        <v>0</v>
      </c>
      <c r="AQ83">
        <v>0</v>
      </c>
      <c r="AR83">
        <v>0</v>
      </c>
      <c r="AS83" s="54">
        <f t="shared" si="117"/>
        <v>12.540000000000001</v>
      </c>
      <c r="AT83" s="1">
        <f>AT82</f>
        <v>12.540000000000001</v>
      </c>
      <c r="AV83">
        <v>21</v>
      </c>
      <c r="AW83" t="s">
        <v>71</v>
      </c>
      <c r="AX83">
        <v>19072</v>
      </c>
      <c r="AY83">
        <v>96</v>
      </c>
      <c r="AZ83">
        <v>1</v>
      </c>
      <c r="BA83">
        <v>4</v>
      </c>
      <c r="BB83" s="1">
        <v>367.31</v>
      </c>
      <c r="BC83" s="46">
        <v>12.656000000000001</v>
      </c>
      <c r="BF83">
        <v>0</v>
      </c>
      <c r="BG83">
        <v>0</v>
      </c>
      <c r="BH83">
        <v>0</v>
      </c>
      <c r="BI83" s="54">
        <f t="shared" ref="BI83" si="119">AVERAGE(BC83:BC88)</f>
        <v>12.580500000000001</v>
      </c>
    </row>
    <row r="84" spans="1:61">
      <c r="A84">
        <v>0</v>
      </c>
      <c r="B84" t="s">
        <v>7</v>
      </c>
      <c r="C84">
        <v>19008</v>
      </c>
      <c r="D84">
        <v>96</v>
      </c>
      <c r="E84">
        <v>2</v>
      </c>
      <c r="F84">
        <v>2</v>
      </c>
      <c r="G84" s="1">
        <v>432.34</v>
      </c>
      <c r="H84" s="63">
        <v>10.590999999999999</v>
      </c>
      <c r="I84" s="27">
        <v>45508</v>
      </c>
      <c r="J84" s="53">
        <v>0.95005787037037037</v>
      </c>
      <c r="K84">
        <v>0</v>
      </c>
      <c r="L84">
        <v>0</v>
      </c>
      <c r="M84">
        <v>0</v>
      </c>
      <c r="N84" s="54">
        <f t="shared" ref="N84" si="120">AVERAGE(H84:H88)</f>
        <v>10.5764</v>
      </c>
      <c r="Q84">
        <v>0</v>
      </c>
      <c r="R84" t="s">
        <v>7</v>
      </c>
      <c r="S84">
        <v>19008</v>
      </c>
      <c r="T84">
        <v>96</v>
      </c>
      <c r="U84">
        <v>2</v>
      </c>
      <c r="V84">
        <v>2</v>
      </c>
      <c r="W84">
        <v>369.62</v>
      </c>
      <c r="X84" s="48">
        <v>12.388</v>
      </c>
      <c r="Y84" s="27">
        <v>45505</v>
      </c>
      <c r="Z84" s="53">
        <v>0.81521990740740746</v>
      </c>
      <c r="AA84">
        <v>0</v>
      </c>
      <c r="AB84">
        <v>0</v>
      </c>
      <c r="AC84">
        <v>0</v>
      </c>
      <c r="AD84" s="54">
        <f t="shared" ref="AD84" si="121">AVERAGE(X84:X88)</f>
        <v>12.4298</v>
      </c>
      <c r="AF84">
        <v>0</v>
      </c>
      <c r="AG84" t="s">
        <v>7</v>
      </c>
      <c r="AH84">
        <v>20160</v>
      </c>
      <c r="AI84">
        <v>160</v>
      </c>
      <c r="AJ84">
        <v>1</v>
      </c>
      <c r="AK84">
        <v>4</v>
      </c>
      <c r="AL84">
        <v>436.31</v>
      </c>
      <c r="AM84" s="48">
        <v>12.521000000000001</v>
      </c>
      <c r="AN84" s="27">
        <v>45509</v>
      </c>
      <c r="AO84" s="53">
        <v>3.6770833333333336E-2</v>
      </c>
      <c r="AP84">
        <v>0</v>
      </c>
      <c r="AQ84">
        <v>0</v>
      </c>
      <c r="AR84">
        <v>0</v>
      </c>
      <c r="AS84" s="54">
        <f t="shared" ref="AS84" si="122">AVERAGE(AM84:AM88)</f>
        <v>12.5244</v>
      </c>
      <c r="AT84" s="1">
        <f>AS84</f>
        <v>12.5244</v>
      </c>
      <c r="AV84">
        <v>69</v>
      </c>
      <c r="AW84" t="s">
        <v>71</v>
      </c>
      <c r="AX84">
        <v>19072</v>
      </c>
      <c r="AY84">
        <v>96</v>
      </c>
      <c r="AZ84">
        <v>1</v>
      </c>
      <c r="BA84">
        <v>4</v>
      </c>
      <c r="BB84" s="1">
        <v>367.52</v>
      </c>
      <c r="BC84" s="46">
        <v>12.648999999999999</v>
      </c>
      <c r="BF84">
        <v>0</v>
      </c>
      <c r="BG84">
        <v>0</v>
      </c>
      <c r="BH84">
        <v>0</v>
      </c>
      <c r="BI84" s="54">
        <f t="shared" ref="BI84" si="123">BI83</f>
        <v>12.580500000000001</v>
      </c>
    </row>
    <row r="85" spans="1:61">
      <c r="A85">
        <v>1</v>
      </c>
      <c r="B85" t="s">
        <v>7</v>
      </c>
      <c r="C85">
        <v>19008</v>
      </c>
      <c r="D85">
        <v>96</v>
      </c>
      <c r="E85">
        <v>2</v>
      </c>
      <c r="F85">
        <v>2</v>
      </c>
      <c r="G85" s="1">
        <v>433.18</v>
      </c>
      <c r="H85" s="63">
        <v>10.571</v>
      </c>
      <c r="I85" s="27">
        <v>45509</v>
      </c>
      <c r="J85" s="53">
        <v>0.2184837962962963</v>
      </c>
      <c r="K85">
        <v>0</v>
      </c>
      <c r="L85">
        <v>0</v>
      </c>
      <c r="M85">
        <v>0</v>
      </c>
      <c r="N85" s="54">
        <f t="shared" ref="N85" si="124">N84</f>
        <v>10.5764</v>
      </c>
      <c r="Q85">
        <v>1</v>
      </c>
      <c r="R85" t="s">
        <v>7</v>
      </c>
      <c r="S85">
        <v>19008</v>
      </c>
      <c r="T85">
        <v>96</v>
      </c>
      <c r="U85">
        <v>2</v>
      </c>
      <c r="V85">
        <v>2</v>
      </c>
      <c r="W85">
        <v>366.81</v>
      </c>
      <c r="X85" s="48">
        <v>12.483000000000001</v>
      </c>
      <c r="Y85" s="27">
        <v>45506</v>
      </c>
      <c r="Z85" s="53">
        <v>5.4155092592592595E-2</v>
      </c>
      <c r="AA85">
        <v>0</v>
      </c>
      <c r="AB85">
        <v>0</v>
      </c>
      <c r="AC85">
        <v>0</v>
      </c>
      <c r="AD85" s="54">
        <f t="shared" ref="AD85" si="125">AD84</f>
        <v>12.4298</v>
      </c>
      <c r="AF85">
        <v>1</v>
      </c>
      <c r="AG85" t="s">
        <v>7</v>
      </c>
      <c r="AH85">
        <v>20160</v>
      </c>
      <c r="AI85">
        <v>160</v>
      </c>
      <c r="AJ85">
        <v>1</v>
      </c>
      <c r="AK85">
        <v>4</v>
      </c>
      <c r="AL85">
        <v>437.74</v>
      </c>
      <c r="AM85" s="48">
        <v>12.48</v>
      </c>
      <c r="AN85" s="27">
        <v>45509</v>
      </c>
      <c r="AO85" s="53">
        <v>0.27445601851851853</v>
      </c>
      <c r="AP85">
        <v>0</v>
      </c>
      <c r="AQ85">
        <v>0</v>
      </c>
      <c r="AR85">
        <v>0</v>
      </c>
      <c r="AS85" s="54">
        <f t="shared" ref="AS85" si="126">AS84</f>
        <v>12.5244</v>
      </c>
      <c r="AT85" s="1">
        <f>AT84</f>
        <v>12.5244</v>
      </c>
      <c r="AV85">
        <v>117</v>
      </c>
      <c r="AW85" t="s">
        <v>71</v>
      </c>
      <c r="AX85">
        <v>19072</v>
      </c>
      <c r="AY85">
        <v>96</v>
      </c>
      <c r="AZ85">
        <v>1</v>
      </c>
      <c r="BA85">
        <v>4</v>
      </c>
      <c r="BB85" s="1">
        <v>367.4</v>
      </c>
      <c r="BC85" s="46">
        <v>12.653</v>
      </c>
      <c r="BF85">
        <v>0</v>
      </c>
      <c r="BG85">
        <v>0</v>
      </c>
      <c r="BH85">
        <v>0</v>
      </c>
      <c r="BI85" s="54">
        <f t="shared" si="118"/>
        <v>12.580500000000001</v>
      </c>
    </row>
    <row r="86" spans="1:61">
      <c r="A86">
        <v>2</v>
      </c>
      <c r="B86" t="s">
        <v>7</v>
      </c>
      <c r="C86">
        <v>19008</v>
      </c>
      <c r="D86">
        <v>96</v>
      </c>
      <c r="E86">
        <v>2</v>
      </c>
      <c r="F86">
        <v>2</v>
      </c>
      <c r="G86" s="1">
        <v>432.58</v>
      </c>
      <c r="H86" s="63">
        <v>10.585000000000001</v>
      </c>
      <c r="I86" s="27">
        <v>45509</v>
      </c>
      <c r="J86" s="53">
        <v>0.48652777777777778</v>
      </c>
      <c r="K86">
        <v>0</v>
      </c>
      <c r="L86">
        <v>0</v>
      </c>
      <c r="M86">
        <v>0</v>
      </c>
      <c r="N86" s="54">
        <f t="shared" si="115"/>
        <v>10.5764</v>
      </c>
      <c r="Q86">
        <v>2</v>
      </c>
      <c r="R86" t="s">
        <v>7</v>
      </c>
      <c r="S86">
        <v>19008</v>
      </c>
      <c r="T86">
        <v>96</v>
      </c>
      <c r="U86">
        <v>2</v>
      </c>
      <c r="V86">
        <v>2</v>
      </c>
      <c r="W86">
        <v>365.92</v>
      </c>
      <c r="X86" s="48">
        <v>12.513999999999999</v>
      </c>
      <c r="Y86" s="27">
        <v>45506</v>
      </c>
      <c r="Z86" s="53">
        <v>0.29162037037037036</v>
      </c>
      <c r="AA86">
        <v>0</v>
      </c>
      <c r="AB86">
        <v>0</v>
      </c>
      <c r="AC86">
        <v>0</v>
      </c>
      <c r="AD86" s="54">
        <f t="shared" si="116"/>
        <v>12.4298</v>
      </c>
      <c r="AF86">
        <v>2</v>
      </c>
      <c r="AG86" t="s">
        <v>7</v>
      </c>
      <c r="AH86">
        <v>20160</v>
      </c>
      <c r="AI86">
        <v>160</v>
      </c>
      <c r="AJ86">
        <v>1</v>
      </c>
      <c r="AK86">
        <v>4</v>
      </c>
      <c r="AL86">
        <v>436.45</v>
      </c>
      <c r="AM86" s="48">
        <v>12.516999999999999</v>
      </c>
      <c r="AN86" s="27">
        <v>45509</v>
      </c>
      <c r="AO86" s="53">
        <v>0.51276620370370374</v>
      </c>
      <c r="AP86">
        <v>0</v>
      </c>
      <c r="AQ86">
        <v>0</v>
      </c>
      <c r="AR86">
        <v>0</v>
      </c>
      <c r="AS86" s="54">
        <f t="shared" si="117"/>
        <v>12.5244</v>
      </c>
      <c r="AT86" s="1">
        <f>AT85</f>
        <v>12.5244</v>
      </c>
      <c r="AV86">
        <v>165</v>
      </c>
      <c r="AW86" t="s">
        <v>71</v>
      </c>
      <c r="AX86">
        <v>19072</v>
      </c>
      <c r="AY86">
        <v>96</v>
      </c>
      <c r="AZ86">
        <v>1</v>
      </c>
      <c r="BA86">
        <v>4</v>
      </c>
      <c r="BB86" s="1">
        <v>371.62</v>
      </c>
      <c r="BC86" s="46">
        <v>12.509</v>
      </c>
      <c r="BF86">
        <v>0</v>
      </c>
      <c r="BG86">
        <v>0</v>
      </c>
      <c r="BH86">
        <v>0</v>
      </c>
      <c r="BI86" s="54">
        <f t="shared" si="118"/>
        <v>12.580500000000001</v>
      </c>
    </row>
    <row r="87" spans="1:61">
      <c r="A87">
        <v>3</v>
      </c>
      <c r="B87" t="s">
        <v>7</v>
      </c>
      <c r="C87">
        <v>19008</v>
      </c>
      <c r="D87">
        <v>96</v>
      </c>
      <c r="E87">
        <v>2</v>
      </c>
      <c r="F87">
        <v>2</v>
      </c>
      <c r="G87" s="1">
        <v>432.93</v>
      </c>
      <c r="H87" s="63">
        <v>10.577</v>
      </c>
      <c r="I87" s="27">
        <v>45509</v>
      </c>
      <c r="J87" s="53">
        <v>0.75451388888888893</v>
      </c>
      <c r="K87">
        <v>0</v>
      </c>
      <c r="L87">
        <v>0</v>
      </c>
      <c r="M87">
        <v>0</v>
      </c>
      <c r="N87" s="54">
        <f t="shared" si="115"/>
        <v>10.5764</v>
      </c>
      <c r="Q87">
        <v>3</v>
      </c>
      <c r="R87" t="s">
        <v>7</v>
      </c>
      <c r="S87">
        <v>19008</v>
      </c>
      <c r="T87">
        <v>96</v>
      </c>
      <c r="U87">
        <v>2</v>
      </c>
      <c r="V87">
        <v>2</v>
      </c>
      <c r="W87">
        <v>369.34</v>
      </c>
      <c r="X87" s="48">
        <v>12.398</v>
      </c>
      <c r="Y87" s="27">
        <v>45506</v>
      </c>
      <c r="Z87" s="53">
        <v>0.52891203703703704</v>
      </c>
      <c r="AA87">
        <v>0</v>
      </c>
      <c r="AB87">
        <v>0</v>
      </c>
      <c r="AC87">
        <v>0</v>
      </c>
      <c r="AD87" s="54">
        <f t="shared" si="116"/>
        <v>12.4298</v>
      </c>
      <c r="AF87">
        <v>3</v>
      </c>
      <c r="AG87" t="s">
        <v>7</v>
      </c>
      <c r="AH87">
        <v>20160</v>
      </c>
      <c r="AI87">
        <v>160</v>
      </c>
      <c r="AJ87">
        <v>1</v>
      </c>
      <c r="AK87">
        <v>4</v>
      </c>
      <c r="AL87">
        <v>434.79</v>
      </c>
      <c r="AM87" s="48">
        <v>12.565</v>
      </c>
      <c r="AN87" s="27">
        <v>45509</v>
      </c>
      <c r="AO87" s="53">
        <v>0.75100694444444449</v>
      </c>
      <c r="AP87">
        <v>0</v>
      </c>
      <c r="AQ87">
        <v>0</v>
      </c>
      <c r="AR87">
        <v>0</v>
      </c>
      <c r="AS87" s="54">
        <f t="shared" si="117"/>
        <v>12.5244</v>
      </c>
      <c r="AT87" s="1">
        <f>AT86</f>
        <v>12.5244</v>
      </c>
      <c r="AV87">
        <v>213</v>
      </c>
      <c r="AW87" t="s">
        <v>71</v>
      </c>
      <c r="AX87">
        <v>19072</v>
      </c>
      <c r="AY87">
        <v>96</v>
      </c>
      <c r="AZ87">
        <v>1</v>
      </c>
      <c r="BA87">
        <v>4</v>
      </c>
      <c r="BB87" s="1">
        <v>371.52</v>
      </c>
      <c r="BC87" s="46">
        <v>12.513</v>
      </c>
      <c r="BF87">
        <v>0</v>
      </c>
      <c r="BG87">
        <v>0</v>
      </c>
      <c r="BH87">
        <v>0</v>
      </c>
      <c r="BI87" s="54">
        <f t="shared" si="118"/>
        <v>12.580500000000001</v>
      </c>
    </row>
    <row r="88" spans="1:61">
      <c r="A88">
        <v>4</v>
      </c>
      <c r="B88" t="s">
        <v>7</v>
      </c>
      <c r="C88">
        <v>19008</v>
      </c>
      <c r="D88">
        <v>96</v>
      </c>
      <c r="E88">
        <v>2</v>
      </c>
      <c r="F88">
        <v>2</v>
      </c>
      <c r="G88" s="1">
        <v>433.68</v>
      </c>
      <c r="H88" s="63">
        <v>10.558</v>
      </c>
      <c r="I88" s="27">
        <v>45510</v>
      </c>
      <c r="J88" s="53">
        <v>2.2407407407407407E-2</v>
      </c>
      <c r="K88">
        <v>0</v>
      </c>
      <c r="L88">
        <v>0</v>
      </c>
      <c r="M88">
        <v>0</v>
      </c>
      <c r="N88" s="54">
        <f t="shared" si="115"/>
        <v>10.5764</v>
      </c>
      <c r="Q88">
        <v>4</v>
      </c>
      <c r="R88" t="s">
        <v>7</v>
      </c>
      <c r="S88">
        <v>19008</v>
      </c>
      <c r="T88">
        <v>96</v>
      </c>
      <c r="U88">
        <v>2</v>
      </c>
      <c r="V88">
        <v>2</v>
      </c>
      <c r="W88">
        <v>370.29</v>
      </c>
      <c r="X88" s="48">
        <v>12.366</v>
      </c>
      <c r="Y88" s="27">
        <v>45506</v>
      </c>
      <c r="Z88" s="53">
        <v>0.76623842592592595</v>
      </c>
      <c r="AA88">
        <v>0</v>
      </c>
      <c r="AB88">
        <v>0</v>
      </c>
      <c r="AC88">
        <v>0</v>
      </c>
      <c r="AD88" s="54">
        <f t="shared" si="116"/>
        <v>12.4298</v>
      </c>
      <c r="AF88">
        <v>4</v>
      </c>
      <c r="AG88" t="s">
        <v>7</v>
      </c>
      <c r="AH88">
        <v>20160</v>
      </c>
      <c r="AI88">
        <v>160</v>
      </c>
      <c r="AJ88">
        <v>1</v>
      </c>
      <c r="AK88">
        <v>4</v>
      </c>
      <c r="AL88">
        <v>435.69</v>
      </c>
      <c r="AM88" s="48">
        <v>12.539</v>
      </c>
      <c r="AN88" s="27">
        <v>45509</v>
      </c>
      <c r="AO88" s="53">
        <v>0.98864583333333333</v>
      </c>
      <c r="AP88">
        <v>0</v>
      </c>
      <c r="AQ88">
        <v>0</v>
      </c>
      <c r="AR88">
        <v>0</v>
      </c>
      <c r="AS88" s="54">
        <f t="shared" si="117"/>
        <v>12.5244</v>
      </c>
      <c r="AT88" s="1">
        <f>AT87</f>
        <v>12.5244</v>
      </c>
      <c r="AV88">
        <v>261</v>
      </c>
      <c r="AW88" t="s">
        <v>71</v>
      </c>
      <c r="AX88">
        <v>19072</v>
      </c>
      <c r="AY88">
        <v>96</v>
      </c>
      <c r="AZ88">
        <v>1</v>
      </c>
      <c r="BA88">
        <v>4</v>
      </c>
      <c r="BB88" s="1">
        <v>371.81</v>
      </c>
      <c r="BC88" s="46">
        <v>12.503</v>
      </c>
      <c r="BF88">
        <v>0</v>
      </c>
      <c r="BG88">
        <v>0</v>
      </c>
      <c r="BH88">
        <v>0</v>
      </c>
      <c r="BI88" s="54">
        <f t="shared" si="118"/>
        <v>12.580500000000001</v>
      </c>
    </row>
    <row r="89" spans="1:61">
      <c r="A89">
        <v>0</v>
      </c>
      <c r="B89" t="s">
        <v>7</v>
      </c>
      <c r="C89">
        <v>20160</v>
      </c>
      <c r="D89">
        <v>96</v>
      </c>
      <c r="E89">
        <v>2</v>
      </c>
      <c r="F89">
        <v>2</v>
      </c>
      <c r="G89" s="1">
        <v>525.58000000000004</v>
      </c>
      <c r="H89" s="63">
        <v>10.394</v>
      </c>
      <c r="I89" s="27">
        <v>45509</v>
      </c>
      <c r="J89" s="53">
        <v>4.6030092592592595E-2</v>
      </c>
      <c r="K89">
        <v>0</v>
      </c>
      <c r="L89">
        <v>0</v>
      </c>
      <c r="M89">
        <v>0</v>
      </c>
      <c r="N89" s="54">
        <f t="shared" ref="N89" si="127">AVERAGE(H89:H93)</f>
        <v>10.398</v>
      </c>
      <c r="Q89">
        <v>0</v>
      </c>
      <c r="R89" t="s">
        <v>7</v>
      </c>
      <c r="S89">
        <v>20160</v>
      </c>
      <c r="T89">
        <v>96</v>
      </c>
      <c r="U89">
        <v>2</v>
      </c>
      <c r="V89">
        <v>2</v>
      </c>
      <c r="W89">
        <v>437.23</v>
      </c>
      <c r="X89" s="48">
        <v>12.494999999999999</v>
      </c>
      <c r="Y89" s="27">
        <v>45505</v>
      </c>
      <c r="Z89" s="53">
        <v>0.90103009259259259</v>
      </c>
      <c r="AA89">
        <v>0</v>
      </c>
      <c r="AB89">
        <v>0</v>
      </c>
      <c r="AC89">
        <v>0</v>
      </c>
      <c r="AD89" s="54">
        <f t="shared" ref="AD89" si="128">AVERAGE(X89:X93)</f>
        <v>12.4658</v>
      </c>
      <c r="AF89">
        <v>0</v>
      </c>
      <c r="AG89" t="s">
        <v>7</v>
      </c>
      <c r="AH89">
        <v>19040</v>
      </c>
      <c r="AI89">
        <v>160</v>
      </c>
      <c r="AJ89">
        <v>1</v>
      </c>
      <c r="AK89">
        <v>4</v>
      </c>
      <c r="AL89">
        <v>368.11</v>
      </c>
      <c r="AM89" s="48">
        <v>12.502000000000001</v>
      </c>
      <c r="AN89" s="27">
        <v>45508</v>
      </c>
      <c r="AO89" s="53">
        <v>0.95013888888888887</v>
      </c>
      <c r="AP89">
        <v>0</v>
      </c>
      <c r="AQ89">
        <v>0</v>
      </c>
      <c r="AR89">
        <v>0</v>
      </c>
      <c r="AS89" s="54">
        <f t="shared" ref="AS89" si="129">AVERAGE(AM89:AM93)</f>
        <v>12.519600000000001</v>
      </c>
      <c r="AT89" s="1">
        <f>AS89</f>
        <v>12.519600000000001</v>
      </c>
      <c r="AV89">
        <v>37</v>
      </c>
      <c r="AW89" t="s">
        <v>71</v>
      </c>
      <c r="AX89">
        <v>20096</v>
      </c>
      <c r="AY89">
        <v>96</v>
      </c>
      <c r="AZ89">
        <v>1</v>
      </c>
      <c r="BA89">
        <v>4</v>
      </c>
      <c r="BB89" s="1">
        <v>426.9</v>
      </c>
      <c r="BC89" s="46">
        <v>12.615</v>
      </c>
      <c r="BF89">
        <v>0</v>
      </c>
      <c r="BG89">
        <v>0</v>
      </c>
      <c r="BH89">
        <v>0</v>
      </c>
      <c r="BI89" s="54">
        <f t="shared" ref="BI89" si="130">AVERAGE(BC89:BC94)</f>
        <v>12.616333333333335</v>
      </c>
    </row>
    <row r="90" spans="1:61">
      <c r="A90">
        <v>1</v>
      </c>
      <c r="B90" t="s">
        <v>7</v>
      </c>
      <c r="C90">
        <v>20160</v>
      </c>
      <c r="D90">
        <v>96</v>
      </c>
      <c r="E90">
        <v>2</v>
      </c>
      <c r="F90">
        <v>2</v>
      </c>
      <c r="G90" s="1">
        <v>529.64</v>
      </c>
      <c r="H90" s="63">
        <v>10.315</v>
      </c>
      <c r="I90" s="27">
        <v>45509</v>
      </c>
      <c r="J90" s="53">
        <v>0.31429398148148147</v>
      </c>
      <c r="K90">
        <v>0</v>
      </c>
      <c r="L90">
        <v>0</v>
      </c>
      <c r="M90">
        <v>0</v>
      </c>
      <c r="N90" s="54">
        <f t="shared" ref="N90" si="131">N89</f>
        <v>10.398</v>
      </c>
      <c r="Q90">
        <v>1</v>
      </c>
      <c r="R90" t="s">
        <v>7</v>
      </c>
      <c r="S90">
        <v>20160</v>
      </c>
      <c r="T90">
        <v>96</v>
      </c>
      <c r="U90">
        <v>2</v>
      </c>
      <c r="V90">
        <v>2</v>
      </c>
      <c r="W90">
        <v>437.63</v>
      </c>
      <c r="X90" s="48">
        <v>12.483000000000001</v>
      </c>
      <c r="Y90" s="27">
        <v>45506</v>
      </c>
      <c r="Z90" s="53">
        <v>0.13879629629629631</v>
      </c>
      <c r="AA90">
        <v>0</v>
      </c>
      <c r="AB90">
        <v>0</v>
      </c>
      <c r="AC90">
        <v>0</v>
      </c>
      <c r="AD90" s="54">
        <f t="shared" ref="AD90" si="132">AD89</f>
        <v>12.4658</v>
      </c>
      <c r="AF90">
        <v>1</v>
      </c>
      <c r="AG90" t="s">
        <v>7</v>
      </c>
      <c r="AH90">
        <v>19040</v>
      </c>
      <c r="AI90">
        <v>160</v>
      </c>
      <c r="AJ90">
        <v>1</v>
      </c>
      <c r="AK90">
        <v>4</v>
      </c>
      <c r="AL90">
        <v>367.94</v>
      </c>
      <c r="AM90" s="48">
        <v>12.507999999999999</v>
      </c>
      <c r="AN90" s="27">
        <v>45509</v>
      </c>
      <c r="AO90" s="53">
        <v>0.18754629629629629</v>
      </c>
      <c r="AP90">
        <v>0</v>
      </c>
      <c r="AQ90">
        <v>0</v>
      </c>
      <c r="AR90">
        <v>0</v>
      </c>
      <c r="AS90" s="54">
        <f t="shared" ref="AS90" si="133">AS89</f>
        <v>12.519600000000001</v>
      </c>
      <c r="AT90" s="1">
        <f>AT89</f>
        <v>12.519600000000001</v>
      </c>
      <c r="AV90">
        <v>85</v>
      </c>
      <c r="AW90" t="s">
        <v>71</v>
      </c>
      <c r="AX90">
        <v>20096</v>
      </c>
      <c r="AY90">
        <v>96</v>
      </c>
      <c r="AZ90">
        <v>1</v>
      </c>
      <c r="BA90">
        <v>4</v>
      </c>
      <c r="BB90" s="1">
        <v>429.65</v>
      </c>
      <c r="BC90" s="46">
        <v>12.534000000000001</v>
      </c>
      <c r="BF90">
        <v>0</v>
      </c>
      <c r="BG90">
        <v>0</v>
      </c>
      <c r="BH90">
        <v>0</v>
      </c>
      <c r="BI90" s="54">
        <f t="shared" ref="BI90" si="134">BI89</f>
        <v>12.616333333333335</v>
      </c>
    </row>
    <row r="91" spans="1:61">
      <c r="A91">
        <v>2</v>
      </c>
      <c r="B91" t="s">
        <v>7</v>
      </c>
      <c r="C91">
        <v>20160</v>
      </c>
      <c r="D91">
        <v>96</v>
      </c>
      <c r="E91">
        <v>2</v>
      </c>
      <c r="F91">
        <v>2</v>
      </c>
      <c r="G91" s="1">
        <v>523.53</v>
      </c>
      <c r="H91" s="63">
        <v>10.435</v>
      </c>
      <c r="I91" s="27">
        <v>45509</v>
      </c>
      <c r="J91" s="53">
        <v>0.58217592592592593</v>
      </c>
      <c r="K91">
        <v>0</v>
      </c>
      <c r="L91">
        <v>0</v>
      </c>
      <c r="M91">
        <v>0</v>
      </c>
      <c r="N91" s="54">
        <f t="shared" si="115"/>
        <v>10.398</v>
      </c>
      <c r="Q91">
        <v>2</v>
      </c>
      <c r="R91" t="s">
        <v>7</v>
      </c>
      <c r="S91">
        <v>20160</v>
      </c>
      <c r="T91">
        <v>96</v>
      </c>
      <c r="U91">
        <v>2</v>
      </c>
      <c r="V91">
        <v>2</v>
      </c>
      <c r="W91">
        <v>438.28</v>
      </c>
      <c r="X91" s="48">
        <v>12.465</v>
      </c>
      <c r="Y91" s="27">
        <v>45506</v>
      </c>
      <c r="Z91" s="53">
        <v>0.3760648148148148</v>
      </c>
      <c r="AA91">
        <v>0</v>
      </c>
      <c r="AB91">
        <v>0</v>
      </c>
      <c r="AC91">
        <v>0</v>
      </c>
      <c r="AD91" s="54">
        <f t="shared" si="116"/>
        <v>12.4658</v>
      </c>
      <c r="AF91">
        <v>2</v>
      </c>
      <c r="AG91" t="s">
        <v>7</v>
      </c>
      <c r="AH91">
        <v>19040</v>
      </c>
      <c r="AI91">
        <v>160</v>
      </c>
      <c r="AJ91">
        <v>1</v>
      </c>
      <c r="AK91">
        <v>4</v>
      </c>
      <c r="AL91">
        <v>367.23</v>
      </c>
      <c r="AM91" s="48">
        <v>12.532</v>
      </c>
      <c r="AN91" s="27">
        <v>45509</v>
      </c>
      <c r="AO91" s="53">
        <v>0.42486111111111113</v>
      </c>
      <c r="AP91">
        <v>0</v>
      </c>
      <c r="AQ91">
        <v>0</v>
      </c>
      <c r="AR91">
        <v>0</v>
      </c>
      <c r="AS91" s="54">
        <f t="shared" si="117"/>
        <v>12.519600000000001</v>
      </c>
      <c r="AT91" s="1">
        <f>AT90</f>
        <v>12.519600000000001</v>
      </c>
      <c r="AV91">
        <v>133</v>
      </c>
      <c r="AW91" t="s">
        <v>71</v>
      </c>
      <c r="AX91">
        <v>20096</v>
      </c>
      <c r="AY91">
        <v>96</v>
      </c>
      <c r="AZ91">
        <v>1</v>
      </c>
      <c r="BA91">
        <v>4</v>
      </c>
      <c r="BB91" s="1">
        <v>426.35</v>
      </c>
      <c r="BC91" s="46">
        <v>12.631</v>
      </c>
      <c r="BF91">
        <v>0</v>
      </c>
      <c r="BG91">
        <v>0</v>
      </c>
      <c r="BH91">
        <v>0</v>
      </c>
      <c r="BI91" s="54">
        <f t="shared" si="118"/>
        <v>12.616333333333335</v>
      </c>
    </row>
    <row r="92" spans="1:61">
      <c r="A92">
        <v>3</v>
      </c>
      <c r="B92" t="s">
        <v>7</v>
      </c>
      <c r="C92">
        <v>20160</v>
      </c>
      <c r="D92">
        <v>96</v>
      </c>
      <c r="E92">
        <v>2</v>
      </c>
      <c r="F92">
        <v>2</v>
      </c>
      <c r="G92" s="1">
        <v>524.11</v>
      </c>
      <c r="H92" s="63">
        <v>10.423</v>
      </c>
      <c r="I92" s="27">
        <v>45509</v>
      </c>
      <c r="J92" s="53">
        <v>0.85015046296296293</v>
      </c>
      <c r="K92">
        <v>0</v>
      </c>
      <c r="L92">
        <v>0</v>
      </c>
      <c r="M92">
        <v>0</v>
      </c>
      <c r="N92" s="54">
        <f t="shared" si="115"/>
        <v>10.398</v>
      </c>
      <c r="Q92">
        <v>3</v>
      </c>
      <c r="R92" t="s">
        <v>7</v>
      </c>
      <c r="S92">
        <v>20160</v>
      </c>
      <c r="T92">
        <v>96</v>
      </c>
      <c r="U92">
        <v>2</v>
      </c>
      <c r="V92">
        <v>2</v>
      </c>
      <c r="W92">
        <v>438.25</v>
      </c>
      <c r="X92" s="48">
        <v>12.465999999999999</v>
      </c>
      <c r="Y92" s="27">
        <v>45506</v>
      </c>
      <c r="Z92" s="53">
        <v>0.61341435185185189</v>
      </c>
      <c r="AA92">
        <v>0</v>
      </c>
      <c r="AB92">
        <v>0</v>
      </c>
      <c r="AC92">
        <v>0</v>
      </c>
      <c r="AD92" s="54">
        <f t="shared" si="116"/>
        <v>12.4658</v>
      </c>
      <c r="AF92">
        <v>3</v>
      </c>
      <c r="AG92" t="s">
        <v>7</v>
      </c>
      <c r="AH92">
        <v>19040</v>
      </c>
      <c r="AI92">
        <v>160</v>
      </c>
      <c r="AJ92">
        <v>1</v>
      </c>
      <c r="AK92">
        <v>4</v>
      </c>
      <c r="AL92">
        <v>367.46</v>
      </c>
      <c r="AM92" s="48">
        <v>12.523999999999999</v>
      </c>
      <c r="AN92" s="27">
        <v>45509</v>
      </c>
      <c r="AO92" s="53">
        <v>0.66364583333333338</v>
      </c>
      <c r="AP92">
        <v>0</v>
      </c>
      <c r="AQ92">
        <v>0</v>
      </c>
      <c r="AR92">
        <v>0</v>
      </c>
      <c r="AS92" s="54">
        <f t="shared" si="117"/>
        <v>12.519600000000001</v>
      </c>
      <c r="AT92" s="1">
        <f>AT91</f>
        <v>12.519600000000001</v>
      </c>
      <c r="AV92">
        <v>181</v>
      </c>
      <c r="AW92" t="s">
        <v>71</v>
      </c>
      <c r="AX92">
        <v>20096</v>
      </c>
      <c r="AY92">
        <v>96</v>
      </c>
      <c r="AZ92">
        <v>1</v>
      </c>
      <c r="BA92">
        <v>4</v>
      </c>
      <c r="BB92" s="1">
        <v>425.69</v>
      </c>
      <c r="BC92" s="46">
        <v>12.651</v>
      </c>
      <c r="BF92">
        <v>0</v>
      </c>
      <c r="BG92">
        <v>0</v>
      </c>
      <c r="BH92">
        <v>0</v>
      </c>
      <c r="BI92" s="54">
        <f t="shared" si="118"/>
        <v>12.616333333333335</v>
      </c>
    </row>
    <row r="93" spans="1:61">
      <c r="A93">
        <v>4</v>
      </c>
      <c r="B93" t="s">
        <v>7</v>
      </c>
      <c r="C93">
        <v>20160</v>
      </c>
      <c r="D93">
        <v>96</v>
      </c>
      <c r="E93">
        <v>2</v>
      </c>
      <c r="F93">
        <v>2</v>
      </c>
      <c r="G93" s="1">
        <v>524.14</v>
      </c>
      <c r="H93" s="63">
        <v>10.423</v>
      </c>
      <c r="I93" s="27">
        <v>45510</v>
      </c>
      <c r="J93" s="53">
        <v>0.11810185185185185</v>
      </c>
      <c r="K93">
        <v>0</v>
      </c>
      <c r="L93">
        <v>0</v>
      </c>
      <c r="M93">
        <v>0</v>
      </c>
      <c r="N93" s="54">
        <f t="shared" si="115"/>
        <v>10.398</v>
      </c>
      <c r="Q93">
        <v>4</v>
      </c>
      <c r="R93" t="s">
        <v>7</v>
      </c>
      <c r="S93">
        <v>20160</v>
      </c>
      <c r="T93">
        <v>96</v>
      </c>
      <c r="U93">
        <v>2</v>
      </c>
      <c r="V93">
        <v>2</v>
      </c>
      <c r="W93">
        <v>439.86</v>
      </c>
      <c r="X93" s="48">
        <v>12.42</v>
      </c>
      <c r="Y93" s="27">
        <v>45506</v>
      </c>
      <c r="Z93" s="53">
        <v>0.85101851851851851</v>
      </c>
      <c r="AA93">
        <v>0</v>
      </c>
      <c r="AB93">
        <v>0</v>
      </c>
      <c r="AC93">
        <v>0</v>
      </c>
      <c r="AD93" s="54">
        <f t="shared" si="116"/>
        <v>12.4658</v>
      </c>
      <c r="AF93">
        <v>4</v>
      </c>
      <c r="AG93" t="s">
        <v>7</v>
      </c>
      <c r="AH93">
        <v>19040</v>
      </c>
      <c r="AI93">
        <v>160</v>
      </c>
      <c r="AJ93">
        <v>1</v>
      </c>
      <c r="AK93">
        <v>4</v>
      </c>
      <c r="AL93">
        <v>367.24</v>
      </c>
      <c r="AM93" s="48">
        <v>12.532</v>
      </c>
      <c r="AN93" s="27">
        <v>45509</v>
      </c>
      <c r="AO93" s="53">
        <v>0.90153935185185186</v>
      </c>
      <c r="AP93">
        <v>0</v>
      </c>
      <c r="AQ93">
        <v>0</v>
      </c>
      <c r="AR93">
        <v>0</v>
      </c>
      <c r="AS93" s="54">
        <f t="shared" si="117"/>
        <v>12.519600000000001</v>
      </c>
      <c r="AT93" s="1">
        <f>AT92</f>
        <v>12.519600000000001</v>
      </c>
      <c r="AV93">
        <v>229</v>
      </c>
      <c r="AW93" t="s">
        <v>71</v>
      </c>
      <c r="AX93">
        <v>20096</v>
      </c>
      <c r="AY93">
        <v>96</v>
      </c>
      <c r="AZ93">
        <v>1</v>
      </c>
      <c r="BA93">
        <v>4</v>
      </c>
      <c r="BB93" s="1">
        <v>422.52</v>
      </c>
      <c r="BC93" s="46">
        <v>12.746</v>
      </c>
      <c r="BF93">
        <v>0</v>
      </c>
      <c r="BG93">
        <v>0</v>
      </c>
      <c r="BH93">
        <v>0</v>
      </c>
      <c r="BI93" s="54">
        <f t="shared" si="118"/>
        <v>12.616333333333335</v>
      </c>
    </row>
    <row r="94" spans="1:61">
      <c r="A94">
        <v>0</v>
      </c>
      <c r="B94" t="s">
        <v>7</v>
      </c>
      <c r="C94">
        <v>17920</v>
      </c>
      <c r="D94">
        <v>128</v>
      </c>
      <c r="E94">
        <v>1</v>
      </c>
      <c r="F94">
        <v>4</v>
      </c>
      <c r="G94" s="1">
        <v>391.63</v>
      </c>
      <c r="H94" s="63">
        <v>9.7971000000000004</v>
      </c>
      <c r="I94" s="27">
        <v>45508</v>
      </c>
      <c r="J94" s="53">
        <v>0.87310185185185185</v>
      </c>
      <c r="K94">
        <v>0</v>
      </c>
      <c r="L94">
        <v>0</v>
      </c>
      <c r="M94">
        <v>0</v>
      </c>
      <c r="N94" s="54">
        <f t="shared" ref="N94" si="135">AVERAGE(H94:H98)</f>
        <v>10.04222</v>
      </c>
      <c r="Q94">
        <v>0</v>
      </c>
      <c r="R94" t="s">
        <v>7</v>
      </c>
      <c r="S94">
        <v>17920</v>
      </c>
      <c r="T94">
        <v>128</v>
      </c>
      <c r="U94">
        <v>1</v>
      </c>
      <c r="V94">
        <v>4</v>
      </c>
      <c r="W94">
        <v>324.52999999999997</v>
      </c>
      <c r="X94" s="48">
        <v>11.823</v>
      </c>
      <c r="Y94" s="27">
        <v>45505</v>
      </c>
      <c r="Z94" s="53">
        <v>0.74745370370370368</v>
      </c>
      <c r="AA94">
        <v>0</v>
      </c>
      <c r="AB94">
        <v>0</v>
      </c>
      <c r="AC94">
        <v>0</v>
      </c>
      <c r="AD94" s="54">
        <f t="shared" ref="AD94" si="136">AVERAGE(X94:X98)</f>
        <v>12.669999999999998</v>
      </c>
      <c r="AF94">
        <v>0</v>
      </c>
      <c r="AG94" t="s">
        <v>7</v>
      </c>
      <c r="AH94">
        <v>20160</v>
      </c>
      <c r="AI94">
        <v>192</v>
      </c>
      <c r="AJ94">
        <v>2</v>
      </c>
      <c r="AK94">
        <v>2</v>
      </c>
      <c r="AL94">
        <v>437.08</v>
      </c>
      <c r="AM94" s="48">
        <v>12.499000000000001</v>
      </c>
      <c r="AN94" s="27">
        <v>45509</v>
      </c>
      <c r="AO94" s="53">
        <v>5.2962962962962962E-2</v>
      </c>
      <c r="AP94">
        <v>0</v>
      </c>
      <c r="AQ94">
        <v>0</v>
      </c>
      <c r="AR94">
        <v>0</v>
      </c>
      <c r="AS94" s="54">
        <f t="shared" ref="AS94" si="137">AVERAGE(AM94:AM98)</f>
        <v>12.503399999999999</v>
      </c>
      <c r="AT94" s="1">
        <f>AS94</f>
        <v>12.503399999999999</v>
      </c>
      <c r="AV94">
        <v>277</v>
      </c>
      <c r="AW94" t="s">
        <v>71</v>
      </c>
      <c r="AX94">
        <v>20096</v>
      </c>
      <c r="AY94">
        <v>96</v>
      </c>
      <c r="AZ94">
        <v>1</v>
      </c>
      <c r="BA94">
        <v>4</v>
      </c>
      <c r="BB94" s="1">
        <v>430.11</v>
      </c>
      <c r="BC94" s="46">
        <v>12.521000000000001</v>
      </c>
      <c r="BF94">
        <v>0</v>
      </c>
      <c r="BG94">
        <v>0</v>
      </c>
      <c r="BH94">
        <v>0</v>
      </c>
      <c r="BI94" s="54">
        <f t="shared" si="118"/>
        <v>12.616333333333335</v>
      </c>
    </row>
    <row r="95" spans="1:61">
      <c r="A95">
        <v>1</v>
      </c>
      <c r="B95" t="s">
        <v>7</v>
      </c>
      <c r="C95">
        <v>17920</v>
      </c>
      <c r="D95">
        <v>128</v>
      </c>
      <c r="E95">
        <v>1</v>
      </c>
      <c r="F95">
        <v>4</v>
      </c>
      <c r="G95" s="1">
        <v>379.64</v>
      </c>
      <c r="H95" s="63">
        <v>10.106999999999999</v>
      </c>
      <c r="I95" s="27">
        <v>45509</v>
      </c>
      <c r="J95" s="53">
        <v>0.14210648148148147</v>
      </c>
      <c r="K95">
        <v>0</v>
      </c>
      <c r="L95">
        <v>0</v>
      </c>
      <c r="M95">
        <v>0</v>
      </c>
      <c r="N95" s="54">
        <f t="shared" ref="N95" si="138">N94</f>
        <v>10.04222</v>
      </c>
      <c r="Q95">
        <v>1</v>
      </c>
      <c r="R95" t="s">
        <v>7</v>
      </c>
      <c r="S95">
        <v>17920</v>
      </c>
      <c r="T95">
        <v>128</v>
      </c>
      <c r="U95">
        <v>1</v>
      </c>
      <c r="V95">
        <v>4</v>
      </c>
      <c r="W95">
        <v>297.89999999999998</v>
      </c>
      <c r="X95" s="48">
        <v>12.88</v>
      </c>
      <c r="Y95" s="27">
        <v>45505</v>
      </c>
      <c r="Z95" s="53">
        <v>0.98679398148148145</v>
      </c>
      <c r="AA95">
        <v>0</v>
      </c>
      <c r="AB95">
        <v>0</v>
      </c>
      <c r="AC95">
        <v>0</v>
      </c>
      <c r="AD95" s="54">
        <f t="shared" ref="AD95" si="139">AD94</f>
        <v>12.669999999999998</v>
      </c>
      <c r="AF95">
        <v>1</v>
      </c>
      <c r="AG95" t="s">
        <v>7</v>
      </c>
      <c r="AH95">
        <v>20160</v>
      </c>
      <c r="AI95">
        <v>192</v>
      </c>
      <c r="AJ95">
        <v>2</v>
      </c>
      <c r="AK95">
        <v>2</v>
      </c>
      <c r="AL95">
        <v>439.88</v>
      </c>
      <c r="AM95" s="48">
        <v>12.419</v>
      </c>
      <c r="AN95" s="27">
        <v>45509</v>
      </c>
      <c r="AO95" s="53">
        <v>0.29064814814814816</v>
      </c>
      <c r="AP95">
        <v>0</v>
      </c>
      <c r="AQ95">
        <v>0</v>
      </c>
      <c r="AR95">
        <v>0</v>
      </c>
      <c r="AS95" s="54">
        <f t="shared" ref="AS95" si="140">AS94</f>
        <v>12.503399999999999</v>
      </c>
      <c r="AT95" s="1">
        <f>AT94</f>
        <v>12.503399999999999</v>
      </c>
      <c r="AV95">
        <v>6</v>
      </c>
      <c r="AW95" t="s">
        <v>71</v>
      </c>
      <c r="AX95">
        <v>18048</v>
      </c>
      <c r="AY95">
        <v>96</v>
      </c>
      <c r="AZ95">
        <v>2</v>
      </c>
      <c r="BA95">
        <v>2</v>
      </c>
      <c r="BB95" s="1">
        <v>316.81</v>
      </c>
      <c r="BC95" s="46">
        <v>12.372</v>
      </c>
      <c r="BF95">
        <v>0</v>
      </c>
      <c r="BG95">
        <v>0</v>
      </c>
      <c r="BH95">
        <v>0</v>
      </c>
      <c r="BI95" s="54">
        <f t="shared" ref="BI95" si="141">AVERAGE(BC95:BC100)</f>
        <v>12.387833333333333</v>
      </c>
    </row>
    <row r="96" spans="1:61">
      <c r="A96">
        <v>2</v>
      </c>
      <c r="B96" t="s">
        <v>7</v>
      </c>
      <c r="C96">
        <v>17920</v>
      </c>
      <c r="D96">
        <v>128</v>
      </c>
      <c r="E96">
        <v>1</v>
      </c>
      <c r="F96">
        <v>4</v>
      </c>
      <c r="G96" s="1">
        <v>379.68</v>
      </c>
      <c r="H96" s="63">
        <v>10.106</v>
      </c>
      <c r="I96" s="27">
        <v>45509</v>
      </c>
      <c r="J96" s="53">
        <v>0.41030092592592593</v>
      </c>
      <c r="K96">
        <v>0</v>
      </c>
      <c r="L96">
        <v>0</v>
      </c>
      <c r="M96">
        <v>0</v>
      </c>
      <c r="N96" s="54">
        <f t="shared" si="115"/>
        <v>10.04222</v>
      </c>
      <c r="Q96">
        <v>2</v>
      </c>
      <c r="R96" t="s">
        <v>7</v>
      </c>
      <c r="S96">
        <v>17920</v>
      </c>
      <c r="T96">
        <v>128</v>
      </c>
      <c r="U96">
        <v>1</v>
      </c>
      <c r="V96">
        <v>4</v>
      </c>
      <c r="W96">
        <v>297.56</v>
      </c>
      <c r="X96" s="48">
        <v>12.894</v>
      </c>
      <c r="Y96" s="27">
        <v>45506</v>
      </c>
      <c r="Z96" s="53">
        <v>0.22394675925925925</v>
      </c>
      <c r="AA96">
        <v>0</v>
      </c>
      <c r="AB96">
        <v>0</v>
      </c>
      <c r="AC96">
        <v>0</v>
      </c>
      <c r="AD96" s="54">
        <f t="shared" si="116"/>
        <v>12.669999999999998</v>
      </c>
      <c r="AF96">
        <v>2</v>
      </c>
      <c r="AG96" t="s">
        <v>7</v>
      </c>
      <c r="AH96">
        <v>20160</v>
      </c>
      <c r="AI96">
        <v>192</v>
      </c>
      <c r="AJ96">
        <v>2</v>
      </c>
      <c r="AK96">
        <v>2</v>
      </c>
      <c r="AL96">
        <v>433.69</v>
      </c>
      <c r="AM96" s="48">
        <v>12.597</v>
      </c>
      <c r="AN96" s="27">
        <v>45509</v>
      </c>
      <c r="AO96" s="53">
        <v>0.52888888888888885</v>
      </c>
      <c r="AP96">
        <v>0</v>
      </c>
      <c r="AQ96">
        <v>0</v>
      </c>
      <c r="AR96">
        <v>0</v>
      </c>
      <c r="AS96" s="54">
        <f t="shared" si="117"/>
        <v>12.503399999999999</v>
      </c>
      <c r="AT96" s="1">
        <f>AT95</f>
        <v>12.503399999999999</v>
      </c>
      <c r="AV96">
        <v>54</v>
      </c>
      <c r="AW96" t="s">
        <v>71</v>
      </c>
      <c r="AX96">
        <v>18048</v>
      </c>
      <c r="AY96">
        <v>96</v>
      </c>
      <c r="AZ96">
        <v>2</v>
      </c>
      <c r="BA96">
        <v>2</v>
      </c>
      <c r="BB96" s="1">
        <v>316.32</v>
      </c>
      <c r="BC96" s="46">
        <v>12.391</v>
      </c>
      <c r="BF96">
        <v>0</v>
      </c>
      <c r="BG96">
        <v>0</v>
      </c>
      <c r="BH96">
        <v>0</v>
      </c>
      <c r="BI96" s="54">
        <f t="shared" ref="BI96" si="142">BI95</f>
        <v>12.387833333333333</v>
      </c>
    </row>
    <row r="97" spans="1:61">
      <c r="A97">
        <v>3</v>
      </c>
      <c r="B97" t="s">
        <v>7</v>
      </c>
      <c r="C97">
        <v>17920</v>
      </c>
      <c r="D97">
        <v>128</v>
      </c>
      <c r="E97">
        <v>1</v>
      </c>
      <c r="F97">
        <v>4</v>
      </c>
      <c r="G97" s="1">
        <v>380.9</v>
      </c>
      <c r="H97" s="63">
        <v>10.073</v>
      </c>
      <c r="I97" s="27">
        <v>45509</v>
      </c>
      <c r="J97" s="53">
        <v>0.67820601851851847</v>
      </c>
      <c r="K97">
        <v>0</v>
      </c>
      <c r="L97">
        <v>0</v>
      </c>
      <c r="M97">
        <v>0</v>
      </c>
      <c r="N97" s="54">
        <f t="shared" si="115"/>
        <v>10.04222</v>
      </c>
      <c r="Q97">
        <v>3</v>
      </c>
      <c r="R97" t="s">
        <v>7</v>
      </c>
      <c r="S97">
        <v>17920</v>
      </c>
      <c r="T97">
        <v>128</v>
      </c>
      <c r="U97">
        <v>1</v>
      </c>
      <c r="V97">
        <v>4</v>
      </c>
      <c r="W97">
        <v>298.89</v>
      </c>
      <c r="X97" s="48">
        <v>12.837</v>
      </c>
      <c r="Y97" s="27">
        <v>45506</v>
      </c>
      <c r="Z97" s="53">
        <v>0.46142361111111113</v>
      </c>
      <c r="AA97">
        <v>0</v>
      </c>
      <c r="AB97">
        <v>0</v>
      </c>
      <c r="AC97">
        <v>0</v>
      </c>
      <c r="AD97" s="54">
        <f t="shared" si="116"/>
        <v>12.669999999999998</v>
      </c>
      <c r="AF97">
        <v>3</v>
      </c>
      <c r="AG97" t="s">
        <v>7</v>
      </c>
      <c r="AH97">
        <v>20160</v>
      </c>
      <c r="AI97">
        <v>192</v>
      </c>
      <c r="AJ97">
        <v>2</v>
      </c>
      <c r="AK97">
        <v>2</v>
      </c>
      <c r="AL97">
        <v>436.65</v>
      </c>
      <c r="AM97" s="48">
        <v>12.510999999999999</v>
      </c>
      <c r="AN97" s="27">
        <v>45509</v>
      </c>
      <c r="AO97" s="53">
        <v>0.76714120370370376</v>
      </c>
      <c r="AP97">
        <v>0</v>
      </c>
      <c r="AQ97">
        <v>0</v>
      </c>
      <c r="AR97">
        <v>0</v>
      </c>
      <c r="AS97" s="54">
        <f t="shared" si="117"/>
        <v>12.503399999999999</v>
      </c>
      <c r="AT97" s="1">
        <f>AT96</f>
        <v>12.503399999999999</v>
      </c>
      <c r="AV97">
        <v>102</v>
      </c>
      <c r="AW97" t="s">
        <v>71</v>
      </c>
      <c r="AX97">
        <v>18048</v>
      </c>
      <c r="AY97">
        <v>96</v>
      </c>
      <c r="AZ97">
        <v>2</v>
      </c>
      <c r="BA97">
        <v>2</v>
      </c>
      <c r="BB97" s="1">
        <v>315.35000000000002</v>
      </c>
      <c r="BC97" s="46">
        <v>12.43</v>
      </c>
      <c r="BF97">
        <v>0</v>
      </c>
      <c r="BG97">
        <v>0</v>
      </c>
      <c r="BH97">
        <v>0</v>
      </c>
      <c r="BI97" s="54">
        <f t="shared" si="118"/>
        <v>12.387833333333333</v>
      </c>
    </row>
    <row r="98" spans="1:61">
      <c r="A98">
        <v>4</v>
      </c>
      <c r="B98" t="s">
        <v>7</v>
      </c>
      <c r="C98">
        <v>17920</v>
      </c>
      <c r="D98">
        <v>128</v>
      </c>
      <c r="E98">
        <v>1</v>
      </c>
      <c r="F98">
        <v>4</v>
      </c>
      <c r="G98" s="1">
        <v>378.83</v>
      </c>
      <c r="H98" s="63">
        <v>10.128</v>
      </c>
      <c r="I98" s="27">
        <v>45509</v>
      </c>
      <c r="J98" s="53">
        <v>0.94615740740740739</v>
      </c>
      <c r="K98">
        <v>0</v>
      </c>
      <c r="L98">
        <v>0</v>
      </c>
      <c r="M98">
        <v>0</v>
      </c>
      <c r="N98" s="54">
        <f t="shared" si="115"/>
        <v>10.04222</v>
      </c>
      <c r="Q98">
        <v>4</v>
      </c>
      <c r="R98" t="s">
        <v>7</v>
      </c>
      <c r="S98">
        <v>17920</v>
      </c>
      <c r="T98">
        <v>128</v>
      </c>
      <c r="U98">
        <v>1</v>
      </c>
      <c r="V98">
        <v>4</v>
      </c>
      <c r="W98">
        <v>297.07</v>
      </c>
      <c r="X98" s="48">
        <v>12.916</v>
      </c>
      <c r="Y98" s="27">
        <v>45506</v>
      </c>
      <c r="Z98" s="53">
        <v>0.69862268518518522</v>
      </c>
      <c r="AA98">
        <v>0</v>
      </c>
      <c r="AB98">
        <v>0</v>
      </c>
      <c r="AC98">
        <v>0</v>
      </c>
      <c r="AD98" s="54">
        <f t="shared" si="116"/>
        <v>12.669999999999998</v>
      </c>
      <c r="AF98">
        <v>4</v>
      </c>
      <c r="AG98" t="s">
        <v>7</v>
      </c>
      <c r="AH98">
        <v>20160</v>
      </c>
      <c r="AI98">
        <v>192</v>
      </c>
      <c r="AJ98">
        <v>2</v>
      </c>
      <c r="AK98">
        <v>2</v>
      </c>
      <c r="AL98">
        <v>437.36</v>
      </c>
      <c r="AM98" s="48">
        <v>12.491</v>
      </c>
      <c r="AN98" s="27">
        <v>45510</v>
      </c>
      <c r="AO98" s="53">
        <v>4.8726851851851848E-3</v>
      </c>
      <c r="AP98">
        <v>0</v>
      </c>
      <c r="AQ98">
        <v>0</v>
      </c>
      <c r="AR98">
        <v>0</v>
      </c>
      <c r="AS98" s="54">
        <f t="shared" si="117"/>
        <v>12.503399999999999</v>
      </c>
      <c r="AT98" s="1">
        <f>AT97</f>
        <v>12.503399999999999</v>
      </c>
      <c r="AV98">
        <v>150</v>
      </c>
      <c r="AW98" t="s">
        <v>71</v>
      </c>
      <c r="AX98">
        <v>18048</v>
      </c>
      <c r="AY98">
        <v>96</v>
      </c>
      <c r="AZ98">
        <v>2</v>
      </c>
      <c r="BA98">
        <v>2</v>
      </c>
      <c r="BB98" s="1">
        <v>316.93</v>
      </c>
      <c r="BC98" s="46">
        <v>12.368</v>
      </c>
      <c r="BF98">
        <v>0</v>
      </c>
      <c r="BG98">
        <v>0</v>
      </c>
      <c r="BH98">
        <v>0</v>
      </c>
      <c r="BI98" s="54">
        <f t="shared" si="118"/>
        <v>12.387833333333333</v>
      </c>
    </row>
    <row r="99" spans="1:61">
      <c r="A99">
        <v>0</v>
      </c>
      <c r="B99" t="s">
        <v>7</v>
      </c>
      <c r="C99">
        <v>19072</v>
      </c>
      <c r="D99">
        <v>128</v>
      </c>
      <c r="E99">
        <v>1</v>
      </c>
      <c r="F99">
        <v>4</v>
      </c>
      <c r="G99" s="1">
        <v>436.74</v>
      </c>
      <c r="H99" s="63">
        <v>10.590999999999999</v>
      </c>
      <c r="I99" s="27">
        <v>45508</v>
      </c>
      <c r="J99" s="53">
        <v>0.95540509259259254</v>
      </c>
      <c r="K99">
        <v>0</v>
      </c>
      <c r="L99">
        <v>0</v>
      </c>
      <c r="M99">
        <v>0</v>
      </c>
      <c r="N99" s="54">
        <f t="shared" ref="N99" si="143">AVERAGE(H99:H103)</f>
        <v>10.746599999999999</v>
      </c>
      <c r="Q99">
        <v>0</v>
      </c>
      <c r="R99" t="s">
        <v>7</v>
      </c>
      <c r="S99">
        <v>19072</v>
      </c>
      <c r="T99">
        <v>128</v>
      </c>
      <c r="U99">
        <v>1</v>
      </c>
      <c r="V99">
        <v>4</v>
      </c>
      <c r="W99">
        <v>451.18</v>
      </c>
      <c r="X99" s="48">
        <v>10.252000000000001</v>
      </c>
      <c r="Y99" s="27">
        <v>45505</v>
      </c>
      <c r="Z99" s="53">
        <v>0.82075231481481481</v>
      </c>
      <c r="AA99">
        <v>0</v>
      </c>
      <c r="AB99">
        <v>0</v>
      </c>
      <c r="AC99">
        <v>0</v>
      </c>
      <c r="AD99" s="54">
        <f t="shared" ref="AD99" si="144">AVERAGE(X99:X103)</f>
        <v>12.472200000000001</v>
      </c>
      <c r="AF99">
        <v>0</v>
      </c>
      <c r="AG99" t="s">
        <v>7</v>
      </c>
      <c r="AH99">
        <v>20160</v>
      </c>
      <c r="AI99">
        <v>96</v>
      </c>
      <c r="AJ99">
        <v>2</v>
      </c>
      <c r="AK99">
        <v>2</v>
      </c>
      <c r="AL99">
        <v>437.98</v>
      </c>
      <c r="AM99" s="48">
        <v>12.473000000000001</v>
      </c>
      <c r="AN99" s="27">
        <v>45509</v>
      </c>
      <c r="AO99" s="53">
        <v>2.0925925925925924E-2</v>
      </c>
      <c r="AP99">
        <v>0</v>
      </c>
      <c r="AQ99">
        <v>0</v>
      </c>
      <c r="AR99">
        <v>0</v>
      </c>
      <c r="AS99" s="54">
        <f t="shared" ref="AS99" si="145">AVERAGE(AM99:AM103)</f>
        <v>12.458600000000001</v>
      </c>
      <c r="AT99" s="1">
        <f>AS99</f>
        <v>12.458600000000001</v>
      </c>
      <c r="AV99">
        <v>198</v>
      </c>
      <c r="AW99" t="s">
        <v>71</v>
      </c>
      <c r="AX99">
        <v>18048</v>
      </c>
      <c r="AY99">
        <v>96</v>
      </c>
      <c r="AZ99">
        <v>2</v>
      </c>
      <c r="BA99">
        <v>2</v>
      </c>
      <c r="BB99" s="1">
        <v>316.25</v>
      </c>
      <c r="BC99" s="46">
        <v>12.394</v>
      </c>
      <c r="BF99">
        <v>0</v>
      </c>
      <c r="BG99">
        <v>0</v>
      </c>
      <c r="BH99">
        <v>0</v>
      </c>
      <c r="BI99" s="54">
        <f t="shared" si="118"/>
        <v>12.387833333333333</v>
      </c>
    </row>
    <row r="100" spans="1:61">
      <c r="A100">
        <v>1</v>
      </c>
      <c r="B100" t="s">
        <v>7</v>
      </c>
      <c r="C100">
        <v>19072</v>
      </c>
      <c r="D100">
        <v>128</v>
      </c>
      <c r="E100">
        <v>1</v>
      </c>
      <c r="F100">
        <v>4</v>
      </c>
      <c r="G100" s="1">
        <v>428.44</v>
      </c>
      <c r="H100" s="63">
        <v>10.795999999999999</v>
      </c>
      <c r="I100" s="27">
        <v>45509</v>
      </c>
      <c r="J100" s="53">
        <v>0.22372685185185184</v>
      </c>
      <c r="K100">
        <v>0</v>
      </c>
      <c r="L100">
        <v>0</v>
      </c>
      <c r="M100">
        <v>0</v>
      </c>
      <c r="N100" s="54">
        <f t="shared" ref="N100" si="146">N99</f>
        <v>10.746599999999999</v>
      </c>
      <c r="Q100">
        <v>1</v>
      </c>
      <c r="R100" t="s">
        <v>7</v>
      </c>
      <c r="S100">
        <v>19072</v>
      </c>
      <c r="T100">
        <v>128</v>
      </c>
      <c r="U100">
        <v>1</v>
      </c>
      <c r="V100">
        <v>4</v>
      </c>
      <c r="W100">
        <v>352.2</v>
      </c>
      <c r="X100" s="48">
        <v>13.132999999999999</v>
      </c>
      <c r="Y100" s="27">
        <v>45506</v>
      </c>
      <c r="Z100" s="53">
        <v>5.8541666666666665E-2</v>
      </c>
      <c r="AA100">
        <v>0</v>
      </c>
      <c r="AB100">
        <v>0</v>
      </c>
      <c r="AC100">
        <v>0</v>
      </c>
      <c r="AD100" s="54">
        <f t="shared" ref="AD100" si="147">AD99</f>
        <v>12.472200000000001</v>
      </c>
      <c r="AF100">
        <v>1</v>
      </c>
      <c r="AG100" t="s">
        <v>7</v>
      </c>
      <c r="AH100">
        <v>20160</v>
      </c>
      <c r="AI100">
        <v>96</v>
      </c>
      <c r="AJ100">
        <v>2</v>
      </c>
      <c r="AK100">
        <v>2</v>
      </c>
      <c r="AL100">
        <v>438.01</v>
      </c>
      <c r="AM100" s="48">
        <v>12.472</v>
      </c>
      <c r="AN100" s="27">
        <v>45509</v>
      </c>
      <c r="AO100" s="53">
        <v>0.25854166666666667</v>
      </c>
      <c r="AP100">
        <v>0</v>
      </c>
      <c r="AQ100">
        <v>0</v>
      </c>
      <c r="AR100">
        <v>0</v>
      </c>
      <c r="AS100" s="54">
        <f t="shared" ref="AS100" si="148">AS99</f>
        <v>12.458600000000001</v>
      </c>
      <c r="AT100" s="1">
        <f>AT99</f>
        <v>12.458600000000001</v>
      </c>
      <c r="AV100">
        <v>246</v>
      </c>
      <c r="AW100" t="s">
        <v>71</v>
      </c>
      <c r="AX100">
        <v>18048</v>
      </c>
      <c r="AY100">
        <v>96</v>
      </c>
      <c r="AZ100">
        <v>2</v>
      </c>
      <c r="BA100">
        <v>2</v>
      </c>
      <c r="BB100" s="1">
        <v>316.81</v>
      </c>
      <c r="BC100" s="46">
        <v>12.372</v>
      </c>
      <c r="BF100">
        <v>0</v>
      </c>
      <c r="BG100">
        <v>0</v>
      </c>
      <c r="BH100">
        <v>0</v>
      </c>
      <c r="BI100" s="54">
        <f t="shared" si="118"/>
        <v>12.387833333333333</v>
      </c>
    </row>
    <row r="101" spans="1:61">
      <c r="A101">
        <v>2</v>
      </c>
      <c r="B101" t="s">
        <v>7</v>
      </c>
      <c r="C101">
        <v>19072</v>
      </c>
      <c r="D101">
        <v>128</v>
      </c>
      <c r="E101">
        <v>1</v>
      </c>
      <c r="F101">
        <v>4</v>
      </c>
      <c r="G101" s="1">
        <v>428.19</v>
      </c>
      <c r="H101" s="63">
        <v>10.802</v>
      </c>
      <c r="I101" s="27">
        <v>45509</v>
      </c>
      <c r="J101" s="53">
        <v>0.49175925925925928</v>
      </c>
      <c r="K101">
        <v>0</v>
      </c>
      <c r="L101">
        <v>0</v>
      </c>
      <c r="M101">
        <v>0</v>
      </c>
      <c r="N101" s="54">
        <f t="shared" si="115"/>
        <v>10.746599999999999</v>
      </c>
      <c r="Q101">
        <v>2</v>
      </c>
      <c r="R101" t="s">
        <v>7</v>
      </c>
      <c r="S101">
        <v>19072</v>
      </c>
      <c r="T101">
        <v>128</v>
      </c>
      <c r="U101">
        <v>1</v>
      </c>
      <c r="V101">
        <v>4</v>
      </c>
      <c r="W101">
        <v>354.68</v>
      </c>
      <c r="X101" s="48">
        <v>13.041</v>
      </c>
      <c r="Y101" s="27">
        <v>45506</v>
      </c>
      <c r="Z101" s="53">
        <v>0.29601851851851851</v>
      </c>
      <c r="AA101">
        <v>0</v>
      </c>
      <c r="AB101">
        <v>0</v>
      </c>
      <c r="AC101">
        <v>0</v>
      </c>
      <c r="AD101" s="54">
        <f t="shared" si="116"/>
        <v>12.472200000000001</v>
      </c>
      <c r="AF101">
        <v>2</v>
      </c>
      <c r="AG101" t="s">
        <v>7</v>
      </c>
      <c r="AH101">
        <v>20160</v>
      </c>
      <c r="AI101">
        <v>96</v>
      </c>
      <c r="AJ101">
        <v>2</v>
      </c>
      <c r="AK101">
        <v>2</v>
      </c>
      <c r="AL101">
        <v>440.28</v>
      </c>
      <c r="AM101" s="48">
        <v>12.407999999999999</v>
      </c>
      <c r="AN101" s="27">
        <v>45509</v>
      </c>
      <c r="AO101" s="53">
        <v>0.49674768518518519</v>
      </c>
      <c r="AP101">
        <v>0</v>
      </c>
      <c r="AQ101">
        <v>0</v>
      </c>
      <c r="AR101">
        <v>0</v>
      </c>
      <c r="AS101" s="54">
        <f t="shared" si="117"/>
        <v>12.458600000000001</v>
      </c>
      <c r="AT101" s="1">
        <f>AT100</f>
        <v>12.458600000000001</v>
      </c>
      <c r="AV101">
        <v>22</v>
      </c>
      <c r="AW101" t="s">
        <v>71</v>
      </c>
      <c r="AX101">
        <v>19072</v>
      </c>
      <c r="AY101">
        <v>96</v>
      </c>
      <c r="AZ101">
        <v>2</v>
      </c>
      <c r="BA101">
        <v>2</v>
      </c>
      <c r="BB101" s="1">
        <v>375.19</v>
      </c>
      <c r="BC101" s="46">
        <v>12.39</v>
      </c>
      <c r="BF101">
        <v>0</v>
      </c>
      <c r="BG101">
        <v>0</v>
      </c>
      <c r="BH101">
        <v>0</v>
      </c>
      <c r="BI101" s="54">
        <f t="shared" ref="BI101" si="149">AVERAGE(BC101:BC106)</f>
        <v>12.43</v>
      </c>
    </row>
    <row r="102" spans="1:61">
      <c r="A102">
        <v>3</v>
      </c>
      <c r="B102" t="s">
        <v>7</v>
      </c>
      <c r="C102">
        <v>19072</v>
      </c>
      <c r="D102">
        <v>128</v>
      </c>
      <c r="E102">
        <v>1</v>
      </c>
      <c r="F102">
        <v>4</v>
      </c>
      <c r="G102" s="1">
        <v>427.93</v>
      </c>
      <c r="H102" s="63">
        <v>10.808999999999999</v>
      </c>
      <c r="I102" s="27">
        <v>45509</v>
      </c>
      <c r="J102" s="53">
        <v>0.75974537037037038</v>
      </c>
      <c r="K102">
        <v>0</v>
      </c>
      <c r="L102">
        <v>0</v>
      </c>
      <c r="M102">
        <v>0</v>
      </c>
      <c r="N102" s="54">
        <f t="shared" si="115"/>
        <v>10.746599999999999</v>
      </c>
      <c r="Q102">
        <v>3</v>
      </c>
      <c r="R102" t="s">
        <v>7</v>
      </c>
      <c r="S102">
        <v>19072</v>
      </c>
      <c r="T102">
        <v>128</v>
      </c>
      <c r="U102">
        <v>1</v>
      </c>
      <c r="V102">
        <v>4</v>
      </c>
      <c r="W102">
        <v>352.24</v>
      </c>
      <c r="X102" s="48">
        <v>13.131</v>
      </c>
      <c r="Y102" s="27">
        <v>45506</v>
      </c>
      <c r="Z102" s="53">
        <v>0.53328703703703706</v>
      </c>
      <c r="AA102">
        <v>0</v>
      </c>
      <c r="AB102">
        <v>0</v>
      </c>
      <c r="AC102">
        <v>0</v>
      </c>
      <c r="AD102" s="54">
        <f t="shared" si="116"/>
        <v>12.472200000000001</v>
      </c>
      <c r="AF102">
        <v>3</v>
      </c>
      <c r="AG102" t="s">
        <v>7</v>
      </c>
      <c r="AH102">
        <v>20160</v>
      </c>
      <c r="AI102">
        <v>96</v>
      </c>
      <c r="AJ102">
        <v>2</v>
      </c>
      <c r="AK102">
        <v>2</v>
      </c>
      <c r="AL102">
        <v>439.52</v>
      </c>
      <c r="AM102" s="48">
        <v>12.429</v>
      </c>
      <c r="AN102" s="27">
        <v>45509</v>
      </c>
      <c r="AO102" s="53">
        <v>0.7350578703703704</v>
      </c>
      <c r="AP102">
        <v>0</v>
      </c>
      <c r="AQ102">
        <v>0</v>
      </c>
      <c r="AR102">
        <v>0</v>
      </c>
      <c r="AS102" s="54">
        <f t="shared" si="117"/>
        <v>12.458600000000001</v>
      </c>
      <c r="AT102" s="1">
        <f>AT101</f>
        <v>12.458600000000001</v>
      </c>
      <c r="AV102">
        <v>70</v>
      </c>
      <c r="AW102" t="s">
        <v>71</v>
      </c>
      <c r="AX102">
        <v>19072</v>
      </c>
      <c r="AY102">
        <v>96</v>
      </c>
      <c r="AZ102">
        <v>2</v>
      </c>
      <c r="BA102">
        <v>2</v>
      </c>
      <c r="BB102" s="1">
        <v>373.67</v>
      </c>
      <c r="BC102" s="46">
        <v>12.441000000000001</v>
      </c>
      <c r="BF102">
        <v>0</v>
      </c>
      <c r="BG102">
        <v>0</v>
      </c>
      <c r="BH102">
        <v>0</v>
      </c>
      <c r="BI102" s="54">
        <f t="shared" ref="BI102" si="150">BI101</f>
        <v>12.43</v>
      </c>
    </row>
    <row r="103" spans="1:61">
      <c r="A103">
        <v>4</v>
      </c>
      <c r="B103" t="s">
        <v>7</v>
      </c>
      <c r="C103">
        <v>19072</v>
      </c>
      <c r="D103">
        <v>128</v>
      </c>
      <c r="E103">
        <v>1</v>
      </c>
      <c r="F103">
        <v>4</v>
      </c>
      <c r="G103" s="1">
        <v>430.86</v>
      </c>
      <c r="H103" s="63">
        <v>10.734999999999999</v>
      </c>
      <c r="I103" s="27">
        <v>45510</v>
      </c>
      <c r="J103" s="53">
        <v>2.7685185185185184E-2</v>
      </c>
      <c r="K103">
        <v>0</v>
      </c>
      <c r="L103">
        <v>0</v>
      </c>
      <c r="M103">
        <v>0</v>
      </c>
      <c r="N103" s="54">
        <f t="shared" si="115"/>
        <v>10.746599999999999</v>
      </c>
      <c r="Q103">
        <v>4</v>
      </c>
      <c r="R103" t="s">
        <v>7</v>
      </c>
      <c r="S103">
        <v>19072</v>
      </c>
      <c r="T103">
        <v>128</v>
      </c>
      <c r="U103">
        <v>1</v>
      </c>
      <c r="V103">
        <v>4</v>
      </c>
      <c r="W103">
        <v>361.24</v>
      </c>
      <c r="X103" s="48">
        <v>12.804</v>
      </c>
      <c r="Y103" s="27">
        <v>45506</v>
      </c>
      <c r="Z103" s="53">
        <v>0.77072916666666669</v>
      </c>
      <c r="AA103">
        <v>0</v>
      </c>
      <c r="AB103">
        <v>0</v>
      </c>
      <c r="AC103">
        <v>0</v>
      </c>
      <c r="AD103" s="54">
        <f t="shared" si="116"/>
        <v>12.472200000000001</v>
      </c>
      <c r="AF103">
        <v>4</v>
      </c>
      <c r="AG103" t="s">
        <v>7</v>
      </c>
      <c r="AH103">
        <v>20160</v>
      </c>
      <c r="AI103">
        <v>96</v>
      </c>
      <c r="AJ103">
        <v>2</v>
      </c>
      <c r="AK103">
        <v>2</v>
      </c>
      <c r="AL103">
        <v>436.64</v>
      </c>
      <c r="AM103" s="48">
        <v>12.510999999999999</v>
      </c>
      <c r="AN103" s="27">
        <v>45509</v>
      </c>
      <c r="AO103" s="53">
        <v>0.97274305555555551</v>
      </c>
      <c r="AP103">
        <v>0</v>
      </c>
      <c r="AQ103">
        <v>0</v>
      </c>
      <c r="AR103">
        <v>0</v>
      </c>
      <c r="AS103" s="54">
        <f t="shared" si="117"/>
        <v>12.458600000000001</v>
      </c>
      <c r="AT103" s="1">
        <f>AT102</f>
        <v>12.458600000000001</v>
      </c>
      <c r="AV103">
        <v>118</v>
      </c>
      <c r="AW103" t="s">
        <v>71</v>
      </c>
      <c r="AX103">
        <v>19072</v>
      </c>
      <c r="AY103">
        <v>96</v>
      </c>
      <c r="AZ103">
        <v>2</v>
      </c>
      <c r="BA103">
        <v>2</v>
      </c>
      <c r="BB103" s="1">
        <v>372.88</v>
      </c>
      <c r="BC103" s="46">
        <v>12.467000000000001</v>
      </c>
      <c r="BF103">
        <v>0</v>
      </c>
      <c r="BG103">
        <v>0</v>
      </c>
      <c r="BH103">
        <v>0</v>
      </c>
      <c r="BI103" s="54">
        <f t="shared" si="118"/>
        <v>12.43</v>
      </c>
    </row>
    <row r="104" spans="1:61">
      <c r="A104">
        <v>0</v>
      </c>
      <c r="B104" t="s">
        <v>7</v>
      </c>
      <c r="C104">
        <v>20096</v>
      </c>
      <c r="D104">
        <v>128</v>
      </c>
      <c r="E104">
        <v>1</v>
      </c>
      <c r="F104">
        <v>4</v>
      </c>
      <c r="G104" s="1">
        <v>501.5</v>
      </c>
      <c r="H104" s="63">
        <v>10.79</v>
      </c>
      <c r="I104" s="27">
        <v>45509</v>
      </c>
      <c r="J104" s="53">
        <v>5.2152777777777777E-2</v>
      </c>
      <c r="K104">
        <v>0</v>
      </c>
      <c r="L104">
        <v>0</v>
      </c>
      <c r="M104">
        <v>0</v>
      </c>
      <c r="N104" s="54">
        <f t="shared" ref="N104" si="151">AVERAGE(H104:H108)</f>
        <v>10.788599999999999</v>
      </c>
      <c r="Q104">
        <v>0</v>
      </c>
      <c r="R104" t="s">
        <v>7</v>
      </c>
      <c r="S104">
        <v>20096</v>
      </c>
      <c r="T104">
        <v>128</v>
      </c>
      <c r="U104">
        <v>1</v>
      </c>
      <c r="V104">
        <v>4</v>
      </c>
      <c r="W104">
        <v>429.17</v>
      </c>
      <c r="X104" s="48">
        <v>12.608000000000001</v>
      </c>
      <c r="Y104" s="27">
        <v>45505</v>
      </c>
      <c r="Z104" s="53">
        <v>0.90633101851851849</v>
      </c>
      <c r="AA104">
        <v>0</v>
      </c>
      <c r="AB104">
        <v>0</v>
      </c>
      <c r="AC104">
        <v>0</v>
      </c>
      <c r="AD104" s="54">
        <f t="shared" ref="AD104" si="152">AVERAGE(X104:X108)</f>
        <v>12.922599999999999</v>
      </c>
      <c r="AF104">
        <v>0</v>
      </c>
      <c r="AG104" t="s">
        <v>7</v>
      </c>
      <c r="AH104">
        <v>19040</v>
      </c>
      <c r="AI104">
        <v>224</v>
      </c>
      <c r="AJ104">
        <v>2</v>
      </c>
      <c r="AK104">
        <v>2</v>
      </c>
      <c r="AL104">
        <v>365.18</v>
      </c>
      <c r="AM104" s="48">
        <v>12.603</v>
      </c>
      <c r="AN104" s="27">
        <v>45508</v>
      </c>
      <c r="AO104" s="53">
        <v>0.97275462962962966</v>
      </c>
      <c r="AP104">
        <v>0</v>
      </c>
      <c r="AQ104">
        <v>0</v>
      </c>
      <c r="AR104">
        <v>0</v>
      </c>
      <c r="AS104" s="54">
        <f t="shared" ref="AS104" si="153">AVERAGE(AM104:AM108)</f>
        <v>12.4498</v>
      </c>
      <c r="AT104" s="1">
        <f>AS104</f>
        <v>12.4498</v>
      </c>
      <c r="AV104">
        <v>166</v>
      </c>
      <c r="AW104" t="s">
        <v>71</v>
      </c>
      <c r="AX104">
        <v>19072</v>
      </c>
      <c r="AY104">
        <v>96</v>
      </c>
      <c r="AZ104">
        <v>2</v>
      </c>
      <c r="BA104">
        <v>2</v>
      </c>
      <c r="BB104" s="1">
        <v>373.36</v>
      </c>
      <c r="BC104" s="46">
        <v>12.451000000000001</v>
      </c>
      <c r="BF104">
        <v>0</v>
      </c>
      <c r="BG104">
        <v>0</v>
      </c>
      <c r="BH104">
        <v>0</v>
      </c>
      <c r="BI104" s="54">
        <f t="shared" si="118"/>
        <v>12.43</v>
      </c>
    </row>
    <row r="105" spans="1:61">
      <c r="A105">
        <v>1</v>
      </c>
      <c r="B105" t="s">
        <v>7</v>
      </c>
      <c r="C105">
        <v>20096</v>
      </c>
      <c r="D105">
        <v>128</v>
      </c>
      <c r="E105">
        <v>1</v>
      </c>
      <c r="F105">
        <v>4</v>
      </c>
      <c r="G105" s="1">
        <v>499.84</v>
      </c>
      <c r="H105" s="63">
        <v>10.826000000000001</v>
      </c>
      <c r="I105" s="27">
        <v>45509</v>
      </c>
      <c r="J105" s="53">
        <v>0.32039351851851849</v>
      </c>
      <c r="K105">
        <v>0</v>
      </c>
      <c r="L105">
        <v>0</v>
      </c>
      <c r="M105">
        <v>0</v>
      </c>
      <c r="N105" s="54">
        <f t="shared" ref="N105" si="154">N104</f>
        <v>10.788599999999999</v>
      </c>
      <c r="Q105">
        <v>1</v>
      </c>
      <c r="R105" t="s">
        <v>7</v>
      </c>
      <c r="S105">
        <v>20096</v>
      </c>
      <c r="T105">
        <v>128</v>
      </c>
      <c r="U105">
        <v>1</v>
      </c>
      <c r="V105">
        <v>4</v>
      </c>
      <c r="W105">
        <v>411.96</v>
      </c>
      <c r="X105" s="48">
        <v>13.135</v>
      </c>
      <c r="Y105" s="27">
        <v>45506</v>
      </c>
      <c r="Z105" s="53">
        <v>0.14390046296296297</v>
      </c>
      <c r="AA105">
        <v>0</v>
      </c>
      <c r="AB105">
        <v>0</v>
      </c>
      <c r="AC105">
        <v>0</v>
      </c>
      <c r="AD105" s="54">
        <f t="shared" ref="AD105" si="155">AD104</f>
        <v>12.922599999999999</v>
      </c>
      <c r="AF105">
        <v>1</v>
      </c>
      <c r="AG105" t="s">
        <v>7</v>
      </c>
      <c r="AH105">
        <v>19040</v>
      </c>
      <c r="AI105">
        <v>224</v>
      </c>
      <c r="AJ105">
        <v>2</v>
      </c>
      <c r="AK105">
        <v>2</v>
      </c>
      <c r="AL105">
        <v>374.23</v>
      </c>
      <c r="AM105" s="48">
        <v>12.298</v>
      </c>
      <c r="AN105" s="27">
        <v>45509</v>
      </c>
      <c r="AO105" s="53">
        <v>0.21026620370370369</v>
      </c>
      <c r="AP105">
        <v>0</v>
      </c>
      <c r="AQ105">
        <v>0</v>
      </c>
      <c r="AR105">
        <v>0</v>
      </c>
      <c r="AS105" s="54">
        <f t="shared" ref="AS105" si="156">AS104</f>
        <v>12.4498</v>
      </c>
      <c r="AT105" s="1">
        <f>AT104</f>
        <v>12.4498</v>
      </c>
      <c r="AV105">
        <v>214</v>
      </c>
      <c r="AW105" t="s">
        <v>71</v>
      </c>
      <c r="AX105">
        <v>19072</v>
      </c>
      <c r="AY105">
        <v>96</v>
      </c>
      <c r="AZ105">
        <v>2</v>
      </c>
      <c r="BA105">
        <v>2</v>
      </c>
      <c r="BB105" s="1">
        <v>375.26</v>
      </c>
      <c r="BC105" s="46">
        <v>12.388</v>
      </c>
      <c r="BF105">
        <v>0</v>
      </c>
      <c r="BG105">
        <v>0</v>
      </c>
      <c r="BH105">
        <v>0</v>
      </c>
      <c r="BI105" s="54">
        <f t="shared" si="118"/>
        <v>12.43</v>
      </c>
    </row>
    <row r="106" spans="1:61">
      <c r="A106">
        <v>2</v>
      </c>
      <c r="B106" t="s">
        <v>7</v>
      </c>
      <c r="C106">
        <v>20096</v>
      </c>
      <c r="D106">
        <v>128</v>
      </c>
      <c r="E106">
        <v>1</v>
      </c>
      <c r="F106">
        <v>4</v>
      </c>
      <c r="G106" s="1">
        <v>500.87</v>
      </c>
      <c r="H106" s="63">
        <v>10.803000000000001</v>
      </c>
      <c r="I106" s="27">
        <v>45509</v>
      </c>
      <c r="J106" s="53">
        <v>0.588287037037037</v>
      </c>
      <c r="K106">
        <v>0</v>
      </c>
      <c r="L106">
        <v>0</v>
      </c>
      <c r="M106">
        <v>0</v>
      </c>
      <c r="N106" s="54">
        <f t="shared" si="115"/>
        <v>10.788599999999999</v>
      </c>
      <c r="Q106">
        <v>2</v>
      </c>
      <c r="R106" t="s">
        <v>7</v>
      </c>
      <c r="S106">
        <v>20096</v>
      </c>
      <c r="T106">
        <v>128</v>
      </c>
      <c r="U106">
        <v>1</v>
      </c>
      <c r="V106">
        <v>4</v>
      </c>
      <c r="W106">
        <v>421.17</v>
      </c>
      <c r="X106" s="48">
        <v>12.848000000000001</v>
      </c>
      <c r="Y106" s="27">
        <v>45506</v>
      </c>
      <c r="Z106" s="53">
        <v>0.38127314814814817</v>
      </c>
      <c r="AA106">
        <v>0</v>
      </c>
      <c r="AB106">
        <v>0</v>
      </c>
      <c r="AC106">
        <v>0</v>
      </c>
      <c r="AD106" s="54">
        <f t="shared" si="116"/>
        <v>12.922599999999999</v>
      </c>
      <c r="AF106">
        <v>2</v>
      </c>
      <c r="AG106" t="s">
        <v>7</v>
      </c>
      <c r="AH106">
        <v>19040</v>
      </c>
      <c r="AI106">
        <v>224</v>
      </c>
      <c r="AJ106">
        <v>2</v>
      </c>
      <c r="AK106">
        <v>2</v>
      </c>
      <c r="AL106">
        <v>367.01</v>
      </c>
      <c r="AM106" s="48">
        <v>12.54</v>
      </c>
      <c r="AN106" s="27">
        <v>45509</v>
      </c>
      <c r="AO106" s="53">
        <v>0.4478240740740741</v>
      </c>
      <c r="AP106">
        <v>0</v>
      </c>
      <c r="AQ106">
        <v>0</v>
      </c>
      <c r="AR106">
        <v>0</v>
      </c>
      <c r="AS106" s="54">
        <f t="shared" si="117"/>
        <v>12.4498</v>
      </c>
      <c r="AT106" s="1">
        <f>AT105</f>
        <v>12.4498</v>
      </c>
      <c r="AV106">
        <v>262</v>
      </c>
      <c r="AW106" t="s">
        <v>71</v>
      </c>
      <c r="AX106">
        <v>19072</v>
      </c>
      <c r="AY106">
        <v>96</v>
      </c>
      <c r="AZ106">
        <v>2</v>
      </c>
      <c r="BA106">
        <v>2</v>
      </c>
      <c r="BB106" s="1">
        <v>373.61</v>
      </c>
      <c r="BC106" s="46">
        <v>12.443</v>
      </c>
      <c r="BF106">
        <v>0</v>
      </c>
      <c r="BG106">
        <v>0</v>
      </c>
      <c r="BH106">
        <v>0</v>
      </c>
      <c r="BI106" s="54">
        <f t="shared" si="118"/>
        <v>12.43</v>
      </c>
    </row>
    <row r="107" spans="1:61">
      <c r="A107">
        <v>3</v>
      </c>
      <c r="B107" t="s">
        <v>7</v>
      </c>
      <c r="C107">
        <v>20096</v>
      </c>
      <c r="D107">
        <v>128</v>
      </c>
      <c r="E107">
        <v>1</v>
      </c>
      <c r="F107">
        <v>4</v>
      </c>
      <c r="G107" s="1">
        <v>504.3</v>
      </c>
      <c r="H107" s="63">
        <v>10.73</v>
      </c>
      <c r="I107" s="27">
        <v>45509</v>
      </c>
      <c r="J107" s="53">
        <v>0.85630787037037037</v>
      </c>
      <c r="K107">
        <v>0</v>
      </c>
      <c r="L107">
        <v>0</v>
      </c>
      <c r="M107">
        <v>0</v>
      </c>
      <c r="N107" s="54">
        <f t="shared" si="115"/>
        <v>10.788599999999999</v>
      </c>
      <c r="Q107">
        <v>3</v>
      </c>
      <c r="R107" t="s">
        <v>7</v>
      </c>
      <c r="S107">
        <v>20096</v>
      </c>
      <c r="T107">
        <v>128</v>
      </c>
      <c r="U107">
        <v>1</v>
      </c>
      <c r="V107">
        <v>4</v>
      </c>
      <c r="W107">
        <v>422.82</v>
      </c>
      <c r="X107" s="48">
        <v>12.798</v>
      </c>
      <c r="Y107" s="27">
        <v>45506</v>
      </c>
      <c r="Z107" s="53">
        <v>0.61864583333333334</v>
      </c>
      <c r="AA107">
        <v>0</v>
      </c>
      <c r="AB107">
        <v>0</v>
      </c>
      <c r="AC107">
        <v>0</v>
      </c>
      <c r="AD107" s="54">
        <f t="shared" si="116"/>
        <v>12.922599999999999</v>
      </c>
      <c r="AF107">
        <v>3</v>
      </c>
      <c r="AG107" t="s">
        <v>7</v>
      </c>
      <c r="AH107">
        <v>19040</v>
      </c>
      <c r="AI107">
        <v>224</v>
      </c>
      <c r="AJ107">
        <v>2</v>
      </c>
      <c r="AK107">
        <v>2</v>
      </c>
      <c r="AL107">
        <v>372.11</v>
      </c>
      <c r="AM107" s="48">
        <v>12.368</v>
      </c>
      <c r="AN107" s="27">
        <v>45509</v>
      </c>
      <c r="AO107" s="53">
        <v>0.6864351851851852</v>
      </c>
      <c r="AP107">
        <v>0</v>
      </c>
      <c r="AQ107">
        <v>0</v>
      </c>
      <c r="AR107">
        <v>0</v>
      </c>
      <c r="AS107" s="54">
        <f t="shared" si="117"/>
        <v>12.4498</v>
      </c>
      <c r="AT107" s="1">
        <f>AT106</f>
        <v>12.4498</v>
      </c>
      <c r="AV107">
        <v>38</v>
      </c>
      <c r="AW107" t="s">
        <v>71</v>
      </c>
      <c r="AX107">
        <v>20096</v>
      </c>
      <c r="AY107">
        <v>96</v>
      </c>
      <c r="AZ107">
        <v>2</v>
      </c>
      <c r="BA107">
        <v>2</v>
      </c>
      <c r="BB107" s="1">
        <v>437.13</v>
      </c>
      <c r="BC107" s="46">
        <v>12.32</v>
      </c>
      <c r="BF107">
        <v>0</v>
      </c>
      <c r="BG107">
        <v>0</v>
      </c>
      <c r="BH107">
        <v>0</v>
      </c>
      <c r="BI107" s="54">
        <f t="shared" ref="BI107" si="157">AVERAGE(BC107:BC112)</f>
        <v>12.423666666666668</v>
      </c>
    </row>
    <row r="108" spans="1:61">
      <c r="A108">
        <v>4</v>
      </c>
      <c r="B108" t="s">
        <v>7</v>
      </c>
      <c r="C108">
        <v>20096</v>
      </c>
      <c r="D108">
        <v>128</v>
      </c>
      <c r="E108">
        <v>1</v>
      </c>
      <c r="F108">
        <v>4</v>
      </c>
      <c r="G108" s="1">
        <v>501.3</v>
      </c>
      <c r="H108" s="63">
        <v>10.794</v>
      </c>
      <c r="I108" s="27">
        <v>45510</v>
      </c>
      <c r="J108" s="53">
        <v>0.12421296296296297</v>
      </c>
      <c r="K108">
        <v>0</v>
      </c>
      <c r="L108">
        <v>0</v>
      </c>
      <c r="M108">
        <v>0</v>
      </c>
      <c r="N108" s="54">
        <f t="shared" si="115"/>
        <v>10.788599999999999</v>
      </c>
      <c r="Q108">
        <v>4</v>
      </c>
      <c r="R108" t="s">
        <v>7</v>
      </c>
      <c r="S108">
        <v>20096</v>
      </c>
      <c r="T108">
        <v>128</v>
      </c>
      <c r="U108">
        <v>1</v>
      </c>
      <c r="V108">
        <v>4</v>
      </c>
      <c r="W108">
        <v>409.18</v>
      </c>
      <c r="X108" s="48">
        <v>13.224</v>
      </c>
      <c r="Y108" s="27">
        <v>45506</v>
      </c>
      <c r="Z108" s="53">
        <v>0.85608796296296297</v>
      </c>
      <c r="AA108">
        <v>0</v>
      </c>
      <c r="AB108">
        <v>0</v>
      </c>
      <c r="AC108">
        <v>0</v>
      </c>
      <c r="AD108" s="54">
        <f t="shared" si="116"/>
        <v>12.922599999999999</v>
      </c>
      <c r="AF108">
        <v>4</v>
      </c>
      <c r="AG108" t="s">
        <v>7</v>
      </c>
      <c r="AH108">
        <v>19040</v>
      </c>
      <c r="AI108">
        <v>224</v>
      </c>
      <c r="AJ108">
        <v>2</v>
      </c>
      <c r="AK108">
        <v>2</v>
      </c>
      <c r="AL108">
        <v>369.94</v>
      </c>
      <c r="AM108" s="48">
        <v>12.44</v>
      </c>
      <c r="AN108" s="27">
        <v>45509</v>
      </c>
      <c r="AO108" s="53">
        <v>0.92421296296296296</v>
      </c>
      <c r="AP108">
        <v>0</v>
      </c>
      <c r="AQ108">
        <v>0</v>
      </c>
      <c r="AR108">
        <v>0</v>
      </c>
      <c r="AS108" s="54">
        <f t="shared" si="117"/>
        <v>12.4498</v>
      </c>
      <c r="AT108" s="1">
        <f>AT107</f>
        <v>12.4498</v>
      </c>
      <c r="AV108">
        <v>86</v>
      </c>
      <c r="AW108" t="s">
        <v>71</v>
      </c>
      <c r="AX108">
        <v>20096</v>
      </c>
      <c r="AY108">
        <v>96</v>
      </c>
      <c r="AZ108">
        <v>2</v>
      </c>
      <c r="BA108">
        <v>2</v>
      </c>
      <c r="BB108" s="1">
        <v>434.62</v>
      </c>
      <c r="BC108" s="46">
        <v>12.391</v>
      </c>
      <c r="BF108">
        <v>0</v>
      </c>
      <c r="BG108">
        <v>0</v>
      </c>
      <c r="BH108">
        <v>0</v>
      </c>
      <c r="BI108" s="54">
        <f t="shared" ref="BI108" si="158">BI107</f>
        <v>12.423666666666668</v>
      </c>
    </row>
    <row r="109" spans="1:61">
      <c r="A109">
        <v>0</v>
      </c>
      <c r="B109" t="s">
        <v>7</v>
      </c>
      <c r="C109">
        <v>17920</v>
      </c>
      <c r="D109">
        <v>128</v>
      </c>
      <c r="E109">
        <v>2</v>
      </c>
      <c r="F109">
        <v>2</v>
      </c>
      <c r="G109" s="1">
        <v>365.29</v>
      </c>
      <c r="H109" s="63">
        <v>10.504</v>
      </c>
      <c r="I109" s="27">
        <v>45508</v>
      </c>
      <c r="J109" s="53">
        <v>0.8775694444444444</v>
      </c>
      <c r="K109">
        <v>0</v>
      </c>
      <c r="L109">
        <v>0</v>
      </c>
      <c r="M109">
        <v>0</v>
      </c>
      <c r="N109" s="54">
        <f t="shared" ref="N109" si="159">AVERAGE(H109:H113)</f>
        <v>10.624600000000001</v>
      </c>
      <c r="Q109">
        <v>0</v>
      </c>
      <c r="R109" t="s">
        <v>7</v>
      </c>
      <c r="S109">
        <v>17920</v>
      </c>
      <c r="T109">
        <v>128</v>
      </c>
      <c r="U109">
        <v>2</v>
      </c>
      <c r="V109">
        <v>2</v>
      </c>
      <c r="W109">
        <v>314.08</v>
      </c>
      <c r="X109" s="48">
        <v>12.215999999999999</v>
      </c>
      <c r="Y109" s="27">
        <v>45505</v>
      </c>
      <c r="Z109" s="53">
        <v>0.75131944444444443</v>
      </c>
      <c r="AA109">
        <v>0</v>
      </c>
      <c r="AB109">
        <v>0</v>
      </c>
      <c r="AC109">
        <v>0</v>
      </c>
      <c r="AD109" s="54">
        <f t="shared" ref="AD109" si="160">AVERAGE(X109:X113)</f>
        <v>12.3642</v>
      </c>
      <c r="AF109">
        <v>0</v>
      </c>
      <c r="AG109" t="s">
        <v>7</v>
      </c>
      <c r="AH109">
        <v>17952</v>
      </c>
      <c r="AI109">
        <v>96</v>
      </c>
      <c r="AJ109">
        <v>2</v>
      </c>
      <c r="AK109">
        <v>2</v>
      </c>
      <c r="AL109">
        <v>311.5</v>
      </c>
      <c r="AM109" s="48">
        <v>12.384</v>
      </c>
      <c r="AN109" s="27">
        <v>45508</v>
      </c>
      <c r="AO109" s="53">
        <v>0.86542824074074076</v>
      </c>
      <c r="AP109">
        <v>0</v>
      </c>
      <c r="AQ109">
        <v>0</v>
      </c>
      <c r="AR109">
        <v>0</v>
      </c>
      <c r="AS109" s="54">
        <f t="shared" ref="AS109" si="161">AVERAGE(AM109:AM113)</f>
        <v>12.4032</v>
      </c>
      <c r="AT109" s="1">
        <f>AS109</f>
        <v>12.4032</v>
      </c>
      <c r="AV109">
        <v>134</v>
      </c>
      <c r="AW109" t="s">
        <v>71</v>
      </c>
      <c r="AX109">
        <v>20096</v>
      </c>
      <c r="AY109">
        <v>96</v>
      </c>
      <c r="AZ109">
        <v>2</v>
      </c>
      <c r="BA109">
        <v>2</v>
      </c>
      <c r="BB109" s="1">
        <v>431.53</v>
      </c>
      <c r="BC109" s="46">
        <v>12.48</v>
      </c>
      <c r="BF109">
        <v>0</v>
      </c>
      <c r="BG109">
        <v>0</v>
      </c>
      <c r="BH109">
        <v>0</v>
      </c>
      <c r="BI109" s="54">
        <f t="shared" si="118"/>
        <v>12.423666666666668</v>
      </c>
    </row>
    <row r="110" spans="1:61">
      <c r="A110">
        <v>1</v>
      </c>
      <c r="B110" t="s">
        <v>7</v>
      </c>
      <c r="C110">
        <v>17920</v>
      </c>
      <c r="D110">
        <v>128</v>
      </c>
      <c r="E110">
        <v>2</v>
      </c>
      <c r="F110">
        <v>2</v>
      </c>
      <c r="G110" s="1">
        <v>359.98</v>
      </c>
      <c r="H110" s="63">
        <v>10.659000000000001</v>
      </c>
      <c r="I110" s="27">
        <v>45509</v>
      </c>
      <c r="J110" s="53">
        <v>0.14650462962962962</v>
      </c>
      <c r="K110">
        <v>0</v>
      </c>
      <c r="L110">
        <v>0</v>
      </c>
      <c r="M110">
        <v>0</v>
      </c>
      <c r="N110" s="54">
        <f t="shared" ref="N110" si="162">N109</f>
        <v>10.624600000000001</v>
      </c>
      <c r="Q110">
        <v>1</v>
      </c>
      <c r="R110" t="s">
        <v>7</v>
      </c>
      <c r="S110">
        <v>17920</v>
      </c>
      <c r="T110">
        <v>128</v>
      </c>
      <c r="U110">
        <v>2</v>
      </c>
      <c r="V110">
        <v>2</v>
      </c>
      <c r="W110">
        <v>309.43</v>
      </c>
      <c r="X110" s="48">
        <v>12.4</v>
      </c>
      <c r="Y110" s="27">
        <v>45505</v>
      </c>
      <c r="Z110" s="53">
        <v>0.9906018518518519</v>
      </c>
      <c r="AA110">
        <v>0</v>
      </c>
      <c r="AB110">
        <v>0</v>
      </c>
      <c r="AC110">
        <v>0</v>
      </c>
      <c r="AD110" s="54">
        <f t="shared" ref="AD110" si="163">AD109</f>
        <v>12.3642</v>
      </c>
      <c r="AF110">
        <v>1</v>
      </c>
      <c r="AG110" t="s">
        <v>7</v>
      </c>
      <c r="AH110">
        <v>17952</v>
      </c>
      <c r="AI110">
        <v>96</v>
      </c>
      <c r="AJ110">
        <v>2</v>
      </c>
      <c r="AK110">
        <v>2</v>
      </c>
      <c r="AL110">
        <v>309.20999999999998</v>
      </c>
      <c r="AM110" s="48">
        <v>12.475</v>
      </c>
      <c r="AN110" s="27">
        <v>45509</v>
      </c>
      <c r="AO110" s="53">
        <v>0.10271990740740741</v>
      </c>
      <c r="AP110">
        <v>0</v>
      </c>
      <c r="AQ110">
        <v>0</v>
      </c>
      <c r="AR110">
        <v>0</v>
      </c>
      <c r="AS110" s="54">
        <f t="shared" ref="AS110" si="164">AS109</f>
        <v>12.4032</v>
      </c>
      <c r="AT110" s="1">
        <f>AT109</f>
        <v>12.4032</v>
      </c>
      <c r="AV110">
        <v>182</v>
      </c>
      <c r="AW110" t="s">
        <v>71</v>
      </c>
      <c r="AX110">
        <v>20096</v>
      </c>
      <c r="AY110">
        <v>96</v>
      </c>
      <c r="AZ110">
        <v>2</v>
      </c>
      <c r="BA110">
        <v>2</v>
      </c>
      <c r="BB110" s="1">
        <v>432.14</v>
      </c>
      <c r="BC110" s="46">
        <v>12.462</v>
      </c>
      <c r="BF110">
        <v>0</v>
      </c>
      <c r="BG110">
        <v>0</v>
      </c>
      <c r="BH110">
        <v>0</v>
      </c>
      <c r="BI110" s="54">
        <f t="shared" si="118"/>
        <v>12.423666666666668</v>
      </c>
    </row>
    <row r="111" spans="1:61">
      <c r="A111">
        <v>2</v>
      </c>
      <c r="B111" t="s">
        <v>7</v>
      </c>
      <c r="C111">
        <v>17920</v>
      </c>
      <c r="D111">
        <v>128</v>
      </c>
      <c r="E111">
        <v>2</v>
      </c>
      <c r="F111">
        <v>2</v>
      </c>
      <c r="G111" s="1">
        <v>359.42</v>
      </c>
      <c r="H111" s="63">
        <v>10.675000000000001</v>
      </c>
      <c r="I111" s="27">
        <v>45509</v>
      </c>
      <c r="J111" s="53">
        <v>0.41469907407407408</v>
      </c>
      <c r="K111">
        <v>0</v>
      </c>
      <c r="L111">
        <v>0</v>
      </c>
      <c r="M111">
        <v>0</v>
      </c>
      <c r="N111" s="54">
        <f t="shared" si="115"/>
        <v>10.624600000000001</v>
      </c>
      <c r="Q111">
        <v>2</v>
      </c>
      <c r="R111" t="s">
        <v>7</v>
      </c>
      <c r="S111">
        <v>17920</v>
      </c>
      <c r="T111">
        <v>128</v>
      </c>
      <c r="U111">
        <v>2</v>
      </c>
      <c r="V111">
        <v>2</v>
      </c>
      <c r="W111">
        <v>313.25</v>
      </c>
      <c r="X111" s="48">
        <v>12.249000000000001</v>
      </c>
      <c r="Y111" s="27">
        <v>45506</v>
      </c>
      <c r="Z111" s="53">
        <v>0.2278125</v>
      </c>
      <c r="AA111">
        <v>0</v>
      </c>
      <c r="AB111">
        <v>0</v>
      </c>
      <c r="AC111">
        <v>0</v>
      </c>
      <c r="AD111" s="54">
        <f t="shared" si="116"/>
        <v>12.3642</v>
      </c>
      <c r="AF111">
        <v>2</v>
      </c>
      <c r="AG111" t="s">
        <v>7</v>
      </c>
      <c r="AH111">
        <v>17952</v>
      </c>
      <c r="AI111">
        <v>96</v>
      </c>
      <c r="AJ111">
        <v>2</v>
      </c>
      <c r="AK111">
        <v>2</v>
      </c>
      <c r="AL111">
        <v>313</v>
      </c>
      <c r="AM111" s="48">
        <v>12.324</v>
      </c>
      <c r="AN111" s="27">
        <v>45509</v>
      </c>
      <c r="AO111" s="53">
        <v>0.34024305555555556</v>
      </c>
      <c r="AP111">
        <v>0</v>
      </c>
      <c r="AQ111">
        <v>0</v>
      </c>
      <c r="AR111">
        <v>0</v>
      </c>
      <c r="AS111" s="54">
        <f t="shared" si="117"/>
        <v>12.4032</v>
      </c>
      <c r="AT111" s="1">
        <f>AT110</f>
        <v>12.4032</v>
      </c>
      <c r="AV111">
        <v>230</v>
      </c>
      <c r="AW111" t="s">
        <v>71</v>
      </c>
      <c r="AX111">
        <v>20096</v>
      </c>
      <c r="AY111">
        <v>96</v>
      </c>
      <c r="AZ111">
        <v>2</v>
      </c>
      <c r="BA111">
        <v>2</v>
      </c>
      <c r="BB111" s="1">
        <v>431.95</v>
      </c>
      <c r="BC111" s="46">
        <v>12.467000000000001</v>
      </c>
      <c r="BF111">
        <v>0</v>
      </c>
      <c r="BG111">
        <v>0</v>
      </c>
      <c r="BH111">
        <v>0</v>
      </c>
      <c r="BI111" s="54">
        <f t="shared" si="118"/>
        <v>12.423666666666668</v>
      </c>
    </row>
    <row r="112" spans="1:61">
      <c r="A112">
        <v>3</v>
      </c>
      <c r="B112" t="s">
        <v>7</v>
      </c>
      <c r="C112">
        <v>17920</v>
      </c>
      <c r="D112">
        <v>128</v>
      </c>
      <c r="E112">
        <v>2</v>
      </c>
      <c r="F112">
        <v>2</v>
      </c>
      <c r="G112" s="1">
        <v>360.04</v>
      </c>
      <c r="H112" s="63">
        <v>10.657</v>
      </c>
      <c r="I112" s="27">
        <v>45509</v>
      </c>
      <c r="J112" s="53">
        <v>0.68261574074074072</v>
      </c>
      <c r="K112">
        <v>0</v>
      </c>
      <c r="L112">
        <v>0</v>
      </c>
      <c r="M112">
        <v>0</v>
      </c>
      <c r="N112" s="54">
        <f t="shared" si="115"/>
        <v>10.624600000000001</v>
      </c>
      <c r="Q112">
        <v>3</v>
      </c>
      <c r="R112" t="s">
        <v>7</v>
      </c>
      <c r="S112">
        <v>17920</v>
      </c>
      <c r="T112">
        <v>128</v>
      </c>
      <c r="U112">
        <v>2</v>
      </c>
      <c r="V112">
        <v>2</v>
      </c>
      <c r="W112">
        <v>306.08</v>
      </c>
      <c r="X112" s="48">
        <v>12.536</v>
      </c>
      <c r="Y112" s="27">
        <v>45506</v>
      </c>
      <c r="Z112" s="53">
        <v>0.46520833333333333</v>
      </c>
      <c r="AA112">
        <v>0</v>
      </c>
      <c r="AB112">
        <v>0</v>
      </c>
      <c r="AC112">
        <v>0</v>
      </c>
      <c r="AD112" s="54">
        <f t="shared" si="116"/>
        <v>12.3642</v>
      </c>
      <c r="AF112">
        <v>3</v>
      </c>
      <c r="AG112" t="s">
        <v>7</v>
      </c>
      <c r="AH112">
        <v>17952</v>
      </c>
      <c r="AI112">
        <v>96</v>
      </c>
      <c r="AJ112">
        <v>2</v>
      </c>
      <c r="AK112">
        <v>2</v>
      </c>
      <c r="AL112">
        <v>310.86</v>
      </c>
      <c r="AM112" s="48">
        <v>12.409000000000001</v>
      </c>
      <c r="AN112" s="27">
        <v>45509</v>
      </c>
      <c r="AO112" s="53">
        <v>0.57866898148148149</v>
      </c>
      <c r="AP112">
        <v>0</v>
      </c>
      <c r="AQ112">
        <v>0</v>
      </c>
      <c r="AR112">
        <v>0</v>
      </c>
      <c r="AS112" s="54">
        <f t="shared" si="117"/>
        <v>12.4032</v>
      </c>
      <c r="AT112" s="1">
        <f>AT111</f>
        <v>12.4032</v>
      </c>
      <c r="AV112">
        <v>278</v>
      </c>
      <c r="AW112" t="s">
        <v>71</v>
      </c>
      <c r="AX112">
        <v>20096</v>
      </c>
      <c r="AY112">
        <v>96</v>
      </c>
      <c r="AZ112">
        <v>2</v>
      </c>
      <c r="BA112">
        <v>2</v>
      </c>
      <c r="BB112" s="1">
        <v>433.53</v>
      </c>
      <c r="BC112" s="46">
        <v>12.422000000000001</v>
      </c>
      <c r="BF112">
        <v>0</v>
      </c>
      <c r="BG112">
        <v>0</v>
      </c>
      <c r="BH112">
        <v>0</v>
      </c>
      <c r="BI112" s="54">
        <f t="shared" si="118"/>
        <v>12.423666666666668</v>
      </c>
    </row>
    <row r="113" spans="1:61">
      <c r="A113">
        <v>4</v>
      </c>
      <c r="B113" t="s">
        <v>7</v>
      </c>
      <c r="C113">
        <v>17920</v>
      </c>
      <c r="D113">
        <v>128</v>
      </c>
      <c r="E113">
        <v>2</v>
      </c>
      <c r="F113">
        <v>2</v>
      </c>
      <c r="G113" s="1">
        <v>361.02</v>
      </c>
      <c r="H113" s="63">
        <v>10.628</v>
      </c>
      <c r="I113" s="27">
        <v>45509</v>
      </c>
      <c r="J113" s="53">
        <v>0.95056712962962964</v>
      </c>
      <c r="K113">
        <v>0</v>
      </c>
      <c r="L113">
        <v>0</v>
      </c>
      <c r="M113">
        <v>0</v>
      </c>
      <c r="N113" s="54">
        <f t="shared" si="115"/>
        <v>10.624600000000001</v>
      </c>
      <c r="Q113">
        <v>4</v>
      </c>
      <c r="R113" t="s">
        <v>7</v>
      </c>
      <c r="S113">
        <v>17920</v>
      </c>
      <c r="T113">
        <v>128</v>
      </c>
      <c r="U113">
        <v>2</v>
      </c>
      <c r="V113">
        <v>2</v>
      </c>
      <c r="W113">
        <v>308.92</v>
      </c>
      <c r="X113" s="48">
        <v>12.42</v>
      </c>
      <c r="Y113" s="27">
        <v>45506</v>
      </c>
      <c r="Z113" s="53">
        <v>0.70245370370370375</v>
      </c>
      <c r="AA113">
        <v>0</v>
      </c>
      <c r="AB113">
        <v>0</v>
      </c>
      <c r="AC113">
        <v>0</v>
      </c>
      <c r="AD113" s="54">
        <f t="shared" si="116"/>
        <v>12.3642</v>
      </c>
      <c r="AF113">
        <v>4</v>
      </c>
      <c r="AG113" t="s">
        <v>7</v>
      </c>
      <c r="AH113">
        <v>17952</v>
      </c>
      <c r="AI113">
        <v>96</v>
      </c>
      <c r="AJ113">
        <v>2</v>
      </c>
      <c r="AK113">
        <v>2</v>
      </c>
      <c r="AL113">
        <v>310.49</v>
      </c>
      <c r="AM113" s="48">
        <v>12.423999999999999</v>
      </c>
      <c r="AN113" s="27">
        <v>45509</v>
      </c>
      <c r="AO113" s="53">
        <v>0.81682870370370375</v>
      </c>
      <c r="AP113">
        <v>0</v>
      </c>
      <c r="AQ113">
        <v>0</v>
      </c>
      <c r="AR113">
        <v>0</v>
      </c>
      <c r="AS113" s="54">
        <f t="shared" si="117"/>
        <v>12.4032</v>
      </c>
      <c r="AT113" s="1">
        <f>AT112</f>
        <v>12.4032</v>
      </c>
      <c r="AV113">
        <v>7</v>
      </c>
      <c r="AW113" t="s">
        <v>71</v>
      </c>
      <c r="AX113">
        <v>18048</v>
      </c>
      <c r="AY113">
        <v>128</v>
      </c>
      <c r="AZ113">
        <v>1</v>
      </c>
      <c r="BA113">
        <v>4</v>
      </c>
      <c r="BB113" s="1">
        <v>305.57</v>
      </c>
      <c r="BC113" s="46">
        <v>12.827999999999999</v>
      </c>
      <c r="BF113">
        <v>0</v>
      </c>
      <c r="BG113">
        <v>0</v>
      </c>
      <c r="BH113">
        <v>0</v>
      </c>
      <c r="BI113" s="54">
        <f t="shared" ref="BI113" si="165">AVERAGE(BC113:BC118)</f>
        <v>12.7995</v>
      </c>
    </row>
    <row r="114" spans="1:61">
      <c r="A114">
        <v>0</v>
      </c>
      <c r="B114" t="s">
        <v>7</v>
      </c>
      <c r="C114">
        <v>19072</v>
      </c>
      <c r="D114">
        <v>128</v>
      </c>
      <c r="E114">
        <v>2</v>
      </c>
      <c r="F114">
        <v>2</v>
      </c>
      <c r="G114" s="1">
        <v>425.9</v>
      </c>
      <c r="H114" s="63">
        <v>10.86</v>
      </c>
      <c r="I114" s="27">
        <v>45508</v>
      </c>
      <c r="J114" s="53">
        <v>0.96060185185185187</v>
      </c>
      <c r="K114">
        <v>0</v>
      </c>
      <c r="L114">
        <v>0</v>
      </c>
      <c r="M114">
        <v>0</v>
      </c>
      <c r="N114" s="54">
        <f t="shared" ref="N114" si="166">AVERAGE(H114:H118)</f>
        <v>10.786</v>
      </c>
      <c r="Q114">
        <v>0</v>
      </c>
      <c r="R114" t="s">
        <v>7</v>
      </c>
      <c r="S114">
        <v>19072</v>
      </c>
      <c r="T114">
        <v>128</v>
      </c>
      <c r="U114">
        <v>2</v>
      </c>
      <c r="V114">
        <v>2</v>
      </c>
      <c r="W114">
        <v>368.5</v>
      </c>
      <c r="X114" s="48">
        <v>12.552</v>
      </c>
      <c r="Y114" s="27">
        <v>45505</v>
      </c>
      <c r="Z114" s="53">
        <v>0.82528935185185182</v>
      </c>
      <c r="AA114">
        <v>0</v>
      </c>
      <c r="AB114">
        <v>0</v>
      </c>
      <c r="AC114">
        <v>0</v>
      </c>
      <c r="AD114" s="54">
        <f t="shared" ref="AD114" si="167">AVERAGE(X114:X118)</f>
        <v>12.428599999999999</v>
      </c>
      <c r="AF114">
        <v>0</v>
      </c>
      <c r="AG114" t="s">
        <v>7</v>
      </c>
      <c r="AH114">
        <v>17920</v>
      </c>
      <c r="AI114">
        <v>160</v>
      </c>
      <c r="AJ114">
        <v>1</v>
      </c>
      <c r="AK114">
        <v>4</v>
      </c>
      <c r="AL114">
        <v>311.5</v>
      </c>
      <c r="AM114" s="48">
        <v>12.317</v>
      </c>
      <c r="AN114" s="27">
        <v>45508</v>
      </c>
      <c r="AO114" s="53">
        <v>0.87685185185185188</v>
      </c>
      <c r="AP114">
        <v>0</v>
      </c>
      <c r="AQ114">
        <v>0</v>
      </c>
      <c r="AR114">
        <v>0</v>
      </c>
      <c r="AS114" s="54">
        <f t="shared" ref="AS114" si="168">AVERAGE(AM114:AM118)</f>
        <v>12.3612</v>
      </c>
      <c r="AT114" s="1">
        <f>AS114</f>
        <v>12.3612</v>
      </c>
      <c r="AV114">
        <v>55</v>
      </c>
      <c r="AW114" t="s">
        <v>71</v>
      </c>
      <c r="AX114">
        <v>18048</v>
      </c>
      <c r="AY114">
        <v>128</v>
      </c>
      <c r="AZ114">
        <v>1</v>
      </c>
      <c r="BA114">
        <v>4</v>
      </c>
      <c r="BB114" s="1">
        <v>304.31</v>
      </c>
      <c r="BC114" s="46">
        <v>12.881</v>
      </c>
      <c r="BF114">
        <v>0</v>
      </c>
      <c r="BG114">
        <v>0</v>
      </c>
      <c r="BH114">
        <v>0</v>
      </c>
      <c r="BI114" s="54">
        <f t="shared" ref="BI114" si="169">BI113</f>
        <v>12.7995</v>
      </c>
    </row>
    <row r="115" spans="1:61">
      <c r="A115">
        <v>1</v>
      </c>
      <c r="B115" t="s">
        <v>7</v>
      </c>
      <c r="C115">
        <v>19072</v>
      </c>
      <c r="D115">
        <v>128</v>
      </c>
      <c r="E115">
        <v>2</v>
      </c>
      <c r="F115">
        <v>2</v>
      </c>
      <c r="G115" s="1">
        <v>430.23</v>
      </c>
      <c r="H115" s="63">
        <v>10.750999999999999</v>
      </c>
      <c r="I115" s="27">
        <v>45509</v>
      </c>
      <c r="J115" s="53">
        <v>0.22896990740740741</v>
      </c>
      <c r="K115">
        <v>0</v>
      </c>
      <c r="L115">
        <v>0</v>
      </c>
      <c r="M115">
        <v>0</v>
      </c>
      <c r="N115" s="54">
        <f t="shared" ref="N115" si="170">N114</f>
        <v>10.786</v>
      </c>
      <c r="Q115">
        <v>1</v>
      </c>
      <c r="R115" t="s">
        <v>7</v>
      </c>
      <c r="S115">
        <v>19072</v>
      </c>
      <c r="T115">
        <v>128</v>
      </c>
      <c r="U115">
        <v>2</v>
      </c>
      <c r="V115">
        <v>2</v>
      </c>
      <c r="W115">
        <v>373.98</v>
      </c>
      <c r="X115" s="48">
        <v>12.368</v>
      </c>
      <c r="Y115" s="27">
        <v>45506</v>
      </c>
      <c r="Z115" s="53">
        <v>6.3136574074074067E-2</v>
      </c>
      <c r="AA115">
        <v>0</v>
      </c>
      <c r="AB115">
        <v>0</v>
      </c>
      <c r="AC115">
        <v>0</v>
      </c>
      <c r="AD115" s="54">
        <f t="shared" ref="AD115" si="171">AD114</f>
        <v>12.428599999999999</v>
      </c>
      <c r="AF115">
        <v>1</v>
      </c>
      <c r="AG115" t="s">
        <v>7</v>
      </c>
      <c r="AH115">
        <v>17920</v>
      </c>
      <c r="AI115">
        <v>160</v>
      </c>
      <c r="AJ115">
        <v>1</v>
      </c>
      <c r="AK115">
        <v>4</v>
      </c>
      <c r="AL115">
        <v>310.08</v>
      </c>
      <c r="AM115" s="48">
        <v>12.374000000000001</v>
      </c>
      <c r="AN115" s="27">
        <v>45509</v>
      </c>
      <c r="AO115" s="53">
        <v>0.11416666666666667</v>
      </c>
      <c r="AP115">
        <v>0</v>
      </c>
      <c r="AQ115">
        <v>0</v>
      </c>
      <c r="AR115">
        <v>0</v>
      </c>
      <c r="AS115" s="54">
        <f t="shared" ref="AS115" si="172">AS114</f>
        <v>12.3612</v>
      </c>
      <c r="AT115" s="1">
        <f>AT114</f>
        <v>12.3612</v>
      </c>
      <c r="AV115">
        <v>103</v>
      </c>
      <c r="AW115" t="s">
        <v>71</v>
      </c>
      <c r="AX115">
        <v>18048</v>
      </c>
      <c r="AY115">
        <v>128</v>
      </c>
      <c r="AZ115">
        <v>1</v>
      </c>
      <c r="BA115">
        <v>4</v>
      </c>
      <c r="BB115" s="1">
        <v>303.61</v>
      </c>
      <c r="BC115" s="46">
        <v>12.91</v>
      </c>
      <c r="BF115">
        <v>0</v>
      </c>
      <c r="BG115">
        <v>0</v>
      </c>
      <c r="BH115">
        <v>0</v>
      </c>
      <c r="BI115" s="54">
        <f t="shared" si="118"/>
        <v>12.7995</v>
      </c>
    </row>
    <row r="116" spans="1:61">
      <c r="A116">
        <v>2</v>
      </c>
      <c r="B116" t="s">
        <v>7</v>
      </c>
      <c r="C116">
        <v>19072</v>
      </c>
      <c r="D116">
        <v>128</v>
      </c>
      <c r="E116">
        <v>2</v>
      </c>
      <c r="F116">
        <v>2</v>
      </c>
      <c r="G116" s="1">
        <v>431.05</v>
      </c>
      <c r="H116" s="63">
        <v>10.731</v>
      </c>
      <c r="I116" s="27">
        <v>45509</v>
      </c>
      <c r="J116" s="53">
        <v>0.49702546296296296</v>
      </c>
      <c r="K116">
        <v>0</v>
      </c>
      <c r="L116">
        <v>0</v>
      </c>
      <c r="M116">
        <v>0</v>
      </c>
      <c r="N116" s="54">
        <f t="shared" si="115"/>
        <v>10.786</v>
      </c>
      <c r="Q116">
        <v>2</v>
      </c>
      <c r="R116" t="s">
        <v>7</v>
      </c>
      <c r="S116">
        <v>19072</v>
      </c>
      <c r="T116">
        <v>128</v>
      </c>
      <c r="U116">
        <v>2</v>
      </c>
      <c r="V116">
        <v>2</v>
      </c>
      <c r="W116">
        <v>369.85</v>
      </c>
      <c r="X116" s="48">
        <v>12.506</v>
      </c>
      <c r="Y116" s="27">
        <v>45506</v>
      </c>
      <c r="Z116" s="53">
        <v>0.30057870370370371</v>
      </c>
      <c r="AA116">
        <v>0</v>
      </c>
      <c r="AB116">
        <v>0</v>
      </c>
      <c r="AC116">
        <v>0</v>
      </c>
      <c r="AD116" s="54">
        <f t="shared" si="116"/>
        <v>12.428599999999999</v>
      </c>
      <c r="AF116">
        <v>2</v>
      </c>
      <c r="AG116" t="s">
        <v>7</v>
      </c>
      <c r="AH116">
        <v>17920</v>
      </c>
      <c r="AI116">
        <v>160</v>
      </c>
      <c r="AJ116">
        <v>1</v>
      </c>
      <c r="AK116">
        <v>4</v>
      </c>
      <c r="AL116">
        <v>310.07</v>
      </c>
      <c r="AM116" s="48">
        <v>12.374000000000001</v>
      </c>
      <c r="AN116" s="27">
        <v>45509</v>
      </c>
      <c r="AO116" s="53">
        <v>0.35167824074074072</v>
      </c>
      <c r="AP116">
        <v>0</v>
      </c>
      <c r="AQ116">
        <v>0</v>
      </c>
      <c r="AR116">
        <v>0</v>
      </c>
      <c r="AS116" s="54">
        <f t="shared" si="117"/>
        <v>12.3612</v>
      </c>
      <c r="AT116" s="1">
        <f>AT115</f>
        <v>12.3612</v>
      </c>
      <c r="AV116">
        <v>151</v>
      </c>
      <c r="AW116" t="s">
        <v>71</v>
      </c>
      <c r="AX116">
        <v>18048</v>
      </c>
      <c r="AY116">
        <v>128</v>
      </c>
      <c r="AZ116">
        <v>1</v>
      </c>
      <c r="BA116">
        <v>4</v>
      </c>
      <c r="BB116" s="1">
        <v>307.66000000000003</v>
      </c>
      <c r="BC116" s="46">
        <v>12.74</v>
      </c>
      <c r="BF116">
        <v>0</v>
      </c>
      <c r="BG116">
        <v>0</v>
      </c>
      <c r="BH116">
        <v>0</v>
      </c>
      <c r="BI116" s="54">
        <f t="shared" si="118"/>
        <v>12.7995</v>
      </c>
    </row>
    <row r="117" spans="1:61">
      <c r="A117">
        <v>3</v>
      </c>
      <c r="B117" t="s">
        <v>7</v>
      </c>
      <c r="C117">
        <v>19072</v>
      </c>
      <c r="D117">
        <v>128</v>
      </c>
      <c r="E117">
        <v>2</v>
      </c>
      <c r="F117">
        <v>2</v>
      </c>
      <c r="G117" s="1">
        <v>428.6</v>
      </c>
      <c r="H117" s="63">
        <v>10.792</v>
      </c>
      <c r="I117" s="27">
        <v>45509</v>
      </c>
      <c r="J117" s="53">
        <v>0.76497685185185182</v>
      </c>
      <c r="K117">
        <v>0</v>
      </c>
      <c r="L117">
        <v>0</v>
      </c>
      <c r="M117">
        <v>0</v>
      </c>
      <c r="N117" s="54">
        <f t="shared" si="115"/>
        <v>10.786</v>
      </c>
      <c r="Q117">
        <v>3</v>
      </c>
      <c r="R117" t="s">
        <v>7</v>
      </c>
      <c r="S117">
        <v>19072</v>
      </c>
      <c r="T117">
        <v>128</v>
      </c>
      <c r="U117">
        <v>2</v>
      </c>
      <c r="V117">
        <v>2</v>
      </c>
      <c r="W117">
        <v>367.18</v>
      </c>
      <c r="X117" s="48">
        <v>12.597</v>
      </c>
      <c r="Y117" s="27">
        <v>45506</v>
      </c>
      <c r="Z117" s="53">
        <v>0.53781250000000003</v>
      </c>
      <c r="AA117">
        <v>0</v>
      </c>
      <c r="AB117">
        <v>0</v>
      </c>
      <c r="AC117">
        <v>0</v>
      </c>
      <c r="AD117" s="54">
        <f t="shared" si="116"/>
        <v>12.428599999999999</v>
      </c>
      <c r="AF117">
        <v>3</v>
      </c>
      <c r="AG117" t="s">
        <v>7</v>
      </c>
      <c r="AH117">
        <v>17920</v>
      </c>
      <c r="AI117">
        <v>160</v>
      </c>
      <c r="AJ117">
        <v>1</v>
      </c>
      <c r="AK117">
        <v>4</v>
      </c>
      <c r="AL117">
        <v>309.14999999999998</v>
      </c>
      <c r="AM117" s="48">
        <v>12.411</v>
      </c>
      <c r="AN117" s="27">
        <v>45509</v>
      </c>
      <c r="AO117" s="53">
        <v>0.59013888888888888</v>
      </c>
      <c r="AP117">
        <v>0</v>
      </c>
      <c r="AQ117">
        <v>0</v>
      </c>
      <c r="AR117">
        <v>0</v>
      </c>
      <c r="AS117" s="54">
        <f t="shared" si="117"/>
        <v>12.3612</v>
      </c>
      <c r="AT117" s="1">
        <f>AT116</f>
        <v>12.3612</v>
      </c>
      <c r="AV117">
        <v>199</v>
      </c>
      <c r="AW117" t="s">
        <v>71</v>
      </c>
      <c r="AX117">
        <v>18048</v>
      </c>
      <c r="AY117">
        <v>128</v>
      </c>
      <c r="AZ117">
        <v>1</v>
      </c>
      <c r="BA117">
        <v>4</v>
      </c>
      <c r="BB117" s="1">
        <v>309.08</v>
      </c>
      <c r="BC117" s="46">
        <v>12.682</v>
      </c>
      <c r="BF117">
        <v>0</v>
      </c>
      <c r="BG117">
        <v>0</v>
      </c>
      <c r="BH117">
        <v>0</v>
      </c>
      <c r="BI117" s="54">
        <f t="shared" si="118"/>
        <v>12.7995</v>
      </c>
    </row>
    <row r="118" spans="1:61">
      <c r="A118">
        <v>4</v>
      </c>
      <c r="B118" t="s">
        <v>7</v>
      </c>
      <c r="C118">
        <v>19072</v>
      </c>
      <c r="D118">
        <v>128</v>
      </c>
      <c r="E118">
        <v>2</v>
      </c>
      <c r="F118">
        <v>2</v>
      </c>
      <c r="G118" s="1">
        <v>428.45</v>
      </c>
      <c r="H118" s="63">
        <v>10.795999999999999</v>
      </c>
      <c r="I118" s="27">
        <v>45510</v>
      </c>
      <c r="J118" s="53">
        <v>3.2916666666666664E-2</v>
      </c>
      <c r="K118">
        <v>0</v>
      </c>
      <c r="L118">
        <v>0</v>
      </c>
      <c r="M118">
        <v>0</v>
      </c>
      <c r="N118" s="54">
        <f t="shared" si="115"/>
        <v>10.786</v>
      </c>
      <c r="Q118">
        <v>4</v>
      </c>
      <c r="R118" t="s">
        <v>7</v>
      </c>
      <c r="S118">
        <v>19072</v>
      </c>
      <c r="T118">
        <v>128</v>
      </c>
      <c r="U118">
        <v>2</v>
      </c>
      <c r="V118">
        <v>2</v>
      </c>
      <c r="W118">
        <v>381.62</v>
      </c>
      <c r="X118" s="48">
        <v>12.12</v>
      </c>
      <c r="Y118" s="27">
        <v>45506</v>
      </c>
      <c r="Z118" s="53">
        <v>0.77541666666666664</v>
      </c>
      <c r="AA118">
        <v>0</v>
      </c>
      <c r="AB118">
        <v>0</v>
      </c>
      <c r="AC118">
        <v>0</v>
      </c>
      <c r="AD118" s="54">
        <f t="shared" si="116"/>
        <v>12.428599999999999</v>
      </c>
      <c r="AF118">
        <v>4</v>
      </c>
      <c r="AG118" t="s">
        <v>7</v>
      </c>
      <c r="AH118">
        <v>17920</v>
      </c>
      <c r="AI118">
        <v>160</v>
      </c>
      <c r="AJ118">
        <v>1</v>
      </c>
      <c r="AK118">
        <v>4</v>
      </c>
      <c r="AL118">
        <v>311.18</v>
      </c>
      <c r="AM118" s="48">
        <v>12.33</v>
      </c>
      <c r="AN118" s="27">
        <v>45509</v>
      </c>
      <c r="AO118" s="53">
        <v>0.82833333333333337</v>
      </c>
      <c r="AP118">
        <v>0</v>
      </c>
      <c r="AQ118">
        <v>0</v>
      </c>
      <c r="AR118">
        <v>0</v>
      </c>
      <c r="AS118" s="54">
        <f t="shared" si="117"/>
        <v>12.3612</v>
      </c>
      <c r="AT118" s="1">
        <f>AT117</f>
        <v>12.3612</v>
      </c>
      <c r="AV118">
        <v>247</v>
      </c>
      <c r="AW118" t="s">
        <v>71</v>
      </c>
      <c r="AX118">
        <v>18048</v>
      </c>
      <c r="AY118">
        <v>128</v>
      </c>
      <c r="AZ118">
        <v>1</v>
      </c>
      <c r="BA118">
        <v>4</v>
      </c>
      <c r="BB118" s="1">
        <v>307.27</v>
      </c>
      <c r="BC118" s="46">
        <v>12.756</v>
      </c>
      <c r="BF118">
        <v>0</v>
      </c>
      <c r="BG118">
        <v>0</v>
      </c>
      <c r="BH118">
        <v>0</v>
      </c>
      <c r="BI118" s="54">
        <f t="shared" si="118"/>
        <v>12.7995</v>
      </c>
    </row>
    <row r="119" spans="1:61">
      <c r="A119">
        <v>0</v>
      </c>
      <c r="B119" t="s">
        <v>7</v>
      </c>
      <c r="C119">
        <v>20096</v>
      </c>
      <c r="D119">
        <v>128</v>
      </c>
      <c r="E119">
        <v>2</v>
      </c>
      <c r="F119">
        <v>2</v>
      </c>
      <c r="G119" s="1">
        <v>486.07</v>
      </c>
      <c r="H119" s="63">
        <v>11.132</v>
      </c>
      <c r="I119" s="27">
        <v>45509</v>
      </c>
      <c r="J119" s="53">
        <v>5.8078703703703702E-2</v>
      </c>
      <c r="K119">
        <v>0</v>
      </c>
      <c r="L119">
        <v>0</v>
      </c>
      <c r="M119">
        <v>0</v>
      </c>
      <c r="N119" s="54">
        <f t="shared" ref="N119" si="173">AVERAGE(H119:H123)</f>
        <v>11.1082</v>
      </c>
      <c r="Q119">
        <v>0</v>
      </c>
      <c r="R119" t="s">
        <v>7</v>
      </c>
      <c r="S119">
        <v>20096</v>
      </c>
      <c r="T119">
        <v>128</v>
      </c>
      <c r="U119">
        <v>2</v>
      </c>
      <c r="V119">
        <v>2</v>
      </c>
      <c r="W119">
        <v>438.36</v>
      </c>
      <c r="X119" s="48">
        <v>12.343999999999999</v>
      </c>
      <c r="Y119" s="27">
        <v>45505</v>
      </c>
      <c r="Z119" s="53">
        <v>0.91170138888888885</v>
      </c>
      <c r="AA119">
        <v>0</v>
      </c>
      <c r="AB119">
        <v>0</v>
      </c>
      <c r="AC119">
        <v>0</v>
      </c>
      <c r="AD119" s="54">
        <f t="shared" ref="AD119" si="174">AVERAGE(X119:X123)</f>
        <v>12.497999999999999</v>
      </c>
      <c r="AF119">
        <v>0</v>
      </c>
      <c r="AG119" t="s">
        <v>7</v>
      </c>
      <c r="AH119">
        <v>17856</v>
      </c>
      <c r="AI119">
        <v>192</v>
      </c>
      <c r="AJ119">
        <v>2</v>
      </c>
      <c r="AK119">
        <v>2</v>
      </c>
      <c r="AL119">
        <v>306.33</v>
      </c>
      <c r="AM119" s="48">
        <v>12.391</v>
      </c>
      <c r="AN119" s="27">
        <v>45508</v>
      </c>
      <c r="AO119" s="53">
        <v>0.88829861111111108</v>
      </c>
      <c r="AP119">
        <v>0</v>
      </c>
      <c r="AQ119">
        <v>0</v>
      </c>
      <c r="AR119">
        <v>0</v>
      </c>
      <c r="AS119" s="54">
        <f t="shared" ref="AS119" si="175">AVERAGE(AM119:AM123)</f>
        <v>12.360799999999999</v>
      </c>
      <c r="AT119" s="1">
        <f>AS119</f>
        <v>12.360799999999999</v>
      </c>
      <c r="AV119">
        <v>23</v>
      </c>
      <c r="AW119" t="s">
        <v>71</v>
      </c>
      <c r="AX119">
        <v>19072</v>
      </c>
      <c r="AY119">
        <v>128</v>
      </c>
      <c r="AZ119">
        <v>1</v>
      </c>
      <c r="BA119">
        <v>4</v>
      </c>
      <c r="BB119" s="1">
        <v>356.42</v>
      </c>
      <c r="BC119" s="46">
        <v>12.977</v>
      </c>
      <c r="BF119">
        <v>0</v>
      </c>
      <c r="BG119">
        <v>0</v>
      </c>
      <c r="BH119">
        <v>0</v>
      </c>
      <c r="BI119" s="54">
        <f t="shared" ref="BI119" si="176">AVERAGE(BC119:BC124)</f>
        <v>12.695833333333333</v>
      </c>
    </row>
    <row r="120" spans="1:61">
      <c r="A120">
        <v>1</v>
      </c>
      <c r="B120" t="s">
        <v>7</v>
      </c>
      <c r="C120">
        <v>20096</v>
      </c>
      <c r="D120">
        <v>128</v>
      </c>
      <c r="E120">
        <v>2</v>
      </c>
      <c r="F120">
        <v>2</v>
      </c>
      <c r="G120" s="1">
        <v>487.62</v>
      </c>
      <c r="H120" s="63">
        <v>11.097</v>
      </c>
      <c r="I120" s="27">
        <v>45509</v>
      </c>
      <c r="J120" s="53">
        <v>0.32633101851851853</v>
      </c>
      <c r="K120">
        <v>0</v>
      </c>
      <c r="L120">
        <v>0</v>
      </c>
      <c r="M120">
        <v>0</v>
      </c>
      <c r="N120" s="54">
        <f t="shared" ref="N120" si="177">N119</f>
        <v>11.1082</v>
      </c>
      <c r="Q120">
        <v>1</v>
      </c>
      <c r="R120" t="s">
        <v>7</v>
      </c>
      <c r="S120">
        <v>20096</v>
      </c>
      <c r="T120">
        <v>128</v>
      </c>
      <c r="U120">
        <v>2</v>
      </c>
      <c r="V120">
        <v>2</v>
      </c>
      <c r="W120">
        <v>430.79</v>
      </c>
      <c r="X120" s="48">
        <v>12.561</v>
      </c>
      <c r="Y120" s="27">
        <v>45506</v>
      </c>
      <c r="Z120" s="53">
        <v>0.1491898148148148</v>
      </c>
      <c r="AA120">
        <v>0</v>
      </c>
      <c r="AB120">
        <v>0</v>
      </c>
      <c r="AC120">
        <v>0</v>
      </c>
      <c r="AD120" s="54">
        <f t="shared" ref="AD120" si="178">AD119</f>
        <v>12.497999999999999</v>
      </c>
      <c r="AF120">
        <v>1</v>
      </c>
      <c r="AG120" t="s">
        <v>7</v>
      </c>
      <c r="AH120">
        <v>17856</v>
      </c>
      <c r="AI120">
        <v>192</v>
      </c>
      <c r="AJ120">
        <v>2</v>
      </c>
      <c r="AK120">
        <v>2</v>
      </c>
      <c r="AL120">
        <v>308.13</v>
      </c>
      <c r="AM120" s="48">
        <v>12.319000000000001</v>
      </c>
      <c r="AN120" s="27">
        <v>45509</v>
      </c>
      <c r="AO120" s="53">
        <v>0.12568287037037038</v>
      </c>
      <c r="AP120">
        <v>0</v>
      </c>
      <c r="AQ120">
        <v>0</v>
      </c>
      <c r="AR120">
        <v>0</v>
      </c>
      <c r="AS120" s="54">
        <f t="shared" ref="AS120" si="179">AS119</f>
        <v>12.360799999999999</v>
      </c>
      <c r="AT120" s="1">
        <f>AT119</f>
        <v>12.360799999999999</v>
      </c>
      <c r="AV120">
        <v>71</v>
      </c>
      <c r="AW120" t="s">
        <v>71</v>
      </c>
      <c r="AX120">
        <v>19072</v>
      </c>
      <c r="AY120">
        <v>128</v>
      </c>
      <c r="AZ120">
        <v>1</v>
      </c>
      <c r="BA120">
        <v>4</v>
      </c>
      <c r="BB120" s="1">
        <v>355.84</v>
      </c>
      <c r="BC120" s="46">
        <v>12.999000000000001</v>
      </c>
      <c r="BF120">
        <v>0</v>
      </c>
      <c r="BG120">
        <v>0</v>
      </c>
      <c r="BH120">
        <v>0</v>
      </c>
      <c r="BI120" s="54">
        <f t="shared" ref="BI120" si="180">BI119</f>
        <v>12.695833333333333</v>
      </c>
    </row>
    <row r="121" spans="1:61">
      <c r="A121">
        <v>2</v>
      </c>
      <c r="B121" t="s">
        <v>7</v>
      </c>
      <c r="C121">
        <v>20096</v>
      </c>
      <c r="D121">
        <v>128</v>
      </c>
      <c r="E121">
        <v>2</v>
      </c>
      <c r="F121">
        <v>2</v>
      </c>
      <c r="G121" s="1">
        <v>487.66</v>
      </c>
      <c r="H121" s="63">
        <v>11.096</v>
      </c>
      <c r="I121" s="27">
        <v>45509</v>
      </c>
      <c r="J121" s="53">
        <v>0.59423611111111108</v>
      </c>
      <c r="K121">
        <v>0</v>
      </c>
      <c r="L121">
        <v>0</v>
      </c>
      <c r="M121">
        <v>0</v>
      </c>
      <c r="N121" s="54">
        <f t="shared" si="115"/>
        <v>11.1082</v>
      </c>
      <c r="Q121">
        <v>2</v>
      </c>
      <c r="R121" t="s">
        <v>7</v>
      </c>
      <c r="S121">
        <v>20096</v>
      </c>
      <c r="T121">
        <v>128</v>
      </c>
      <c r="U121">
        <v>2</v>
      </c>
      <c r="V121">
        <v>2</v>
      </c>
      <c r="W121">
        <v>430.45</v>
      </c>
      <c r="X121" s="48">
        <v>12.571</v>
      </c>
      <c r="Y121" s="27">
        <v>45506</v>
      </c>
      <c r="Z121" s="53">
        <v>0.38655092592592594</v>
      </c>
      <c r="AA121">
        <v>0</v>
      </c>
      <c r="AB121">
        <v>0</v>
      </c>
      <c r="AC121">
        <v>0</v>
      </c>
      <c r="AD121" s="54">
        <f t="shared" si="116"/>
        <v>12.497999999999999</v>
      </c>
      <c r="AF121">
        <v>2</v>
      </c>
      <c r="AG121" t="s">
        <v>7</v>
      </c>
      <c r="AH121">
        <v>17856</v>
      </c>
      <c r="AI121">
        <v>192</v>
      </c>
      <c r="AJ121">
        <v>2</v>
      </c>
      <c r="AK121">
        <v>2</v>
      </c>
      <c r="AL121">
        <v>307.66000000000003</v>
      </c>
      <c r="AM121" s="48">
        <v>12.337999999999999</v>
      </c>
      <c r="AN121" s="27">
        <v>45509</v>
      </c>
      <c r="AO121" s="53">
        <v>0.3630902777777778</v>
      </c>
      <c r="AP121">
        <v>0</v>
      </c>
      <c r="AQ121">
        <v>0</v>
      </c>
      <c r="AR121">
        <v>0</v>
      </c>
      <c r="AS121" s="54">
        <f t="shared" si="117"/>
        <v>12.360799999999999</v>
      </c>
      <c r="AT121" s="1">
        <f>AT120</f>
        <v>12.360799999999999</v>
      </c>
      <c r="AV121">
        <v>119</v>
      </c>
      <c r="AW121" t="s">
        <v>71</v>
      </c>
      <c r="AX121">
        <v>19072</v>
      </c>
      <c r="AY121">
        <v>128</v>
      </c>
      <c r="AZ121">
        <v>1</v>
      </c>
      <c r="BA121">
        <v>4</v>
      </c>
      <c r="BB121" s="1">
        <v>355.65</v>
      </c>
      <c r="BC121" s="46">
        <v>13.005000000000001</v>
      </c>
      <c r="BF121">
        <v>0</v>
      </c>
      <c r="BG121">
        <v>0</v>
      </c>
      <c r="BH121">
        <v>0</v>
      </c>
      <c r="BI121" s="54">
        <f t="shared" si="118"/>
        <v>12.695833333333333</v>
      </c>
    </row>
    <row r="122" spans="1:61">
      <c r="A122">
        <v>3</v>
      </c>
      <c r="B122" t="s">
        <v>7</v>
      </c>
      <c r="C122">
        <v>20096</v>
      </c>
      <c r="D122">
        <v>128</v>
      </c>
      <c r="E122">
        <v>2</v>
      </c>
      <c r="F122">
        <v>2</v>
      </c>
      <c r="G122" s="1">
        <v>485.69</v>
      </c>
      <c r="H122" s="63">
        <v>11.141</v>
      </c>
      <c r="I122" s="27">
        <v>45509</v>
      </c>
      <c r="J122" s="53">
        <v>0.86222222222222222</v>
      </c>
      <c r="K122">
        <v>0</v>
      </c>
      <c r="L122">
        <v>0</v>
      </c>
      <c r="M122">
        <v>0</v>
      </c>
      <c r="N122" s="54">
        <f t="shared" si="115"/>
        <v>11.1082</v>
      </c>
      <c r="Q122">
        <v>3</v>
      </c>
      <c r="R122" t="s">
        <v>7</v>
      </c>
      <c r="S122">
        <v>20096</v>
      </c>
      <c r="T122">
        <v>128</v>
      </c>
      <c r="U122">
        <v>2</v>
      </c>
      <c r="V122">
        <v>2</v>
      </c>
      <c r="W122">
        <v>434.67</v>
      </c>
      <c r="X122" s="48">
        <v>12.449</v>
      </c>
      <c r="Y122" s="27">
        <v>45506</v>
      </c>
      <c r="Z122" s="53">
        <v>0.62396990740740743</v>
      </c>
      <c r="AA122">
        <v>0</v>
      </c>
      <c r="AB122">
        <v>0</v>
      </c>
      <c r="AC122">
        <v>0</v>
      </c>
      <c r="AD122" s="54">
        <f t="shared" si="116"/>
        <v>12.497999999999999</v>
      </c>
      <c r="AF122">
        <v>3</v>
      </c>
      <c r="AG122" t="s">
        <v>7</v>
      </c>
      <c r="AH122">
        <v>17856</v>
      </c>
      <c r="AI122">
        <v>192</v>
      </c>
      <c r="AJ122">
        <v>2</v>
      </c>
      <c r="AK122">
        <v>2</v>
      </c>
      <c r="AL122">
        <v>306.45999999999998</v>
      </c>
      <c r="AM122" s="48">
        <v>12.385999999999999</v>
      </c>
      <c r="AN122" s="27">
        <v>45509</v>
      </c>
      <c r="AO122" s="53">
        <v>0.60158564814814819</v>
      </c>
      <c r="AP122">
        <v>0</v>
      </c>
      <c r="AQ122">
        <v>0</v>
      </c>
      <c r="AR122">
        <v>0</v>
      </c>
      <c r="AS122" s="54">
        <f t="shared" si="117"/>
        <v>12.360799999999999</v>
      </c>
      <c r="AT122" s="1">
        <f>AT121</f>
        <v>12.360799999999999</v>
      </c>
      <c r="AV122">
        <v>167</v>
      </c>
      <c r="AW122" t="s">
        <v>71</v>
      </c>
      <c r="AX122">
        <v>19072</v>
      </c>
      <c r="AY122">
        <v>128</v>
      </c>
      <c r="AZ122">
        <v>1</v>
      </c>
      <c r="BA122">
        <v>4</v>
      </c>
      <c r="BB122" s="1">
        <v>354.88</v>
      </c>
      <c r="BC122" s="46">
        <v>13.034000000000001</v>
      </c>
      <c r="BF122">
        <v>0</v>
      </c>
      <c r="BG122">
        <v>0</v>
      </c>
      <c r="BH122">
        <v>0</v>
      </c>
      <c r="BI122" s="54">
        <f t="shared" si="118"/>
        <v>12.695833333333333</v>
      </c>
    </row>
    <row r="123" spans="1:61">
      <c r="A123">
        <v>4</v>
      </c>
      <c r="B123" t="s">
        <v>7</v>
      </c>
      <c r="C123">
        <v>20096</v>
      </c>
      <c r="D123">
        <v>128</v>
      </c>
      <c r="E123">
        <v>2</v>
      </c>
      <c r="F123">
        <v>2</v>
      </c>
      <c r="G123" s="1">
        <v>488.58</v>
      </c>
      <c r="H123" s="63">
        <v>11.074999999999999</v>
      </c>
      <c r="I123" s="27">
        <v>45510</v>
      </c>
      <c r="J123" s="53">
        <v>0.13017361111111111</v>
      </c>
      <c r="K123">
        <v>0</v>
      </c>
      <c r="L123">
        <v>0</v>
      </c>
      <c r="M123">
        <v>0</v>
      </c>
      <c r="N123" s="54">
        <f t="shared" si="115"/>
        <v>11.1082</v>
      </c>
      <c r="Q123">
        <v>4</v>
      </c>
      <c r="R123" t="s">
        <v>7</v>
      </c>
      <c r="S123">
        <v>20096</v>
      </c>
      <c r="T123">
        <v>128</v>
      </c>
      <c r="U123">
        <v>2</v>
      </c>
      <c r="V123">
        <v>2</v>
      </c>
      <c r="W123">
        <v>430.64</v>
      </c>
      <c r="X123" s="48">
        <v>12.565</v>
      </c>
      <c r="Y123" s="27">
        <v>45506</v>
      </c>
      <c r="Z123" s="53">
        <v>0.86137731481481483</v>
      </c>
      <c r="AA123">
        <v>0</v>
      </c>
      <c r="AB123">
        <v>0</v>
      </c>
      <c r="AC123">
        <v>0</v>
      </c>
      <c r="AD123" s="54">
        <f t="shared" si="116"/>
        <v>12.497999999999999</v>
      </c>
      <c r="AF123">
        <v>4</v>
      </c>
      <c r="AG123" t="s">
        <v>7</v>
      </c>
      <c r="AH123">
        <v>17856</v>
      </c>
      <c r="AI123">
        <v>192</v>
      </c>
      <c r="AJ123">
        <v>2</v>
      </c>
      <c r="AK123">
        <v>2</v>
      </c>
      <c r="AL123">
        <v>306.86</v>
      </c>
      <c r="AM123" s="48">
        <v>12.37</v>
      </c>
      <c r="AN123" s="27">
        <v>45509</v>
      </c>
      <c r="AO123" s="53">
        <v>0.83980324074074075</v>
      </c>
      <c r="AP123">
        <v>0</v>
      </c>
      <c r="AQ123">
        <v>0</v>
      </c>
      <c r="AR123">
        <v>0</v>
      </c>
      <c r="AS123" s="54">
        <f t="shared" si="117"/>
        <v>12.360799999999999</v>
      </c>
      <c r="AT123" s="1">
        <f>AT122</f>
        <v>12.360799999999999</v>
      </c>
      <c r="AV123">
        <v>215</v>
      </c>
      <c r="AW123" t="s">
        <v>71</v>
      </c>
      <c r="AX123">
        <v>19072</v>
      </c>
      <c r="AY123">
        <v>128</v>
      </c>
      <c r="AZ123">
        <v>1</v>
      </c>
      <c r="BA123">
        <v>4</v>
      </c>
      <c r="BB123" s="1">
        <v>362.47</v>
      </c>
      <c r="BC123" s="46">
        <v>12.760999999999999</v>
      </c>
      <c r="BF123">
        <v>0</v>
      </c>
      <c r="BG123">
        <v>0</v>
      </c>
      <c r="BH123">
        <v>0</v>
      </c>
      <c r="BI123" s="54">
        <f t="shared" si="118"/>
        <v>12.695833333333333</v>
      </c>
    </row>
    <row r="124" spans="1:61">
      <c r="A124">
        <v>0</v>
      </c>
      <c r="B124" t="s">
        <v>7</v>
      </c>
      <c r="C124">
        <v>17920</v>
      </c>
      <c r="D124">
        <v>160</v>
      </c>
      <c r="E124">
        <v>1</v>
      </c>
      <c r="F124">
        <v>4</v>
      </c>
      <c r="G124" s="1">
        <v>359.33</v>
      </c>
      <c r="H124" s="63">
        <v>10.678000000000001</v>
      </c>
      <c r="I124" s="27">
        <v>45508</v>
      </c>
      <c r="J124" s="53">
        <v>0.88197916666666665</v>
      </c>
      <c r="K124">
        <v>0</v>
      </c>
      <c r="L124">
        <v>0</v>
      </c>
      <c r="M124">
        <v>0</v>
      </c>
      <c r="N124" s="54">
        <f t="shared" ref="N124" si="181">AVERAGE(H124:H128)</f>
        <v>10.887</v>
      </c>
      <c r="Q124">
        <v>0</v>
      </c>
      <c r="R124" t="s">
        <v>7</v>
      </c>
      <c r="S124">
        <v>17920</v>
      </c>
      <c r="T124">
        <v>160</v>
      </c>
      <c r="U124">
        <v>1</v>
      </c>
      <c r="V124">
        <v>4</v>
      </c>
      <c r="W124">
        <v>309.02</v>
      </c>
      <c r="X124" s="48">
        <v>12.416</v>
      </c>
      <c r="Y124" s="27">
        <v>45505</v>
      </c>
      <c r="Z124" s="53">
        <v>0.75516203703703699</v>
      </c>
      <c r="AA124">
        <v>0</v>
      </c>
      <c r="AB124">
        <v>0</v>
      </c>
      <c r="AC124">
        <v>0</v>
      </c>
      <c r="AD124" s="54">
        <f t="shared" ref="AD124" si="182">AVERAGE(X124:X128)</f>
        <v>12.358599999999999</v>
      </c>
      <c r="AF124">
        <v>0</v>
      </c>
      <c r="AG124" t="s">
        <v>7</v>
      </c>
      <c r="AH124">
        <v>20160</v>
      </c>
      <c r="AI124">
        <v>224</v>
      </c>
      <c r="AJ124">
        <v>2</v>
      </c>
      <c r="AK124">
        <v>2</v>
      </c>
      <c r="AL124">
        <v>442.86</v>
      </c>
      <c r="AM124" s="48">
        <v>12.336</v>
      </c>
      <c r="AN124" s="27">
        <v>45509</v>
      </c>
      <c r="AO124" s="53">
        <v>6.3703703703703707E-2</v>
      </c>
      <c r="AP124">
        <v>0</v>
      </c>
      <c r="AQ124">
        <v>0</v>
      </c>
      <c r="AR124">
        <v>0</v>
      </c>
      <c r="AS124" s="54">
        <f t="shared" ref="AS124" si="183">AVERAGE(AM124:AM128)</f>
        <v>12.352599999999999</v>
      </c>
      <c r="AT124" s="1">
        <f>AS124</f>
        <v>12.352599999999999</v>
      </c>
      <c r="AV124">
        <v>263</v>
      </c>
      <c r="AW124" t="s">
        <v>71</v>
      </c>
      <c r="AX124">
        <v>19072</v>
      </c>
      <c r="AY124">
        <v>128</v>
      </c>
      <c r="AZ124">
        <v>1</v>
      </c>
      <c r="BA124">
        <v>4</v>
      </c>
      <c r="BB124" s="1">
        <v>405.77</v>
      </c>
      <c r="BC124" s="46">
        <v>11.398999999999999</v>
      </c>
      <c r="BF124">
        <v>0</v>
      </c>
      <c r="BG124">
        <v>0</v>
      </c>
      <c r="BH124">
        <v>0</v>
      </c>
      <c r="BI124" s="54">
        <f t="shared" si="118"/>
        <v>12.695833333333333</v>
      </c>
    </row>
    <row r="125" spans="1:61">
      <c r="A125">
        <v>1</v>
      </c>
      <c r="B125" t="s">
        <v>7</v>
      </c>
      <c r="C125">
        <v>17920</v>
      </c>
      <c r="D125">
        <v>160</v>
      </c>
      <c r="E125">
        <v>1</v>
      </c>
      <c r="F125">
        <v>4</v>
      </c>
      <c r="G125" s="1">
        <v>350.14</v>
      </c>
      <c r="H125" s="63">
        <v>10.958</v>
      </c>
      <c r="I125" s="27">
        <v>45509</v>
      </c>
      <c r="J125" s="53">
        <v>0.15081018518518519</v>
      </c>
      <c r="K125">
        <v>0</v>
      </c>
      <c r="L125">
        <v>0</v>
      </c>
      <c r="M125">
        <v>0</v>
      </c>
      <c r="N125" s="54">
        <f t="shared" ref="N125" si="184">N124</f>
        <v>10.887</v>
      </c>
      <c r="Q125">
        <v>1</v>
      </c>
      <c r="R125" t="s">
        <v>7</v>
      </c>
      <c r="S125">
        <v>17920</v>
      </c>
      <c r="T125">
        <v>160</v>
      </c>
      <c r="U125">
        <v>1</v>
      </c>
      <c r="V125">
        <v>4</v>
      </c>
      <c r="W125">
        <v>310.18</v>
      </c>
      <c r="X125" s="48">
        <v>12.37</v>
      </c>
      <c r="Y125" s="27">
        <v>45505</v>
      </c>
      <c r="Z125" s="53">
        <v>0.9944560185185185</v>
      </c>
      <c r="AA125">
        <v>0</v>
      </c>
      <c r="AB125">
        <v>0</v>
      </c>
      <c r="AC125">
        <v>0</v>
      </c>
      <c r="AD125" s="54">
        <f t="shared" ref="AD125" si="185">AD124</f>
        <v>12.358599999999999</v>
      </c>
      <c r="AF125">
        <v>1</v>
      </c>
      <c r="AG125" t="s">
        <v>7</v>
      </c>
      <c r="AH125">
        <v>20160</v>
      </c>
      <c r="AI125">
        <v>224</v>
      </c>
      <c r="AJ125">
        <v>2</v>
      </c>
      <c r="AK125">
        <v>2</v>
      </c>
      <c r="AL125">
        <v>441.12</v>
      </c>
      <c r="AM125" s="48">
        <v>12.384</v>
      </c>
      <c r="AN125" s="27">
        <v>45509</v>
      </c>
      <c r="AO125" s="53">
        <v>0.30136574074074074</v>
      </c>
      <c r="AP125">
        <v>0</v>
      </c>
      <c r="AQ125">
        <v>0</v>
      </c>
      <c r="AR125">
        <v>0</v>
      </c>
      <c r="AS125" s="54">
        <f t="shared" ref="AS125" si="186">AS124</f>
        <v>12.352599999999999</v>
      </c>
      <c r="AT125" s="1">
        <f>AT124</f>
        <v>12.352599999999999</v>
      </c>
      <c r="AV125">
        <v>39</v>
      </c>
      <c r="AW125" t="s">
        <v>71</v>
      </c>
      <c r="AX125">
        <v>20096</v>
      </c>
      <c r="AY125">
        <v>128</v>
      </c>
      <c r="AZ125">
        <v>1</v>
      </c>
      <c r="BA125">
        <v>4</v>
      </c>
      <c r="BB125" s="1">
        <v>423.8</v>
      </c>
      <c r="BC125" s="46">
        <v>12.768000000000001</v>
      </c>
      <c r="BF125">
        <v>0</v>
      </c>
      <c r="BG125">
        <v>0</v>
      </c>
      <c r="BH125">
        <v>0</v>
      </c>
      <c r="BI125" s="54">
        <f t="shared" ref="BI125" si="187">AVERAGE(BC125:BC130)</f>
        <v>12.889333333333333</v>
      </c>
    </row>
    <row r="126" spans="1:61">
      <c r="A126">
        <v>2</v>
      </c>
      <c r="B126" t="s">
        <v>7</v>
      </c>
      <c r="C126">
        <v>17920</v>
      </c>
      <c r="D126">
        <v>160</v>
      </c>
      <c r="E126">
        <v>1</v>
      </c>
      <c r="F126">
        <v>4</v>
      </c>
      <c r="G126" s="1">
        <v>351.72</v>
      </c>
      <c r="H126" s="63">
        <v>10.909000000000001</v>
      </c>
      <c r="I126" s="27">
        <v>45509</v>
      </c>
      <c r="J126" s="53">
        <v>0.41901620370370368</v>
      </c>
      <c r="K126">
        <v>0</v>
      </c>
      <c r="L126">
        <v>0</v>
      </c>
      <c r="M126">
        <v>0</v>
      </c>
      <c r="N126" s="54">
        <f t="shared" si="115"/>
        <v>10.887</v>
      </c>
      <c r="Q126">
        <v>2</v>
      </c>
      <c r="R126" t="s">
        <v>7</v>
      </c>
      <c r="S126">
        <v>17920</v>
      </c>
      <c r="T126">
        <v>160</v>
      </c>
      <c r="U126">
        <v>1</v>
      </c>
      <c r="V126">
        <v>4</v>
      </c>
      <c r="W126">
        <v>311</v>
      </c>
      <c r="X126" s="48">
        <v>12.337</v>
      </c>
      <c r="Y126" s="27">
        <v>45506</v>
      </c>
      <c r="Z126" s="53">
        <v>0.23166666666666666</v>
      </c>
      <c r="AA126">
        <v>0</v>
      </c>
      <c r="AB126">
        <v>0</v>
      </c>
      <c r="AC126">
        <v>0</v>
      </c>
      <c r="AD126" s="54">
        <f t="shared" si="116"/>
        <v>12.358599999999999</v>
      </c>
      <c r="AF126">
        <v>2</v>
      </c>
      <c r="AG126" t="s">
        <v>7</v>
      </c>
      <c r="AH126">
        <v>20160</v>
      </c>
      <c r="AI126">
        <v>224</v>
      </c>
      <c r="AJ126">
        <v>2</v>
      </c>
      <c r="AK126">
        <v>2</v>
      </c>
      <c r="AL126">
        <v>443.36</v>
      </c>
      <c r="AM126" s="48">
        <v>12.321999999999999</v>
      </c>
      <c r="AN126" s="27">
        <v>45509</v>
      </c>
      <c r="AO126" s="53">
        <v>0.53964120370370372</v>
      </c>
      <c r="AP126">
        <v>0</v>
      </c>
      <c r="AQ126">
        <v>0</v>
      </c>
      <c r="AR126">
        <v>0</v>
      </c>
      <c r="AS126" s="54">
        <f t="shared" si="117"/>
        <v>12.352599999999999</v>
      </c>
      <c r="AT126" s="1">
        <f>AT125</f>
        <v>12.352599999999999</v>
      </c>
      <c r="AV126">
        <v>87</v>
      </c>
      <c r="AW126" t="s">
        <v>71</v>
      </c>
      <c r="AX126">
        <v>20096</v>
      </c>
      <c r="AY126">
        <v>128</v>
      </c>
      <c r="AZ126">
        <v>1</v>
      </c>
      <c r="BA126">
        <v>4</v>
      </c>
      <c r="BB126" s="1">
        <v>415.41</v>
      </c>
      <c r="BC126" s="46">
        <v>13.026</v>
      </c>
      <c r="BF126">
        <v>0</v>
      </c>
      <c r="BG126">
        <v>0</v>
      </c>
      <c r="BH126">
        <v>0</v>
      </c>
      <c r="BI126" s="54">
        <f t="shared" ref="BI126" si="188">BI125</f>
        <v>12.889333333333333</v>
      </c>
    </row>
    <row r="127" spans="1:61">
      <c r="A127">
        <v>3</v>
      </c>
      <c r="B127" t="s">
        <v>7</v>
      </c>
      <c r="C127">
        <v>17920</v>
      </c>
      <c r="D127">
        <v>160</v>
      </c>
      <c r="E127">
        <v>1</v>
      </c>
      <c r="F127">
        <v>4</v>
      </c>
      <c r="G127" s="1">
        <v>350.74</v>
      </c>
      <c r="H127" s="63">
        <v>10.939</v>
      </c>
      <c r="I127" s="27">
        <v>45509</v>
      </c>
      <c r="J127" s="53">
        <v>0.68692129629629628</v>
      </c>
      <c r="K127">
        <v>0</v>
      </c>
      <c r="L127">
        <v>0</v>
      </c>
      <c r="M127">
        <v>0</v>
      </c>
      <c r="N127" s="54">
        <f t="shared" si="115"/>
        <v>10.887</v>
      </c>
      <c r="Q127">
        <v>3</v>
      </c>
      <c r="R127" t="s">
        <v>7</v>
      </c>
      <c r="S127">
        <v>17920</v>
      </c>
      <c r="T127">
        <v>160</v>
      </c>
      <c r="U127">
        <v>1</v>
      </c>
      <c r="V127">
        <v>4</v>
      </c>
      <c r="W127">
        <v>309.55</v>
      </c>
      <c r="X127" s="48">
        <v>12.395</v>
      </c>
      <c r="Y127" s="27">
        <v>45506</v>
      </c>
      <c r="Z127" s="53">
        <v>0.4690509259259259</v>
      </c>
      <c r="AA127">
        <v>0</v>
      </c>
      <c r="AB127">
        <v>0</v>
      </c>
      <c r="AC127">
        <v>0</v>
      </c>
      <c r="AD127" s="54">
        <f t="shared" si="116"/>
        <v>12.358599999999999</v>
      </c>
      <c r="AF127">
        <v>3</v>
      </c>
      <c r="AG127" t="s">
        <v>7</v>
      </c>
      <c r="AH127">
        <v>20160</v>
      </c>
      <c r="AI127">
        <v>224</v>
      </c>
      <c r="AJ127">
        <v>2</v>
      </c>
      <c r="AK127">
        <v>2</v>
      </c>
      <c r="AL127">
        <v>435.7</v>
      </c>
      <c r="AM127" s="48">
        <v>12.538</v>
      </c>
      <c r="AN127" s="27">
        <v>45509</v>
      </c>
      <c r="AO127" s="53">
        <v>0.77785879629629628</v>
      </c>
      <c r="AP127">
        <v>0</v>
      </c>
      <c r="AQ127">
        <v>0</v>
      </c>
      <c r="AR127">
        <v>0</v>
      </c>
      <c r="AS127" s="54">
        <f t="shared" si="117"/>
        <v>12.352599999999999</v>
      </c>
      <c r="AT127" s="1">
        <f>AT126</f>
        <v>12.352599999999999</v>
      </c>
      <c r="AV127">
        <v>135</v>
      </c>
      <c r="AW127" t="s">
        <v>71</v>
      </c>
      <c r="AX127">
        <v>20096</v>
      </c>
      <c r="AY127">
        <v>128</v>
      </c>
      <c r="AZ127">
        <v>1</v>
      </c>
      <c r="BA127">
        <v>4</v>
      </c>
      <c r="BB127" s="1">
        <v>422.83</v>
      </c>
      <c r="BC127" s="46">
        <v>12.798</v>
      </c>
      <c r="BF127">
        <v>0</v>
      </c>
      <c r="BG127">
        <v>0</v>
      </c>
      <c r="BH127">
        <v>0</v>
      </c>
      <c r="BI127" s="54">
        <f t="shared" si="118"/>
        <v>12.889333333333333</v>
      </c>
    </row>
    <row r="128" spans="1:61">
      <c r="A128">
        <v>4</v>
      </c>
      <c r="B128" t="s">
        <v>7</v>
      </c>
      <c r="C128">
        <v>17920</v>
      </c>
      <c r="D128">
        <v>160</v>
      </c>
      <c r="E128">
        <v>1</v>
      </c>
      <c r="F128">
        <v>4</v>
      </c>
      <c r="G128" s="1">
        <v>350.35</v>
      </c>
      <c r="H128" s="63">
        <v>10.951000000000001</v>
      </c>
      <c r="I128" s="27">
        <v>45509</v>
      </c>
      <c r="J128" s="53">
        <v>0.9548726851851852</v>
      </c>
      <c r="K128">
        <v>0</v>
      </c>
      <c r="L128">
        <v>0</v>
      </c>
      <c r="M128">
        <v>0</v>
      </c>
      <c r="N128" s="54">
        <f t="shared" si="115"/>
        <v>10.887</v>
      </c>
      <c r="Q128">
        <v>4</v>
      </c>
      <c r="R128" t="s">
        <v>7</v>
      </c>
      <c r="S128">
        <v>17920</v>
      </c>
      <c r="T128">
        <v>160</v>
      </c>
      <c r="U128">
        <v>1</v>
      </c>
      <c r="V128">
        <v>4</v>
      </c>
      <c r="W128">
        <v>312.57</v>
      </c>
      <c r="X128" s="48">
        <v>12.275</v>
      </c>
      <c r="Y128" s="27">
        <v>45506</v>
      </c>
      <c r="Z128" s="53">
        <v>0.70634259259259258</v>
      </c>
      <c r="AA128">
        <v>0</v>
      </c>
      <c r="AB128">
        <v>0</v>
      </c>
      <c r="AC128">
        <v>0</v>
      </c>
      <c r="AD128" s="54">
        <f t="shared" si="116"/>
        <v>12.358599999999999</v>
      </c>
      <c r="AF128">
        <v>4</v>
      </c>
      <c r="AG128" t="s">
        <v>7</v>
      </c>
      <c r="AH128">
        <v>20160</v>
      </c>
      <c r="AI128">
        <v>224</v>
      </c>
      <c r="AJ128">
        <v>2</v>
      </c>
      <c r="AK128">
        <v>2</v>
      </c>
      <c r="AL128">
        <v>448.4</v>
      </c>
      <c r="AM128" s="48">
        <v>12.183</v>
      </c>
      <c r="AN128" s="27">
        <v>45510</v>
      </c>
      <c r="AO128" s="53">
        <v>1.576388888888889E-2</v>
      </c>
      <c r="AP128">
        <v>0</v>
      </c>
      <c r="AQ128">
        <v>0</v>
      </c>
      <c r="AR128">
        <v>0</v>
      </c>
      <c r="AS128" s="54">
        <f t="shared" si="117"/>
        <v>12.352599999999999</v>
      </c>
      <c r="AT128" s="1">
        <f>AT127</f>
        <v>12.352599999999999</v>
      </c>
      <c r="AV128">
        <v>183</v>
      </c>
      <c r="AW128" t="s">
        <v>71</v>
      </c>
      <c r="AX128">
        <v>20096</v>
      </c>
      <c r="AY128">
        <v>128</v>
      </c>
      <c r="AZ128">
        <v>1</v>
      </c>
      <c r="BA128">
        <v>4</v>
      </c>
      <c r="BB128" s="1">
        <v>420.51</v>
      </c>
      <c r="BC128" s="46">
        <v>12.868</v>
      </c>
      <c r="BF128">
        <v>0</v>
      </c>
      <c r="BG128">
        <v>0</v>
      </c>
      <c r="BH128">
        <v>0</v>
      </c>
      <c r="BI128" s="54">
        <f t="shared" si="118"/>
        <v>12.889333333333333</v>
      </c>
    </row>
    <row r="129" spans="1:61">
      <c r="A129">
        <v>0</v>
      </c>
      <c r="B129" t="s">
        <v>7</v>
      </c>
      <c r="C129">
        <v>19040</v>
      </c>
      <c r="D129">
        <v>160</v>
      </c>
      <c r="E129">
        <v>1</v>
      </c>
      <c r="F129">
        <v>4</v>
      </c>
      <c r="G129" s="1">
        <v>403.8</v>
      </c>
      <c r="H129" s="63">
        <v>11.397</v>
      </c>
      <c r="I129" s="27">
        <v>45508</v>
      </c>
      <c r="J129" s="53">
        <v>0.9655555555555555</v>
      </c>
      <c r="K129">
        <v>0</v>
      </c>
      <c r="L129">
        <v>0</v>
      </c>
      <c r="M129">
        <v>0</v>
      </c>
      <c r="N129" s="54">
        <f t="shared" ref="N129" si="189">AVERAGE(H129:H133)</f>
        <v>11.672999999999998</v>
      </c>
      <c r="Q129">
        <v>0</v>
      </c>
      <c r="R129" t="s">
        <v>7</v>
      </c>
      <c r="S129">
        <v>19040</v>
      </c>
      <c r="T129">
        <v>160</v>
      </c>
      <c r="U129">
        <v>1</v>
      </c>
      <c r="V129">
        <v>4</v>
      </c>
      <c r="W129">
        <v>366.78</v>
      </c>
      <c r="X129" s="48">
        <v>12.547000000000001</v>
      </c>
      <c r="Y129" s="27">
        <v>45505</v>
      </c>
      <c r="Z129" s="53">
        <v>0.82982638888888893</v>
      </c>
      <c r="AA129">
        <v>0</v>
      </c>
      <c r="AB129">
        <v>0</v>
      </c>
      <c r="AC129">
        <v>0</v>
      </c>
      <c r="AD129" s="54">
        <f t="shared" ref="AD129" si="190">AVERAGE(X129:X133)</f>
        <v>12.504000000000001</v>
      </c>
      <c r="AF129">
        <v>0</v>
      </c>
      <c r="AG129" t="s">
        <v>7</v>
      </c>
      <c r="AH129">
        <v>20096</v>
      </c>
      <c r="AI129">
        <v>128</v>
      </c>
      <c r="AJ129">
        <v>2</v>
      </c>
      <c r="AK129">
        <v>2</v>
      </c>
      <c r="AL129">
        <v>434.32</v>
      </c>
      <c r="AM129" s="48">
        <v>12.459</v>
      </c>
      <c r="AN129" s="27">
        <v>45509</v>
      </c>
      <c r="AO129" s="53">
        <v>3.1377314814814816E-2</v>
      </c>
      <c r="AP129">
        <v>0</v>
      </c>
      <c r="AQ129">
        <v>0</v>
      </c>
      <c r="AR129">
        <v>0</v>
      </c>
      <c r="AS129" s="54">
        <f t="shared" ref="AS129" si="191">AVERAGE(AM129:AM133)</f>
        <v>12.3406</v>
      </c>
      <c r="AT129" s="1">
        <f>AS129</f>
        <v>12.3406</v>
      </c>
      <c r="AV129">
        <v>231</v>
      </c>
      <c r="AW129" t="s">
        <v>71</v>
      </c>
      <c r="AX129">
        <v>20096</v>
      </c>
      <c r="AY129">
        <v>128</v>
      </c>
      <c r="AZ129">
        <v>1</v>
      </c>
      <c r="BA129">
        <v>4</v>
      </c>
      <c r="BB129" s="1">
        <v>419.14</v>
      </c>
      <c r="BC129" s="46">
        <v>12.91</v>
      </c>
      <c r="BF129">
        <v>0</v>
      </c>
      <c r="BG129">
        <v>0</v>
      </c>
      <c r="BH129">
        <v>0</v>
      </c>
      <c r="BI129" s="54">
        <f t="shared" si="118"/>
        <v>12.889333333333333</v>
      </c>
    </row>
    <row r="130" spans="1:61">
      <c r="A130">
        <v>1</v>
      </c>
      <c r="B130" t="s">
        <v>7</v>
      </c>
      <c r="C130">
        <v>19040</v>
      </c>
      <c r="D130">
        <v>160</v>
      </c>
      <c r="E130">
        <v>1</v>
      </c>
      <c r="F130">
        <v>4</v>
      </c>
      <c r="G130" s="1">
        <v>392.29</v>
      </c>
      <c r="H130" s="63">
        <v>11.731999999999999</v>
      </c>
      <c r="I130" s="27">
        <v>45509</v>
      </c>
      <c r="J130" s="53">
        <v>0.23379629629629631</v>
      </c>
      <c r="K130">
        <v>0</v>
      </c>
      <c r="L130">
        <v>0</v>
      </c>
      <c r="M130">
        <v>0</v>
      </c>
      <c r="N130" s="54">
        <f t="shared" ref="N130" si="192">N129</f>
        <v>11.672999999999998</v>
      </c>
      <c r="Q130">
        <v>1</v>
      </c>
      <c r="R130" t="s">
        <v>7</v>
      </c>
      <c r="S130">
        <v>19040</v>
      </c>
      <c r="T130">
        <v>160</v>
      </c>
      <c r="U130">
        <v>1</v>
      </c>
      <c r="V130">
        <v>4</v>
      </c>
      <c r="W130">
        <v>369.43</v>
      </c>
      <c r="X130" s="48">
        <v>12.457000000000001</v>
      </c>
      <c r="Y130" s="27">
        <v>45506</v>
      </c>
      <c r="Z130" s="53">
        <v>6.7708333333333329E-2</v>
      </c>
      <c r="AA130">
        <v>0</v>
      </c>
      <c r="AB130">
        <v>0</v>
      </c>
      <c r="AC130">
        <v>0</v>
      </c>
      <c r="AD130" s="54">
        <f t="shared" ref="AD130" si="193">AD129</f>
        <v>12.504000000000001</v>
      </c>
      <c r="AF130">
        <v>1</v>
      </c>
      <c r="AG130" t="s">
        <v>7</v>
      </c>
      <c r="AH130">
        <v>20096</v>
      </c>
      <c r="AI130">
        <v>128</v>
      </c>
      <c r="AJ130">
        <v>2</v>
      </c>
      <c r="AK130">
        <v>2</v>
      </c>
      <c r="AL130">
        <v>435.68</v>
      </c>
      <c r="AM130" s="48">
        <v>12.42</v>
      </c>
      <c r="AN130" s="27">
        <v>45509</v>
      </c>
      <c r="AO130" s="53">
        <v>0.26903935185185185</v>
      </c>
      <c r="AP130">
        <v>0</v>
      </c>
      <c r="AQ130">
        <v>0</v>
      </c>
      <c r="AR130">
        <v>0</v>
      </c>
      <c r="AS130" s="54">
        <f t="shared" ref="AS130" si="194">AS129</f>
        <v>12.3406</v>
      </c>
      <c r="AT130" s="1">
        <f>AT129</f>
        <v>12.3406</v>
      </c>
      <c r="AV130">
        <v>279</v>
      </c>
      <c r="AW130" t="s">
        <v>71</v>
      </c>
      <c r="AX130">
        <v>20096</v>
      </c>
      <c r="AY130">
        <v>128</v>
      </c>
      <c r="AZ130">
        <v>1</v>
      </c>
      <c r="BA130">
        <v>4</v>
      </c>
      <c r="BB130" s="1">
        <v>417.33</v>
      </c>
      <c r="BC130" s="46">
        <v>12.965999999999999</v>
      </c>
      <c r="BF130">
        <v>0</v>
      </c>
      <c r="BG130">
        <v>0</v>
      </c>
      <c r="BH130">
        <v>0</v>
      </c>
      <c r="BI130" s="54">
        <f t="shared" si="118"/>
        <v>12.889333333333333</v>
      </c>
    </row>
    <row r="131" spans="1:61">
      <c r="A131">
        <v>2</v>
      </c>
      <c r="B131" t="s">
        <v>7</v>
      </c>
      <c r="C131">
        <v>19040</v>
      </c>
      <c r="D131">
        <v>160</v>
      </c>
      <c r="E131">
        <v>1</v>
      </c>
      <c r="F131">
        <v>4</v>
      </c>
      <c r="G131" s="1">
        <v>391.85</v>
      </c>
      <c r="H131" s="63">
        <v>11.744999999999999</v>
      </c>
      <c r="I131" s="27">
        <v>45509</v>
      </c>
      <c r="J131" s="53">
        <v>0.50184027777777773</v>
      </c>
      <c r="K131">
        <v>0</v>
      </c>
      <c r="L131">
        <v>0</v>
      </c>
      <c r="M131">
        <v>0</v>
      </c>
      <c r="N131" s="54">
        <f t="shared" si="115"/>
        <v>11.672999999999998</v>
      </c>
      <c r="Q131">
        <v>2</v>
      </c>
      <c r="R131" t="s">
        <v>7</v>
      </c>
      <c r="S131">
        <v>19040</v>
      </c>
      <c r="T131">
        <v>160</v>
      </c>
      <c r="U131">
        <v>1</v>
      </c>
      <c r="V131">
        <v>4</v>
      </c>
      <c r="W131">
        <v>367.17</v>
      </c>
      <c r="X131" s="48">
        <v>12.534000000000001</v>
      </c>
      <c r="Y131" s="27">
        <v>45506</v>
      </c>
      <c r="Z131" s="53">
        <v>0.30511574074074072</v>
      </c>
      <c r="AA131">
        <v>0</v>
      </c>
      <c r="AB131">
        <v>0</v>
      </c>
      <c r="AC131">
        <v>0</v>
      </c>
      <c r="AD131" s="54">
        <f t="shared" si="116"/>
        <v>12.504000000000001</v>
      </c>
      <c r="AF131">
        <v>2</v>
      </c>
      <c r="AG131" t="s">
        <v>7</v>
      </c>
      <c r="AH131">
        <v>20096</v>
      </c>
      <c r="AI131">
        <v>128</v>
      </c>
      <c r="AJ131">
        <v>2</v>
      </c>
      <c r="AK131">
        <v>2</v>
      </c>
      <c r="AL131">
        <v>444.53</v>
      </c>
      <c r="AM131" s="48">
        <v>12.173</v>
      </c>
      <c r="AN131" s="27">
        <v>45509</v>
      </c>
      <c r="AO131" s="53">
        <v>0.50737268518518519</v>
      </c>
      <c r="AP131">
        <v>0</v>
      </c>
      <c r="AQ131">
        <v>0</v>
      </c>
      <c r="AR131">
        <v>0</v>
      </c>
      <c r="AS131" s="54">
        <f t="shared" si="117"/>
        <v>12.3406</v>
      </c>
      <c r="AT131" s="1">
        <f>AT130</f>
        <v>12.3406</v>
      </c>
      <c r="AV131">
        <v>8</v>
      </c>
      <c r="AW131" t="s">
        <v>71</v>
      </c>
      <c r="AX131">
        <v>18048</v>
      </c>
      <c r="AY131">
        <v>128</v>
      </c>
      <c r="AZ131">
        <v>2</v>
      </c>
      <c r="BA131">
        <v>2</v>
      </c>
      <c r="BB131" s="1">
        <v>315.91000000000003</v>
      </c>
      <c r="BC131" s="46">
        <v>12.407999999999999</v>
      </c>
      <c r="BF131">
        <v>0</v>
      </c>
      <c r="BG131">
        <v>0</v>
      </c>
      <c r="BH131">
        <v>0</v>
      </c>
      <c r="BI131" s="54">
        <f t="shared" ref="BI131" si="195">AVERAGE(BC131:BC136)</f>
        <v>12.338666666666668</v>
      </c>
    </row>
    <row r="132" spans="1:61">
      <c r="A132">
        <v>3</v>
      </c>
      <c r="B132" t="s">
        <v>7</v>
      </c>
      <c r="C132">
        <v>19040</v>
      </c>
      <c r="D132">
        <v>160</v>
      </c>
      <c r="E132">
        <v>1</v>
      </c>
      <c r="F132">
        <v>4</v>
      </c>
      <c r="G132" s="1">
        <v>391.74</v>
      </c>
      <c r="H132" s="63">
        <v>11.747999999999999</v>
      </c>
      <c r="I132" s="27">
        <v>45509</v>
      </c>
      <c r="J132" s="53">
        <v>0.76979166666666665</v>
      </c>
      <c r="K132">
        <v>0</v>
      </c>
      <c r="L132">
        <v>0</v>
      </c>
      <c r="M132">
        <v>0</v>
      </c>
      <c r="N132" s="54">
        <f t="shared" si="115"/>
        <v>11.672999999999998</v>
      </c>
      <c r="Q132">
        <v>3</v>
      </c>
      <c r="R132" t="s">
        <v>7</v>
      </c>
      <c r="S132">
        <v>19040</v>
      </c>
      <c r="T132">
        <v>160</v>
      </c>
      <c r="U132">
        <v>1</v>
      </c>
      <c r="V132">
        <v>4</v>
      </c>
      <c r="W132">
        <v>368.01</v>
      </c>
      <c r="X132" s="48">
        <v>12.506</v>
      </c>
      <c r="Y132" s="27">
        <v>45506</v>
      </c>
      <c r="Z132" s="53">
        <v>0.54237268518518522</v>
      </c>
      <c r="AA132">
        <v>0</v>
      </c>
      <c r="AB132">
        <v>0</v>
      </c>
      <c r="AC132">
        <v>0</v>
      </c>
      <c r="AD132" s="54">
        <f t="shared" si="116"/>
        <v>12.504000000000001</v>
      </c>
      <c r="AF132">
        <v>3</v>
      </c>
      <c r="AG132" t="s">
        <v>7</v>
      </c>
      <c r="AH132">
        <v>20096</v>
      </c>
      <c r="AI132">
        <v>128</v>
      </c>
      <c r="AJ132">
        <v>2</v>
      </c>
      <c r="AK132">
        <v>2</v>
      </c>
      <c r="AL132">
        <v>442.71</v>
      </c>
      <c r="AM132" s="48">
        <v>12.223000000000001</v>
      </c>
      <c r="AN132" s="27">
        <v>45509</v>
      </c>
      <c r="AO132" s="53">
        <v>0.74563657407407402</v>
      </c>
      <c r="AP132">
        <v>0</v>
      </c>
      <c r="AQ132">
        <v>0</v>
      </c>
      <c r="AR132">
        <v>0</v>
      </c>
      <c r="AS132" s="54">
        <f t="shared" si="117"/>
        <v>12.3406</v>
      </c>
      <c r="AT132" s="1">
        <f>AT131</f>
        <v>12.3406</v>
      </c>
      <c r="AV132">
        <v>56</v>
      </c>
      <c r="AW132" t="s">
        <v>71</v>
      </c>
      <c r="AX132">
        <v>18048</v>
      </c>
      <c r="AY132">
        <v>128</v>
      </c>
      <c r="AZ132">
        <v>2</v>
      </c>
      <c r="BA132">
        <v>2</v>
      </c>
      <c r="BB132" s="1">
        <v>316.64</v>
      </c>
      <c r="BC132" s="46">
        <v>12.379</v>
      </c>
      <c r="BF132">
        <v>0</v>
      </c>
      <c r="BG132">
        <v>0</v>
      </c>
      <c r="BH132">
        <v>0</v>
      </c>
      <c r="BI132" s="54">
        <f t="shared" ref="BI132" si="196">BI131</f>
        <v>12.338666666666668</v>
      </c>
    </row>
    <row r="133" spans="1:61">
      <c r="A133">
        <v>4</v>
      </c>
      <c r="B133" t="s">
        <v>7</v>
      </c>
      <c r="C133">
        <v>19040</v>
      </c>
      <c r="D133">
        <v>160</v>
      </c>
      <c r="E133">
        <v>1</v>
      </c>
      <c r="F133">
        <v>4</v>
      </c>
      <c r="G133" s="1">
        <v>391.91</v>
      </c>
      <c r="H133" s="63">
        <v>11.743</v>
      </c>
      <c r="I133" s="27">
        <v>45510</v>
      </c>
      <c r="J133" s="53">
        <v>3.7731481481481484E-2</v>
      </c>
      <c r="K133">
        <v>0</v>
      </c>
      <c r="L133">
        <v>0</v>
      </c>
      <c r="M133">
        <v>0</v>
      </c>
      <c r="N133" s="54">
        <f t="shared" si="115"/>
        <v>11.672999999999998</v>
      </c>
      <c r="Q133">
        <v>4</v>
      </c>
      <c r="R133" t="s">
        <v>7</v>
      </c>
      <c r="S133">
        <v>19040</v>
      </c>
      <c r="T133">
        <v>160</v>
      </c>
      <c r="U133">
        <v>1</v>
      </c>
      <c r="V133">
        <v>4</v>
      </c>
      <c r="W133">
        <v>368.89</v>
      </c>
      <c r="X133" s="48">
        <v>12.476000000000001</v>
      </c>
      <c r="Y133" s="27">
        <v>45506</v>
      </c>
      <c r="Z133" s="53">
        <v>0.77997685185185184</v>
      </c>
      <c r="AA133">
        <v>0</v>
      </c>
      <c r="AB133">
        <v>0</v>
      </c>
      <c r="AC133">
        <v>0</v>
      </c>
      <c r="AD133" s="54">
        <f t="shared" si="116"/>
        <v>12.504000000000001</v>
      </c>
      <c r="AF133">
        <v>4</v>
      </c>
      <c r="AG133" t="s">
        <v>7</v>
      </c>
      <c r="AH133">
        <v>20096</v>
      </c>
      <c r="AI133">
        <v>128</v>
      </c>
      <c r="AJ133">
        <v>2</v>
      </c>
      <c r="AK133">
        <v>2</v>
      </c>
      <c r="AL133">
        <v>435.4</v>
      </c>
      <c r="AM133" s="48">
        <v>12.428000000000001</v>
      </c>
      <c r="AN133" s="27">
        <v>45509</v>
      </c>
      <c r="AO133" s="53">
        <v>0.98326388888888894</v>
      </c>
      <c r="AP133">
        <v>0</v>
      </c>
      <c r="AQ133">
        <v>0</v>
      </c>
      <c r="AR133">
        <v>0</v>
      </c>
      <c r="AS133" s="54">
        <f t="shared" si="117"/>
        <v>12.3406</v>
      </c>
      <c r="AT133" s="1">
        <f>AT132</f>
        <v>12.3406</v>
      </c>
      <c r="AV133">
        <v>104</v>
      </c>
      <c r="AW133" t="s">
        <v>71</v>
      </c>
      <c r="AX133">
        <v>18048</v>
      </c>
      <c r="AY133">
        <v>128</v>
      </c>
      <c r="AZ133">
        <v>2</v>
      </c>
      <c r="BA133">
        <v>2</v>
      </c>
      <c r="BB133" s="1">
        <v>318</v>
      </c>
      <c r="BC133" s="46">
        <v>12.326000000000001</v>
      </c>
      <c r="BF133">
        <v>0</v>
      </c>
      <c r="BG133">
        <v>0</v>
      </c>
      <c r="BH133">
        <v>0</v>
      </c>
      <c r="BI133" s="54">
        <f t="shared" si="118"/>
        <v>12.338666666666668</v>
      </c>
    </row>
    <row r="134" spans="1:61">
      <c r="A134">
        <v>0</v>
      </c>
      <c r="B134" t="s">
        <v>7</v>
      </c>
      <c r="C134">
        <v>20160</v>
      </c>
      <c r="D134">
        <v>160</v>
      </c>
      <c r="E134">
        <v>1</v>
      </c>
      <c r="F134">
        <v>4</v>
      </c>
      <c r="G134" s="1">
        <v>468.06</v>
      </c>
      <c r="H134" s="63">
        <v>11.672000000000001</v>
      </c>
      <c r="I134" s="27">
        <v>45509</v>
      </c>
      <c r="J134" s="53">
        <v>6.3819444444444443E-2</v>
      </c>
      <c r="K134">
        <v>0</v>
      </c>
      <c r="L134">
        <v>0</v>
      </c>
      <c r="M134">
        <v>0</v>
      </c>
      <c r="N134" s="54">
        <f t="shared" ref="N134" si="197">AVERAGE(H134:H138)</f>
        <v>11.657399999999999</v>
      </c>
      <c r="Q134">
        <v>0</v>
      </c>
      <c r="R134" t="s">
        <v>7</v>
      </c>
      <c r="S134">
        <v>20160</v>
      </c>
      <c r="T134">
        <v>160</v>
      </c>
      <c r="U134">
        <v>1</v>
      </c>
      <c r="V134">
        <v>4</v>
      </c>
      <c r="W134">
        <v>436.07</v>
      </c>
      <c r="X134" s="48">
        <v>12.528</v>
      </c>
      <c r="Y134" s="27">
        <v>45505</v>
      </c>
      <c r="Z134" s="53">
        <v>0.91708333333333336</v>
      </c>
      <c r="AA134">
        <v>0</v>
      </c>
      <c r="AB134">
        <v>0</v>
      </c>
      <c r="AC134">
        <v>0</v>
      </c>
      <c r="AD134" s="54">
        <f t="shared" ref="AD134" si="198">AVERAGE(X134:X138)</f>
        <v>12.477</v>
      </c>
      <c r="AF134">
        <v>0</v>
      </c>
      <c r="AG134" t="s">
        <v>7</v>
      </c>
      <c r="AH134">
        <v>17920</v>
      </c>
      <c r="AI134">
        <v>224</v>
      </c>
      <c r="AJ134">
        <v>2</v>
      </c>
      <c r="AK134">
        <v>2</v>
      </c>
      <c r="AL134">
        <v>307.07</v>
      </c>
      <c r="AM134" s="48">
        <v>12.494999999999999</v>
      </c>
      <c r="AN134" s="27">
        <v>45508</v>
      </c>
      <c r="AO134" s="53">
        <v>0.89589120370370368</v>
      </c>
      <c r="AP134">
        <v>0</v>
      </c>
      <c r="AQ134">
        <v>0</v>
      </c>
      <c r="AR134">
        <v>0</v>
      </c>
      <c r="AS134" s="54">
        <f t="shared" ref="AS134" si="199">AVERAGE(AM134:AM138)</f>
        <v>12.3368</v>
      </c>
      <c r="AT134" s="1">
        <f>AS134</f>
        <v>12.3368</v>
      </c>
      <c r="AV134">
        <v>152</v>
      </c>
      <c r="AW134" t="s">
        <v>71</v>
      </c>
      <c r="AX134">
        <v>18048</v>
      </c>
      <c r="AY134">
        <v>128</v>
      </c>
      <c r="AZ134">
        <v>2</v>
      </c>
      <c r="BA134">
        <v>2</v>
      </c>
      <c r="BB134" s="1">
        <v>319.33999999999997</v>
      </c>
      <c r="BC134" s="46">
        <v>12.273999999999999</v>
      </c>
      <c r="BF134">
        <v>0</v>
      </c>
      <c r="BG134">
        <v>0</v>
      </c>
      <c r="BH134">
        <v>0</v>
      </c>
      <c r="BI134" s="54">
        <f t="shared" si="118"/>
        <v>12.338666666666668</v>
      </c>
    </row>
    <row r="135" spans="1:61">
      <c r="A135">
        <v>1</v>
      </c>
      <c r="B135" t="s">
        <v>7</v>
      </c>
      <c r="C135">
        <v>20160</v>
      </c>
      <c r="D135">
        <v>160</v>
      </c>
      <c r="E135">
        <v>1</v>
      </c>
      <c r="F135">
        <v>4</v>
      </c>
      <c r="G135" s="1">
        <v>470.71</v>
      </c>
      <c r="H135" s="63">
        <v>11.606</v>
      </c>
      <c r="I135" s="27">
        <v>45509</v>
      </c>
      <c r="J135" s="53">
        <v>0.33210648148148147</v>
      </c>
      <c r="K135">
        <v>0</v>
      </c>
      <c r="L135">
        <v>0</v>
      </c>
      <c r="M135">
        <v>0</v>
      </c>
      <c r="N135" s="54">
        <f t="shared" ref="N135" si="200">N134</f>
        <v>11.657399999999999</v>
      </c>
      <c r="Q135">
        <v>1</v>
      </c>
      <c r="R135" t="s">
        <v>7</v>
      </c>
      <c r="S135">
        <v>20160</v>
      </c>
      <c r="T135">
        <v>160</v>
      </c>
      <c r="U135">
        <v>1</v>
      </c>
      <c r="V135">
        <v>4</v>
      </c>
      <c r="W135">
        <v>440.77</v>
      </c>
      <c r="X135" s="48">
        <v>12.394</v>
      </c>
      <c r="Y135" s="27">
        <v>45506</v>
      </c>
      <c r="Z135" s="53">
        <v>0.15462962962962962</v>
      </c>
      <c r="AA135">
        <v>0</v>
      </c>
      <c r="AB135">
        <v>0</v>
      </c>
      <c r="AC135">
        <v>0</v>
      </c>
      <c r="AD135" s="54">
        <f t="shared" ref="AD135" si="201">AD134</f>
        <v>12.477</v>
      </c>
      <c r="AF135">
        <v>1</v>
      </c>
      <c r="AG135" t="s">
        <v>7</v>
      </c>
      <c r="AH135">
        <v>17920</v>
      </c>
      <c r="AI135">
        <v>224</v>
      </c>
      <c r="AJ135">
        <v>2</v>
      </c>
      <c r="AK135">
        <v>2</v>
      </c>
      <c r="AL135">
        <v>311.68</v>
      </c>
      <c r="AM135" s="48">
        <v>12.31</v>
      </c>
      <c r="AN135" s="27">
        <v>45509</v>
      </c>
      <c r="AO135" s="53">
        <v>0.13332175925925926</v>
      </c>
      <c r="AP135">
        <v>0</v>
      </c>
      <c r="AQ135">
        <v>0</v>
      </c>
      <c r="AR135">
        <v>0</v>
      </c>
      <c r="AS135" s="54">
        <f t="shared" ref="AS135" si="202">AS134</f>
        <v>12.3368</v>
      </c>
      <c r="AT135" s="1">
        <f>AT134</f>
        <v>12.3368</v>
      </c>
      <c r="AV135">
        <v>200</v>
      </c>
      <c r="AW135" t="s">
        <v>71</v>
      </c>
      <c r="AX135">
        <v>18048</v>
      </c>
      <c r="AY135">
        <v>128</v>
      </c>
      <c r="AZ135">
        <v>2</v>
      </c>
      <c r="BA135">
        <v>2</v>
      </c>
      <c r="BB135" s="1">
        <v>320.64</v>
      </c>
      <c r="BC135" s="46">
        <v>12.224</v>
      </c>
      <c r="BF135">
        <v>0</v>
      </c>
      <c r="BG135">
        <v>0</v>
      </c>
      <c r="BH135">
        <v>0</v>
      </c>
      <c r="BI135" s="54">
        <f t="shared" si="118"/>
        <v>12.338666666666668</v>
      </c>
    </row>
    <row r="136" spans="1:61">
      <c r="A136">
        <v>2</v>
      </c>
      <c r="B136" t="s">
        <v>7</v>
      </c>
      <c r="C136">
        <v>20160</v>
      </c>
      <c r="D136">
        <v>160</v>
      </c>
      <c r="E136">
        <v>1</v>
      </c>
      <c r="F136">
        <v>4</v>
      </c>
      <c r="G136" s="1">
        <v>467.66</v>
      </c>
      <c r="H136" s="63">
        <v>11.682</v>
      </c>
      <c r="I136" s="27">
        <v>45509</v>
      </c>
      <c r="J136" s="53">
        <v>0.59996527777777775</v>
      </c>
      <c r="K136">
        <v>0</v>
      </c>
      <c r="L136">
        <v>0</v>
      </c>
      <c r="M136">
        <v>0</v>
      </c>
      <c r="N136" s="54">
        <f t="shared" si="115"/>
        <v>11.657399999999999</v>
      </c>
      <c r="Q136">
        <v>2</v>
      </c>
      <c r="R136" t="s">
        <v>7</v>
      </c>
      <c r="S136">
        <v>20160</v>
      </c>
      <c r="T136">
        <v>160</v>
      </c>
      <c r="U136">
        <v>1</v>
      </c>
      <c r="V136">
        <v>4</v>
      </c>
      <c r="W136">
        <v>437.01</v>
      </c>
      <c r="X136" s="48">
        <v>12.500999999999999</v>
      </c>
      <c r="Y136" s="27">
        <v>45506</v>
      </c>
      <c r="Z136" s="53">
        <v>0.39194444444444443</v>
      </c>
      <c r="AA136">
        <v>0</v>
      </c>
      <c r="AB136">
        <v>0</v>
      </c>
      <c r="AC136">
        <v>0</v>
      </c>
      <c r="AD136" s="54">
        <f t="shared" si="116"/>
        <v>12.477</v>
      </c>
      <c r="AF136">
        <v>2</v>
      </c>
      <c r="AG136" t="s">
        <v>7</v>
      </c>
      <c r="AH136">
        <v>17920</v>
      </c>
      <c r="AI136">
        <v>224</v>
      </c>
      <c r="AJ136">
        <v>2</v>
      </c>
      <c r="AK136">
        <v>2</v>
      </c>
      <c r="AL136">
        <v>311.45999999999998</v>
      </c>
      <c r="AM136" s="48">
        <v>12.319000000000001</v>
      </c>
      <c r="AN136" s="27">
        <v>45509</v>
      </c>
      <c r="AO136" s="53">
        <v>0.37072916666666667</v>
      </c>
      <c r="AP136">
        <v>0</v>
      </c>
      <c r="AQ136">
        <v>0</v>
      </c>
      <c r="AR136">
        <v>0</v>
      </c>
      <c r="AS136" s="54">
        <f t="shared" si="117"/>
        <v>12.3368</v>
      </c>
      <c r="AT136" s="1">
        <f>AT135</f>
        <v>12.3368</v>
      </c>
      <c r="AV136">
        <v>248</v>
      </c>
      <c r="AW136" t="s">
        <v>71</v>
      </c>
      <c r="AX136">
        <v>18048</v>
      </c>
      <c r="AY136">
        <v>128</v>
      </c>
      <c r="AZ136">
        <v>2</v>
      </c>
      <c r="BA136">
        <v>2</v>
      </c>
      <c r="BB136" s="1">
        <v>315.57</v>
      </c>
      <c r="BC136" s="46">
        <v>12.420999999999999</v>
      </c>
      <c r="BF136">
        <v>0</v>
      </c>
      <c r="BG136">
        <v>0</v>
      </c>
      <c r="BH136">
        <v>0</v>
      </c>
      <c r="BI136" s="54">
        <f t="shared" si="118"/>
        <v>12.338666666666668</v>
      </c>
    </row>
    <row r="137" spans="1:61">
      <c r="A137">
        <v>3</v>
      </c>
      <c r="B137" t="s">
        <v>7</v>
      </c>
      <c r="C137">
        <v>20160</v>
      </c>
      <c r="D137">
        <v>160</v>
      </c>
      <c r="E137">
        <v>1</v>
      </c>
      <c r="F137">
        <v>4</v>
      </c>
      <c r="G137" s="1">
        <v>468.08</v>
      </c>
      <c r="H137" s="63">
        <v>11.670999999999999</v>
      </c>
      <c r="I137" s="27">
        <v>45509</v>
      </c>
      <c r="J137" s="53">
        <v>0.86796296296296294</v>
      </c>
      <c r="K137">
        <v>0</v>
      </c>
      <c r="L137">
        <v>0</v>
      </c>
      <c r="M137">
        <v>0</v>
      </c>
      <c r="N137" s="54">
        <f t="shared" si="115"/>
        <v>11.657399999999999</v>
      </c>
      <c r="Q137">
        <v>3</v>
      </c>
      <c r="R137" t="s">
        <v>7</v>
      </c>
      <c r="S137">
        <v>20160</v>
      </c>
      <c r="T137">
        <v>160</v>
      </c>
      <c r="U137">
        <v>1</v>
      </c>
      <c r="V137">
        <v>4</v>
      </c>
      <c r="W137">
        <v>438.37</v>
      </c>
      <c r="X137" s="48">
        <v>12.462</v>
      </c>
      <c r="Y137" s="27">
        <v>45506</v>
      </c>
      <c r="Z137" s="53">
        <v>0.62938657407407406</v>
      </c>
      <c r="AA137">
        <v>0</v>
      </c>
      <c r="AB137">
        <v>0</v>
      </c>
      <c r="AC137">
        <v>0</v>
      </c>
      <c r="AD137" s="54">
        <f t="shared" si="116"/>
        <v>12.477</v>
      </c>
      <c r="AF137">
        <v>3</v>
      </c>
      <c r="AG137" t="s">
        <v>7</v>
      </c>
      <c r="AH137">
        <v>17920</v>
      </c>
      <c r="AI137">
        <v>224</v>
      </c>
      <c r="AJ137">
        <v>2</v>
      </c>
      <c r="AK137">
        <v>2</v>
      </c>
      <c r="AL137">
        <v>309.85000000000002</v>
      </c>
      <c r="AM137" s="48">
        <v>12.382999999999999</v>
      </c>
      <c r="AN137" s="27">
        <v>45509</v>
      </c>
      <c r="AO137" s="53">
        <v>0.60920138888888886</v>
      </c>
      <c r="AP137">
        <v>0</v>
      </c>
      <c r="AQ137">
        <v>0</v>
      </c>
      <c r="AR137">
        <v>0</v>
      </c>
      <c r="AS137" s="54">
        <f t="shared" si="117"/>
        <v>12.3368</v>
      </c>
      <c r="AT137" s="1">
        <f>AT136</f>
        <v>12.3368</v>
      </c>
      <c r="AV137">
        <v>24</v>
      </c>
      <c r="AW137" t="s">
        <v>71</v>
      </c>
      <c r="AX137">
        <v>19072</v>
      </c>
      <c r="AY137">
        <v>128</v>
      </c>
      <c r="AZ137">
        <v>2</v>
      </c>
      <c r="BA137">
        <v>2</v>
      </c>
      <c r="BB137" s="1">
        <v>369.39</v>
      </c>
      <c r="BC137" s="46">
        <v>12.522</v>
      </c>
      <c r="BF137">
        <v>0</v>
      </c>
      <c r="BG137">
        <v>0</v>
      </c>
      <c r="BH137">
        <v>0</v>
      </c>
      <c r="BI137" s="54">
        <f t="shared" ref="BI137" si="203">AVERAGE(BC137:BC142)</f>
        <v>12.079833333333331</v>
      </c>
    </row>
    <row r="138" spans="1:61">
      <c r="A138">
        <v>4</v>
      </c>
      <c r="B138" t="s">
        <v>7</v>
      </c>
      <c r="C138">
        <v>20160</v>
      </c>
      <c r="D138">
        <v>160</v>
      </c>
      <c r="E138">
        <v>1</v>
      </c>
      <c r="F138">
        <v>4</v>
      </c>
      <c r="G138" s="1">
        <v>468.7</v>
      </c>
      <c r="H138" s="63">
        <v>11.656000000000001</v>
      </c>
      <c r="I138" s="27">
        <v>45510</v>
      </c>
      <c r="J138" s="53">
        <v>0.13591435185185186</v>
      </c>
      <c r="K138">
        <v>0</v>
      </c>
      <c r="L138">
        <v>0</v>
      </c>
      <c r="M138">
        <v>0</v>
      </c>
      <c r="N138" s="54">
        <f t="shared" si="115"/>
        <v>11.657399999999999</v>
      </c>
      <c r="Q138">
        <v>4</v>
      </c>
      <c r="R138" t="s">
        <v>7</v>
      </c>
      <c r="S138">
        <v>20160</v>
      </c>
      <c r="T138">
        <v>160</v>
      </c>
      <c r="U138">
        <v>1</v>
      </c>
      <c r="V138">
        <v>4</v>
      </c>
      <c r="W138">
        <v>437.05</v>
      </c>
      <c r="X138" s="48">
        <v>12.5</v>
      </c>
      <c r="Y138" s="27">
        <v>45506</v>
      </c>
      <c r="Z138" s="53">
        <v>0.86677083333333338</v>
      </c>
      <c r="AA138">
        <v>0</v>
      </c>
      <c r="AB138">
        <v>0</v>
      </c>
      <c r="AC138">
        <v>0</v>
      </c>
      <c r="AD138" s="54">
        <f t="shared" si="116"/>
        <v>12.477</v>
      </c>
      <c r="AF138">
        <v>4</v>
      </c>
      <c r="AG138" t="s">
        <v>7</v>
      </c>
      <c r="AH138">
        <v>17920</v>
      </c>
      <c r="AI138">
        <v>224</v>
      </c>
      <c r="AJ138">
        <v>2</v>
      </c>
      <c r="AK138">
        <v>2</v>
      </c>
      <c r="AL138">
        <v>315.10000000000002</v>
      </c>
      <c r="AM138" s="48">
        <v>12.177</v>
      </c>
      <c r="AN138" s="27">
        <v>45509</v>
      </c>
      <c r="AO138" s="53">
        <v>0.84750000000000003</v>
      </c>
      <c r="AP138">
        <v>0</v>
      </c>
      <c r="AQ138">
        <v>0</v>
      </c>
      <c r="AR138">
        <v>0</v>
      </c>
      <c r="AS138" s="54">
        <f t="shared" si="117"/>
        <v>12.3368</v>
      </c>
      <c r="AT138" s="1">
        <f>AT137</f>
        <v>12.3368</v>
      </c>
      <c r="AV138">
        <v>72</v>
      </c>
      <c r="AW138" t="s">
        <v>71</v>
      </c>
      <c r="AX138">
        <v>19072</v>
      </c>
      <c r="AY138">
        <v>128</v>
      </c>
      <c r="AZ138">
        <v>2</v>
      </c>
      <c r="BA138">
        <v>2</v>
      </c>
      <c r="BB138" s="1">
        <v>376.95</v>
      </c>
      <c r="BC138" s="46">
        <v>12.271000000000001</v>
      </c>
      <c r="BF138">
        <v>0</v>
      </c>
      <c r="BG138">
        <v>0</v>
      </c>
      <c r="BH138">
        <v>0</v>
      </c>
      <c r="BI138" s="54">
        <f t="shared" ref="BI138" si="204">BI137</f>
        <v>12.079833333333331</v>
      </c>
    </row>
    <row r="139" spans="1:61">
      <c r="A139">
        <v>0</v>
      </c>
      <c r="B139" t="s">
        <v>7</v>
      </c>
      <c r="C139">
        <v>17920</v>
      </c>
      <c r="D139">
        <v>160</v>
      </c>
      <c r="E139">
        <v>2</v>
      </c>
      <c r="F139">
        <v>2</v>
      </c>
      <c r="G139" s="1">
        <v>342.05</v>
      </c>
      <c r="H139" s="63">
        <v>11.217000000000001</v>
      </c>
      <c r="I139" s="27">
        <v>45508</v>
      </c>
      <c r="J139" s="53">
        <v>0.88616898148148149</v>
      </c>
      <c r="K139">
        <v>0</v>
      </c>
      <c r="L139">
        <v>0</v>
      </c>
      <c r="M139">
        <v>0</v>
      </c>
      <c r="N139" s="54">
        <f t="shared" ref="N139" si="205">AVERAGE(H139:H143)</f>
        <v>11.3202</v>
      </c>
      <c r="Q139">
        <v>0</v>
      </c>
      <c r="R139" t="s">
        <v>7</v>
      </c>
      <c r="S139">
        <v>17920</v>
      </c>
      <c r="T139">
        <v>160</v>
      </c>
      <c r="U139">
        <v>2</v>
      </c>
      <c r="V139">
        <v>2</v>
      </c>
      <c r="W139">
        <v>319.41000000000003</v>
      </c>
      <c r="X139" s="48">
        <v>12.012</v>
      </c>
      <c r="Y139" s="27">
        <v>45505</v>
      </c>
      <c r="Z139" s="53">
        <v>0.7590972222222222</v>
      </c>
      <c r="AA139">
        <v>0</v>
      </c>
      <c r="AB139">
        <v>0</v>
      </c>
      <c r="AC139">
        <v>0</v>
      </c>
      <c r="AD139" s="54">
        <f t="shared" ref="AD139" si="206">AVERAGE(X139:X143)</f>
        <v>12.0352</v>
      </c>
      <c r="AF139">
        <v>0</v>
      </c>
      <c r="AG139" t="s">
        <v>7</v>
      </c>
      <c r="AH139">
        <v>17920</v>
      </c>
      <c r="AI139">
        <v>128</v>
      </c>
      <c r="AJ139">
        <v>2</v>
      </c>
      <c r="AK139">
        <v>2</v>
      </c>
      <c r="AL139">
        <v>309.52999999999997</v>
      </c>
      <c r="AM139" s="48">
        <v>12.396000000000001</v>
      </c>
      <c r="AN139" s="27">
        <v>45508</v>
      </c>
      <c r="AO139" s="53">
        <v>0.87297453703703709</v>
      </c>
      <c r="AP139">
        <v>0</v>
      </c>
      <c r="AQ139">
        <v>0</v>
      </c>
      <c r="AR139">
        <v>0</v>
      </c>
      <c r="AS139" s="54">
        <f t="shared" ref="AS139" si="207">AVERAGE(AM139:AM143)</f>
        <v>12.327199999999999</v>
      </c>
      <c r="AT139" s="1">
        <f>AS139</f>
        <v>12.327199999999999</v>
      </c>
      <c r="AV139">
        <v>120</v>
      </c>
      <c r="AW139" t="s">
        <v>71</v>
      </c>
      <c r="AX139">
        <v>19072</v>
      </c>
      <c r="AY139">
        <v>128</v>
      </c>
      <c r="AZ139">
        <v>2</v>
      </c>
      <c r="BA139">
        <v>2</v>
      </c>
      <c r="BB139" s="1">
        <v>378.87</v>
      </c>
      <c r="BC139" s="46">
        <v>12.208</v>
      </c>
      <c r="BF139">
        <v>0</v>
      </c>
      <c r="BG139">
        <v>0</v>
      </c>
      <c r="BH139">
        <v>0</v>
      </c>
      <c r="BI139" s="54">
        <f t="shared" si="118"/>
        <v>12.079833333333331</v>
      </c>
    </row>
    <row r="140" spans="1:61">
      <c r="A140">
        <v>1</v>
      </c>
      <c r="B140" t="s">
        <v>7</v>
      </c>
      <c r="C140">
        <v>17920</v>
      </c>
      <c r="D140">
        <v>160</v>
      </c>
      <c r="E140">
        <v>2</v>
      </c>
      <c r="F140">
        <v>2</v>
      </c>
      <c r="G140" s="1">
        <v>337.17</v>
      </c>
      <c r="H140" s="63">
        <v>11.38</v>
      </c>
      <c r="I140" s="27">
        <v>45509</v>
      </c>
      <c r="J140" s="53">
        <v>0.15494212962962964</v>
      </c>
      <c r="K140">
        <v>0</v>
      </c>
      <c r="L140">
        <v>0</v>
      </c>
      <c r="M140">
        <v>0</v>
      </c>
      <c r="N140" s="54">
        <f t="shared" ref="N140" si="208">N139</f>
        <v>11.3202</v>
      </c>
      <c r="Q140">
        <v>1</v>
      </c>
      <c r="R140" t="s">
        <v>7</v>
      </c>
      <c r="S140">
        <v>17920</v>
      </c>
      <c r="T140">
        <v>160</v>
      </c>
      <c r="U140">
        <v>2</v>
      </c>
      <c r="V140">
        <v>2</v>
      </c>
      <c r="W140">
        <v>319.24</v>
      </c>
      <c r="X140" s="48">
        <v>12.019</v>
      </c>
      <c r="Y140" s="27">
        <v>45505</v>
      </c>
      <c r="Z140" s="53">
        <v>0.99839120370370371</v>
      </c>
      <c r="AA140">
        <v>0</v>
      </c>
      <c r="AB140">
        <v>0</v>
      </c>
      <c r="AC140">
        <v>0</v>
      </c>
      <c r="AD140" s="54">
        <f t="shared" ref="AD140" si="209">AD139</f>
        <v>12.0352</v>
      </c>
      <c r="AF140">
        <v>1</v>
      </c>
      <c r="AG140" t="s">
        <v>7</v>
      </c>
      <c r="AH140">
        <v>17920</v>
      </c>
      <c r="AI140">
        <v>128</v>
      </c>
      <c r="AJ140">
        <v>2</v>
      </c>
      <c r="AK140">
        <v>2</v>
      </c>
      <c r="AL140">
        <v>313.33</v>
      </c>
      <c r="AM140" s="48">
        <v>12.244999999999999</v>
      </c>
      <c r="AN140" s="27">
        <v>45509</v>
      </c>
      <c r="AO140" s="53">
        <v>0.11031249999999999</v>
      </c>
      <c r="AP140">
        <v>0</v>
      </c>
      <c r="AQ140">
        <v>0</v>
      </c>
      <c r="AR140">
        <v>0</v>
      </c>
      <c r="AS140" s="54">
        <f t="shared" ref="AS140" si="210">AS139</f>
        <v>12.327199999999999</v>
      </c>
      <c r="AT140" s="1">
        <f>AT139</f>
        <v>12.327199999999999</v>
      </c>
      <c r="AV140">
        <v>168</v>
      </c>
      <c r="AW140" t="s">
        <v>71</v>
      </c>
      <c r="AX140">
        <v>19072</v>
      </c>
      <c r="AY140">
        <v>128</v>
      </c>
      <c r="AZ140">
        <v>2</v>
      </c>
      <c r="BA140">
        <v>2</v>
      </c>
      <c r="BB140" s="1">
        <v>366.35</v>
      </c>
      <c r="BC140" s="46">
        <v>12.625999999999999</v>
      </c>
      <c r="BF140">
        <v>0</v>
      </c>
      <c r="BG140">
        <v>0</v>
      </c>
      <c r="BH140">
        <v>0</v>
      </c>
      <c r="BI140" s="54">
        <f t="shared" si="118"/>
        <v>12.079833333333331</v>
      </c>
    </row>
    <row r="141" spans="1:61">
      <c r="A141">
        <v>2</v>
      </c>
      <c r="B141" t="s">
        <v>7</v>
      </c>
      <c r="C141">
        <v>17920</v>
      </c>
      <c r="D141">
        <v>160</v>
      </c>
      <c r="E141">
        <v>2</v>
      </c>
      <c r="F141">
        <v>2</v>
      </c>
      <c r="G141" s="1">
        <v>337.73</v>
      </c>
      <c r="H141" s="63">
        <v>11.361000000000001</v>
      </c>
      <c r="I141" s="27">
        <v>45509</v>
      </c>
      <c r="J141" s="53">
        <v>0.4231597222222222</v>
      </c>
      <c r="K141">
        <v>0</v>
      </c>
      <c r="L141">
        <v>0</v>
      </c>
      <c r="M141">
        <v>0</v>
      </c>
      <c r="N141" s="54">
        <f t="shared" si="115"/>
        <v>11.3202</v>
      </c>
      <c r="Q141">
        <v>2</v>
      </c>
      <c r="R141" t="s">
        <v>7</v>
      </c>
      <c r="S141">
        <v>17920</v>
      </c>
      <c r="T141">
        <v>160</v>
      </c>
      <c r="U141">
        <v>2</v>
      </c>
      <c r="V141">
        <v>2</v>
      </c>
      <c r="W141">
        <v>320.05</v>
      </c>
      <c r="X141" s="48">
        <v>11.988</v>
      </c>
      <c r="Y141" s="27">
        <v>45506</v>
      </c>
      <c r="Z141" s="53">
        <v>0.23560185185185184</v>
      </c>
      <c r="AA141">
        <v>0</v>
      </c>
      <c r="AB141">
        <v>0</v>
      </c>
      <c r="AC141">
        <v>0</v>
      </c>
      <c r="AD141" s="54">
        <f t="shared" si="116"/>
        <v>12.0352</v>
      </c>
      <c r="AF141">
        <v>2</v>
      </c>
      <c r="AG141" t="s">
        <v>7</v>
      </c>
      <c r="AH141">
        <v>17920</v>
      </c>
      <c r="AI141">
        <v>128</v>
      </c>
      <c r="AJ141">
        <v>2</v>
      </c>
      <c r="AK141">
        <v>2</v>
      </c>
      <c r="AL141">
        <v>310.17</v>
      </c>
      <c r="AM141" s="48">
        <v>12.37</v>
      </c>
      <c r="AN141" s="27">
        <v>45509</v>
      </c>
      <c r="AO141" s="53">
        <v>0.34781250000000002</v>
      </c>
      <c r="AP141">
        <v>0</v>
      </c>
      <c r="AQ141">
        <v>0</v>
      </c>
      <c r="AR141">
        <v>0</v>
      </c>
      <c r="AS141" s="54">
        <f t="shared" si="117"/>
        <v>12.327199999999999</v>
      </c>
      <c r="AT141" s="1">
        <f>AT140</f>
        <v>12.327199999999999</v>
      </c>
      <c r="AV141">
        <v>216</v>
      </c>
      <c r="AW141" t="s">
        <v>71</v>
      </c>
      <c r="AX141">
        <v>19072</v>
      </c>
      <c r="AY141">
        <v>128</v>
      </c>
      <c r="AZ141">
        <v>2</v>
      </c>
      <c r="BA141">
        <v>2</v>
      </c>
      <c r="BB141" s="1">
        <v>434.38</v>
      </c>
      <c r="BC141" s="46">
        <v>10.648</v>
      </c>
      <c r="BF141">
        <v>0</v>
      </c>
      <c r="BG141">
        <v>0</v>
      </c>
      <c r="BH141">
        <v>0</v>
      </c>
      <c r="BI141" s="54">
        <f t="shared" si="118"/>
        <v>12.079833333333331</v>
      </c>
    </row>
    <row r="142" spans="1:61">
      <c r="A142">
        <v>3</v>
      </c>
      <c r="B142" t="s">
        <v>7</v>
      </c>
      <c r="C142">
        <v>17920</v>
      </c>
      <c r="D142">
        <v>160</v>
      </c>
      <c r="E142">
        <v>2</v>
      </c>
      <c r="F142">
        <v>2</v>
      </c>
      <c r="G142" s="1">
        <v>339.5</v>
      </c>
      <c r="H142" s="63">
        <v>11.301</v>
      </c>
      <c r="I142" s="27">
        <v>45509</v>
      </c>
      <c r="J142" s="53">
        <v>0.69108796296296293</v>
      </c>
      <c r="K142">
        <v>0</v>
      </c>
      <c r="L142">
        <v>0</v>
      </c>
      <c r="M142">
        <v>0</v>
      </c>
      <c r="N142" s="54">
        <f t="shared" si="115"/>
        <v>11.3202</v>
      </c>
      <c r="Q142">
        <v>3</v>
      </c>
      <c r="R142" t="s">
        <v>7</v>
      </c>
      <c r="S142">
        <v>17920</v>
      </c>
      <c r="T142">
        <v>160</v>
      </c>
      <c r="U142">
        <v>2</v>
      </c>
      <c r="V142">
        <v>2</v>
      </c>
      <c r="W142">
        <v>318.37</v>
      </c>
      <c r="X142" s="48">
        <v>12.052</v>
      </c>
      <c r="Y142" s="27">
        <v>45506</v>
      </c>
      <c r="Z142" s="53">
        <v>0.47297453703703701</v>
      </c>
      <c r="AA142">
        <v>0</v>
      </c>
      <c r="AB142">
        <v>0</v>
      </c>
      <c r="AC142">
        <v>0</v>
      </c>
      <c r="AD142" s="54">
        <f t="shared" si="116"/>
        <v>12.0352</v>
      </c>
      <c r="AF142">
        <v>3</v>
      </c>
      <c r="AG142" t="s">
        <v>7</v>
      </c>
      <c r="AH142">
        <v>17920</v>
      </c>
      <c r="AI142">
        <v>128</v>
      </c>
      <c r="AJ142">
        <v>2</v>
      </c>
      <c r="AK142">
        <v>2</v>
      </c>
      <c r="AL142">
        <v>312.89999999999998</v>
      </c>
      <c r="AM142" s="48">
        <v>12.262</v>
      </c>
      <c r="AN142" s="27">
        <v>45509</v>
      </c>
      <c r="AO142" s="53">
        <v>0.58628472222222228</v>
      </c>
      <c r="AP142">
        <v>0</v>
      </c>
      <c r="AQ142">
        <v>0</v>
      </c>
      <c r="AR142">
        <v>0</v>
      </c>
      <c r="AS142" s="54">
        <f t="shared" si="117"/>
        <v>12.327199999999999</v>
      </c>
      <c r="AT142" s="1">
        <f>AT141</f>
        <v>12.327199999999999</v>
      </c>
      <c r="AV142">
        <v>264</v>
      </c>
      <c r="AW142" t="s">
        <v>71</v>
      </c>
      <c r="AX142">
        <v>19072</v>
      </c>
      <c r="AY142">
        <v>128</v>
      </c>
      <c r="AZ142">
        <v>2</v>
      </c>
      <c r="BA142">
        <v>2</v>
      </c>
      <c r="BB142" s="1">
        <v>379.01</v>
      </c>
      <c r="BC142" s="46">
        <v>12.204000000000001</v>
      </c>
      <c r="BF142">
        <v>0</v>
      </c>
      <c r="BG142">
        <v>0</v>
      </c>
      <c r="BH142">
        <v>0</v>
      </c>
      <c r="BI142" s="54">
        <f t="shared" si="118"/>
        <v>12.079833333333331</v>
      </c>
    </row>
    <row r="143" spans="1:61">
      <c r="A143">
        <v>4</v>
      </c>
      <c r="B143" t="s">
        <v>7</v>
      </c>
      <c r="C143">
        <v>17920</v>
      </c>
      <c r="D143">
        <v>160</v>
      </c>
      <c r="E143">
        <v>2</v>
      </c>
      <c r="F143">
        <v>2</v>
      </c>
      <c r="G143" s="1">
        <v>338.3</v>
      </c>
      <c r="H143" s="63">
        <v>11.342000000000001</v>
      </c>
      <c r="I143" s="27">
        <v>45509</v>
      </c>
      <c r="J143" s="53">
        <v>0.95901620370370366</v>
      </c>
      <c r="K143">
        <v>0</v>
      </c>
      <c r="L143">
        <v>0</v>
      </c>
      <c r="M143">
        <v>0</v>
      </c>
      <c r="N143" s="54">
        <f t="shared" si="115"/>
        <v>11.3202</v>
      </c>
      <c r="Q143">
        <v>4</v>
      </c>
      <c r="R143" t="s">
        <v>7</v>
      </c>
      <c r="S143">
        <v>17920</v>
      </c>
      <c r="T143">
        <v>160</v>
      </c>
      <c r="U143">
        <v>2</v>
      </c>
      <c r="V143">
        <v>2</v>
      </c>
      <c r="W143">
        <v>316.95999999999998</v>
      </c>
      <c r="X143" s="48">
        <v>12.105</v>
      </c>
      <c r="Y143" s="27">
        <v>45506</v>
      </c>
      <c r="Z143" s="53">
        <v>0.7102546296296296</v>
      </c>
      <c r="AA143">
        <v>0</v>
      </c>
      <c r="AB143">
        <v>0</v>
      </c>
      <c r="AC143">
        <v>0</v>
      </c>
      <c r="AD143" s="54">
        <f t="shared" si="116"/>
        <v>12.0352</v>
      </c>
      <c r="AF143">
        <v>4</v>
      </c>
      <c r="AG143" t="s">
        <v>7</v>
      </c>
      <c r="AH143">
        <v>17920</v>
      </c>
      <c r="AI143">
        <v>128</v>
      </c>
      <c r="AJ143">
        <v>2</v>
      </c>
      <c r="AK143">
        <v>2</v>
      </c>
      <c r="AL143">
        <v>310.36</v>
      </c>
      <c r="AM143" s="48">
        <v>12.363</v>
      </c>
      <c r="AN143" s="27">
        <v>45509</v>
      </c>
      <c r="AO143" s="53">
        <v>0.82446759259259261</v>
      </c>
      <c r="AP143">
        <v>0</v>
      </c>
      <c r="AQ143">
        <v>0</v>
      </c>
      <c r="AR143">
        <v>0</v>
      </c>
      <c r="AS143" s="54">
        <f t="shared" si="117"/>
        <v>12.327199999999999</v>
      </c>
      <c r="AT143" s="1">
        <f>AT142</f>
        <v>12.327199999999999</v>
      </c>
      <c r="AV143">
        <v>40</v>
      </c>
      <c r="AW143" t="s">
        <v>71</v>
      </c>
      <c r="AX143">
        <v>20096</v>
      </c>
      <c r="AY143">
        <v>128</v>
      </c>
      <c r="AZ143">
        <v>2</v>
      </c>
      <c r="BA143">
        <v>2</v>
      </c>
      <c r="BB143" s="1">
        <v>438.98</v>
      </c>
      <c r="BC143" s="46">
        <v>12.327</v>
      </c>
      <c r="BF143">
        <v>0</v>
      </c>
      <c r="BG143">
        <v>0</v>
      </c>
      <c r="BH143">
        <v>0</v>
      </c>
      <c r="BI143" s="54">
        <f t="shared" ref="BI143" si="211">AVERAGE(BC143:BC148)</f>
        <v>12.202666666666666</v>
      </c>
    </row>
    <row r="144" spans="1:61">
      <c r="A144">
        <v>0</v>
      </c>
      <c r="B144" t="s">
        <v>7</v>
      </c>
      <c r="C144">
        <v>19040</v>
      </c>
      <c r="D144">
        <v>160</v>
      </c>
      <c r="E144">
        <v>2</v>
      </c>
      <c r="F144">
        <v>2</v>
      </c>
      <c r="G144" s="1">
        <v>397.78</v>
      </c>
      <c r="H144" s="63">
        <v>11.57</v>
      </c>
      <c r="I144" s="27">
        <v>45508</v>
      </c>
      <c r="J144" s="53">
        <v>0.97042824074074074</v>
      </c>
      <c r="K144">
        <v>0</v>
      </c>
      <c r="L144">
        <v>0</v>
      </c>
      <c r="M144">
        <v>0</v>
      </c>
      <c r="N144" s="54">
        <f t="shared" ref="N144" si="212">AVERAGE(H144:H148)</f>
        <v>11.594800000000001</v>
      </c>
      <c r="Q144">
        <v>0</v>
      </c>
      <c r="R144" t="s">
        <v>7</v>
      </c>
      <c r="S144">
        <v>19040</v>
      </c>
      <c r="T144">
        <v>160</v>
      </c>
      <c r="U144">
        <v>2</v>
      </c>
      <c r="V144">
        <v>2</v>
      </c>
      <c r="W144">
        <v>383.77</v>
      </c>
      <c r="X144" s="48">
        <v>11.992000000000001</v>
      </c>
      <c r="Y144" s="27">
        <v>45505</v>
      </c>
      <c r="Z144" s="53">
        <v>0.83453703703703708</v>
      </c>
      <c r="AA144">
        <v>0</v>
      </c>
      <c r="AB144">
        <v>0</v>
      </c>
      <c r="AC144">
        <v>0</v>
      </c>
      <c r="AD144" s="54">
        <f t="shared" ref="AD144" si="213">AVERAGE(X144:X148)</f>
        <v>12.0992</v>
      </c>
      <c r="AF144">
        <v>0</v>
      </c>
      <c r="AG144" t="s">
        <v>7</v>
      </c>
      <c r="AH144">
        <v>19008</v>
      </c>
      <c r="AI144">
        <v>96</v>
      </c>
      <c r="AJ144">
        <v>2</v>
      </c>
      <c r="AK144">
        <v>2</v>
      </c>
      <c r="AL144">
        <v>368.17</v>
      </c>
      <c r="AM144" s="48">
        <v>12.436999999999999</v>
      </c>
      <c r="AN144" s="27">
        <v>45508</v>
      </c>
      <c r="AO144" s="53">
        <v>0.93660879629629634</v>
      </c>
      <c r="AP144">
        <v>0</v>
      </c>
      <c r="AQ144">
        <v>0</v>
      </c>
      <c r="AR144">
        <v>0</v>
      </c>
      <c r="AS144" s="54">
        <f t="shared" ref="AS144" si="214">AVERAGE(AM144:AM148)</f>
        <v>12.275</v>
      </c>
      <c r="AT144" s="1">
        <f>AS144</f>
        <v>12.275</v>
      </c>
      <c r="AV144">
        <v>88</v>
      </c>
      <c r="AW144" t="s">
        <v>71</v>
      </c>
      <c r="AX144">
        <v>20096</v>
      </c>
      <c r="AY144">
        <v>128</v>
      </c>
      <c r="AZ144">
        <v>2</v>
      </c>
      <c r="BA144">
        <v>2</v>
      </c>
      <c r="BB144" s="1">
        <v>441.27</v>
      </c>
      <c r="BC144" s="46">
        <v>12.263</v>
      </c>
      <c r="BF144">
        <v>0</v>
      </c>
      <c r="BG144">
        <v>0</v>
      </c>
      <c r="BH144">
        <v>0</v>
      </c>
      <c r="BI144" s="54">
        <f t="shared" ref="BI144" si="215">BI143</f>
        <v>12.202666666666666</v>
      </c>
    </row>
    <row r="145" spans="1:61">
      <c r="A145">
        <v>1</v>
      </c>
      <c r="B145" t="s">
        <v>7</v>
      </c>
      <c r="C145">
        <v>19040</v>
      </c>
      <c r="D145">
        <v>160</v>
      </c>
      <c r="E145">
        <v>2</v>
      </c>
      <c r="F145">
        <v>2</v>
      </c>
      <c r="G145" s="1">
        <v>396.8</v>
      </c>
      <c r="H145" s="63">
        <v>11.598000000000001</v>
      </c>
      <c r="I145" s="27">
        <v>45509</v>
      </c>
      <c r="J145" s="53">
        <v>0.2386574074074074</v>
      </c>
      <c r="K145">
        <v>0</v>
      </c>
      <c r="L145">
        <v>0</v>
      </c>
      <c r="M145">
        <v>0</v>
      </c>
      <c r="N145" s="54">
        <f t="shared" ref="N145:N208" si="216">N144</f>
        <v>11.594800000000001</v>
      </c>
      <c r="Q145">
        <v>1</v>
      </c>
      <c r="R145" t="s">
        <v>7</v>
      </c>
      <c r="S145">
        <v>19040</v>
      </c>
      <c r="T145">
        <v>160</v>
      </c>
      <c r="U145">
        <v>2</v>
      </c>
      <c r="V145">
        <v>2</v>
      </c>
      <c r="W145">
        <v>380.57</v>
      </c>
      <c r="X145" s="48">
        <v>12.093</v>
      </c>
      <c r="Y145" s="27">
        <v>45506</v>
      </c>
      <c r="Z145" s="53">
        <v>7.2384259259259259E-2</v>
      </c>
      <c r="AA145">
        <v>0</v>
      </c>
      <c r="AB145">
        <v>0</v>
      </c>
      <c r="AC145">
        <v>0</v>
      </c>
      <c r="AD145" s="54">
        <f t="shared" ref="AD145:AD208" si="217">AD144</f>
        <v>12.0992</v>
      </c>
      <c r="AF145">
        <v>1</v>
      </c>
      <c r="AG145" t="s">
        <v>7</v>
      </c>
      <c r="AH145">
        <v>19008</v>
      </c>
      <c r="AI145">
        <v>96</v>
      </c>
      <c r="AJ145">
        <v>2</v>
      </c>
      <c r="AK145">
        <v>2</v>
      </c>
      <c r="AL145">
        <v>371.48</v>
      </c>
      <c r="AM145" s="48">
        <v>12.326000000000001</v>
      </c>
      <c r="AN145" s="27">
        <v>45509</v>
      </c>
      <c r="AO145" s="53">
        <v>0.17400462962962962</v>
      </c>
      <c r="AP145">
        <v>0</v>
      </c>
      <c r="AQ145">
        <v>0</v>
      </c>
      <c r="AR145">
        <v>0</v>
      </c>
      <c r="AS145" s="54">
        <f t="shared" ref="AS145:AS208" si="218">AS144</f>
        <v>12.275</v>
      </c>
      <c r="AT145" s="1">
        <f>AT144</f>
        <v>12.275</v>
      </c>
      <c r="AV145">
        <v>136</v>
      </c>
      <c r="AW145" t="s">
        <v>71</v>
      </c>
      <c r="AX145">
        <v>20096</v>
      </c>
      <c r="AY145">
        <v>128</v>
      </c>
      <c r="AZ145">
        <v>2</v>
      </c>
      <c r="BA145">
        <v>2</v>
      </c>
      <c r="BB145" s="1">
        <v>439.09</v>
      </c>
      <c r="BC145" s="46">
        <v>12.323</v>
      </c>
      <c r="BF145">
        <v>0</v>
      </c>
      <c r="BG145">
        <v>0</v>
      </c>
      <c r="BH145">
        <v>0</v>
      </c>
      <c r="BI145" s="54">
        <f t="shared" si="118"/>
        <v>12.202666666666666</v>
      </c>
    </row>
    <row r="146" spans="1:61">
      <c r="A146">
        <v>2</v>
      </c>
      <c r="B146" t="s">
        <v>7</v>
      </c>
      <c r="C146">
        <v>19040</v>
      </c>
      <c r="D146">
        <v>160</v>
      </c>
      <c r="E146">
        <v>2</v>
      </c>
      <c r="F146">
        <v>2</v>
      </c>
      <c r="G146" s="1">
        <v>396.34</v>
      </c>
      <c r="H146" s="63">
        <v>11.612</v>
      </c>
      <c r="I146" s="27">
        <v>45509</v>
      </c>
      <c r="J146" s="53">
        <v>0.50670138888888894</v>
      </c>
      <c r="K146">
        <v>0</v>
      </c>
      <c r="L146">
        <v>0</v>
      </c>
      <c r="M146">
        <v>0</v>
      </c>
      <c r="N146" s="54">
        <f t="shared" si="216"/>
        <v>11.594800000000001</v>
      </c>
      <c r="Q146">
        <v>2</v>
      </c>
      <c r="R146" t="s">
        <v>7</v>
      </c>
      <c r="S146">
        <v>19040</v>
      </c>
      <c r="T146">
        <v>160</v>
      </c>
      <c r="U146">
        <v>2</v>
      </c>
      <c r="V146">
        <v>2</v>
      </c>
      <c r="W146">
        <v>378.97</v>
      </c>
      <c r="X146" s="48">
        <v>12.144</v>
      </c>
      <c r="Y146" s="27">
        <v>45506</v>
      </c>
      <c r="Z146" s="53">
        <v>0.30978009259259259</v>
      </c>
      <c r="AA146">
        <v>0</v>
      </c>
      <c r="AB146">
        <v>0</v>
      </c>
      <c r="AC146">
        <v>0</v>
      </c>
      <c r="AD146" s="54">
        <f t="shared" si="217"/>
        <v>12.0992</v>
      </c>
      <c r="AF146">
        <v>2</v>
      </c>
      <c r="AG146" t="s">
        <v>7</v>
      </c>
      <c r="AH146">
        <v>19008</v>
      </c>
      <c r="AI146">
        <v>96</v>
      </c>
      <c r="AJ146">
        <v>2</v>
      </c>
      <c r="AK146">
        <v>2</v>
      </c>
      <c r="AL146">
        <v>367.85</v>
      </c>
      <c r="AM146" s="48">
        <v>12.448</v>
      </c>
      <c r="AN146" s="27">
        <v>45509</v>
      </c>
      <c r="AO146" s="53">
        <v>0.41137731481481482</v>
      </c>
      <c r="AP146">
        <v>0</v>
      </c>
      <c r="AQ146">
        <v>0</v>
      </c>
      <c r="AR146">
        <v>0</v>
      </c>
      <c r="AS146" s="54">
        <f t="shared" si="218"/>
        <v>12.275</v>
      </c>
      <c r="AT146" s="1">
        <f>AT145</f>
        <v>12.275</v>
      </c>
      <c r="AV146">
        <v>184</v>
      </c>
      <c r="AW146" t="s">
        <v>71</v>
      </c>
      <c r="AX146">
        <v>20096</v>
      </c>
      <c r="AY146">
        <v>128</v>
      </c>
      <c r="AZ146">
        <v>2</v>
      </c>
      <c r="BA146">
        <v>2</v>
      </c>
      <c r="BB146" s="1">
        <v>464.01</v>
      </c>
      <c r="BC146" s="46">
        <v>11.662000000000001</v>
      </c>
      <c r="BF146">
        <v>0</v>
      </c>
      <c r="BG146">
        <v>0</v>
      </c>
      <c r="BH146">
        <v>0</v>
      </c>
      <c r="BI146" s="54">
        <f t="shared" ref="BI146:BI208" si="219">BI145</f>
        <v>12.202666666666666</v>
      </c>
    </row>
    <row r="147" spans="1:61">
      <c r="A147">
        <v>3</v>
      </c>
      <c r="B147" t="s">
        <v>7</v>
      </c>
      <c r="C147">
        <v>19040</v>
      </c>
      <c r="D147">
        <v>160</v>
      </c>
      <c r="E147">
        <v>2</v>
      </c>
      <c r="F147">
        <v>2</v>
      </c>
      <c r="G147" s="1">
        <v>397.15</v>
      </c>
      <c r="H147" s="63">
        <v>11.587999999999999</v>
      </c>
      <c r="I147" s="27">
        <v>45509</v>
      </c>
      <c r="J147" s="53">
        <v>0.77465277777777775</v>
      </c>
      <c r="K147">
        <v>0</v>
      </c>
      <c r="L147">
        <v>0</v>
      </c>
      <c r="M147">
        <v>0</v>
      </c>
      <c r="N147" s="54">
        <f t="shared" si="216"/>
        <v>11.594800000000001</v>
      </c>
      <c r="Q147">
        <v>3</v>
      </c>
      <c r="R147" t="s">
        <v>7</v>
      </c>
      <c r="S147">
        <v>19040</v>
      </c>
      <c r="T147">
        <v>160</v>
      </c>
      <c r="U147">
        <v>2</v>
      </c>
      <c r="V147">
        <v>2</v>
      </c>
      <c r="W147">
        <v>379.97</v>
      </c>
      <c r="X147" s="48">
        <v>12.112</v>
      </c>
      <c r="Y147" s="27">
        <v>45506</v>
      </c>
      <c r="Z147" s="53">
        <v>0.54703703703703699</v>
      </c>
      <c r="AA147">
        <v>0</v>
      </c>
      <c r="AB147">
        <v>0</v>
      </c>
      <c r="AC147">
        <v>0</v>
      </c>
      <c r="AD147" s="54">
        <f t="shared" si="217"/>
        <v>12.0992</v>
      </c>
      <c r="AF147">
        <v>3</v>
      </c>
      <c r="AG147" t="s">
        <v>7</v>
      </c>
      <c r="AH147">
        <v>19008</v>
      </c>
      <c r="AI147">
        <v>96</v>
      </c>
      <c r="AJ147">
        <v>2</v>
      </c>
      <c r="AK147">
        <v>2</v>
      </c>
      <c r="AL147">
        <v>389.65</v>
      </c>
      <c r="AM147" s="48">
        <v>11.752000000000001</v>
      </c>
      <c r="AN147" s="27">
        <v>45509</v>
      </c>
      <c r="AO147" s="53">
        <v>0.65009259259259256</v>
      </c>
      <c r="AP147">
        <v>0</v>
      </c>
      <c r="AQ147">
        <v>0</v>
      </c>
      <c r="AR147">
        <v>0</v>
      </c>
      <c r="AS147" s="54">
        <f t="shared" si="218"/>
        <v>12.275</v>
      </c>
      <c r="AT147" s="1">
        <f>AT146</f>
        <v>12.275</v>
      </c>
      <c r="AV147">
        <v>232</v>
      </c>
      <c r="AW147" t="s">
        <v>71</v>
      </c>
      <c r="AX147">
        <v>20096</v>
      </c>
      <c r="AY147">
        <v>128</v>
      </c>
      <c r="AZ147">
        <v>2</v>
      </c>
      <c r="BA147">
        <v>2</v>
      </c>
      <c r="BB147" s="1">
        <v>435.62</v>
      </c>
      <c r="BC147" s="46">
        <v>12.422000000000001</v>
      </c>
      <c r="BF147">
        <v>0</v>
      </c>
      <c r="BG147">
        <v>0</v>
      </c>
      <c r="BH147">
        <v>0</v>
      </c>
      <c r="BI147" s="54">
        <f t="shared" si="219"/>
        <v>12.202666666666666</v>
      </c>
    </row>
    <row r="148" spans="1:61">
      <c r="A148">
        <v>4</v>
      </c>
      <c r="B148" t="s">
        <v>7</v>
      </c>
      <c r="C148">
        <v>19040</v>
      </c>
      <c r="D148">
        <v>160</v>
      </c>
      <c r="E148">
        <v>2</v>
      </c>
      <c r="F148">
        <v>2</v>
      </c>
      <c r="G148" s="1">
        <v>396.54</v>
      </c>
      <c r="H148" s="63">
        <v>11.606</v>
      </c>
      <c r="I148" s="27">
        <v>45510</v>
      </c>
      <c r="J148" s="53">
        <v>4.2592592592592592E-2</v>
      </c>
      <c r="K148">
        <v>0</v>
      </c>
      <c r="L148">
        <v>0</v>
      </c>
      <c r="M148">
        <v>0</v>
      </c>
      <c r="N148" s="54">
        <f t="shared" si="216"/>
        <v>11.594800000000001</v>
      </c>
      <c r="Q148">
        <v>4</v>
      </c>
      <c r="R148" t="s">
        <v>7</v>
      </c>
      <c r="S148">
        <v>19040</v>
      </c>
      <c r="T148">
        <v>160</v>
      </c>
      <c r="U148">
        <v>2</v>
      </c>
      <c r="V148">
        <v>2</v>
      </c>
      <c r="W148">
        <v>378.63</v>
      </c>
      <c r="X148" s="48">
        <v>12.154999999999999</v>
      </c>
      <c r="Y148" s="27">
        <v>45506</v>
      </c>
      <c r="Z148" s="53">
        <v>0.78462962962962968</v>
      </c>
      <c r="AA148">
        <v>0</v>
      </c>
      <c r="AB148">
        <v>0</v>
      </c>
      <c r="AC148">
        <v>0</v>
      </c>
      <c r="AD148" s="54">
        <f t="shared" si="217"/>
        <v>12.0992</v>
      </c>
      <c r="AF148">
        <v>4</v>
      </c>
      <c r="AG148" t="s">
        <v>7</v>
      </c>
      <c r="AH148">
        <v>19008</v>
      </c>
      <c r="AI148">
        <v>96</v>
      </c>
      <c r="AJ148">
        <v>2</v>
      </c>
      <c r="AK148">
        <v>2</v>
      </c>
      <c r="AL148">
        <v>368.92</v>
      </c>
      <c r="AM148" s="48">
        <v>12.412000000000001</v>
      </c>
      <c r="AN148" s="27">
        <v>45509</v>
      </c>
      <c r="AO148" s="53">
        <v>0.88809027777777783</v>
      </c>
      <c r="AP148">
        <v>0</v>
      </c>
      <c r="AQ148">
        <v>0</v>
      </c>
      <c r="AR148">
        <v>0</v>
      </c>
      <c r="AS148" s="54">
        <f t="shared" si="218"/>
        <v>12.275</v>
      </c>
      <c r="AT148" s="1">
        <f>AT147</f>
        <v>12.275</v>
      </c>
      <c r="AV148">
        <v>280</v>
      </c>
      <c r="AW148" t="s">
        <v>71</v>
      </c>
      <c r="AX148">
        <v>20096</v>
      </c>
      <c r="AY148">
        <v>128</v>
      </c>
      <c r="AZ148">
        <v>2</v>
      </c>
      <c r="BA148">
        <v>2</v>
      </c>
      <c r="BB148" s="1">
        <v>442.85</v>
      </c>
      <c r="BC148" s="46">
        <v>12.218999999999999</v>
      </c>
      <c r="BF148">
        <v>0</v>
      </c>
      <c r="BG148">
        <v>0</v>
      </c>
      <c r="BH148">
        <v>0</v>
      </c>
      <c r="BI148" s="54">
        <f t="shared" si="219"/>
        <v>12.202666666666666</v>
      </c>
    </row>
    <row r="149" spans="1:61">
      <c r="A149">
        <v>0</v>
      </c>
      <c r="B149" t="s">
        <v>7</v>
      </c>
      <c r="C149">
        <v>20160</v>
      </c>
      <c r="D149">
        <v>160</v>
      </c>
      <c r="E149">
        <v>2</v>
      </c>
      <c r="F149">
        <v>2</v>
      </c>
      <c r="G149" s="1">
        <v>470.95</v>
      </c>
      <c r="H149" s="63">
        <v>11.6</v>
      </c>
      <c r="I149" s="27">
        <v>45509</v>
      </c>
      <c r="J149" s="53">
        <v>6.9560185185185183E-2</v>
      </c>
      <c r="K149">
        <v>0</v>
      </c>
      <c r="L149">
        <v>0</v>
      </c>
      <c r="M149">
        <v>0</v>
      </c>
      <c r="N149" s="54">
        <f t="shared" ref="N149" si="220">AVERAGE(H149:H153)</f>
        <v>11.606399999999999</v>
      </c>
      <c r="Q149">
        <v>0</v>
      </c>
      <c r="R149" t="s">
        <v>7</v>
      </c>
      <c r="S149">
        <v>20160</v>
      </c>
      <c r="T149">
        <v>160</v>
      </c>
      <c r="U149">
        <v>2</v>
      </c>
      <c r="V149">
        <v>2</v>
      </c>
      <c r="W149">
        <v>451.65</v>
      </c>
      <c r="X149" s="48">
        <v>12.096</v>
      </c>
      <c r="Y149" s="27">
        <v>45505</v>
      </c>
      <c r="Z149" s="53">
        <v>0.92261574074074071</v>
      </c>
      <c r="AA149">
        <v>0</v>
      </c>
      <c r="AB149">
        <v>0</v>
      </c>
      <c r="AC149">
        <v>0</v>
      </c>
      <c r="AD149" s="54">
        <f t="shared" ref="AD149" si="221">AVERAGE(X149:X153)</f>
        <v>12.133599999999999</v>
      </c>
      <c r="AF149">
        <v>0</v>
      </c>
      <c r="AG149" t="s">
        <v>7</v>
      </c>
      <c r="AH149">
        <v>18944</v>
      </c>
      <c r="AI149">
        <v>256</v>
      </c>
      <c r="AJ149">
        <v>2</v>
      </c>
      <c r="AK149">
        <v>2</v>
      </c>
      <c r="AL149">
        <v>360.17</v>
      </c>
      <c r="AM149" s="48">
        <v>12.586</v>
      </c>
      <c r="AN149" s="27">
        <v>45508</v>
      </c>
      <c r="AO149" s="53">
        <v>0.98152777777777778</v>
      </c>
      <c r="AP149">
        <v>0</v>
      </c>
      <c r="AQ149">
        <v>0</v>
      </c>
      <c r="AR149">
        <v>0</v>
      </c>
      <c r="AS149" s="54">
        <f t="shared" ref="AS149" si="222">AVERAGE(AM149:AM153)</f>
        <v>12.248999999999999</v>
      </c>
      <c r="AT149" s="1">
        <f>AS149</f>
        <v>12.248999999999999</v>
      </c>
      <c r="AV149">
        <v>9</v>
      </c>
      <c r="AW149" t="s">
        <v>71</v>
      </c>
      <c r="AX149">
        <v>18048</v>
      </c>
      <c r="AY149">
        <v>160</v>
      </c>
      <c r="AZ149">
        <v>1</v>
      </c>
      <c r="BA149">
        <v>4</v>
      </c>
      <c r="BB149" s="1">
        <v>324.25</v>
      </c>
      <c r="BC149" s="46">
        <v>12.153</v>
      </c>
      <c r="BF149">
        <v>0</v>
      </c>
      <c r="BG149">
        <v>0</v>
      </c>
      <c r="BH149">
        <v>0</v>
      </c>
      <c r="BI149" s="54">
        <f t="shared" ref="BI149" si="223">AVERAGE(BC149:BC154)</f>
        <v>12.158166666666668</v>
      </c>
    </row>
    <row r="150" spans="1:61">
      <c r="A150">
        <v>1</v>
      </c>
      <c r="B150" t="s">
        <v>7</v>
      </c>
      <c r="C150">
        <v>20160</v>
      </c>
      <c r="D150">
        <v>160</v>
      </c>
      <c r="E150">
        <v>2</v>
      </c>
      <c r="F150">
        <v>2</v>
      </c>
      <c r="G150" s="1">
        <v>472.56</v>
      </c>
      <c r="H150" s="63">
        <v>11.56</v>
      </c>
      <c r="I150" s="27">
        <v>45509</v>
      </c>
      <c r="J150" s="53">
        <v>0.33787037037037038</v>
      </c>
      <c r="K150">
        <v>0</v>
      </c>
      <c r="L150">
        <v>0</v>
      </c>
      <c r="M150">
        <v>0</v>
      </c>
      <c r="N150" s="54">
        <f t="shared" ref="N150" si="224">N149</f>
        <v>11.606399999999999</v>
      </c>
      <c r="Q150">
        <v>1</v>
      </c>
      <c r="R150" t="s">
        <v>7</v>
      </c>
      <c r="S150">
        <v>20160</v>
      </c>
      <c r="T150">
        <v>160</v>
      </c>
      <c r="U150">
        <v>2</v>
      </c>
      <c r="V150">
        <v>2</v>
      </c>
      <c r="W150">
        <v>450.33</v>
      </c>
      <c r="X150" s="48">
        <v>12.131</v>
      </c>
      <c r="Y150" s="27">
        <v>45506</v>
      </c>
      <c r="Z150" s="53">
        <v>0.16013888888888889</v>
      </c>
      <c r="AA150">
        <v>0</v>
      </c>
      <c r="AB150">
        <v>0</v>
      </c>
      <c r="AC150">
        <v>0</v>
      </c>
      <c r="AD150" s="54">
        <f t="shared" ref="AD150" si="225">AD149</f>
        <v>12.133599999999999</v>
      </c>
      <c r="AF150">
        <v>1</v>
      </c>
      <c r="AG150" t="s">
        <v>7</v>
      </c>
      <c r="AH150">
        <v>18944</v>
      </c>
      <c r="AI150">
        <v>256</v>
      </c>
      <c r="AJ150">
        <v>2</v>
      </c>
      <c r="AK150">
        <v>2</v>
      </c>
      <c r="AL150">
        <v>367.16</v>
      </c>
      <c r="AM150" s="48">
        <v>12.346</v>
      </c>
      <c r="AN150" s="27">
        <v>45509</v>
      </c>
      <c r="AO150" s="53">
        <v>0.21921296296296297</v>
      </c>
      <c r="AP150">
        <v>0</v>
      </c>
      <c r="AQ150">
        <v>0</v>
      </c>
      <c r="AR150">
        <v>0</v>
      </c>
      <c r="AS150" s="54">
        <f t="shared" ref="AS150" si="226">AS149</f>
        <v>12.248999999999999</v>
      </c>
      <c r="AT150" s="1">
        <f>AT149</f>
        <v>12.248999999999999</v>
      </c>
      <c r="AV150">
        <v>57</v>
      </c>
      <c r="AW150" t="s">
        <v>71</v>
      </c>
      <c r="AX150">
        <v>18048</v>
      </c>
      <c r="AY150">
        <v>160</v>
      </c>
      <c r="AZ150">
        <v>1</v>
      </c>
      <c r="BA150">
        <v>4</v>
      </c>
      <c r="BB150" s="1">
        <v>327.27</v>
      </c>
      <c r="BC150" s="46">
        <v>12.041</v>
      </c>
      <c r="BF150">
        <v>0</v>
      </c>
      <c r="BG150">
        <v>0</v>
      </c>
      <c r="BH150">
        <v>0</v>
      </c>
      <c r="BI150" s="54">
        <f t="shared" ref="BI150" si="227">BI149</f>
        <v>12.158166666666668</v>
      </c>
    </row>
    <row r="151" spans="1:61">
      <c r="A151">
        <v>2</v>
      </c>
      <c r="B151" t="s">
        <v>7</v>
      </c>
      <c r="C151">
        <v>20160</v>
      </c>
      <c r="D151">
        <v>160</v>
      </c>
      <c r="E151">
        <v>2</v>
      </c>
      <c r="F151">
        <v>2</v>
      </c>
      <c r="G151" s="1">
        <v>469.35</v>
      </c>
      <c r="H151" s="63">
        <v>11.64</v>
      </c>
      <c r="I151" s="27">
        <v>45509</v>
      </c>
      <c r="J151" s="53">
        <v>0.60569444444444442</v>
      </c>
      <c r="K151">
        <v>0</v>
      </c>
      <c r="L151">
        <v>0</v>
      </c>
      <c r="M151">
        <v>0</v>
      </c>
      <c r="N151" s="54">
        <f t="shared" si="216"/>
        <v>11.606399999999999</v>
      </c>
      <c r="Q151">
        <v>2</v>
      </c>
      <c r="R151" t="s">
        <v>7</v>
      </c>
      <c r="S151">
        <v>20160</v>
      </c>
      <c r="T151">
        <v>160</v>
      </c>
      <c r="U151">
        <v>2</v>
      </c>
      <c r="V151">
        <v>2</v>
      </c>
      <c r="W151">
        <v>452.16</v>
      </c>
      <c r="X151" s="48">
        <v>12.082000000000001</v>
      </c>
      <c r="Y151" s="27">
        <v>45506</v>
      </c>
      <c r="Z151" s="53">
        <v>0.39747685185185183</v>
      </c>
      <c r="AA151">
        <v>0</v>
      </c>
      <c r="AB151">
        <v>0</v>
      </c>
      <c r="AC151">
        <v>0</v>
      </c>
      <c r="AD151" s="54">
        <f t="shared" si="217"/>
        <v>12.133599999999999</v>
      </c>
      <c r="AF151">
        <v>2</v>
      </c>
      <c r="AG151" t="s">
        <v>7</v>
      </c>
      <c r="AH151">
        <v>18944</v>
      </c>
      <c r="AI151">
        <v>256</v>
      </c>
      <c r="AJ151">
        <v>2</v>
      </c>
      <c r="AK151">
        <v>2</v>
      </c>
      <c r="AL151">
        <v>372.4</v>
      </c>
      <c r="AM151" s="48">
        <v>12.172000000000001</v>
      </c>
      <c r="AN151" s="27">
        <v>45509</v>
      </c>
      <c r="AO151" s="53">
        <v>0.4569097222222222</v>
      </c>
      <c r="AP151">
        <v>0</v>
      </c>
      <c r="AQ151">
        <v>0</v>
      </c>
      <c r="AR151">
        <v>0</v>
      </c>
      <c r="AS151" s="54">
        <f t="shared" si="218"/>
        <v>12.248999999999999</v>
      </c>
      <c r="AT151" s="1">
        <f>AT150</f>
        <v>12.248999999999999</v>
      </c>
      <c r="AV151">
        <v>105</v>
      </c>
      <c r="AW151" t="s">
        <v>71</v>
      </c>
      <c r="AX151">
        <v>18048</v>
      </c>
      <c r="AY151">
        <v>160</v>
      </c>
      <c r="AZ151">
        <v>1</v>
      </c>
      <c r="BA151">
        <v>4</v>
      </c>
      <c r="BB151" s="1">
        <v>324.39</v>
      </c>
      <c r="BC151" s="46">
        <v>12.148</v>
      </c>
      <c r="BF151">
        <v>0</v>
      </c>
      <c r="BG151">
        <v>0</v>
      </c>
      <c r="BH151">
        <v>0</v>
      </c>
      <c r="BI151" s="54">
        <f t="shared" si="219"/>
        <v>12.158166666666668</v>
      </c>
    </row>
    <row r="152" spans="1:61">
      <c r="A152">
        <v>3</v>
      </c>
      <c r="B152" t="s">
        <v>7</v>
      </c>
      <c r="C152">
        <v>20160</v>
      </c>
      <c r="D152">
        <v>160</v>
      </c>
      <c r="E152">
        <v>2</v>
      </c>
      <c r="F152">
        <v>2</v>
      </c>
      <c r="G152" s="1">
        <v>470.06</v>
      </c>
      <c r="H152" s="63">
        <v>11.622</v>
      </c>
      <c r="I152" s="27">
        <v>45509</v>
      </c>
      <c r="J152" s="53">
        <v>0.87369212962962961</v>
      </c>
      <c r="K152">
        <v>0</v>
      </c>
      <c r="L152">
        <v>0</v>
      </c>
      <c r="M152">
        <v>0</v>
      </c>
      <c r="N152" s="54">
        <f t="shared" si="216"/>
        <v>11.606399999999999</v>
      </c>
      <c r="Q152">
        <v>3</v>
      </c>
      <c r="R152" t="s">
        <v>7</v>
      </c>
      <c r="S152">
        <v>20160</v>
      </c>
      <c r="T152">
        <v>160</v>
      </c>
      <c r="U152">
        <v>2</v>
      </c>
      <c r="V152">
        <v>2</v>
      </c>
      <c r="W152">
        <v>446.54</v>
      </c>
      <c r="X152" s="48">
        <v>12.234</v>
      </c>
      <c r="Y152" s="27">
        <v>45506</v>
      </c>
      <c r="Z152" s="53">
        <v>0.63484953703703706</v>
      </c>
      <c r="AA152">
        <v>0</v>
      </c>
      <c r="AB152">
        <v>0</v>
      </c>
      <c r="AC152">
        <v>0</v>
      </c>
      <c r="AD152" s="54">
        <f t="shared" si="217"/>
        <v>12.133599999999999</v>
      </c>
      <c r="AF152">
        <v>3</v>
      </c>
      <c r="AG152" t="s">
        <v>7</v>
      </c>
      <c r="AH152">
        <v>18944</v>
      </c>
      <c r="AI152">
        <v>256</v>
      </c>
      <c r="AJ152">
        <v>2</v>
      </c>
      <c r="AK152">
        <v>2</v>
      </c>
      <c r="AL152">
        <v>366.47</v>
      </c>
      <c r="AM152" s="48">
        <v>12.369</v>
      </c>
      <c r="AN152" s="27">
        <v>45509</v>
      </c>
      <c r="AO152" s="53">
        <v>0.69541666666666668</v>
      </c>
      <c r="AP152">
        <v>0</v>
      </c>
      <c r="AQ152">
        <v>0</v>
      </c>
      <c r="AR152">
        <v>0</v>
      </c>
      <c r="AS152" s="54">
        <f t="shared" si="218"/>
        <v>12.248999999999999</v>
      </c>
      <c r="AT152" s="1">
        <f>AT151</f>
        <v>12.248999999999999</v>
      </c>
      <c r="AV152">
        <v>153</v>
      </c>
      <c r="AW152" t="s">
        <v>71</v>
      </c>
      <c r="AX152">
        <v>18048</v>
      </c>
      <c r="AY152">
        <v>160</v>
      </c>
      <c r="AZ152">
        <v>1</v>
      </c>
      <c r="BA152">
        <v>4</v>
      </c>
      <c r="BB152" s="1">
        <v>322.83</v>
      </c>
      <c r="BC152" s="46">
        <v>12.206</v>
      </c>
      <c r="BF152">
        <v>0</v>
      </c>
      <c r="BG152">
        <v>0</v>
      </c>
      <c r="BH152">
        <v>0</v>
      </c>
      <c r="BI152" s="54">
        <f t="shared" si="219"/>
        <v>12.158166666666668</v>
      </c>
    </row>
    <row r="153" spans="1:61">
      <c r="A153">
        <v>4</v>
      </c>
      <c r="B153" t="s">
        <v>7</v>
      </c>
      <c r="C153">
        <v>20160</v>
      </c>
      <c r="D153">
        <v>160</v>
      </c>
      <c r="E153">
        <v>2</v>
      </c>
      <c r="F153">
        <v>2</v>
      </c>
      <c r="G153" s="1">
        <v>470.53</v>
      </c>
      <c r="H153" s="63">
        <v>11.61</v>
      </c>
      <c r="I153" s="27">
        <v>45510</v>
      </c>
      <c r="J153" s="53">
        <v>0.1416550925925926</v>
      </c>
      <c r="K153">
        <v>0</v>
      </c>
      <c r="L153">
        <v>0</v>
      </c>
      <c r="M153">
        <v>0</v>
      </c>
      <c r="N153" s="54">
        <f t="shared" si="216"/>
        <v>11.606399999999999</v>
      </c>
      <c r="Q153">
        <v>4</v>
      </c>
      <c r="R153" t="s">
        <v>7</v>
      </c>
      <c r="S153">
        <v>20160</v>
      </c>
      <c r="T153">
        <v>160</v>
      </c>
      <c r="U153">
        <v>2</v>
      </c>
      <c r="V153">
        <v>2</v>
      </c>
      <c r="W153">
        <v>450.57</v>
      </c>
      <c r="X153" s="48">
        <v>12.125</v>
      </c>
      <c r="Y153" s="27">
        <v>45506</v>
      </c>
      <c r="Z153" s="53">
        <v>0.87229166666666669</v>
      </c>
      <c r="AA153">
        <v>0</v>
      </c>
      <c r="AB153">
        <v>0</v>
      </c>
      <c r="AC153">
        <v>0</v>
      </c>
      <c r="AD153" s="54">
        <f t="shared" si="217"/>
        <v>12.133599999999999</v>
      </c>
      <c r="AF153">
        <v>4</v>
      </c>
      <c r="AG153" t="s">
        <v>7</v>
      </c>
      <c r="AH153">
        <v>18944</v>
      </c>
      <c r="AI153">
        <v>256</v>
      </c>
      <c r="AJ153">
        <v>2</v>
      </c>
      <c r="AK153">
        <v>2</v>
      </c>
      <c r="AL153">
        <v>385.07</v>
      </c>
      <c r="AM153" s="48">
        <v>11.772</v>
      </c>
      <c r="AN153" s="27">
        <v>45509</v>
      </c>
      <c r="AO153" s="53">
        <v>0.93336805555555558</v>
      </c>
      <c r="AP153">
        <v>0</v>
      </c>
      <c r="AQ153">
        <v>0</v>
      </c>
      <c r="AR153">
        <v>0</v>
      </c>
      <c r="AS153" s="54">
        <f t="shared" si="218"/>
        <v>12.248999999999999</v>
      </c>
      <c r="AT153" s="1">
        <f>AT152</f>
        <v>12.248999999999999</v>
      </c>
      <c r="AV153">
        <v>201</v>
      </c>
      <c r="AW153" t="s">
        <v>71</v>
      </c>
      <c r="AX153">
        <v>18048</v>
      </c>
      <c r="AY153">
        <v>160</v>
      </c>
      <c r="AZ153">
        <v>1</v>
      </c>
      <c r="BA153">
        <v>4</v>
      </c>
      <c r="BB153" s="1">
        <v>323.08</v>
      </c>
      <c r="BC153" s="46">
        <v>12.196999999999999</v>
      </c>
      <c r="BF153">
        <v>0</v>
      </c>
      <c r="BG153">
        <v>0</v>
      </c>
      <c r="BH153">
        <v>0</v>
      </c>
      <c r="BI153" s="54">
        <f t="shared" si="219"/>
        <v>12.158166666666668</v>
      </c>
    </row>
    <row r="154" spans="1:61">
      <c r="A154">
        <v>0</v>
      </c>
      <c r="B154" t="s">
        <v>7</v>
      </c>
      <c r="C154">
        <v>17856</v>
      </c>
      <c r="D154">
        <v>192</v>
      </c>
      <c r="E154">
        <v>1</v>
      </c>
      <c r="F154">
        <v>4</v>
      </c>
      <c r="G154" s="1">
        <v>347.37</v>
      </c>
      <c r="H154" s="63">
        <v>10.927</v>
      </c>
      <c r="I154" s="27">
        <v>45508</v>
      </c>
      <c r="J154" s="53">
        <v>0.89043981481481482</v>
      </c>
      <c r="K154">
        <v>0</v>
      </c>
      <c r="L154">
        <v>0</v>
      </c>
      <c r="M154">
        <v>0</v>
      </c>
      <c r="N154" s="54">
        <f t="shared" ref="N154" si="228">AVERAGE(H154:H158)</f>
        <v>11.1442</v>
      </c>
      <c r="Q154">
        <v>0</v>
      </c>
      <c r="R154" t="s">
        <v>7</v>
      </c>
      <c r="S154">
        <v>17856</v>
      </c>
      <c r="T154">
        <v>192</v>
      </c>
      <c r="U154">
        <v>1</v>
      </c>
      <c r="V154">
        <v>4</v>
      </c>
      <c r="W154">
        <v>304.3</v>
      </c>
      <c r="X154" s="48">
        <v>12.474</v>
      </c>
      <c r="Y154" s="27">
        <v>45505</v>
      </c>
      <c r="Z154" s="53">
        <v>0.76288194444444446</v>
      </c>
      <c r="AA154">
        <v>0</v>
      </c>
      <c r="AB154">
        <v>0</v>
      </c>
      <c r="AC154">
        <v>0</v>
      </c>
      <c r="AD154" s="54">
        <f t="shared" ref="AD154" si="229">AVERAGE(X154:X158)</f>
        <v>12.611799999999999</v>
      </c>
      <c r="AF154">
        <v>0</v>
      </c>
      <c r="AG154" t="s">
        <v>7</v>
      </c>
      <c r="AH154">
        <v>19008</v>
      </c>
      <c r="AI154">
        <v>192</v>
      </c>
      <c r="AJ154">
        <v>2</v>
      </c>
      <c r="AK154">
        <v>2</v>
      </c>
      <c r="AL154">
        <v>370.96</v>
      </c>
      <c r="AM154" s="48">
        <v>12.343999999999999</v>
      </c>
      <c r="AN154" s="27">
        <v>45508</v>
      </c>
      <c r="AO154" s="53">
        <v>0.96377314814814818</v>
      </c>
      <c r="AP154">
        <v>0</v>
      </c>
      <c r="AQ154">
        <v>0</v>
      </c>
      <c r="AR154">
        <v>0</v>
      </c>
      <c r="AS154" s="54">
        <f t="shared" ref="AS154" si="230">AVERAGE(AM154:AM158)</f>
        <v>12.203999999999999</v>
      </c>
      <c r="AT154" s="1">
        <f>AS154</f>
        <v>12.203999999999999</v>
      </c>
      <c r="AV154">
        <v>249</v>
      </c>
      <c r="AW154" t="s">
        <v>71</v>
      </c>
      <c r="AX154">
        <v>18048</v>
      </c>
      <c r="AY154">
        <v>160</v>
      </c>
      <c r="AZ154">
        <v>1</v>
      </c>
      <c r="BA154">
        <v>4</v>
      </c>
      <c r="BB154" s="1">
        <v>322.89999999999998</v>
      </c>
      <c r="BC154" s="46">
        <v>12.204000000000001</v>
      </c>
      <c r="BF154">
        <v>0</v>
      </c>
      <c r="BG154">
        <v>0</v>
      </c>
      <c r="BH154">
        <v>0</v>
      </c>
      <c r="BI154" s="54">
        <f t="shared" si="219"/>
        <v>12.158166666666668</v>
      </c>
    </row>
    <row r="155" spans="1:61">
      <c r="A155">
        <v>1</v>
      </c>
      <c r="B155" t="s">
        <v>7</v>
      </c>
      <c r="C155">
        <v>17856</v>
      </c>
      <c r="D155">
        <v>192</v>
      </c>
      <c r="E155">
        <v>1</v>
      </c>
      <c r="F155">
        <v>4</v>
      </c>
      <c r="G155" s="1">
        <v>339.47</v>
      </c>
      <c r="H155" s="63">
        <v>11.182</v>
      </c>
      <c r="I155" s="27">
        <v>45509</v>
      </c>
      <c r="J155" s="53">
        <v>0.15913194444444445</v>
      </c>
      <c r="K155">
        <v>0</v>
      </c>
      <c r="L155">
        <v>0</v>
      </c>
      <c r="M155">
        <v>0</v>
      </c>
      <c r="N155" s="54">
        <f t="shared" ref="N155" si="231">N154</f>
        <v>11.1442</v>
      </c>
      <c r="Q155">
        <v>1</v>
      </c>
      <c r="R155" t="s">
        <v>7</v>
      </c>
      <c r="S155">
        <v>17856</v>
      </c>
      <c r="T155">
        <v>192</v>
      </c>
      <c r="U155">
        <v>1</v>
      </c>
      <c r="V155">
        <v>4</v>
      </c>
      <c r="W155">
        <v>299.10000000000002</v>
      </c>
      <c r="X155" s="48">
        <v>12.691000000000001</v>
      </c>
      <c r="Y155" s="27">
        <v>45506</v>
      </c>
      <c r="Z155" s="53">
        <v>2.1180555555555558E-3</v>
      </c>
      <c r="AA155">
        <v>0</v>
      </c>
      <c r="AB155">
        <v>0</v>
      </c>
      <c r="AC155">
        <v>0</v>
      </c>
      <c r="AD155" s="54">
        <f t="shared" ref="AD155" si="232">AD154</f>
        <v>12.611799999999999</v>
      </c>
      <c r="AF155">
        <v>1</v>
      </c>
      <c r="AG155" t="s">
        <v>7</v>
      </c>
      <c r="AH155">
        <v>19008</v>
      </c>
      <c r="AI155">
        <v>192</v>
      </c>
      <c r="AJ155">
        <v>2</v>
      </c>
      <c r="AK155">
        <v>2</v>
      </c>
      <c r="AL155">
        <v>369.97</v>
      </c>
      <c r="AM155" s="48">
        <v>12.377000000000001</v>
      </c>
      <c r="AN155" s="27">
        <v>45509</v>
      </c>
      <c r="AO155" s="53">
        <v>0.20116898148148149</v>
      </c>
      <c r="AP155">
        <v>0</v>
      </c>
      <c r="AQ155">
        <v>0</v>
      </c>
      <c r="AR155">
        <v>0</v>
      </c>
      <c r="AS155" s="54">
        <f t="shared" ref="AS155" si="233">AS154</f>
        <v>12.203999999999999</v>
      </c>
      <c r="AT155" s="1">
        <f>AT154</f>
        <v>12.203999999999999</v>
      </c>
      <c r="AV155">
        <v>25</v>
      </c>
      <c r="AW155" t="s">
        <v>71</v>
      </c>
      <c r="AX155">
        <v>19072</v>
      </c>
      <c r="AY155">
        <v>160</v>
      </c>
      <c r="AZ155">
        <v>1</v>
      </c>
      <c r="BA155">
        <v>4</v>
      </c>
      <c r="BB155" s="1">
        <v>375.28</v>
      </c>
      <c r="BC155" s="46">
        <v>12.263</v>
      </c>
      <c r="BF155">
        <v>0</v>
      </c>
      <c r="BG155">
        <v>0</v>
      </c>
      <c r="BH155">
        <v>0</v>
      </c>
      <c r="BI155" s="54">
        <f t="shared" ref="BI155" si="234">AVERAGE(BC155:BC160)</f>
        <v>12.213999999999999</v>
      </c>
    </row>
    <row r="156" spans="1:61">
      <c r="A156">
        <v>2</v>
      </c>
      <c r="B156" t="s">
        <v>7</v>
      </c>
      <c r="C156">
        <v>17856</v>
      </c>
      <c r="D156">
        <v>192</v>
      </c>
      <c r="E156">
        <v>1</v>
      </c>
      <c r="F156">
        <v>4</v>
      </c>
      <c r="G156" s="1">
        <v>338.77</v>
      </c>
      <c r="H156" s="63">
        <v>11.205</v>
      </c>
      <c r="I156" s="27">
        <v>45509</v>
      </c>
      <c r="J156" s="53">
        <v>0.42733796296296295</v>
      </c>
      <c r="K156">
        <v>0</v>
      </c>
      <c r="L156">
        <v>0</v>
      </c>
      <c r="M156">
        <v>0</v>
      </c>
      <c r="N156" s="54">
        <f t="shared" si="216"/>
        <v>11.1442</v>
      </c>
      <c r="Q156">
        <v>2</v>
      </c>
      <c r="R156" t="s">
        <v>7</v>
      </c>
      <c r="S156">
        <v>17856</v>
      </c>
      <c r="T156">
        <v>192</v>
      </c>
      <c r="U156">
        <v>1</v>
      </c>
      <c r="V156">
        <v>4</v>
      </c>
      <c r="W156">
        <v>300.27999999999997</v>
      </c>
      <c r="X156" s="48">
        <v>12.641</v>
      </c>
      <c r="Y156" s="27">
        <v>45506</v>
      </c>
      <c r="Z156" s="53">
        <v>0.23935185185185184</v>
      </c>
      <c r="AA156">
        <v>0</v>
      </c>
      <c r="AB156">
        <v>0</v>
      </c>
      <c r="AC156">
        <v>0</v>
      </c>
      <c r="AD156" s="54">
        <f t="shared" si="217"/>
        <v>12.611799999999999</v>
      </c>
      <c r="AF156">
        <v>2</v>
      </c>
      <c r="AG156" t="s">
        <v>7</v>
      </c>
      <c r="AH156">
        <v>19008</v>
      </c>
      <c r="AI156">
        <v>192</v>
      </c>
      <c r="AJ156">
        <v>2</v>
      </c>
      <c r="AK156">
        <v>2</v>
      </c>
      <c r="AL156">
        <v>399.69</v>
      </c>
      <c r="AM156" s="48">
        <v>11.456</v>
      </c>
      <c r="AN156" s="27">
        <v>45509</v>
      </c>
      <c r="AO156" s="53">
        <v>0.43881944444444443</v>
      </c>
      <c r="AP156">
        <v>0</v>
      </c>
      <c r="AQ156">
        <v>0</v>
      </c>
      <c r="AR156">
        <v>0</v>
      </c>
      <c r="AS156" s="54">
        <f t="shared" si="218"/>
        <v>12.203999999999999</v>
      </c>
      <c r="AT156" s="1">
        <f>AT155</f>
        <v>12.203999999999999</v>
      </c>
      <c r="AV156">
        <v>73</v>
      </c>
      <c r="AW156" t="s">
        <v>71</v>
      </c>
      <c r="AX156">
        <v>19072</v>
      </c>
      <c r="AY156">
        <v>160</v>
      </c>
      <c r="AZ156">
        <v>1</v>
      </c>
      <c r="BA156">
        <v>4</v>
      </c>
      <c r="BB156" s="1">
        <v>377.23</v>
      </c>
      <c r="BC156" s="46">
        <v>12.2</v>
      </c>
      <c r="BF156">
        <v>0</v>
      </c>
      <c r="BG156">
        <v>0</v>
      </c>
      <c r="BH156">
        <v>0</v>
      </c>
      <c r="BI156" s="54">
        <f t="shared" ref="BI156" si="235">BI155</f>
        <v>12.213999999999999</v>
      </c>
    </row>
    <row r="157" spans="1:61">
      <c r="A157">
        <v>3</v>
      </c>
      <c r="B157" t="s">
        <v>7</v>
      </c>
      <c r="C157">
        <v>17856</v>
      </c>
      <c r="D157">
        <v>192</v>
      </c>
      <c r="E157">
        <v>1</v>
      </c>
      <c r="F157">
        <v>4</v>
      </c>
      <c r="G157" s="1">
        <v>338.87</v>
      </c>
      <c r="H157" s="63">
        <v>11.202</v>
      </c>
      <c r="I157" s="27">
        <v>45509</v>
      </c>
      <c r="J157" s="53">
        <v>0.69525462962962958</v>
      </c>
      <c r="K157">
        <v>0</v>
      </c>
      <c r="L157">
        <v>0</v>
      </c>
      <c r="M157">
        <v>0</v>
      </c>
      <c r="N157" s="54">
        <f t="shared" si="216"/>
        <v>11.1442</v>
      </c>
      <c r="Q157">
        <v>3</v>
      </c>
      <c r="R157" t="s">
        <v>7</v>
      </c>
      <c r="S157">
        <v>17856</v>
      </c>
      <c r="T157">
        <v>192</v>
      </c>
      <c r="U157">
        <v>1</v>
      </c>
      <c r="V157">
        <v>4</v>
      </c>
      <c r="W157">
        <v>301.01</v>
      </c>
      <c r="X157" s="48">
        <v>12.611000000000001</v>
      </c>
      <c r="Y157" s="27">
        <v>45506</v>
      </c>
      <c r="Z157" s="53">
        <v>0.47672453703703704</v>
      </c>
      <c r="AA157">
        <v>0</v>
      </c>
      <c r="AB157">
        <v>0</v>
      </c>
      <c r="AC157">
        <v>0</v>
      </c>
      <c r="AD157" s="54">
        <f t="shared" si="217"/>
        <v>12.611799999999999</v>
      </c>
      <c r="AF157">
        <v>3</v>
      </c>
      <c r="AG157" t="s">
        <v>7</v>
      </c>
      <c r="AH157">
        <v>19008</v>
      </c>
      <c r="AI157">
        <v>192</v>
      </c>
      <c r="AJ157">
        <v>2</v>
      </c>
      <c r="AK157">
        <v>2</v>
      </c>
      <c r="AL157">
        <v>370.18</v>
      </c>
      <c r="AM157" s="48">
        <v>12.37</v>
      </c>
      <c r="AN157" s="27">
        <v>45509</v>
      </c>
      <c r="AO157" s="53">
        <v>0.67736111111111108</v>
      </c>
      <c r="AP157">
        <v>0</v>
      </c>
      <c r="AQ157">
        <v>0</v>
      </c>
      <c r="AR157">
        <v>0</v>
      </c>
      <c r="AS157" s="54">
        <f t="shared" si="218"/>
        <v>12.203999999999999</v>
      </c>
      <c r="AT157" s="1">
        <f>AT156</f>
        <v>12.203999999999999</v>
      </c>
      <c r="AV157">
        <v>121</v>
      </c>
      <c r="AW157" t="s">
        <v>71</v>
      </c>
      <c r="AX157">
        <v>19072</v>
      </c>
      <c r="AY157">
        <v>160</v>
      </c>
      <c r="AZ157">
        <v>1</v>
      </c>
      <c r="BA157">
        <v>4</v>
      </c>
      <c r="BB157" s="1">
        <v>373.03</v>
      </c>
      <c r="BC157" s="46">
        <v>12.337</v>
      </c>
      <c r="BF157">
        <v>0</v>
      </c>
      <c r="BG157">
        <v>0</v>
      </c>
      <c r="BH157">
        <v>0</v>
      </c>
      <c r="BI157" s="54">
        <f t="shared" si="219"/>
        <v>12.213999999999999</v>
      </c>
    </row>
    <row r="158" spans="1:61">
      <c r="A158">
        <v>4</v>
      </c>
      <c r="B158" t="s">
        <v>7</v>
      </c>
      <c r="C158">
        <v>17856</v>
      </c>
      <c r="D158">
        <v>192</v>
      </c>
      <c r="E158">
        <v>1</v>
      </c>
      <c r="F158">
        <v>4</v>
      </c>
      <c r="G158" s="1">
        <v>338.78</v>
      </c>
      <c r="H158" s="63">
        <v>11.205</v>
      </c>
      <c r="I158" s="27">
        <v>45509</v>
      </c>
      <c r="J158" s="53">
        <v>0.96319444444444446</v>
      </c>
      <c r="K158">
        <v>0</v>
      </c>
      <c r="L158">
        <v>0</v>
      </c>
      <c r="M158">
        <v>0</v>
      </c>
      <c r="N158" s="54">
        <f t="shared" si="216"/>
        <v>11.1442</v>
      </c>
      <c r="Q158">
        <v>4</v>
      </c>
      <c r="R158" t="s">
        <v>7</v>
      </c>
      <c r="S158">
        <v>17856</v>
      </c>
      <c r="T158">
        <v>192</v>
      </c>
      <c r="U158">
        <v>1</v>
      </c>
      <c r="V158">
        <v>4</v>
      </c>
      <c r="W158">
        <v>300.25</v>
      </c>
      <c r="X158" s="48">
        <v>12.641999999999999</v>
      </c>
      <c r="Y158" s="27">
        <v>45506</v>
      </c>
      <c r="Z158" s="53">
        <v>0.71399305555555559</v>
      </c>
      <c r="AA158">
        <v>0</v>
      </c>
      <c r="AB158">
        <v>0</v>
      </c>
      <c r="AC158">
        <v>0</v>
      </c>
      <c r="AD158" s="54">
        <f t="shared" si="217"/>
        <v>12.611799999999999</v>
      </c>
      <c r="AF158">
        <v>4</v>
      </c>
      <c r="AG158" t="s">
        <v>7</v>
      </c>
      <c r="AH158">
        <v>19008</v>
      </c>
      <c r="AI158">
        <v>192</v>
      </c>
      <c r="AJ158">
        <v>2</v>
      </c>
      <c r="AK158">
        <v>2</v>
      </c>
      <c r="AL158">
        <v>367.12</v>
      </c>
      <c r="AM158" s="48">
        <v>12.473000000000001</v>
      </c>
      <c r="AN158" s="27">
        <v>45509</v>
      </c>
      <c r="AO158" s="53">
        <v>0.91515046296296299</v>
      </c>
      <c r="AP158">
        <v>0</v>
      </c>
      <c r="AQ158">
        <v>0</v>
      </c>
      <c r="AR158">
        <v>0</v>
      </c>
      <c r="AS158" s="54">
        <f t="shared" si="218"/>
        <v>12.203999999999999</v>
      </c>
      <c r="AT158" s="1">
        <f>AT157</f>
        <v>12.203999999999999</v>
      </c>
      <c r="AV158">
        <v>169</v>
      </c>
      <c r="AW158" t="s">
        <v>71</v>
      </c>
      <c r="AX158">
        <v>19072</v>
      </c>
      <c r="AY158">
        <v>160</v>
      </c>
      <c r="AZ158">
        <v>1</v>
      </c>
      <c r="BA158">
        <v>4</v>
      </c>
      <c r="BB158" s="1">
        <v>388.37</v>
      </c>
      <c r="BC158" s="46">
        <v>11.85</v>
      </c>
      <c r="BF158">
        <v>0</v>
      </c>
      <c r="BG158">
        <v>0</v>
      </c>
      <c r="BH158">
        <v>0</v>
      </c>
      <c r="BI158" s="54">
        <f t="shared" si="219"/>
        <v>12.213999999999999</v>
      </c>
    </row>
    <row r="159" spans="1:61">
      <c r="A159">
        <v>0</v>
      </c>
      <c r="B159" t="s">
        <v>7</v>
      </c>
      <c r="C159">
        <v>19008</v>
      </c>
      <c r="D159">
        <v>192</v>
      </c>
      <c r="E159">
        <v>1</v>
      </c>
      <c r="F159">
        <v>4</v>
      </c>
      <c r="G159" s="1">
        <v>410.52</v>
      </c>
      <c r="H159" s="63">
        <v>11.154</v>
      </c>
      <c r="I159" s="27">
        <v>45508</v>
      </c>
      <c r="J159" s="53">
        <v>0.97546296296296298</v>
      </c>
      <c r="K159">
        <v>0</v>
      </c>
      <c r="L159">
        <v>0</v>
      </c>
      <c r="M159">
        <v>0</v>
      </c>
      <c r="N159" s="54">
        <f t="shared" ref="N159" si="236">AVERAGE(H159:H163)</f>
        <v>11.289</v>
      </c>
      <c r="Q159">
        <v>0</v>
      </c>
      <c r="R159" t="s">
        <v>7</v>
      </c>
      <c r="S159">
        <v>19008</v>
      </c>
      <c r="T159">
        <v>192</v>
      </c>
      <c r="U159">
        <v>1</v>
      </c>
      <c r="V159">
        <v>4</v>
      </c>
      <c r="W159">
        <v>359.26</v>
      </c>
      <c r="X159" s="48">
        <v>12.744999999999999</v>
      </c>
      <c r="Y159" s="27">
        <v>45505</v>
      </c>
      <c r="Z159" s="53">
        <v>0.83899305555555559</v>
      </c>
      <c r="AA159">
        <v>0</v>
      </c>
      <c r="AB159">
        <v>0</v>
      </c>
      <c r="AC159">
        <v>0</v>
      </c>
      <c r="AD159" s="54">
        <f t="shared" ref="AD159" si="237">AVERAGE(X159:X163)</f>
        <v>12.802000000000001</v>
      </c>
      <c r="AF159">
        <v>0</v>
      </c>
      <c r="AG159" t="s">
        <v>7</v>
      </c>
      <c r="AH159">
        <v>17920</v>
      </c>
      <c r="AI159">
        <v>256</v>
      </c>
      <c r="AJ159">
        <v>2</v>
      </c>
      <c r="AK159">
        <v>2</v>
      </c>
      <c r="AL159">
        <v>322.51</v>
      </c>
      <c r="AM159" s="48">
        <v>11.897</v>
      </c>
      <c r="AN159" s="27">
        <v>45508</v>
      </c>
      <c r="AO159" s="53">
        <v>0.90365740740740741</v>
      </c>
      <c r="AP159">
        <v>0</v>
      </c>
      <c r="AQ159">
        <v>0</v>
      </c>
      <c r="AR159">
        <v>0</v>
      </c>
      <c r="AS159" s="54">
        <f t="shared" ref="AS159" si="238">AVERAGE(AM159:AM163)</f>
        <v>12.157</v>
      </c>
      <c r="AT159" s="1">
        <f>AS159</f>
        <v>12.157</v>
      </c>
      <c r="AV159">
        <v>217</v>
      </c>
      <c r="AW159" t="s">
        <v>71</v>
      </c>
      <c r="AX159">
        <v>19072</v>
      </c>
      <c r="AY159">
        <v>160</v>
      </c>
      <c r="AZ159">
        <v>1</v>
      </c>
      <c r="BA159">
        <v>4</v>
      </c>
      <c r="BB159" s="1">
        <v>373.82</v>
      </c>
      <c r="BC159" s="46">
        <v>12.311</v>
      </c>
      <c r="BF159">
        <v>0</v>
      </c>
      <c r="BG159">
        <v>0</v>
      </c>
      <c r="BH159">
        <v>0</v>
      </c>
      <c r="BI159" s="54">
        <f t="shared" si="219"/>
        <v>12.213999999999999</v>
      </c>
    </row>
    <row r="160" spans="1:61">
      <c r="A160">
        <v>1</v>
      </c>
      <c r="B160" t="s">
        <v>7</v>
      </c>
      <c r="C160">
        <v>19008</v>
      </c>
      <c r="D160">
        <v>192</v>
      </c>
      <c r="E160">
        <v>1</v>
      </c>
      <c r="F160">
        <v>4</v>
      </c>
      <c r="G160" s="1">
        <v>405.34</v>
      </c>
      <c r="H160" s="63">
        <v>11.297000000000001</v>
      </c>
      <c r="I160" s="27">
        <v>45509</v>
      </c>
      <c r="J160" s="53">
        <v>0.24362268518518518</v>
      </c>
      <c r="K160">
        <v>0</v>
      </c>
      <c r="L160">
        <v>0</v>
      </c>
      <c r="M160">
        <v>0</v>
      </c>
      <c r="N160" s="54">
        <f t="shared" ref="N160" si="239">N159</f>
        <v>11.289</v>
      </c>
      <c r="Q160">
        <v>1</v>
      </c>
      <c r="R160" t="s">
        <v>7</v>
      </c>
      <c r="S160">
        <v>19008</v>
      </c>
      <c r="T160">
        <v>192</v>
      </c>
      <c r="U160">
        <v>1</v>
      </c>
      <c r="V160">
        <v>4</v>
      </c>
      <c r="W160">
        <v>354.56</v>
      </c>
      <c r="X160" s="48">
        <v>12.914999999999999</v>
      </c>
      <c r="Y160" s="27">
        <v>45506</v>
      </c>
      <c r="Z160" s="53">
        <v>7.678240740740741E-2</v>
      </c>
      <c r="AA160">
        <v>0</v>
      </c>
      <c r="AB160">
        <v>0</v>
      </c>
      <c r="AC160">
        <v>0</v>
      </c>
      <c r="AD160" s="54">
        <f t="shared" ref="AD160" si="240">AD159</f>
        <v>12.802000000000001</v>
      </c>
      <c r="AF160">
        <v>1</v>
      </c>
      <c r="AG160" t="s">
        <v>7</v>
      </c>
      <c r="AH160">
        <v>17920</v>
      </c>
      <c r="AI160">
        <v>256</v>
      </c>
      <c r="AJ160">
        <v>2</v>
      </c>
      <c r="AK160">
        <v>2</v>
      </c>
      <c r="AL160">
        <v>311.39999999999998</v>
      </c>
      <c r="AM160" s="48">
        <v>12.321</v>
      </c>
      <c r="AN160" s="27">
        <v>45509</v>
      </c>
      <c r="AO160" s="53">
        <v>0.14100694444444445</v>
      </c>
      <c r="AP160">
        <v>0</v>
      </c>
      <c r="AQ160">
        <v>0</v>
      </c>
      <c r="AR160">
        <v>0</v>
      </c>
      <c r="AS160" s="54">
        <f t="shared" ref="AS160" si="241">AS159</f>
        <v>12.157</v>
      </c>
      <c r="AT160" s="1">
        <f>AT159</f>
        <v>12.157</v>
      </c>
      <c r="AV160">
        <v>265</v>
      </c>
      <c r="AW160" t="s">
        <v>71</v>
      </c>
      <c r="AX160">
        <v>19072</v>
      </c>
      <c r="AY160">
        <v>160</v>
      </c>
      <c r="AZ160">
        <v>1</v>
      </c>
      <c r="BA160">
        <v>4</v>
      </c>
      <c r="BB160" s="1">
        <v>373.47</v>
      </c>
      <c r="BC160" s="46">
        <v>12.323</v>
      </c>
      <c r="BF160">
        <v>0</v>
      </c>
      <c r="BG160">
        <v>0</v>
      </c>
      <c r="BH160">
        <v>0</v>
      </c>
      <c r="BI160" s="54">
        <f t="shared" si="219"/>
        <v>12.213999999999999</v>
      </c>
    </row>
    <row r="161" spans="1:61">
      <c r="A161">
        <v>2</v>
      </c>
      <c r="B161" t="s">
        <v>7</v>
      </c>
      <c r="C161">
        <v>19008</v>
      </c>
      <c r="D161">
        <v>192</v>
      </c>
      <c r="E161">
        <v>1</v>
      </c>
      <c r="F161">
        <v>4</v>
      </c>
      <c r="G161" s="1">
        <v>403.79</v>
      </c>
      <c r="H161" s="63">
        <v>11.34</v>
      </c>
      <c r="I161" s="27">
        <v>45509</v>
      </c>
      <c r="J161" s="53">
        <v>0.51165509259259256</v>
      </c>
      <c r="K161">
        <v>0</v>
      </c>
      <c r="L161">
        <v>0</v>
      </c>
      <c r="M161">
        <v>0</v>
      </c>
      <c r="N161" s="54">
        <f t="shared" si="216"/>
        <v>11.289</v>
      </c>
      <c r="Q161">
        <v>2</v>
      </c>
      <c r="R161" t="s">
        <v>7</v>
      </c>
      <c r="S161">
        <v>19008</v>
      </c>
      <c r="T161">
        <v>192</v>
      </c>
      <c r="U161">
        <v>1</v>
      </c>
      <c r="V161">
        <v>4</v>
      </c>
      <c r="W161">
        <v>359.01</v>
      </c>
      <c r="X161" s="48">
        <v>12.755000000000001</v>
      </c>
      <c r="Y161" s="27">
        <v>45506</v>
      </c>
      <c r="Z161" s="53">
        <v>0.31422453703703701</v>
      </c>
      <c r="AA161">
        <v>0</v>
      </c>
      <c r="AB161">
        <v>0</v>
      </c>
      <c r="AC161">
        <v>0</v>
      </c>
      <c r="AD161" s="54">
        <f t="shared" si="217"/>
        <v>12.802000000000001</v>
      </c>
      <c r="AF161">
        <v>2</v>
      </c>
      <c r="AG161" t="s">
        <v>7</v>
      </c>
      <c r="AH161">
        <v>17920</v>
      </c>
      <c r="AI161">
        <v>256</v>
      </c>
      <c r="AJ161">
        <v>2</v>
      </c>
      <c r="AK161">
        <v>2</v>
      </c>
      <c r="AL161">
        <v>318.77</v>
      </c>
      <c r="AM161" s="48">
        <v>12.037000000000001</v>
      </c>
      <c r="AN161" s="27">
        <v>45509</v>
      </c>
      <c r="AO161" s="53">
        <v>0.37844907407407408</v>
      </c>
      <c r="AP161">
        <v>0</v>
      </c>
      <c r="AQ161">
        <v>0</v>
      </c>
      <c r="AR161">
        <v>0</v>
      </c>
      <c r="AS161" s="54">
        <f t="shared" si="218"/>
        <v>12.157</v>
      </c>
      <c r="AT161" s="1">
        <f>AT160</f>
        <v>12.157</v>
      </c>
      <c r="AV161">
        <v>41</v>
      </c>
      <c r="AW161" t="s">
        <v>71</v>
      </c>
      <c r="AX161">
        <v>20096</v>
      </c>
      <c r="AY161">
        <v>160</v>
      </c>
      <c r="AZ161">
        <v>1</v>
      </c>
      <c r="BA161">
        <v>4</v>
      </c>
      <c r="BB161" s="1">
        <v>444.6</v>
      </c>
      <c r="BC161" s="46">
        <v>12.287000000000001</v>
      </c>
      <c r="BF161">
        <v>0</v>
      </c>
      <c r="BG161">
        <v>0</v>
      </c>
      <c r="BH161">
        <v>0</v>
      </c>
      <c r="BI161" s="54">
        <f t="shared" ref="BI161" si="242">AVERAGE(BC161:BC166)</f>
        <v>12.312333333333335</v>
      </c>
    </row>
    <row r="162" spans="1:61">
      <c r="A162">
        <v>3</v>
      </c>
      <c r="B162" t="s">
        <v>7</v>
      </c>
      <c r="C162">
        <v>19008</v>
      </c>
      <c r="D162">
        <v>192</v>
      </c>
      <c r="E162">
        <v>1</v>
      </c>
      <c r="F162">
        <v>4</v>
      </c>
      <c r="G162" s="1">
        <v>403.91</v>
      </c>
      <c r="H162" s="63">
        <v>11.337</v>
      </c>
      <c r="I162" s="27">
        <v>45509</v>
      </c>
      <c r="J162" s="53">
        <v>0.77960648148148148</v>
      </c>
      <c r="K162">
        <v>0</v>
      </c>
      <c r="L162">
        <v>0</v>
      </c>
      <c r="M162">
        <v>0</v>
      </c>
      <c r="N162" s="54">
        <f t="shared" si="216"/>
        <v>11.289</v>
      </c>
      <c r="Q162">
        <v>3</v>
      </c>
      <c r="R162" t="s">
        <v>7</v>
      </c>
      <c r="S162">
        <v>19008</v>
      </c>
      <c r="T162">
        <v>192</v>
      </c>
      <c r="U162">
        <v>1</v>
      </c>
      <c r="V162">
        <v>4</v>
      </c>
      <c r="W162">
        <v>358.31</v>
      </c>
      <c r="X162" s="48">
        <v>12.779</v>
      </c>
      <c r="Y162" s="27">
        <v>45506</v>
      </c>
      <c r="Z162" s="53">
        <v>0.55148148148148146</v>
      </c>
      <c r="AA162">
        <v>0</v>
      </c>
      <c r="AB162">
        <v>0</v>
      </c>
      <c r="AC162">
        <v>0</v>
      </c>
      <c r="AD162" s="54">
        <f t="shared" si="217"/>
        <v>12.802000000000001</v>
      </c>
      <c r="AF162">
        <v>3</v>
      </c>
      <c r="AG162" t="s">
        <v>7</v>
      </c>
      <c r="AH162">
        <v>17920</v>
      </c>
      <c r="AI162">
        <v>256</v>
      </c>
      <c r="AJ162">
        <v>2</v>
      </c>
      <c r="AK162">
        <v>2</v>
      </c>
      <c r="AL162">
        <v>311.24</v>
      </c>
      <c r="AM162" s="48">
        <v>12.327999999999999</v>
      </c>
      <c r="AN162" s="27">
        <v>45509</v>
      </c>
      <c r="AO162" s="53">
        <v>0.61686342592592591</v>
      </c>
      <c r="AP162">
        <v>0</v>
      </c>
      <c r="AQ162">
        <v>0</v>
      </c>
      <c r="AR162">
        <v>0</v>
      </c>
      <c r="AS162" s="54">
        <f t="shared" si="218"/>
        <v>12.157</v>
      </c>
      <c r="AT162" s="1">
        <f>AT161</f>
        <v>12.157</v>
      </c>
      <c r="AV162">
        <v>89</v>
      </c>
      <c r="AW162" t="s">
        <v>71</v>
      </c>
      <c r="AX162">
        <v>20096</v>
      </c>
      <c r="AY162">
        <v>160</v>
      </c>
      <c r="AZ162">
        <v>1</v>
      </c>
      <c r="BA162">
        <v>4</v>
      </c>
      <c r="BB162" s="1">
        <v>443.46</v>
      </c>
      <c r="BC162" s="46">
        <v>12.319000000000001</v>
      </c>
      <c r="BF162">
        <v>0</v>
      </c>
      <c r="BG162">
        <v>0</v>
      </c>
      <c r="BH162">
        <v>0</v>
      </c>
      <c r="BI162" s="54">
        <f t="shared" ref="BI162" si="243">BI161</f>
        <v>12.312333333333335</v>
      </c>
    </row>
    <row r="163" spans="1:61">
      <c r="A163">
        <v>4</v>
      </c>
      <c r="B163" t="s">
        <v>7</v>
      </c>
      <c r="C163">
        <v>19008</v>
      </c>
      <c r="D163">
        <v>192</v>
      </c>
      <c r="E163">
        <v>1</v>
      </c>
      <c r="F163">
        <v>4</v>
      </c>
      <c r="G163" s="1">
        <v>404.63</v>
      </c>
      <c r="H163" s="63">
        <v>11.317</v>
      </c>
      <c r="I163" s="27">
        <v>45510</v>
      </c>
      <c r="J163" s="53">
        <v>4.7557870370370368E-2</v>
      </c>
      <c r="K163">
        <v>0</v>
      </c>
      <c r="L163">
        <v>0</v>
      </c>
      <c r="M163">
        <v>0</v>
      </c>
      <c r="N163" s="54">
        <f t="shared" si="216"/>
        <v>11.289</v>
      </c>
      <c r="Q163">
        <v>4</v>
      </c>
      <c r="R163" t="s">
        <v>7</v>
      </c>
      <c r="S163">
        <v>19008</v>
      </c>
      <c r="T163">
        <v>192</v>
      </c>
      <c r="U163">
        <v>1</v>
      </c>
      <c r="V163">
        <v>4</v>
      </c>
      <c r="W163">
        <v>357.29</v>
      </c>
      <c r="X163" s="48">
        <v>12.816000000000001</v>
      </c>
      <c r="Y163" s="27">
        <v>45506</v>
      </c>
      <c r="Z163" s="53">
        <v>0.7890625</v>
      </c>
      <c r="AA163">
        <v>0</v>
      </c>
      <c r="AB163">
        <v>0</v>
      </c>
      <c r="AC163">
        <v>0</v>
      </c>
      <c r="AD163" s="54">
        <f t="shared" si="217"/>
        <v>12.802000000000001</v>
      </c>
      <c r="AF163">
        <v>4</v>
      </c>
      <c r="AG163" t="s">
        <v>7</v>
      </c>
      <c r="AH163">
        <v>17920</v>
      </c>
      <c r="AI163">
        <v>256</v>
      </c>
      <c r="AJ163">
        <v>2</v>
      </c>
      <c r="AK163">
        <v>2</v>
      </c>
      <c r="AL163">
        <v>314.43</v>
      </c>
      <c r="AM163" s="48">
        <v>12.202</v>
      </c>
      <c r="AN163" s="27">
        <v>45509</v>
      </c>
      <c r="AO163" s="53">
        <v>0.85517361111111112</v>
      </c>
      <c r="AP163">
        <v>0</v>
      </c>
      <c r="AQ163">
        <v>0</v>
      </c>
      <c r="AR163">
        <v>0</v>
      </c>
      <c r="AS163" s="54">
        <f t="shared" si="218"/>
        <v>12.157</v>
      </c>
      <c r="AT163" s="1">
        <f>AT162</f>
        <v>12.157</v>
      </c>
      <c r="AV163">
        <v>137</v>
      </c>
      <c r="AW163" t="s">
        <v>71</v>
      </c>
      <c r="AX163">
        <v>20096</v>
      </c>
      <c r="AY163">
        <v>160</v>
      </c>
      <c r="AZ163">
        <v>1</v>
      </c>
      <c r="BA163">
        <v>4</v>
      </c>
      <c r="BB163" s="1">
        <v>442.85</v>
      </c>
      <c r="BC163" s="46">
        <v>12.336</v>
      </c>
      <c r="BF163">
        <v>0</v>
      </c>
      <c r="BG163">
        <v>0</v>
      </c>
      <c r="BH163">
        <v>0</v>
      </c>
      <c r="BI163" s="54">
        <f t="shared" si="219"/>
        <v>12.312333333333335</v>
      </c>
    </row>
    <row r="164" spans="1:61">
      <c r="A164">
        <v>0</v>
      </c>
      <c r="B164" t="s">
        <v>7</v>
      </c>
      <c r="C164">
        <v>20160</v>
      </c>
      <c r="D164">
        <v>192</v>
      </c>
      <c r="E164">
        <v>1</v>
      </c>
      <c r="F164">
        <v>4</v>
      </c>
      <c r="G164" s="1">
        <v>482.63</v>
      </c>
      <c r="H164" s="63">
        <v>11.319000000000001</v>
      </c>
      <c r="I164" s="27">
        <v>45509</v>
      </c>
      <c r="J164" s="53">
        <v>7.5474537037037034E-2</v>
      </c>
      <c r="K164">
        <v>0</v>
      </c>
      <c r="L164">
        <v>0</v>
      </c>
      <c r="M164">
        <v>0</v>
      </c>
      <c r="N164" s="54">
        <f t="shared" ref="N164" si="244">AVERAGE(H164:H168)</f>
        <v>11.3056</v>
      </c>
      <c r="Q164">
        <v>0</v>
      </c>
      <c r="R164" t="s">
        <v>7</v>
      </c>
      <c r="S164">
        <v>20160</v>
      </c>
      <c r="T164">
        <v>192</v>
      </c>
      <c r="U164">
        <v>1</v>
      </c>
      <c r="V164">
        <v>4</v>
      </c>
      <c r="W164">
        <v>428.12</v>
      </c>
      <c r="X164" s="48">
        <v>12.76</v>
      </c>
      <c r="Y164" s="27">
        <v>45505</v>
      </c>
      <c r="Z164" s="53">
        <v>0.92790509259259257</v>
      </c>
      <c r="AA164">
        <v>0</v>
      </c>
      <c r="AB164">
        <v>0</v>
      </c>
      <c r="AC164">
        <v>0</v>
      </c>
      <c r="AD164" s="54">
        <f t="shared" ref="AD164" si="245">AVERAGE(X164:X168)</f>
        <v>12.7844</v>
      </c>
      <c r="AF164">
        <v>0</v>
      </c>
      <c r="AG164" t="s">
        <v>7</v>
      </c>
      <c r="AH164">
        <v>19040</v>
      </c>
      <c r="AI164">
        <v>160</v>
      </c>
      <c r="AJ164">
        <v>2</v>
      </c>
      <c r="AK164">
        <v>2</v>
      </c>
      <c r="AL164">
        <v>377.15</v>
      </c>
      <c r="AM164" s="48">
        <v>12.202999999999999</v>
      </c>
      <c r="AN164" s="27">
        <v>45508</v>
      </c>
      <c r="AO164" s="53">
        <v>0.95478009259259256</v>
      </c>
      <c r="AP164">
        <v>0</v>
      </c>
      <c r="AQ164">
        <v>0</v>
      </c>
      <c r="AR164">
        <v>0</v>
      </c>
      <c r="AS164" s="54">
        <f t="shared" ref="AS164" si="246">AVERAGE(AM164:AM168)</f>
        <v>12.143000000000001</v>
      </c>
      <c r="AT164" s="1">
        <f>AS164</f>
        <v>12.143000000000001</v>
      </c>
      <c r="AV164">
        <v>185</v>
      </c>
      <c r="AW164" t="s">
        <v>71</v>
      </c>
      <c r="AX164">
        <v>20096</v>
      </c>
      <c r="AY164">
        <v>160</v>
      </c>
      <c r="AZ164">
        <v>1</v>
      </c>
      <c r="BA164">
        <v>4</v>
      </c>
      <c r="BB164" s="1">
        <v>444.13</v>
      </c>
      <c r="BC164" s="46">
        <v>12.3</v>
      </c>
      <c r="BF164">
        <v>0</v>
      </c>
      <c r="BG164">
        <v>0</v>
      </c>
      <c r="BH164">
        <v>0</v>
      </c>
      <c r="BI164" s="54">
        <f t="shared" si="219"/>
        <v>12.312333333333335</v>
      </c>
    </row>
    <row r="165" spans="1:61">
      <c r="A165">
        <v>1</v>
      </c>
      <c r="B165" t="s">
        <v>7</v>
      </c>
      <c r="C165">
        <v>20160</v>
      </c>
      <c r="D165">
        <v>192</v>
      </c>
      <c r="E165">
        <v>1</v>
      </c>
      <c r="F165">
        <v>4</v>
      </c>
      <c r="G165" s="1">
        <v>483.48</v>
      </c>
      <c r="H165" s="63">
        <v>11.298999999999999</v>
      </c>
      <c r="I165" s="27">
        <v>45509</v>
      </c>
      <c r="J165" s="53">
        <v>0.34378472222222223</v>
      </c>
      <c r="K165">
        <v>0</v>
      </c>
      <c r="L165">
        <v>0</v>
      </c>
      <c r="M165">
        <v>0</v>
      </c>
      <c r="N165" s="54">
        <f t="shared" ref="N165" si="247">N164</f>
        <v>11.3056</v>
      </c>
      <c r="Q165">
        <v>1</v>
      </c>
      <c r="R165" t="s">
        <v>7</v>
      </c>
      <c r="S165">
        <v>20160</v>
      </c>
      <c r="T165">
        <v>192</v>
      </c>
      <c r="U165">
        <v>1</v>
      </c>
      <c r="V165">
        <v>4</v>
      </c>
      <c r="W165">
        <v>425</v>
      </c>
      <c r="X165" s="48">
        <v>12.853999999999999</v>
      </c>
      <c r="Y165" s="27">
        <v>45506</v>
      </c>
      <c r="Z165" s="53">
        <v>0.16539351851851852</v>
      </c>
      <c r="AA165">
        <v>0</v>
      </c>
      <c r="AB165">
        <v>0</v>
      </c>
      <c r="AC165">
        <v>0</v>
      </c>
      <c r="AD165" s="54">
        <f t="shared" ref="AD165" si="248">AD164</f>
        <v>12.7844</v>
      </c>
      <c r="AF165">
        <v>1</v>
      </c>
      <c r="AG165" t="s">
        <v>7</v>
      </c>
      <c r="AH165">
        <v>19040</v>
      </c>
      <c r="AI165">
        <v>160</v>
      </c>
      <c r="AJ165">
        <v>2</v>
      </c>
      <c r="AK165">
        <v>2</v>
      </c>
      <c r="AL165">
        <v>378.38</v>
      </c>
      <c r="AM165" s="48">
        <v>12.163</v>
      </c>
      <c r="AN165" s="27">
        <v>45509</v>
      </c>
      <c r="AO165" s="53">
        <v>0.19221064814814814</v>
      </c>
      <c r="AP165">
        <v>0</v>
      </c>
      <c r="AQ165">
        <v>0</v>
      </c>
      <c r="AR165">
        <v>0</v>
      </c>
      <c r="AS165" s="54">
        <f t="shared" ref="AS165" si="249">AS164</f>
        <v>12.143000000000001</v>
      </c>
      <c r="AT165" s="1">
        <f>AT164</f>
        <v>12.143000000000001</v>
      </c>
      <c r="AV165">
        <v>233</v>
      </c>
      <c r="AW165" t="s">
        <v>71</v>
      </c>
      <c r="AX165">
        <v>20096</v>
      </c>
      <c r="AY165">
        <v>160</v>
      </c>
      <c r="AZ165">
        <v>1</v>
      </c>
      <c r="BA165">
        <v>4</v>
      </c>
      <c r="BB165" s="1">
        <v>443.85</v>
      </c>
      <c r="BC165" s="46">
        <v>12.308</v>
      </c>
      <c r="BF165">
        <v>0</v>
      </c>
      <c r="BG165">
        <v>0</v>
      </c>
      <c r="BH165">
        <v>0</v>
      </c>
      <c r="BI165" s="54">
        <f t="shared" si="219"/>
        <v>12.312333333333335</v>
      </c>
    </row>
    <row r="166" spans="1:61">
      <c r="A166">
        <v>2</v>
      </c>
      <c r="B166" t="s">
        <v>7</v>
      </c>
      <c r="C166">
        <v>20160</v>
      </c>
      <c r="D166">
        <v>192</v>
      </c>
      <c r="E166">
        <v>1</v>
      </c>
      <c r="F166">
        <v>4</v>
      </c>
      <c r="G166" s="1">
        <v>483.67</v>
      </c>
      <c r="H166" s="63">
        <v>11.295</v>
      </c>
      <c r="I166" s="27">
        <v>45509</v>
      </c>
      <c r="J166" s="53">
        <v>0.61160879629629628</v>
      </c>
      <c r="K166">
        <v>0</v>
      </c>
      <c r="L166">
        <v>0</v>
      </c>
      <c r="M166">
        <v>0</v>
      </c>
      <c r="N166" s="54">
        <f t="shared" si="216"/>
        <v>11.3056</v>
      </c>
      <c r="Q166">
        <v>2</v>
      </c>
      <c r="R166" t="s">
        <v>7</v>
      </c>
      <c r="S166">
        <v>20160</v>
      </c>
      <c r="T166">
        <v>192</v>
      </c>
      <c r="U166">
        <v>1</v>
      </c>
      <c r="V166">
        <v>4</v>
      </c>
      <c r="W166">
        <v>425.73</v>
      </c>
      <c r="X166" s="48">
        <v>12.832000000000001</v>
      </c>
      <c r="Y166" s="27">
        <v>45506</v>
      </c>
      <c r="Z166" s="53">
        <v>0.40275462962962966</v>
      </c>
      <c r="AA166">
        <v>0</v>
      </c>
      <c r="AB166">
        <v>0</v>
      </c>
      <c r="AC166">
        <v>0</v>
      </c>
      <c r="AD166" s="54">
        <f t="shared" si="217"/>
        <v>12.7844</v>
      </c>
      <c r="AF166">
        <v>2</v>
      </c>
      <c r="AG166" t="s">
        <v>7</v>
      </c>
      <c r="AH166">
        <v>19040</v>
      </c>
      <c r="AI166">
        <v>160</v>
      </c>
      <c r="AJ166">
        <v>2</v>
      </c>
      <c r="AK166">
        <v>2</v>
      </c>
      <c r="AL166">
        <v>378.26</v>
      </c>
      <c r="AM166" s="48">
        <v>12.167</v>
      </c>
      <c r="AN166" s="27">
        <v>45509</v>
      </c>
      <c r="AO166" s="53">
        <v>0.42951388888888886</v>
      </c>
      <c r="AP166">
        <v>0</v>
      </c>
      <c r="AQ166">
        <v>0</v>
      </c>
      <c r="AR166">
        <v>0</v>
      </c>
      <c r="AS166" s="54">
        <f t="shared" si="218"/>
        <v>12.143000000000001</v>
      </c>
      <c r="AT166" s="1">
        <f>AT165</f>
        <v>12.143000000000001</v>
      </c>
      <c r="AV166">
        <v>281</v>
      </c>
      <c r="AW166" t="s">
        <v>71</v>
      </c>
      <c r="AX166">
        <v>20096</v>
      </c>
      <c r="AY166">
        <v>160</v>
      </c>
      <c r="AZ166">
        <v>1</v>
      </c>
      <c r="BA166">
        <v>4</v>
      </c>
      <c r="BB166" s="1">
        <v>443.27</v>
      </c>
      <c r="BC166" s="46">
        <v>12.324</v>
      </c>
      <c r="BF166">
        <v>0</v>
      </c>
      <c r="BG166">
        <v>0</v>
      </c>
      <c r="BH166">
        <v>0</v>
      </c>
      <c r="BI166" s="54">
        <f t="shared" si="219"/>
        <v>12.312333333333335</v>
      </c>
    </row>
    <row r="167" spans="1:61">
      <c r="A167">
        <v>3</v>
      </c>
      <c r="B167" t="s">
        <v>7</v>
      </c>
      <c r="C167">
        <v>20160</v>
      </c>
      <c r="D167">
        <v>192</v>
      </c>
      <c r="E167">
        <v>1</v>
      </c>
      <c r="F167">
        <v>4</v>
      </c>
      <c r="G167" s="1">
        <v>482.38</v>
      </c>
      <c r="H167" s="63">
        <v>11.324999999999999</v>
      </c>
      <c r="I167" s="27">
        <v>45509</v>
      </c>
      <c r="J167" s="53">
        <v>0.87960648148148146</v>
      </c>
      <c r="K167">
        <v>0</v>
      </c>
      <c r="L167">
        <v>0</v>
      </c>
      <c r="M167">
        <v>0</v>
      </c>
      <c r="N167" s="54">
        <f t="shared" si="216"/>
        <v>11.3056</v>
      </c>
      <c r="Q167">
        <v>3</v>
      </c>
      <c r="R167" t="s">
        <v>7</v>
      </c>
      <c r="S167">
        <v>20160</v>
      </c>
      <c r="T167">
        <v>192</v>
      </c>
      <c r="U167">
        <v>1</v>
      </c>
      <c r="V167">
        <v>4</v>
      </c>
      <c r="W167">
        <v>428.82</v>
      </c>
      <c r="X167" s="48">
        <v>12.74</v>
      </c>
      <c r="Y167" s="27">
        <v>45506</v>
      </c>
      <c r="Z167" s="53">
        <v>0.64015046296296296</v>
      </c>
      <c r="AA167">
        <v>0</v>
      </c>
      <c r="AB167">
        <v>0</v>
      </c>
      <c r="AC167">
        <v>0</v>
      </c>
      <c r="AD167" s="54">
        <f t="shared" si="217"/>
        <v>12.7844</v>
      </c>
      <c r="AF167">
        <v>3</v>
      </c>
      <c r="AG167" t="s">
        <v>7</v>
      </c>
      <c r="AH167">
        <v>19040</v>
      </c>
      <c r="AI167">
        <v>160</v>
      </c>
      <c r="AJ167">
        <v>2</v>
      </c>
      <c r="AK167">
        <v>2</v>
      </c>
      <c r="AL167">
        <v>382.05</v>
      </c>
      <c r="AM167" s="48">
        <v>12.045999999999999</v>
      </c>
      <c r="AN167" s="27">
        <v>45509</v>
      </c>
      <c r="AO167" s="53">
        <v>0.66834490740740737</v>
      </c>
      <c r="AP167">
        <v>0</v>
      </c>
      <c r="AQ167">
        <v>0</v>
      </c>
      <c r="AR167">
        <v>0</v>
      </c>
      <c r="AS167" s="54">
        <f t="shared" si="218"/>
        <v>12.143000000000001</v>
      </c>
      <c r="AT167" s="1">
        <f>AT166</f>
        <v>12.143000000000001</v>
      </c>
      <c r="AV167">
        <v>10</v>
      </c>
      <c r="AW167" t="s">
        <v>71</v>
      </c>
      <c r="AX167">
        <v>18048</v>
      </c>
      <c r="AY167">
        <v>160</v>
      </c>
      <c r="AZ167">
        <v>2</v>
      </c>
      <c r="BA167">
        <v>2</v>
      </c>
      <c r="BB167" s="1">
        <v>329.04</v>
      </c>
      <c r="BC167" s="46">
        <v>11.976000000000001</v>
      </c>
      <c r="BF167">
        <v>0</v>
      </c>
      <c r="BG167">
        <v>0</v>
      </c>
      <c r="BH167">
        <v>0</v>
      </c>
      <c r="BI167" s="54">
        <f t="shared" ref="BI167" si="250">AVERAGE(BC167:BC172)</f>
        <v>11.9975</v>
      </c>
    </row>
    <row r="168" spans="1:61">
      <c r="A168">
        <v>4</v>
      </c>
      <c r="B168" t="s">
        <v>7</v>
      </c>
      <c r="C168">
        <v>20160</v>
      </c>
      <c r="D168">
        <v>192</v>
      </c>
      <c r="E168">
        <v>1</v>
      </c>
      <c r="F168">
        <v>4</v>
      </c>
      <c r="G168" s="1">
        <v>483.89</v>
      </c>
      <c r="H168" s="63">
        <v>11.29</v>
      </c>
      <c r="I168" s="27">
        <v>45510</v>
      </c>
      <c r="J168" s="53">
        <v>0.14758101851851851</v>
      </c>
      <c r="K168">
        <v>0</v>
      </c>
      <c r="L168">
        <v>0</v>
      </c>
      <c r="M168">
        <v>0</v>
      </c>
      <c r="N168" s="54">
        <f t="shared" si="216"/>
        <v>11.3056</v>
      </c>
      <c r="Q168">
        <v>4</v>
      </c>
      <c r="R168" t="s">
        <v>7</v>
      </c>
      <c r="S168">
        <v>20160</v>
      </c>
      <c r="T168">
        <v>192</v>
      </c>
      <c r="U168">
        <v>1</v>
      </c>
      <c r="V168">
        <v>4</v>
      </c>
      <c r="W168">
        <v>428.94</v>
      </c>
      <c r="X168" s="48">
        <v>12.736000000000001</v>
      </c>
      <c r="Y168" s="27">
        <v>45506</v>
      </c>
      <c r="Z168" s="53">
        <v>0.87759259259259259</v>
      </c>
      <c r="AA168">
        <v>0</v>
      </c>
      <c r="AB168">
        <v>0</v>
      </c>
      <c r="AC168">
        <v>0</v>
      </c>
      <c r="AD168" s="54">
        <f t="shared" si="217"/>
        <v>12.7844</v>
      </c>
      <c r="AF168">
        <v>4</v>
      </c>
      <c r="AG168" t="s">
        <v>7</v>
      </c>
      <c r="AH168">
        <v>19040</v>
      </c>
      <c r="AI168">
        <v>160</v>
      </c>
      <c r="AJ168">
        <v>2</v>
      </c>
      <c r="AK168">
        <v>2</v>
      </c>
      <c r="AL168">
        <v>379.22</v>
      </c>
      <c r="AM168" s="48">
        <v>12.135999999999999</v>
      </c>
      <c r="AN168" s="27">
        <v>45509</v>
      </c>
      <c r="AO168" s="53">
        <v>0.90619212962962958</v>
      </c>
      <c r="AP168">
        <v>0</v>
      </c>
      <c r="AQ168">
        <v>0</v>
      </c>
      <c r="AR168">
        <v>0</v>
      </c>
      <c r="AS168" s="54">
        <f t="shared" si="218"/>
        <v>12.143000000000001</v>
      </c>
      <c r="AT168" s="1">
        <f>AT167</f>
        <v>12.143000000000001</v>
      </c>
      <c r="AV168">
        <v>58</v>
      </c>
      <c r="AW168" t="s">
        <v>71</v>
      </c>
      <c r="AX168">
        <v>18048</v>
      </c>
      <c r="AY168">
        <v>160</v>
      </c>
      <c r="AZ168">
        <v>2</v>
      </c>
      <c r="BA168">
        <v>2</v>
      </c>
      <c r="BB168" s="1">
        <v>329</v>
      </c>
      <c r="BC168" s="46">
        <v>11.977</v>
      </c>
      <c r="BF168">
        <v>0</v>
      </c>
      <c r="BG168">
        <v>0</v>
      </c>
      <c r="BH168">
        <v>0</v>
      </c>
      <c r="BI168" s="54">
        <f t="shared" ref="BI168" si="251">BI167</f>
        <v>11.9975</v>
      </c>
    </row>
    <row r="169" spans="1:61">
      <c r="A169">
        <v>0</v>
      </c>
      <c r="B169" t="s">
        <v>7</v>
      </c>
      <c r="C169">
        <v>17856</v>
      </c>
      <c r="D169">
        <v>192</v>
      </c>
      <c r="E169">
        <v>2</v>
      </c>
      <c r="F169">
        <v>2</v>
      </c>
      <c r="G169" s="1">
        <v>338.03</v>
      </c>
      <c r="H169" s="63">
        <v>11.23</v>
      </c>
      <c r="I169" s="27">
        <v>45508</v>
      </c>
      <c r="J169" s="53">
        <v>0.89458333333333329</v>
      </c>
      <c r="K169">
        <v>0</v>
      </c>
      <c r="L169">
        <v>0</v>
      </c>
      <c r="M169">
        <v>0</v>
      </c>
      <c r="N169" s="54">
        <f t="shared" ref="N169" si="252">AVERAGE(H169:H173)</f>
        <v>11.434799999999999</v>
      </c>
      <c r="Q169">
        <v>0</v>
      </c>
      <c r="R169" t="s">
        <v>7</v>
      </c>
      <c r="S169">
        <v>17856</v>
      </c>
      <c r="T169">
        <v>192</v>
      </c>
      <c r="U169">
        <v>2</v>
      </c>
      <c r="V169">
        <v>2</v>
      </c>
      <c r="W169">
        <v>309.24</v>
      </c>
      <c r="X169" s="48">
        <v>12.275</v>
      </c>
      <c r="Y169" s="27">
        <v>45505</v>
      </c>
      <c r="Z169" s="53">
        <v>0.76670138888888884</v>
      </c>
      <c r="AA169">
        <v>0</v>
      </c>
      <c r="AB169">
        <v>0</v>
      </c>
      <c r="AC169">
        <v>0</v>
      </c>
      <c r="AD169" s="54">
        <f t="shared" ref="AD169" si="253">AVERAGE(X169:X173)</f>
        <v>12.322199999999999</v>
      </c>
      <c r="AF169">
        <v>0</v>
      </c>
      <c r="AG169" t="s">
        <v>7</v>
      </c>
      <c r="AH169">
        <v>20160</v>
      </c>
      <c r="AI169">
        <v>160</v>
      </c>
      <c r="AJ169">
        <v>2</v>
      </c>
      <c r="AK169">
        <v>2</v>
      </c>
      <c r="AL169">
        <v>453.69</v>
      </c>
      <c r="AM169" s="48">
        <v>12.041</v>
      </c>
      <c r="AN169" s="27">
        <v>45509</v>
      </c>
      <c r="AO169" s="53">
        <v>4.2326388888888886E-2</v>
      </c>
      <c r="AP169">
        <v>0</v>
      </c>
      <c r="AQ169">
        <v>0</v>
      </c>
      <c r="AR169">
        <v>0</v>
      </c>
      <c r="AS169" s="54">
        <f t="shared" ref="AS169" si="254">AVERAGE(AM169:AM173)</f>
        <v>12.1294</v>
      </c>
      <c r="AT169" s="1">
        <f>AS169</f>
        <v>12.1294</v>
      </c>
      <c r="AV169">
        <v>106</v>
      </c>
      <c r="AW169" t="s">
        <v>71</v>
      </c>
      <c r="AX169">
        <v>18048</v>
      </c>
      <c r="AY169">
        <v>160</v>
      </c>
      <c r="AZ169">
        <v>2</v>
      </c>
      <c r="BA169">
        <v>2</v>
      </c>
      <c r="BB169" s="1">
        <v>327.10000000000002</v>
      </c>
      <c r="BC169" s="46">
        <v>12.047000000000001</v>
      </c>
      <c r="BF169">
        <v>0</v>
      </c>
      <c r="BG169">
        <v>0</v>
      </c>
      <c r="BH169">
        <v>0</v>
      </c>
      <c r="BI169" s="54">
        <f t="shared" si="219"/>
        <v>11.9975</v>
      </c>
    </row>
    <row r="170" spans="1:61">
      <c r="A170">
        <v>1</v>
      </c>
      <c r="B170" t="s">
        <v>7</v>
      </c>
      <c r="C170">
        <v>17856</v>
      </c>
      <c r="D170">
        <v>192</v>
      </c>
      <c r="E170">
        <v>2</v>
      </c>
      <c r="F170">
        <v>2</v>
      </c>
      <c r="G170" s="1">
        <v>330.81</v>
      </c>
      <c r="H170" s="63">
        <v>11.475</v>
      </c>
      <c r="I170" s="27">
        <v>45509</v>
      </c>
      <c r="J170" s="53">
        <v>0.16319444444444445</v>
      </c>
      <c r="K170">
        <v>0</v>
      </c>
      <c r="L170">
        <v>0</v>
      </c>
      <c r="M170">
        <v>0</v>
      </c>
      <c r="N170" s="54">
        <f t="shared" ref="N170" si="255">N169</f>
        <v>11.434799999999999</v>
      </c>
      <c r="Q170">
        <v>1</v>
      </c>
      <c r="R170" t="s">
        <v>7</v>
      </c>
      <c r="S170">
        <v>17856</v>
      </c>
      <c r="T170">
        <v>192</v>
      </c>
      <c r="U170">
        <v>2</v>
      </c>
      <c r="V170">
        <v>2</v>
      </c>
      <c r="W170">
        <v>307.17</v>
      </c>
      <c r="X170" s="48">
        <v>12.358000000000001</v>
      </c>
      <c r="Y170" s="27">
        <v>45506</v>
      </c>
      <c r="Z170" s="53">
        <v>5.9027777777777776E-3</v>
      </c>
      <c r="AA170">
        <v>0</v>
      </c>
      <c r="AB170">
        <v>0</v>
      </c>
      <c r="AC170">
        <v>0</v>
      </c>
      <c r="AD170" s="54">
        <f t="shared" ref="AD170" si="256">AD169</f>
        <v>12.322199999999999</v>
      </c>
      <c r="AF170">
        <v>1</v>
      </c>
      <c r="AG170" t="s">
        <v>7</v>
      </c>
      <c r="AH170">
        <v>20160</v>
      </c>
      <c r="AI170">
        <v>160</v>
      </c>
      <c r="AJ170">
        <v>2</v>
      </c>
      <c r="AK170">
        <v>2</v>
      </c>
      <c r="AL170">
        <v>450.07</v>
      </c>
      <c r="AM170" s="48">
        <v>12.138</v>
      </c>
      <c r="AN170" s="27">
        <v>45509</v>
      </c>
      <c r="AO170" s="53">
        <v>0.27997685185185184</v>
      </c>
      <c r="AP170">
        <v>0</v>
      </c>
      <c r="AQ170">
        <v>0</v>
      </c>
      <c r="AR170">
        <v>0</v>
      </c>
      <c r="AS170" s="54">
        <f t="shared" ref="AS170" si="257">AS169</f>
        <v>12.1294</v>
      </c>
      <c r="AT170" s="1">
        <f>AT169</f>
        <v>12.1294</v>
      </c>
      <c r="AV170">
        <v>154</v>
      </c>
      <c r="AW170" t="s">
        <v>71</v>
      </c>
      <c r="AX170">
        <v>18048</v>
      </c>
      <c r="AY170">
        <v>160</v>
      </c>
      <c r="AZ170">
        <v>2</v>
      </c>
      <c r="BA170">
        <v>2</v>
      </c>
      <c r="BB170" s="1">
        <v>329.93</v>
      </c>
      <c r="BC170" s="46">
        <v>11.943</v>
      </c>
      <c r="BF170">
        <v>0</v>
      </c>
      <c r="BG170">
        <v>0</v>
      </c>
      <c r="BH170">
        <v>0</v>
      </c>
      <c r="BI170" s="54">
        <f t="shared" si="219"/>
        <v>11.9975</v>
      </c>
    </row>
    <row r="171" spans="1:61">
      <c r="A171">
        <v>2</v>
      </c>
      <c r="B171" t="s">
        <v>7</v>
      </c>
      <c r="C171">
        <v>17856</v>
      </c>
      <c r="D171">
        <v>192</v>
      </c>
      <c r="E171">
        <v>2</v>
      </c>
      <c r="F171">
        <v>2</v>
      </c>
      <c r="G171" s="1">
        <v>330.78</v>
      </c>
      <c r="H171" s="63">
        <v>11.476000000000001</v>
      </c>
      <c r="I171" s="27">
        <v>45509</v>
      </c>
      <c r="J171" s="53">
        <v>0.43140046296296297</v>
      </c>
      <c r="K171">
        <v>0</v>
      </c>
      <c r="L171">
        <v>0</v>
      </c>
      <c r="M171">
        <v>0</v>
      </c>
      <c r="N171" s="54">
        <f t="shared" si="216"/>
        <v>11.434799999999999</v>
      </c>
      <c r="Q171">
        <v>2</v>
      </c>
      <c r="R171" t="s">
        <v>7</v>
      </c>
      <c r="S171">
        <v>17856</v>
      </c>
      <c r="T171">
        <v>192</v>
      </c>
      <c r="U171">
        <v>2</v>
      </c>
      <c r="V171">
        <v>2</v>
      </c>
      <c r="W171">
        <v>307.61</v>
      </c>
      <c r="X171" s="48">
        <v>12.34</v>
      </c>
      <c r="Y171" s="27">
        <v>45506</v>
      </c>
      <c r="Z171" s="53">
        <v>0.24314814814814814</v>
      </c>
      <c r="AA171">
        <v>0</v>
      </c>
      <c r="AB171">
        <v>0</v>
      </c>
      <c r="AC171">
        <v>0</v>
      </c>
      <c r="AD171" s="54">
        <f t="shared" si="217"/>
        <v>12.322199999999999</v>
      </c>
      <c r="AF171">
        <v>2</v>
      </c>
      <c r="AG171" t="s">
        <v>7</v>
      </c>
      <c r="AH171">
        <v>20160</v>
      </c>
      <c r="AI171">
        <v>160</v>
      </c>
      <c r="AJ171">
        <v>2</v>
      </c>
      <c r="AK171">
        <v>2</v>
      </c>
      <c r="AL171">
        <v>447.84</v>
      </c>
      <c r="AM171" s="48">
        <v>12.199</v>
      </c>
      <c r="AN171" s="27">
        <v>45509</v>
      </c>
      <c r="AO171" s="53">
        <v>0.51825231481481482</v>
      </c>
      <c r="AP171">
        <v>0</v>
      </c>
      <c r="AQ171">
        <v>0</v>
      </c>
      <c r="AR171">
        <v>0</v>
      </c>
      <c r="AS171" s="54">
        <f t="shared" si="218"/>
        <v>12.1294</v>
      </c>
      <c r="AT171" s="1">
        <f>AT170</f>
        <v>12.1294</v>
      </c>
      <c r="AV171">
        <v>202</v>
      </c>
      <c r="AW171" t="s">
        <v>71</v>
      </c>
      <c r="AX171">
        <v>18048</v>
      </c>
      <c r="AY171">
        <v>160</v>
      </c>
      <c r="AZ171">
        <v>2</v>
      </c>
      <c r="BA171">
        <v>2</v>
      </c>
      <c r="BB171" s="1">
        <v>329.04</v>
      </c>
      <c r="BC171" s="46">
        <v>11.976000000000001</v>
      </c>
      <c r="BF171">
        <v>0</v>
      </c>
      <c r="BG171">
        <v>0</v>
      </c>
      <c r="BH171">
        <v>0</v>
      </c>
      <c r="BI171" s="54">
        <f t="shared" si="219"/>
        <v>11.9975</v>
      </c>
    </row>
    <row r="172" spans="1:61">
      <c r="A172">
        <v>3</v>
      </c>
      <c r="B172" t="s">
        <v>7</v>
      </c>
      <c r="C172">
        <v>17856</v>
      </c>
      <c r="D172">
        <v>192</v>
      </c>
      <c r="E172">
        <v>2</v>
      </c>
      <c r="F172">
        <v>2</v>
      </c>
      <c r="G172" s="1">
        <v>330.39</v>
      </c>
      <c r="H172" s="63">
        <v>11.489000000000001</v>
      </c>
      <c r="I172" s="27">
        <v>45509</v>
      </c>
      <c r="J172" s="53">
        <v>0.69931712962962966</v>
      </c>
      <c r="K172">
        <v>0</v>
      </c>
      <c r="L172">
        <v>0</v>
      </c>
      <c r="M172">
        <v>0</v>
      </c>
      <c r="N172" s="54">
        <f t="shared" si="216"/>
        <v>11.434799999999999</v>
      </c>
      <c r="Q172">
        <v>3</v>
      </c>
      <c r="R172" t="s">
        <v>7</v>
      </c>
      <c r="S172">
        <v>17856</v>
      </c>
      <c r="T172">
        <v>192</v>
      </c>
      <c r="U172">
        <v>2</v>
      </c>
      <c r="V172">
        <v>2</v>
      </c>
      <c r="W172">
        <v>308.7</v>
      </c>
      <c r="X172" s="48">
        <v>12.295999999999999</v>
      </c>
      <c r="Y172" s="27">
        <v>45506</v>
      </c>
      <c r="Z172" s="53">
        <v>0.48053240740740738</v>
      </c>
      <c r="AA172">
        <v>0</v>
      </c>
      <c r="AB172">
        <v>0</v>
      </c>
      <c r="AC172">
        <v>0</v>
      </c>
      <c r="AD172" s="54">
        <f t="shared" si="217"/>
        <v>12.322199999999999</v>
      </c>
      <c r="AF172">
        <v>3</v>
      </c>
      <c r="AG172" t="s">
        <v>7</v>
      </c>
      <c r="AH172">
        <v>20160</v>
      </c>
      <c r="AI172">
        <v>160</v>
      </c>
      <c r="AJ172">
        <v>2</v>
      </c>
      <c r="AK172">
        <v>2</v>
      </c>
      <c r="AL172">
        <v>448.71</v>
      </c>
      <c r="AM172" s="48">
        <v>12.175000000000001</v>
      </c>
      <c r="AN172" s="27">
        <v>45509</v>
      </c>
      <c r="AO172" s="53">
        <v>0.75650462962962961</v>
      </c>
      <c r="AP172">
        <v>0</v>
      </c>
      <c r="AQ172">
        <v>0</v>
      </c>
      <c r="AR172">
        <v>0</v>
      </c>
      <c r="AS172" s="54">
        <f t="shared" si="218"/>
        <v>12.1294</v>
      </c>
      <c r="AT172" s="1">
        <f>AT171</f>
        <v>12.1294</v>
      </c>
      <c r="AV172">
        <v>250</v>
      </c>
      <c r="AW172" t="s">
        <v>71</v>
      </c>
      <c r="AX172">
        <v>18048</v>
      </c>
      <c r="AY172">
        <v>160</v>
      </c>
      <c r="AZ172">
        <v>2</v>
      </c>
      <c r="BA172">
        <v>2</v>
      </c>
      <c r="BB172" s="1">
        <v>326.57</v>
      </c>
      <c r="BC172" s="46">
        <v>12.066000000000001</v>
      </c>
      <c r="BF172">
        <v>0</v>
      </c>
      <c r="BG172">
        <v>0</v>
      </c>
      <c r="BH172">
        <v>0</v>
      </c>
      <c r="BI172" s="54">
        <f t="shared" si="219"/>
        <v>11.9975</v>
      </c>
    </row>
    <row r="173" spans="1:61">
      <c r="A173">
        <v>4</v>
      </c>
      <c r="B173" t="s">
        <v>7</v>
      </c>
      <c r="C173">
        <v>17856</v>
      </c>
      <c r="D173">
        <v>192</v>
      </c>
      <c r="E173">
        <v>2</v>
      </c>
      <c r="F173">
        <v>2</v>
      </c>
      <c r="G173" s="1">
        <v>329.96</v>
      </c>
      <c r="H173" s="63">
        <v>11.504</v>
      </c>
      <c r="I173" s="27">
        <v>45509</v>
      </c>
      <c r="J173" s="53">
        <v>0.96724537037037039</v>
      </c>
      <c r="K173">
        <v>0</v>
      </c>
      <c r="L173">
        <v>0</v>
      </c>
      <c r="M173">
        <v>0</v>
      </c>
      <c r="N173" s="54">
        <f t="shared" si="216"/>
        <v>11.434799999999999</v>
      </c>
      <c r="Q173">
        <v>4</v>
      </c>
      <c r="R173" t="s">
        <v>7</v>
      </c>
      <c r="S173">
        <v>17856</v>
      </c>
      <c r="T173">
        <v>192</v>
      </c>
      <c r="U173">
        <v>2</v>
      </c>
      <c r="V173">
        <v>2</v>
      </c>
      <c r="W173">
        <v>307.55</v>
      </c>
      <c r="X173" s="48">
        <v>12.342000000000001</v>
      </c>
      <c r="Y173" s="27">
        <v>45506</v>
      </c>
      <c r="Z173" s="53">
        <v>0.71778935185185189</v>
      </c>
      <c r="AA173">
        <v>0</v>
      </c>
      <c r="AB173">
        <v>0</v>
      </c>
      <c r="AC173">
        <v>0</v>
      </c>
      <c r="AD173" s="54">
        <f t="shared" si="217"/>
        <v>12.322199999999999</v>
      </c>
      <c r="AF173">
        <v>4</v>
      </c>
      <c r="AG173" t="s">
        <v>7</v>
      </c>
      <c r="AH173">
        <v>20160</v>
      </c>
      <c r="AI173">
        <v>160</v>
      </c>
      <c r="AJ173">
        <v>2</v>
      </c>
      <c r="AK173">
        <v>2</v>
      </c>
      <c r="AL173">
        <v>451.73</v>
      </c>
      <c r="AM173" s="48">
        <v>12.093999999999999</v>
      </c>
      <c r="AN173" s="27">
        <v>45509</v>
      </c>
      <c r="AO173" s="53">
        <v>0.99417824074074079</v>
      </c>
      <c r="AP173">
        <v>0</v>
      </c>
      <c r="AQ173">
        <v>0</v>
      </c>
      <c r="AR173">
        <v>0</v>
      </c>
      <c r="AS173" s="54">
        <f t="shared" si="218"/>
        <v>12.1294</v>
      </c>
      <c r="AT173" s="1">
        <f>AT172</f>
        <v>12.1294</v>
      </c>
      <c r="AV173">
        <v>26</v>
      </c>
      <c r="AW173" t="s">
        <v>71</v>
      </c>
      <c r="AX173">
        <v>19072</v>
      </c>
      <c r="AY173">
        <v>160</v>
      </c>
      <c r="AZ173">
        <v>2</v>
      </c>
      <c r="BA173">
        <v>2</v>
      </c>
      <c r="BB173" s="1">
        <v>379.04</v>
      </c>
      <c r="BC173" s="46">
        <v>12.141999999999999</v>
      </c>
      <c r="BF173">
        <v>0</v>
      </c>
      <c r="BG173">
        <v>0</v>
      </c>
      <c r="BH173">
        <v>0</v>
      </c>
      <c r="BI173" s="54">
        <f t="shared" ref="BI173" si="258">AVERAGE(BC173:BC178)</f>
        <v>12.0845</v>
      </c>
    </row>
    <row r="174" spans="1:61">
      <c r="A174">
        <v>0</v>
      </c>
      <c r="B174" t="s">
        <v>7</v>
      </c>
      <c r="C174">
        <v>19008</v>
      </c>
      <c r="D174">
        <v>192</v>
      </c>
      <c r="E174">
        <v>2</v>
      </c>
      <c r="F174">
        <v>2</v>
      </c>
      <c r="G174" s="1">
        <v>405.4</v>
      </c>
      <c r="H174" s="63">
        <v>11.295</v>
      </c>
      <c r="I174" s="27">
        <v>45508</v>
      </c>
      <c r="J174" s="53">
        <v>0.98041666666666671</v>
      </c>
      <c r="K174">
        <v>0</v>
      </c>
      <c r="L174">
        <v>0</v>
      </c>
      <c r="M174">
        <v>0</v>
      </c>
      <c r="N174" s="54">
        <f t="shared" ref="N174" si="259">AVERAGE(H174:H178)</f>
        <v>11.365799999999998</v>
      </c>
      <c r="Q174">
        <v>0</v>
      </c>
      <c r="R174" t="s">
        <v>7</v>
      </c>
      <c r="S174">
        <v>19008</v>
      </c>
      <c r="T174">
        <v>192</v>
      </c>
      <c r="U174">
        <v>2</v>
      </c>
      <c r="V174">
        <v>2</v>
      </c>
      <c r="W174">
        <v>374.18</v>
      </c>
      <c r="X174" s="48">
        <v>12.237</v>
      </c>
      <c r="Y174" s="27">
        <v>45505</v>
      </c>
      <c r="Z174" s="53">
        <v>0.84358796296296301</v>
      </c>
      <c r="AA174">
        <v>0</v>
      </c>
      <c r="AB174">
        <v>0</v>
      </c>
      <c r="AC174">
        <v>0</v>
      </c>
      <c r="AD174" s="54">
        <f t="shared" ref="AD174" si="260">AVERAGE(X174:X178)</f>
        <v>12.428000000000001</v>
      </c>
      <c r="AF174">
        <v>0</v>
      </c>
      <c r="AG174" t="s">
        <v>7</v>
      </c>
      <c r="AH174">
        <v>17920</v>
      </c>
      <c r="AI174">
        <v>160</v>
      </c>
      <c r="AJ174">
        <v>2</v>
      </c>
      <c r="AK174">
        <v>2</v>
      </c>
      <c r="AL174">
        <v>319.05</v>
      </c>
      <c r="AM174" s="48">
        <v>12.026</v>
      </c>
      <c r="AN174" s="27">
        <v>45508</v>
      </c>
      <c r="AO174" s="53">
        <v>0.88077546296296294</v>
      </c>
      <c r="AP174">
        <v>0</v>
      </c>
      <c r="AQ174">
        <v>0</v>
      </c>
      <c r="AR174">
        <v>0</v>
      </c>
      <c r="AS174" s="54">
        <f t="shared" ref="AS174" si="261">AVERAGE(AM174:AM178)</f>
        <v>12.0434</v>
      </c>
      <c r="AT174" s="1">
        <f>AS174</f>
        <v>12.0434</v>
      </c>
      <c r="AV174">
        <v>74</v>
      </c>
      <c r="AW174" t="s">
        <v>71</v>
      </c>
      <c r="AX174">
        <v>19072</v>
      </c>
      <c r="AY174">
        <v>160</v>
      </c>
      <c r="AZ174">
        <v>2</v>
      </c>
      <c r="BA174">
        <v>2</v>
      </c>
      <c r="BB174" s="1">
        <v>379.44</v>
      </c>
      <c r="BC174" s="46">
        <v>12.129</v>
      </c>
      <c r="BF174">
        <v>0</v>
      </c>
      <c r="BG174">
        <v>0</v>
      </c>
      <c r="BH174">
        <v>0</v>
      </c>
      <c r="BI174" s="54">
        <f t="shared" ref="BI174" si="262">BI173</f>
        <v>12.0845</v>
      </c>
    </row>
    <row r="175" spans="1:61">
      <c r="A175">
        <v>1</v>
      </c>
      <c r="B175" t="s">
        <v>7</v>
      </c>
      <c r="C175">
        <v>19008</v>
      </c>
      <c r="D175">
        <v>192</v>
      </c>
      <c r="E175">
        <v>2</v>
      </c>
      <c r="F175">
        <v>2</v>
      </c>
      <c r="G175" s="1">
        <v>403.26</v>
      </c>
      <c r="H175" s="63">
        <v>11.355</v>
      </c>
      <c r="I175" s="27">
        <v>45509</v>
      </c>
      <c r="J175" s="53">
        <v>0.24856481481481482</v>
      </c>
      <c r="K175">
        <v>0</v>
      </c>
      <c r="L175">
        <v>0</v>
      </c>
      <c r="M175">
        <v>0</v>
      </c>
      <c r="N175" s="54">
        <f t="shared" ref="N175" si="263">N174</f>
        <v>11.365799999999998</v>
      </c>
      <c r="Q175">
        <v>1</v>
      </c>
      <c r="R175" t="s">
        <v>7</v>
      </c>
      <c r="S175">
        <v>19008</v>
      </c>
      <c r="T175">
        <v>192</v>
      </c>
      <c r="U175">
        <v>2</v>
      </c>
      <c r="V175">
        <v>2</v>
      </c>
      <c r="W175">
        <v>368.12</v>
      </c>
      <c r="X175" s="48">
        <v>12.439</v>
      </c>
      <c r="Y175" s="27">
        <v>45506</v>
      </c>
      <c r="Z175" s="53">
        <v>8.1307870370370364E-2</v>
      </c>
      <c r="AA175">
        <v>0</v>
      </c>
      <c r="AB175">
        <v>0</v>
      </c>
      <c r="AC175">
        <v>0</v>
      </c>
      <c r="AD175" s="54">
        <f t="shared" ref="AD175" si="264">AD174</f>
        <v>12.428000000000001</v>
      </c>
      <c r="AF175">
        <v>1</v>
      </c>
      <c r="AG175" t="s">
        <v>7</v>
      </c>
      <c r="AH175">
        <v>17920</v>
      </c>
      <c r="AI175">
        <v>160</v>
      </c>
      <c r="AJ175">
        <v>2</v>
      </c>
      <c r="AK175">
        <v>2</v>
      </c>
      <c r="AL175">
        <v>319.95</v>
      </c>
      <c r="AM175" s="48">
        <v>11.992000000000001</v>
      </c>
      <c r="AN175" s="27">
        <v>45509</v>
      </c>
      <c r="AO175" s="53">
        <v>0.11811342592592593</v>
      </c>
      <c r="AP175">
        <v>0</v>
      </c>
      <c r="AQ175">
        <v>0</v>
      </c>
      <c r="AR175">
        <v>0</v>
      </c>
      <c r="AS175" s="54">
        <f t="shared" ref="AS175" si="265">AS174</f>
        <v>12.0434</v>
      </c>
      <c r="AT175" s="1">
        <f>AT174</f>
        <v>12.0434</v>
      </c>
      <c r="AV175">
        <v>122</v>
      </c>
      <c r="AW175" t="s">
        <v>71</v>
      </c>
      <c r="AX175">
        <v>19072</v>
      </c>
      <c r="AY175">
        <v>160</v>
      </c>
      <c r="AZ175">
        <v>2</v>
      </c>
      <c r="BA175">
        <v>2</v>
      </c>
      <c r="BB175" s="1">
        <v>380.18</v>
      </c>
      <c r="BC175" s="46">
        <v>12.105</v>
      </c>
      <c r="BF175">
        <v>0</v>
      </c>
      <c r="BG175">
        <v>0</v>
      </c>
      <c r="BH175">
        <v>0</v>
      </c>
      <c r="BI175" s="54">
        <f t="shared" si="219"/>
        <v>12.0845</v>
      </c>
    </row>
    <row r="176" spans="1:61">
      <c r="A176">
        <v>2</v>
      </c>
      <c r="B176" t="s">
        <v>7</v>
      </c>
      <c r="C176">
        <v>19008</v>
      </c>
      <c r="D176">
        <v>192</v>
      </c>
      <c r="E176">
        <v>2</v>
      </c>
      <c r="F176">
        <v>2</v>
      </c>
      <c r="G176" s="1">
        <v>402.56</v>
      </c>
      <c r="H176" s="63">
        <v>11.375</v>
      </c>
      <c r="I176" s="27">
        <v>45509</v>
      </c>
      <c r="J176" s="53">
        <v>0.51657407407407407</v>
      </c>
      <c r="K176">
        <v>0</v>
      </c>
      <c r="L176">
        <v>0</v>
      </c>
      <c r="M176">
        <v>0</v>
      </c>
      <c r="N176" s="54">
        <f t="shared" si="216"/>
        <v>11.365799999999998</v>
      </c>
      <c r="Q176">
        <v>2</v>
      </c>
      <c r="R176" t="s">
        <v>7</v>
      </c>
      <c r="S176">
        <v>19008</v>
      </c>
      <c r="T176">
        <v>192</v>
      </c>
      <c r="U176">
        <v>2</v>
      </c>
      <c r="V176">
        <v>2</v>
      </c>
      <c r="W176">
        <v>368.78</v>
      </c>
      <c r="X176" s="48">
        <v>12.417</v>
      </c>
      <c r="Y176" s="27">
        <v>45506</v>
      </c>
      <c r="Z176" s="53">
        <v>0.31876157407407407</v>
      </c>
      <c r="AA176">
        <v>0</v>
      </c>
      <c r="AB176">
        <v>0</v>
      </c>
      <c r="AC176">
        <v>0</v>
      </c>
      <c r="AD176" s="54">
        <f t="shared" si="217"/>
        <v>12.428000000000001</v>
      </c>
      <c r="AF176">
        <v>2</v>
      </c>
      <c r="AG176" t="s">
        <v>7</v>
      </c>
      <c r="AH176">
        <v>17920</v>
      </c>
      <c r="AI176">
        <v>160</v>
      </c>
      <c r="AJ176">
        <v>2</v>
      </c>
      <c r="AK176">
        <v>2</v>
      </c>
      <c r="AL176">
        <v>316.54000000000002</v>
      </c>
      <c r="AM176" s="48">
        <v>12.121</v>
      </c>
      <c r="AN176" s="27">
        <v>45509</v>
      </c>
      <c r="AO176" s="53">
        <v>0.3555787037037037</v>
      </c>
      <c r="AP176">
        <v>0</v>
      </c>
      <c r="AQ176">
        <v>0</v>
      </c>
      <c r="AR176">
        <v>0</v>
      </c>
      <c r="AS176" s="54">
        <f t="shared" si="218"/>
        <v>12.0434</v>
      </c>
      <c r="AT176" s="1">
        <f>AT175</f>
        <v>12.0434</v>
      </c>
      <c r="AV176">
        <v>170</v>
      </c>
      <c r="AW176" t="s">
        <v>71</v>
      </c>
      <c r="AX176">
        <v>19072</v>
      </c>
      <c r="AY176">
        <v>160</v>
      </c>
      <c r="AZ176">
        <v>2</v>
      </c>
      <c r="BA176">
        <v>2</v>
      </c>
      <c r="BB176" s="1">
        <v>386.67</v>
      </c>
      <c r="BC176" s="46">
        <v>11.901999999999999</v>
      </c>
      <c r="BF176">
        <v>0</v>
      </c>
      <c r="BG176">
        <v>0</v>
      </c>
      <c r="BH176">
        <v>0</v>
      </c>
      <c r="BI176" s="54">
        <f t="shared" si="219"/>
        <v>12.0845</v>
      </c>
    </row>
    <row r="177" spans="1:61">
      <c r="A177">
        <v>3</v>
      </c>
      <c r="B177" t="s">
        <v>7</v>
      </c>
      <c r="C177">
        <v>19008</v>
      </c>
      <c r="D177">
        <v>192</v>
      </c>
      <c r="E177">
        <v>2</v>
      </c>
      <c r="F177">
        <v>2</v>
      </c>
      <c r="G177" s="1">
        <v>401.23</v>
      </c>
      <c r="H177" s="63">
        <v>11.412000000000001</v>
      </c>
      <c r="I177" s="27">
        <v>45509</v>
      </c>
      <c r="J177" s="53">
        <v>0.78451388888888884</v>
      </c>
      <c r="K177">
        <v>0</v>
      </c>
      <c r="L177">
        <v>0</v>
      </c>
      <c r="M177">
        <v>0</v>
      </c>
      <c r="N177" s="54">
        <f t="shared" si="216"/>
        <v>11.365799999999998</v>
      </c>
      <c r="Q177">
        <v>3</v>
      </c>
      <c r="R177" t="s">
        <v>7</v>
      </c>
      <c r="S177">
        <v>19008</v>
      </c>
      <c r="T177">
        <v>192</v>
      </c>
      <c r="U177">
        <v>2</v>
      </c>
      <c r="V177">
        <v>2</v>
      </c>
      <c r="W177">
        <v>365.44</v>
      </c>
      <c r="X177" s="48">
        <v>12.53</v>
      </c>
      <c r="Y177" s="27">
        <v>45506</v>
      </c>
      <c r="Z177" s="53">
        <v>0.5559722222222222</v>
      </c>
      <c r="AA177">
        <v>0</v>
      </c>
      <c r="AB177">
        <v>0</v>
      </c>
      <c r="AC177">
        <v>0</v>
      </c>
      <c r="AD177" s="54">
        <f t="shared" si="217"/>
        <v>12.428000000000001</v>
      </c>
      <c r="AF177">
        <v>3</v>
      </c>
      <c r="AG177" t="s">
        <v>7</v>
      </c>
      <c r="AH177">
        <v>17920</v>
      </c>
      <c r="AI177">
        <v>160</v>
      </c>
      <c r="AJ177">
        <v>2</v>
      </c>
      <c r="AK177">
        <v>2</v>
      </c>
      <c r="AL177">
        <v>318.45</v>
      </c>
      <c r="AM177" s="48">
        <v>12.048999999999999</v>
      </c>
      <c r="AN177" s="27">
        <v>45509</v>
      </c>
      <c r="AO177" s="53">
        <v>0.59406250000000005</v>
      </c>
      <c r="AP177">
        <v>0</v>
      </c>
      <c r="AQ177">
        <v>0</v>
      </c>
      <c r="AR177">
        <v>0</v>
      </c>
      <c r="AS177" s="54">
        <f t="shared" si="218"/>
        <v>12.0434</v>
      </c>
      <c r="AT177" s="1">
        <f>AT176</f>
        <v>12.0434</v>
      </c>
      <c r="AV177">
        <v>218</v>
      </c>
      <c r="AW177" t="s">
        <v>71</v>
      </c>
      <c r="AX177">
        <v>19072</v>
      </c>
      <c r="AY177">
        <v>160</v>
      </c>
      <c r="AZ177">
        <v>2</v>
      </c>
      <c r="BA177">
        <v>2</v>
      </c>
      <c r="BB177" s="1">
        <v>378.65</v>
      </c>
      <c r="BC177" s="46">
        <v>12.154</v>
      </c>
      <c r="BF177">
        <v>0</v>
      </c>
      <c r="BG177">
        <v>0</v>
      </c>
      <c r="BH177">
        <v>0</v>
      </c>
      <c r="BI177" s="54">
        <f t="shared" si="219"/>
        <v>12.0845</v>
      </c>
    </row>
    <row r="178" spans="1:61">
      <c r="A178">
        <v>4</v>
      </c>
      <c r="B178" t="s">
        <v>7</v>
      </c>
      <c r="C178">
        <v>19008</v>
      </c>
      <c r="D178">
        <v>192</v>
      </c>
      <c r="E178">
        <v>2</v>
      </c>
      <c r="F178">
        <v>2</v>
      </c>
      <c r="G178" s="1">
        <v>401.96</v>
      </c>
      <c r="H178" s="63">
        <v>11.391999999999999</v>
      </c>
      <c r="I178" s="27">
        <v>45510</v>
      </c>
      <c r="J178" s="53">
        <v>5.2476851851851851E-2</v>
      </c>
      <c r="K178">
        <v>0</v>
      </c>
      <c r="L178">
        <v>0</v>
      </c>
      <c r="M178">
        <v>0</v>
      </c>
      <c r="N178" s="54">
        <f t="shared" si="216"/>
        <v>11.365799999999998</v>
      </c>
      <c r="Q178">
        <v>4</v>
      </c>
      <c r="R178" t="s">
        <v>7</v>
      </c>
      <c r="S178">
        <v>19008</v>
      </c>
      <c r="T178">
        <v>192</v>
      </c>
      <c r="U178">
        <v>2</v>
      </c>
      <c r="V178">
        <v>2</v>
      </c>
      <c r="W178">
        <v>365.83</v>
      </c>
      <c r="X178" s="48">
        <v>12.516999999999999</v>
      </c>
      <c r="Y178" s="27">
        <v>45506</v>
      </c>
      <c r="Z178" s="53">
        <v>0.79356481481481478</v>
      </c>
      <c r="AA178">
        <v>0</v>
      </c>
      <c r="AB178">
        <v>0</v>
      </c>
      <c r="AC178">
        <v>0</v>
      </c>
      <c r="AD178" s="54">
        <f t="shared" si="217"/>
        <v>12.428000000000001</v>
      </c>
      <c r="AF178">
        <v>4</v>
      </c>
      <c r="AG178" t="s">
        <v>7</v>
      </c>
      <c r="AH178">
        <v>17920</v>
      </c>
      <c r="AI178">
        <v>160</v>
      </c>
      <c r="AJ178">
        <v>2</v>
      </c>
      <c r="AK178">
        <v>2</v>
      </c>
      <c r="AL178">
        <v>318.97000000000003</v>
      </c>
      <c r="AM178" s="48">
        <v>12.029</v>
      </c>
      <c r="AN178" s="27">
        <v>45509</v>
      </c>
      <c r="AO178" s="53">
        <v>0.83226851851851846</v>
      </c>
      <c r="AP178">
        <v>0</v>
      </c>
      <c r="AQ178">
        <v>0</v>
      </c>
      <c r="AR178">
        <v>0</v>
      </c>
      <c r="AS178" s="54">
        <f t="shared" si="218"/>
        <v>12.0434</v>
      </c>
      <c r="AT178" s="1">
        <f>AT177</f>
        <v>12.0434</v>
      </c>
      <c r="AV178">
        <v>266</v>
      </c>
      <c r="AW178" t="s">
        <v>71</v>
      </c>
      <c r="AX178">
        <v>19072</v>
      </c>
      <c r="AY178">
        <v>160</v>
      </c>
      <c r="AZ178">
        <v>2</v>
      </c>
      <c r="BA178">
        <v>2</v>
      </c>
      <c r="BB178" s="1">
        <v>381.13</v>
      </c>
      <c r="BC178" s="46">
        <v>12.074999999999999</v>
      </c>
      <c r="BF178">
        <v>0</v>
      </c>
      <c r="BG178">
        <v>0</v>
      </c>
      <c r="BH178">
        <v>0</v>
      </c>
      <c r="BI178" s="54">
        <f t="shared" si="219"/>
        <v>12.0845</v>
      </c>
    </row>
    <row r="179" spans="1:61">
      <c r="A179">
        <v>0</v>
      </c>
      <c r="B179" t="s">
        <v>7</v>
      </c>
      <c r="C179">
        <v>20160</v>
      </c>
      <c r="D179">
        <v>192</v>
      </c>
      <c r="E179">
        <v>2</v>
      </c>
      <c r="F179">
        <v>2</v>
      </c>
      <c r="G179" s="1">
        <v>476.5</v>
      </c>
      <c r="H179" s="63">
        <v>11.465</v>
      </c>
      <c r="I179" s="27">
        <v>45509</v>
      </c>
      <c r="J179" s="53">
        <v>8.1296296296296297E-2</v>
      </c>
      <c r="K179">
        <v>0</v>
      </c>
      <c r="L179">
        <v>0</v>
      </c>
      <c r="M179">
        <v>0</v>
      </c>
      <c r="N179" s="54">
        <f t="shared" ref="N179" si="266">AVERAGE(H179:H183)</f>
        <v>11.4686</v>
      </c>
      <c r="Q179">
        <v>0</v>
      </c>
      <c r="R179" t="s">
        <v>7</v>
      </c>
      <c r="S179">
        <v>20160</v>
      </c>
      <c r="T179">
        <v>192</v>
      </c>
      <c r="U179">
        <v>2</v>
      </c>
      <c r="V179">
        <v>2</v>
      </c>
      <c r="W179">
        <v>439.09</v>
      </c>
      <c r="X179" s="48">
        <v>12.441000000000001</v>
      </c>
      <c r="Y179" s="27">
        <v>45505</v>
      </c>
      <c r="Z179" s="53">
        <v>0.93329861111111112</v>
      </c>
      <c r="AA179">
        <v>0</v>
      </c>
      <c r="AB179">
        <v>0</v>
      </c>
      <c r="AC179">
        <v>0</v>
      </c>
      <c r="AD179" s="54">
        <f t="shared" ref="AD179" si="267">AVERAGE(X179:X183)</f>
        <v>12.4252</v>
      </c>
      <c r="AF179">
        <v>0</v>
      </c>
      <c r="AG179" t="s">
        <v>7</v>
      </c>
      <c r="AH179">
        <v>19072</v>
      </c>
      <c r="AI179">
        <v>64</v>
      </c>
      <c r="AJ179">
        <v>1</v>
      </c>
      <c r="AK179">
        <v>4</v>
      </c>
      <c r="AL179">
        <v>387.57</v>
      </c>
      <c r="AM179" s="48">
        <v>11.933999999999999</v>
      </c>
      <c r="AN179" s="27">
        <v>45508</v>
      </c>
      <c r="AO179" s="53">
        <v>0.92277777777777781</v>
      </c>
      <c r="AP179">
        <v>0</v>
      </c>
      <c r="AQ179">
        <v>0</v>
      </c>
      <c r="AR179">
        <v>0</v>
      </c>
      <c r="AS179" s="54">
        <f t="shared" ref="AS179" si="268">AVERAGE(AM179:AM183)</f>
        <v>11.950799999999999</v>
      </c>
      <c r="AT179" s="1">
        <f>AS179</f>
        <v>11.950799999999999</v>
      </c>
      <c r="AV179">
        <v>42</v>
      </c>
      <c r="AW179" t="s">
        <v>71</v>
      </c>
      <c r="AX179">
        <v>20096</v>
      </c>
      <c r="AY179">
        <v>160</v>
      </c>
      <c r="AZ179">
        <v>2</v>
      </c>
      <c r="BA179">
        <v>2</v>
      </c>
      <c r="BB179" s="1">
        <v>451.69</v>
      </c>
      <c r="BC179" s="46">
        <v>12.095000000000001</v>
      </c>
      <c r="BF179">
        <v>0</v>
      </c>
      <c r="BG179">
        <v>0</v>
      </c>
      <c r="BH179">
        <v>0</v>
      </c>
      <c r="BI179" s="54">
        <f t="shared" ref="BI179" si="269">AVERAGE(BC179:BC184)</f>
        <v>12.034833333333333</v>
      </c>
    </row>
    <row r="180" spans="1:61">
      <c r="A180">
        <v>1</v>
      </c>
      <c r="B180" t="s">
        <v>7</v>
      </c>
      <c r="C180">
        <v>20160</v>
      </c>
      <c r="D180">
        <v>192</v>
      </c>
      <c r="E180">
        <v>2</v>
      </c>
      <c r="F180">
        <v>2</v>
      </c>
      <c r="G180" s="1">
        <v>476.96</v>
      </c>
      <c r="H180" s="63">
        <v>11.454000000000001</v>
      </c>
      <c r="I180" s="27">
        <v>45509</v>
      </c>
      <c r="J180" s="53">
        <v>0.34960648148148149</v>
      </c>
      <c r="K180">
        <v>0</v>
      </c>
      <c r="L180">
        <v>0</v>
      </c>
      <c r="M180">
        <v>0</v>
      </c>
      <c r="N180" s="54">
        <f t="shared" ref="N180" si="270">N179</f>
        <v>11.4686</v>
      </c>
      <c r="Q180">
        <v>1</v>
      </c>
      <c r="R180" t="s">
        <v>7</v>
      </c>
      <c r="S180">
        <v>20160</v>
      </c>
      <c r="T180">
        <v>192</v>
      </c>
      <c r="U180">
        <v>2</v>
      </c>
      <c r="V180">
        <v>2</v>
      </c>
      <c r="W180">
        <v>437.9</v>
      </c>
      <c r="X180" s="48">
        <v>12.475</v>
      </c>
      <c r="Y180" s="27">
        <v>45506</v>
      </c>
      <c r="Z180" s="53">
        <v>0.17076388888888888</v>
      </c>
      <c r="AA180">
        <v>0</v>
      </c>
      <c r="AB180">
        <v>0</v>
      </c>
      <c r="AC180">
        <v>0</v>
      </c>
      <c r="AD180" s="54">
        <f t="shared" ref="AD180" si="271">AD179</f>
        <v>12.4252</v>
      </c>
      <c r="AF180">
        <v>1</v>
      </c>
      <c r="AG180" t="s">
        <v>7</v>
      </c>
      <c r="AH180">
        <v>19072</v>
      </c>
      <c r="AI180">
        <v>64</v>
      </c>
      <c r="AJ180">
        <v>1</v>
      </c>
      <c r="AK180">
        <v>4</v>
      </c>
      <c r="AL180">
        <v>386.85</v>
      </c>
      <c r="AM180" s="48">
        <v>11.957000000000001</v>
      </c>
      <c r="AN180" s="27">
        <v>45509</v>
      </c>
      <c r="AO180" s="53">
        <v>0.16010416666666666</v>
      </c>
      <c r="AP180">
        <v>0</v>
      </c>
      <c r="AQ180">
        <v>0</v>
      </c>
      <c r="AR180">
        <v>0</v>
      </c>
      <c r="AS180" s="54">
        <f t="shared" ref="AS180" si="272">AS179</f>
        <v>11.950799999999999</v>
      </c>
      <c r="AT180" s="1">
        <f>AT179</f>
        <v>11.950799999999999</v>
      </c>
      <c r="AV180">
        <v>90</v>
      </c>
      <c r="AW180" t="s">
        <v>71</v>
      </c>
      <c r="AX180">
        <v>20096</v>
      </c>
      <c r="AY180">
        <v>160</v>
      </c>
      <c r="AZ180">
        <v>2</v>
      </c>
      <c r="BA180">
        <v>2</v>
      </c>
      <c r="BB180" s="1">
        <v>455.31</v>
      </c>
      <c r="BC180" s="46">
        <v>11.997999999999999</v>
      </c>
      <c r="BF180">
        <v>0</v>
      </c>
      <c r="BG180">
        <v>0</v>
      </c>
      <c r="BH180">
        <v>0</v>
      </c>
      <c r="BI180" s="54">
        <f t="shared" ref="BI180" si="273">BI179</f>
        <v>12.034833333333333</v>
      </c>
    </row>
    <row r="181" spans="1:61">
      <c r="A181">
        <v>2</v>
      </c>
      <c r="B181" t="s">
        <v>7</v>
      </c>
      <c r="C181">
        <v>20160</v>
      </c>
      <c r="D181">
        <v>192</v>
      </c>
      <c r="E181">
        <v>2</v>
      </c>
      <c r="F181">
        <v>2</v>
      </c>
      <c r="G181" s="1">
        <v>477.95</v>
      </c>
      <c r="H181" s="63">
        <v>11.43</v>
      </c>
      <c r="I181" s="27">
        <v>45509</v>
      </c>
      <c r="J181" s="53">
        <v>0.61744212962962963</v>
      </c>
      <c r="K181">
        <v>0</v>
      </c>
      <c r="L181">
        <v>0</v>
      </c>
      <c r="M181">
        <v>0</v>
      </c>
      <c r="N181" s="54">
        <f t="shared" si="216"/>
        <v>11.4686</v>
      </c>
      <c r="Q181">
        <v>2</v>
      </c>
      <c r="R181" t="s">
        <v>7</v>
      </c>
      <c r="S181">
        <v>20160</v>
      </c>
      <c r="T181">
        <v>192</v>
      </c>
      <c r="U181">
        <v>2</v>
      </c>
      <c r="V181">
        <v>2</v>
      </c>
      <c r="W181">
        <v>438.33</v>
      </c>
      <c r="X181" s="48">
        <v>12.462999999999999</v>
      </c>
      <c r="Y181" s="27">
        <v>45506</v>
      </c>
      <c r="Z181" s="53">
        <v>0.40812500000000002</v>
      </c>
      <c r="AA181">
        <v>0</v>
      </c>
      <c r="AB181">
        <v>0</v>
      </c>
      <c r="AC181">
        <v>0</v>
      </c>
      <c r="AD181" s="54">
        <f t="shared" si="217"/>
        <v>12.4252</v>
      </c>
      <c r="AF181">
        <v>2</v>
      </c>
      <c r="AG181" t="s">
        <v>7</v>
      </c>
      <c r="AH181">
        <v>19072</v>
      </c>
      <c r="AI181">
        <v>64</v>
      </c>
      <c r="AJ181">
        <v>1</v>
      </c>
      <c r="AK181">
        <v>4</v>
      </c>
      <c r="AL181">
        <v>386.63</v>
      </c>
      <c r="AM181" s="48">
        <v>11.962999999999999</v>
      </c>
      <c r="AN181" s="27">
        <v>45509</v>
      </c>
      <c r="AO181" s="53">
        <v>0.39752314814814815</v>
      </c>
      <c r="AP181">
        <v>0</v>
      </c>
      <c r="AQ181">
        <v>0</v>
      </c>
      <c r="AR181">
        <v>0</v>
      </c>
      <c r="AS181" s="54">
        <f t="shared" si="218"/>
        <v>11.950799999999999</v>
      </c>
      <c r="AT181" s="1">
        <f>AT180</f>
        <v>11.950799999999999</v>
      </c>
      <c r="AV181">
        <v>138</v>
      </c>
      <c r="AW181" t="s">
        <v>71</v>
      </c>
      <c r="AX181">
        <v>20096</v>
      </c>
      <c r="AY181">
        <v>160</v>
      </c>
      <c r="AZ181">
        <v>2</v>
      </c>
      <c r="BA181">
        <v>2</v>
      </c>
      <c r="BB181" s="1">
        <v>450.77</v>
      </c>
      <c r="BC181" s="46">
        <v>12.119</v>
      </c>
      <c r="BF181">
        <v>0</v>
      </c>
      <c r="BG181">
        <v>0</v>
      </c>
      <c r="BH181">
        <v>0</v>
      </c>
      <c r="BI181" s="54">
        <f t="shared" si="219"/>
        <v>12.034833333333333</v>
      </c>
    </row>
    <row r="182" spans="1:61">
      <c r="A182">
        <v>3</v>
      </c>
      <c r="B182" t="s">
        <v>7</v>
      </c>
      <c r="C182">
        <v>20160</v>
      </c>
      <c r="D182">
        <v>192</v>
      </c>
      <c r="E182">
        <v>2</v>
      </c>
      <c r="F182">
        <v>2</v>
      </c>
      <c r="G182" s="1">
        <v>474.16</v>
      </c>
      <c r="H182" s="63">
        <v>11.521000000000001</v>
      </c>
      <c r="I182" s="27">
        <v>45509</v>
      </c>
      <c r="J182" s="53">
        <v>0.88539351851851855</v>
      </c>
      <c r="K182">
        <v>0</v>
      </c>
      <c r="L182">
        <v>0</v>
      </c>
      <c r="M182">
        <v>0</v>
      </c>
      <c r="N182" s="54">
        <f t="shared" si="216"/>
        <v>11.4686</v>
      </c>
      <c r="Q182">
        <v>3</v>
      </c>
      <c r="R182" t="s">
        <v>7</v>
      </c>
      <c r="S182">
        <v>20160</v>
      </c>
      <c r="T182">
        <v>192</v>
      </c>
      <c r="U182">
        <v>2</v>
      </c>
      <c r="V182">
        <v>2</v>
      </c>
      <c r="W182">
        <v>435.99</v>
      </c>
      <c r="X182" s="48">
        <v>12.53</v>
      </c>
      <c r="Y182" s="27">
        <v>45506</v>
      </c>
      <c r="Z182" s="53">
        <v>0.64549768518518513</v>
      </c>
      <c r="AA182">
        <v>0</v>
      </c>
      <c r="AB182">
        <v>0</v>
      </c>
      <c r="AC182">
        <v>0</v>
      </c>
      <c r="AD182" s="54">
        <f t="shared" si="217"/>
        <v>12.4252</v>
      </c>
      <c r="AF182">
        <v>3</v>
      </c>
      <c r="AG182" t="s">
        <v>7</v>
      </c>
      <c r="AH182">
        <v>19072</v>
      </c>
      <c r="AI182">
        <v>64</v>
      </c>
      <c r="AJ182">
        <v>1</v>
      </c>
      <c r="AK182">
        <v>4</v>
      </c>
      <c r="AL182">
        <v>387.32</v>
      </c>
      <c r="AM182" s="48">
        <v>11.942</v>
      </c>
      <c r="AN182" s="27">
        <v>45509</v>
      </c>
      <c r="AO182" s="53">
        <v>0.63594907407407408</v>
      </c>
      <c r="AP182">
        <v>0</v>
      </c>
      <c r="AQ182">
        <v>0</v>
      </c>
      <c r="AR182">
        <v>0</v>
      </c>
      <c r="AS182" s="54">
        <f t="shared" si="218"/>
        <v>11.950799999999999</v>
      </c>
      <c r="AT182" s="1">
        <f>AT181</f>
        <v>11.950799999999999</v>
      </c>
      <c r="AV182">
        <v>186</v>
      </c>
      <c r="AW182" t="s">
        <v>71</v>
      </c>
      <c r="AX182">
        <v>20096</v>
      </c>
      <c r="AY182">
        <v>160</v>
      </c>
      <c r="AZ182">
        <v>2</v>
      </c>
      <c r="BA182">
        <v>2</v>
      </c>
      <c r="BB182" s="1">
        <v>460.7</v>
      </c>
      <c r="BC182" s="46">
        <v>11.858000000000001</v>
      </c>
      <c r="BF182">
        <v>0</v>
      </c>
      <c r="BG182">
        <v>0</v>
      </c>
      <c r="BH182">
        <v>0</v>
      </c>
      <c r="BI182" s="54">
        <f t="shared" si="219"/>
        <v>12.034833333333333</v>
      </c>
    </row>
    <row r="183" spans="1:61">
      <c r="A183">
        <v>4</v>
      </c>
      <c r="B183" t="s">
        <v>7</v>
      </c>
      <c r="C183">
        <v>20160</v>
      </c>
      <c r="D183">
        <v>192</v>
      </c>
      <c r="E183">
        <v>2</v>
      </c>
      <c r="F183">
        <v>2</v>
      </c>
      <c r="G183" s="1">
        <v>476.17</v>
      </c>
      <c r="H183" s="63">
        <v>11.473000000000001</v>
      </c>
      <c r="I183" s="27">
        <v>45510</v>
      </c>
      <c r="J183" s="53">
        <v>0.15339120370370371</v>
      </c>
      <c r="K183">
        <v>0</v>
      </c>
      <c r="L183">
        <v>0</v>
      </c>
      <c r="M183">
        <v>0</v>
      </c>
      <c r="N183" s="54">
        <f t="shared" si="216"/>
        <v>11.4686</v>
      </c>
      <c r="Q183">
        <v>4</v>
      </c>
      <c r="R183" t="s">
        <v>7</v>
      </c>
      <c r="S183">
        <v>20160</v>
      </c>
      <c r="T183">
        <v>192</v>
      </c>
      <c r="U183">
        <v>2</v>
      </c>
      <c r="V183">
        <v>2</v>
      </c>
      <c r="W183">
        <v>447.15</v>
      </c>
      <c r="X183" s="48">
        <v>12.217000000000001</v>
      </c>
      <c r="Y183" s="27">
        <v>45506</v>
      </c>
      <c r="Z183" s="53">
        <v>0.88306712962962963</v>
      </c>
      <c r="AA183">
        <v>0</v>
      </c>
      <c r="AB183">
        <v>0</v>
      </c>
      <c r="AC183">
        <v>0</v>
      </c>
      <c r="AD183" s="54">
        <f t="shared" si="217"/>
        <v>12.4252</v>
      </c>
      <c r="AF183">
        <v>4</v>
      </c>
      <c r="AG183" t="s">
        <v>7</v>
      </c>
      <c r="AH183">
        <v>19072</v>
      </c>
      <c r="AI183">
        <v>64</v>
      </c>
      <c r="AJ183">
        <v>1</v>
      </c>
      <c r="AK183">
        <v>4</v>
      </c>
      <c r="AL183">
        <v>386.8</v>
      </c>
      <c r="AM183" s="48">
        <v>11.958</v>
      </c>
      <c r="AN183" s="27">
        <v>45509</v>
      </c>
      <c r="AO183" s="53">
        <v>0.8742361111111111</v>
      </c>
      <c r="AP183">
        <v>0</v>
      </c>
      <c r="AQ183">
        <v>0</v>
      </c>
      <c r="AR183">
        <v>0</v>
      </c>
      <c r="AS183" s="54">
        <f t="shared" si="218"/>
        <v>11.950799999999999</v>
      </c>
      <c r="AT183" s="1">
        <f>AT182</f>
        <v>11.950799999999999</v>
      </c>
      <c r="AV183">
        <v>234</v>
      </c>
      <c r="AW183" t="s">
        <v>71</v>
      </c>
      <c r="AX183">
        <v>20096</v>
      </c>
      <c r="AY183">
        <v>160</v>
      </c>
      <c r="AZ183">
        <v>2</v>
      </c>
      <c r="BA183">
        <v>2</v>
      </c>
      <c r="BB183" s="1">
        <v>453.34</v>
      </c>
      <c r="BC183" s="46">
        <v>12.05</v>
      </c>
      <c r="BF183">
        <v>0</v>
      </c>
      <c r="BG183">
        <v>0</v>
      </c>
      <c r="BH183">
        <v>0</v>
      </c>
      <c r="BI183" s="54">
        <f t="shared" si="219"/>
        <v>12.034833333333333</v>
      </c>
    </row>
    <row r="184" spans="1:61">
      <c r="A184">
        <v>0</v>
      </c>
      <c r="B184" t="s">
        <v>7</v>
      </c>
      <c r="C184">
        <v>17920</v>
      </c>
      <c r="D184">
        <v>224</v>
      </c>
      <c r="E184">
        <v>1</v>
      </c>
      <c r="F184">
        <v>4</v>
      </c>
      <c r="G184" s="1">
        <v>363.49</v>
      </c>
      <c r="H184" s="63">
        <v>10.555999999999999</v>
      </c>
      <c r="I184" s="27">
        <v>45508</v>
      </c>
      <c r="J184" s="53">
        <v>0.89905092592592595</v>
      </c>
      <c r="K184">
        <v>0</v>
      </c>
      <c r="L184">
        <v>0</v>
      </c>
      <c r="M184">
        <v>0</v>
      </c>
      <c r="N184" s="54">
        <f t="shared" ref="N184" si="274">AVERAGE(H184:H188)</f>
        <v>10.725599999999998</v>
      </c>
      <c r="Q184">
        <v>0</v>
      </c>
      <c r="R184" t="s">
        <v>7</v>
      </c>
      <c r="S184">
        <v>17920</v>
      </c>
      <c r="T184">
        <v>224</v>
      </c>
      <c r="U184">
        <v>1</v>
      </c>
      <c r="V184">
        <v>4</v>
      </c>
      <c r="W184">
        <v>308.36</v>
      </c>
      <c r="X184" s="48">
        <v>12.443</v>
      </c>
      <c r="Y184" s="27">
        <v>45505</v>
      </c>
      <c r="Z184" s="53">
        <v>0.77053240740740736</v>
      </c>
      <c r="AA184">
        <v>0</v>
      </c>
      <c r="AB184">
        <v>0</v>
      </c>
      <c r="AC184">
        <v>0</v>
      </c>
      <c r="AD184" s="54">
        <f t="shared" ref="AD184" si="275">AVERAGE(X184:X188)</f>
        <v>12.504799999999999</v>
      </c>
      <c r="AF184">
        <v>0</v>
      </c>
      <c r="AG184" t="s">
        <v>7</v>
      </c>
      <c r="AH184">
        <v>20160</v>
      </c>
      <c r="AI184">
        <v>64</v>
      </c>
      <c r="AJ184">
        <v>1</v>
      </c>
      <c r="AK184">
        <v>4</v>
      </c>
      <c r="AL184">
        <v>460.49</v>
      </c>
      <c r="AM184" s="48">
        <v>11.863</v>
      </c>
      <c r="AN184" s="27">
        <v>45509</v>
      </c>
      <c r="AO184" s="53">
        <v>4.5023148148148149E-3</v>
      </c>
      <c r="AP184">
        <v>0</v>
      </c>
      <c r="AQ184">
        <v>0</v>
      </c>
      <c r="AR184">
        <v>0</v>
      </c>
      <c r="AS184" s="54">
        <f t="shared" ref="AS184" si="276">AVERAGE(AM184:AM188)</f>
        <v>11.840199999999999</v>
      </c>
      <c r="AT184" s="1">
        <f>AS184</f>
        <v>11.840199999999999</v>
      </c>
      <c r="AV184">
        <v>282</v>
      </c>
      <c r="AW184" t="s">
        <v>71</v>
      </c>
      <c r="AX184">
        <v>20096</v>
      </c>
      <c r="AY184">
        <v>160</v>
      </c>
      <c r="AZ184">
        <v>2</v>
      </c>
      <c r="BA184">
        <v>2</v>
      </c>
      <c r="BB184" s="1">
        <v>451.89</v>
      </c>
      <c r="BC184" s="46">
        <v>12.089</v>
      </c>
      <c r="BF184">
        <v>0</v>
      </c>
      <c r="BG184">
        <v>0</v>
      </c>
      <c r="BH184">
        <v>0</v>
      </c>
      <c r="BI184" s="54">
        <f t="shared" si="219"/>
        <v>12.034833333333333</v>
      </c>
    </row>
    <row r="185" spans="1:61">
      <c r="A185">
        <v>1</v>
      </c>
      <c r="B185" t="s">
        <v>7</v>
      </c>
      <c r="C185">
        <v>17920</v>
      </c>
      <c r="D185">
        <v>224</v>
      </c>
      <c r="E185">
        <v>1</v>
      </c>
      <c r="F185">
        <v>4</v>
      </c>
      <c r="G185" s="1">
        <v>356.37</v>
      </c>
      <c r="H185" s="63">
        <v>10.766</v>
      </c>
      <c r="I185" s="27">
        <v>45509</v>
      </c>
      <c r="J185" s="53">
        <v>0.16756944444444444</v>
      </c>
      <c r="K185">
        <v>0</v>
      </c>
      <c r="L185">
        <v>0</v>
      </c>
      <c r="M185">
        <v>0</v>
      </c>
      <c r="N185" s="54">
        <f t="shared" ref="N185" si="277">N184</f>
        <v>10.725599999999998</v>
      </c>
      <c r="Q185">
        <v>1</v>
      </c>
      <c r="R185" t="s">
        <v>7</v>
      </c>
      <c r="S185">
        <v>17920</v>
      </c>
      <c r="T185">
        <v>224</v>
      </c>
      <c r="U185">
        <v>1</v>
      </c>
      <c r="V185">
        <v>4</v>
      </c>
      <c r="W185">
        <v>306.73</v>
      </c>
      <c r="X185" s="48">
        <v>12.509</v>
      </c>
      <c r="Y185" s="27">
        <v>45506</v>
      </c>
      <c r="Z185" s="53">
        <v>9.7106481481481488E-3</v>
      </c>
      <c r="AA185">
        <v>0</v>
      </c>
      <c r="AB185">
        <v>0</v>
      </c>
      <c r="AC185">
        <v>0</v>
      </c>
      <c r="AD185" s="54">
        <f t="shared" ref="AD185" si="278">AD184</f>
        <v>12.504799999999999</v>
      </c>
      <c r="AF185">
        <v>1</v>
      </c>
      <c r="AG185" t="s">
        <v>7</v>
      </c>
      <c r="AH185">
        <v>20160</v>
      </c>
      <c r="AI185">
        <v>64</v>
      </c>
      <c r="AJ185">
        <v>1</v>
      </c>
      <c r="AK185">
        <v>4</v>
      </c>
      <c r="AL185">
        <v>458.41</v>
      </c>
      <c r="AM185" s="48">
        <v>11.917</v>
      </c>
      <c r="AN185" s="27">
        <v>45509</v>
      </c>
      <c r="AO185" s="53">
        <v>0.24215277777777777</v>
      </c>
      <c r="AP185">
        <v>0</v>
      </c>
      <c r="AQ185">
        <v>0</v>
      </c>
      <c r="AR185">
        <v>0</v>
      </c>
      <c r="AS185" s="54">
        <f t="shared" ref="AS185" si="279">AS184</f>
        <v>11.840199999999999</v>
      </c>
      <c r="AT185" s="1">
        <f>AT184</f>
        <v>11.840199999999999</v>
      </c>
      <c r="AV185">
        <v>11</v>
      </c>
      <c r="AW185" t="s">
        <v>71</v>
      </c>
      <c r="AX185">
        <v>18048</v>
      </c>
      <c r="AY185">
        <v>192</v>
      </c>
      <c r="AZ185">
        <v>1</v>
      </c>
      <c r="BA185">
        <v>4</v>
      </c>
      <c r="BB185" s="1">
        <v>315.27999999999997</v>
      </c>
      <c r="BC185" s="46">
        <v>12.432</v>
      </c>
      <c r="BF185">
        <v>0</v>
      </c>
      <c r="BG185">
        <v>0</v>
      </c>
      <c r="BH185">
        <v>0</v>
      </c>
      <c r="BI185" s="54">
        <f t="shared" ref="BI185" si="280">AVERAGE(BC185:BC190)</f>
        <v>12.418166666666666</v>
      </c>
    </row>
    <row r="186" spans="1:61">
      <c r="A186">
        <v>2</v>
      </c>
      <c r="B186" t="s">
        <v>7</v>
      </c>
      <c r="C186">
        <v>17920</v>
      </c>
      <c r="D186">
        <v>224</v>
      </c>
      <c r="E186">
        <v>1</v>
      </c>
      <c r="F186">
        <v>4</v>
      </c>
      <c r="G186" s="1">
        <v>355.58</v>
      </c>
      <c r="H186" s="63">
        <v>10.79</v>
      </c>
      <c r="I186" s="27">
        <v>45509</v>
      </c>
      <c r="J186" s="53">
        <v>0.4357638888888889</v>
      </c>
      <c r="K186">
        <v>0</v>
      </c>
      <c r="L186">
        <v>0</v>
      </c>
      <c r="M186">
        <v>0</v>
      </c>
      <c r="N186" s="54">
        <f t="shared" si="216"/>
        <v>10.725599999999998</v>
      </c>
      <c r="Q186">
        <v>2</v>
      </c>
      <c r="R186" t="s">
        <v>7</v>
      </c>
      <c r="S186">
        <v>17920</v>
      </c>
      <c r="T186">
        <v>224</v>
      </c>
      <c r="U186">
        <v>1</v>
      </c>
      <c r="V186">
        <v>4</v>
      </c>
      <c r="W186">
        <v>304.39999999999998</v>
      </c>
      <c r="X186" s="48">
        <v>12.605</v>
      </c>
      <c r="Y186" s="27">
        <v>45506</v>
      </c>
      <c r="Z186" s="53">
        <v>0.24693287037037037</v>
      </c>
      <c r="AA186">
        <v>0</v>
      </c>
      <c r="AB186">
        <v>0</v>
      </c>
      <c r="AC186">
        <v>0</v>
      </c>
      <c r="AD186" s="54">
        <f t="shared" si="217"/>
        <v>12.504799999999999</v>
      </c>
      <c r="AF186">
        <v>2</v>
      </c>
      <c r="AG186" t="s">
        <v>7</v>
      </c>
      <c r="AH186">
        <v>20160</v>
      </c>
      <c r="AI186">
        <v>64</v>
      </c>
      <c r="AJ186">
        <v>1</v>
      </c>
      <c r="AK186">
        <v>4</v>
      </c>
      <c r="AL186">
        <v>462.28</v>
      </c>
      <c r="AM186" s="48">
        <v>11.818</v>
      </c>
      <c r="AN186" s="27">
        <v>45509</v>
      </c>
      <c r="AO186" s="53">
        <v>0.47987268518518517</v>
      </c>
      <c r="AP186">
        <v>0</v>
      </c>
      <c r="AQ186">
        <v>0</v>
      </c>
      <c r="AR186">
        <v>0</v>
      </c>
      <c r="AS186" s="54">
        <f t="shared" si="218"/>
        <v>11.840199999999999</v>
      </c>
      <c r="AT186" s="1">
        <f>AT185</f>
        <v>11.840199999999999</v>
      </c>
      <c r="AV186">
        <v>59</v>
      </c>
      <c r="AW186" t="s">
        <v>71</v>
      </c>
      <c r="AX186">
        <v>18048</v>
      </c>
      <c r="AY186">
        <v>192</v>
      </c>
      <c r="AZ186">
        <v>1</v>
      </c>
      <c r="BA186">
        <v>4</v>
      </c>
      <c r="BB186" s="1">
        <v>320.73</v>
      </c>
      <c r="BC186" s="46">
        <v>12.221</v>
      </c>
      <c r="BF186">
        <v>0</v>
      </c>
      <c r="BG186">
        <v>0</v>
      </c>
      <c r="BH186">
        <v>0</v>
      </c>
      <c r="BI186" s="54">
        <f t="shared" ref="BI186" si="281">BI185</f>
        <v>12.418166666666666</v>
      </c>
    </row>
    <row r="187" spans="1:61">
      <c r="A187">
        <v>3</v>
      </c>
      <c r="B187" t="s">
        <v>7</v>
      </c>
      <c r="C187">
        <v>17920</v>
      </c>
      <c r="D187">
        <v>224</v>
      </c>
      <c r="E187">
        <v>1</v>
      </c>
      <c r="F187">
        <v>4</v>
      </c>
      <c r="G187" s="1">
        <v>356.38</v>
      </c>
      <c r="H187" s="63">
        <v>10.766</v>
      </c>
      <c r="I187" s="27">
        <v>45509</v>
      </c>
      <c r="J187" s="53">
        <v>0.70369212962962968</v>
      </c>
      <c r="K187">
        <v>0</v>
      </c>
      <c r="L187">
        <v>0</v>
      </c>
      <c r="M187">
        <v>0</v>
      </c>
      <c r="N187" s="54">
        <f t="shared" si="216"/>
        <v>10.725599999999998</v>
      </c>
      <c r="Q187">
        <v>3</v>
      </c>
      <c r="R187" t="s">
        <v>7</v>
      </c>
      <c r="S187">
        <v>17920</v>
      </c>
      <c r="T187">
        <v>224</v>
      </c>
      <c r="U187">
        <v>1</v>
      </c>
      <c r="V187">
        <v>4</v>
      </c>
      <c r="W187">
        <v>307.24</v>
      </c>
      <c r="X187" s="48">
        <v>12.488</v>
      </c>
      <c r="Y187" s="27">
        <v>45506</v>
      </c>
      <c r="Z187" s="53">
        <v>0.48435185185185187</v>
      </c>
      <c r="AA187">
        <v>0</v>
      </c>
      <c r="AB187">
        <v>0</v>
      </c>
      <c r="AC187">
        <v>0</v>
      </c>
      <c r="AD187" s="54">
        <f t="shared" si="217"/>
        <v>12.504799999999999</v>
      </c>
      <c r="AF187">
        <v>3</v>
      </c>
      <c r="AG187" t="s">
        <v>7</v>
      </c>
      <c r="AH187">
        <v>20160</v>
      </c>
      <c r="AI187">
        <v>64</v>
      </c>
      <c r="AJ187">
        <v>1</v>
      </c>
      <c r="AK187">
        <v>4</v>
      </c>
      <c r="AL187">
        <v>462.72</v>
      </c>
      <c r="AM187" s="48">
        <v>11.805999999999999</v>
      </c>
      <c r="AN187" s="27">
        <v>45509</v>
      </c>
      <c r="AO187" s="53">
        <v>0.71857638888888886</v>
      </c>
      <c r="AP187">
        <v>0</v>
      </c>
      <c r="AQ187">
        <v>0</v>
      </c>
      <c r="AR187">
        <v>0</v>
      </c>
      <c r="AS187" s="54">
        <f t="shared" si="218"/>
        <v>11.840199999999999</v>
      </c>
      <c r="AT187" s="1">
        <f>AT186</f>
        <v>11.840199999999999</v>
      </c>
      <c r="AV187">
        <v>107</v>
      </c>
      <c r="AW187" t="s">
        <v>71</v>
      </c>
      <c r="AX187">
        <v>18048</v>
      </c>
      <c r="AY187">
        <v>192</v>
      </c>
      <c r="AZ187">
        <v>1</v>
      </c>
      <c r="BA187">
        <v>4</v>
      </c>
      <c r="BB187" s="1">
        <v>314.92</v>
      </c>
      <c r="BC187" s="46">
        <v>12.446999999999999</v>
      </c>
      <c r="BF187">
        <v>0</v>
      </c>
      <c r="BG187">
        <v>0</v>
      </c>
      <c r="BH187">
        <v>0</v>
      </c>
      <c r="BI187" s="54">
        <f t="shared" si="219"/>
        <v>12.418166666666666</v>
      </c>
    </row>
    <row r="188" spans="1:61">
      <c r="A188">
        <v>4</v>
      </c>
      <c r="B188" t="s">
        <v>7</v>
      </c>
      <c r="C188">
        <v>17920</v>
      </c>
      <c r="D188">
        <v>224</v>
      </c>
      <c r="E188">
        <v>1</v>
      </c>
      <c r="F188">
        <v>4</v>
      </c>
      <c r="G188" s="1">
        <v>356.91</v>
      </c>
      <c r="H188" s="63">
        <v>10.75</v>
      </c>
      <c r="I188" s="27">
        <v>45509</v>
      </c>
      <c r="J188" s="53">
        <v>0.97163194444444445</v>
      </c>
      <c r="K188">
        <v>0</v>
      </c>
      <c r="L188">
        <v>0</v>
      </c>
      <c r="M188">
        <v>0</v>
      </c>
      <c r="N188" s="54">
        <f t="shared" si="216"/>
        <v>10.725599999999998</v>
      </c>
      <c r="Q188">
        <v>4</v>
      </c>
      <c r="R188" t="s">
        <v>7</v>
      </c>
      <c r="S188">
        <v>17920</v>
      </c>
      <c r="T188">
        <v>224</v>
      </c>
      <c r="U188">
        <v>1</v>
      </c>
      <c r="V188">
        <v>4</v>
      </c>
      <c r="W188">
        <v>307.45</v>
      </c>
      <c r="X188" s="48">
        <v>12.478999999999999</v>
      </c>
      <c r="Y188" s="27">
        <v>45506</v>
      </c>
      <c r="Z188" s="53">
        <v>0.72160879629629626</v>
      </c>
      <c r="AA188">
        <v>0</v>
      </c>
      <c r="AB188">
        <v>0</v>
      </c>
      <c r="AC188">
        <v>0</v>
      </c>
      <c r="AD188" s="54">
        <f t="shared" si="217"/>
        <v>12.504799999999999</v>
      </c>
      <c r="AF188">
        <v>4</v>
      </c>
      <c r="AG188" t="s">
        <v>7</v>
      </c>
      <c r="AH188">
        <v>20160</v>
      </c>
      <c r="AI188">
        <v>64</v>
      </c>
      <c r="AJ188">
        <v>1</v>
      </c>
      <c r="AK188">
        <v>4</v>
      </c>
      <c r="AL188">
        <v>463.08</v>
      </c>
      <c r="AM188" s="48">
        <v>11.797000000000001</v>
      </c>
      <c r="AN188" s="27">
        <v>45509</v>
      </c>
      <c r="AO188" s="53">
        <v>0.95638888888888884</v>
      </c>
      <c r="AP188">
        <v>0</v>
      </c>
      <c r="AQ188">
        <v>0</v>
      </c>
      <c r="AR188">
        <v>0</v>
      </c>
      <c r="AS188" s="54">
        <f t="shared" si="218"/>
        <v>11.840199999999999</v>
      </c>
      <c r="AT188" s="1">
        <f>AT187</f>
        <v>11.840199999999999</v>
      </c>
      <c r="AV188">
        <v>155</v>
      </c>
      <c r="AW188" t="s">
        <v>71</v>
      </c>
      <c r="AX188">
        <v>18048</v>
      </c>
      <c r="AY188">
        <v>192</v>
      </c>
      <c r="AZ188">
        <v>1</v>
      </c>
      <c r="BA188">
        <v>4</v>
      </c>
      <c r="BB188" s="1">
        <v>311.33</v>
      </c>
      <c r="BC188" s="46">
        <v>12.59</v>
      </c>
      <c r="BF188">
        <v>0</v>
      </c>
      <c r="BG188">
        <v>0</v>
      </c>
      <c r="BH188">
        <v>0</v>
      </c>
      <c r="BI188" s="54">
        <f t="shared" si="219"/>
        <v>12.418166666666666</v>
      </c>
    </row>
    <row r="189" spans="1:61">
      <c r="A189">
        <v>0</v>
      </c>
      <c r="B189" t="s">
        <v>7</v>
      </c>
      <c r="C189">
        <v>19040</v>
      </c>
      <c r="D189">
        <v>224</v>
      </c>
      <c r="E189">
        <v>1</v>
      </c>
      <c r="F189">
        <v>4</v>
      </c>
      <c r="G189" s="1">
        <v>407.93</v>
      </c>
      <c r="H189" s="63">
        <v>11.282</v>
      </c>
      <c r="I189" s="27">
        <v>45508</v>
      </c>
      <c r="J189" s="53">
        <v>0.98542824074074076</v>
      </c>
      <c r="K189">
        <v>0</v>
      </c>
      <c r="L189">
        <v>0</v>
      </c>
      <c r="M189">
        <v>0</v>
      </c>
      <c r="N189" s="54">
        <f t="shared" ref="N189" si="282">AVERAGE(H189:H193)</f>
        <v>11.3934</v>
      </c>
      <c r="Q189">
        <v>0</v>
      </c>
      <c r="R189" t="s">
        <v>7</v>
      </c>
      <c r="S189">
        <v>19040</v>
      </c>
      <c r="T189">
        <v>224</v>
      </c>
      <c r="U189">
        <v>1</v>
      </c>
      <c r="V189">
        <v>4</v>
      </c>
      <c r="W189">
        <v>362.36</v>
      </c>
      <c r="X189" s="48">
        <v>12.7</v>
      </c>
      <c r="Y189" s="27">
        <v>45505</v>
      </c>
      <c r="Z189" s="53">
        <v>0.84809027777777779</v>
      </c>
      <c r="AA189">
        <v>0</v>
      </c>
      <c r="AB189">
        <v>0</v>
      </c>
      <c r="AC189">
        <v>0</v>
      </c>
      <c r="AD189" s="54">
        <f t="shared" ref="AD189" si="283">AVERAGE(X189:X193)</f>
        <v>12.702999999999999</v>
      </c>
      <c r="AF189">
        <v>0</v>
      </c>
      <c r="AG189" t="s">
        <v>7</v>
      </c>
      <c r="AH189">
        <v>17984</v>
      </c>
      <c r="AI189">
        <v>64</v>
      </c>
      <c r="AJ189">
        <v>1</v>
      </c>
      <c r="AK189">
        <v>4</v>
      </c>
      <c r="AL189">
        <v>330.79</v>
      </c>
      <c r="AM189" s="48">
        <v>11.724</v>
      </c>
      <c r="AN189" s="27">
        <v>45508</v>
      </c>
      <c r="AO189" s="53">
        <v>0.85369212962962959</v>
      </c>
      <c r="AP189">
        <v>0</v>
      </c>
      <c r="AQ189">
        <v>0</v>
      </c>
      <c r="AR189">
        <v>0</v>
      </c>
      <c r="AS189" s="54">
        <f t="shared" ref="AS189" si="284">AVERAGE(AM189:AM193)</f>
        <v>11.7486</v>
      </c>
      <c r="AT189" s="1">
        <f>AS189</f>
        <v>11.7486</v>
      </c>
      <c r="AV189">
        <v>203</v>
      </c>
      <c r="AW189" t="s">
        <v>71</v>
      </c>
      <c r="AX189">
        <v>18048</v>
      </c>
      <c r="AY189">
        <v>192</v>
      </c>
      <c r="AZ189">
        <v>1</v>
      </c>
      <c r="BA189">
        <v>4</v>
      </c>
      <c r="BB189" s="1">
        <v>321.04000000000002</v>
      </c>
      <c r="BC189" s="46">
        <v>12.209</v>
      </c>
      <c r="BF189">
        <v>0</v>
      </c>
      <c r="BG189">
        <v>0</v>
      </c>
      <c r="BH189">
        <v>0</v>
      </c>
      <c r="BI189" s="54">
        <f t="shared" si="219"/>
        <v>12.418166666666666</v>
      </c>
    </row>
    <row r="190" spans="1:61">
      <c r="A190">
        <v>1</v>
      </c>
      <c r="B190" t="s">
        <v>7</v>
      </c>
      <c r="C190">
        <v>19040</v>
      </c>
      <c r="D190">
        <v>224</v>
      </c>
      <c r="E190">
        <v>1</v>
      </c>
      <c r="F190">
        <v>4</v>
      </c>
      <c r="G190" s="1">
        <v>402.51</v>
      </c>
      <c r="H190" s="63">
        <v>11.433999999999999</v>
      </c>
      <c r="I190" s="27">
        <v>45509</v>
      </c>
      <c r="J190" s="53">
        <v>0.25350694444444444</v>
      </c>
      <c r="K190">
        <v>0</v>
      </c>
      <c r="L190">
        <v>0</v>
      </c>
      <c r="M190">
        <v>0</v>
      </c>
      <c r="N190" s="54">
        <f t="shared" ref="N190" si="285">N189</f>
        <v>11.3934</v>
      </c>
      <c r="Q190">
        <v>1</v>
      </c>
      <c r="R190" t="s">
        <v>7</v>
      </c>
      <c r="S190">
        <v>19040</v>
      </c>
      <c r="T190">
        <v>224</v>
      </c>
      <c r="U190">
        <v>1</v>
      </c>
      <c r="V190">
        <v>4</v>
      </c>
      <c r="W190">
        <v>360.84</v>
      </c>
      <c r="X190" s="48">
        <v>12.754</v>
      </c>
      <c r="Y190" s="27">
        <v>45506</v>
      </c>
      <c r="Z190" s="53">
        <v>8.5787037037037037E-2</v>
      </c>
      <c r="AA190">
        <v>0</v>
      </c>
      <c r="AB190">
        <v>0</v>
      </c>
      <c r="AC190">
        <v>0</v>
      </c>
      <c r="AD190" s="54">
        <f t="shared" ref="AD190" si="286">AD189</f>
        <v>12.702999999999999</v>
      </c>
      <c r="AF190">
        <v>1</v>
      </c>
      <c r="AG190" t="s">
        <v>7</v>
      </c>
      <c r="AH190">
        <v>17984</v>
      </c>
      <c r="AI190">
        <v>64</v>
      </c>
      <c r="AJ190">
        <v>1</v>
      </c>
      <c r="AK190">
        <v>4</v>
      </c>
      <c r="AL190">
        <v>328.91</v>
      </c>
      <c r="AM190" s="48">
        <v>11.791</v>
      </c>
      <c r="AN190" s="27">
        <v>45509</v>
      </c>
      <c r="AO190" s="53">
        <v>9.0995370370370365E-2</v>
      </c>
      <c r="AP190">
        <v>0</v>
      </c>
      <c r="AQ190">
        <v>0</v>
      </c>
      <c r="AR190">
        <v>0</v>
      </c>
      <c r="AS190" s="54">
        <f t="shared" ref="AS190" si="287">AS189</f>
        <v>11.7486</v>
      </c>
      <c r="AT190" s="1">
        <f>AT189</f>
        <v>11.7486</v>
      </c>
      <c r="AV190">
        <v>251</v>
      </c>
      <c r="AW190" t="s">
        <v>71</v>
      </c>
      <c r="AX190">
        <v>18048</v>
      </c>
      <c r="AY190">
        <v>192</v>
      </c>
      <c r="AZ190">
        <v>1</v>
      </c>
      <c r="BA190">
        <v>4</v>
      </c>
      <c r="BB190" s="1">
        <v>310.83999999999997</v>
      </c>
      <c r="BC190" s="46">
        <v>12.61</v>
      </c>
      <c r="BF190">
        <v>0</v>
      </c>
      <c r="BG190">
        <v>0</v>
      </c>
      <c r="BH190">
        <v>0</v>
      </c>
      <c r="BI190" s="54">
        <f t="shared" si="219"/>
        <v>12.418166666666666</v>
      </c>
    </row>
    <row r="191" spans="1:61">
      <c r="A191">
        <v>2</v>
      </c>
      <c r="B191" t="s">
        <v>7</v>
      </c>
      <c r="C191">
        <v>19040</v>
      </c>
      <c r="D191">
        <v>224</v>
      </c>
      <c r="E191">
        <v>1</v>
      </c>
      <c r="F191">
        <v>4</v>
      </c>
      <c r="G191" s="1">
        <v>403.4</v>
      </c>
      <c r="H191" s="63">
        <v>11.409000000000001</v>
      </c>
      <c r="I191" s="27">
        <v>45509</v>
      </c>
      <c r="J191" s="53">
        <v>0.52152777777777781</v>
      </c>
      <c r="K191">
        <v>0</v>
      </c>
      <c r="L191">
        <v>0</v>
      </c>
      <c r="M191">
        <v>0</v>
      </c>
      <c r="N191" s="54">
        <f t="shared" si="216"/>
        <v>11.3934</v>
      </c>
      <c r="Q191">
        <v>2</v>
      </c>
      <c r="R191" t="s">
        <v>7</v>
      </c>
      <c r="S191">
        <v>19040</v>
      </c>
      <c r="T191">
        <v>224</v>
      </c>
      <c r="U191">
        <v>1</v>
      </c>
      <c r="V191">
        <v>4</v>
      </c>
      <c r="W191">
        <v>361.39</v>
      </c>
      <c r="X191" s="48">
        <v>12.734999999999999</v>
      </c>
      <c r="Y191" s="27">
        <v>45506</v>
      </c>
      <c r="Z191" s="53">
        <v>0.32325231481481481</v>
      </c>
      <c r="AA191">
        <v>0</v>
      </c>
      <c r="AB191">
        <v>0</v>
      </c>
      <c r="AC191">
        <v>0</v>
      </c>
      <c r="AD191" s="54">
        <f t="shared" si="217"/>
        <v>12.702999999999999</v>
      </c>
      <c r="AF191">
        <v>2</v>
      </c>
      <c r="AG191" t="s">
        <v>7</v>
      </c>
      <c r="AH191">
        <v>17984</v>
      </c>
      <c r="AI191">
        <v>64</v>
      </c>
      <c r="AJ191">
        <v>1</v>
      </c>
      <c r="AK191">
        <v>4</v>
      </c>
      <c r="AL191">
        <v>330.07</v>
      </c>
      <c r="AM191" s="48">
        <v>11.749000000000001</v>
      </c>
      <c r="AN191" s="27">
        <v>45509</v>
      </c>
      <c r="AO191" s="53">
        <v>0.32846064814814813</v>
      </c>
      <c r="AP191">
        <v>0</v>
      </c>
      <c r="AQ191">
        <v>0</v>
      </c>
      <c r="AR191">
        <v>0</v>
      </c>
      <c r="AS191" s="54">
        <f t="shared" si="218"/>
        <v>11.7486</v>
      </c>
      <c r="AT191" s="1">
        <f>AT190</f>
        <v>11.7486</v>
      </c>
      <c r="AV191">
        <v>27</v>
      </c>
      <c r="AW191" t="s">
        <v>71</v>
      </c>
      <c r="AX191">
        <v>19072</v>
      </c>
      <c r="AY191">
        <v>192</v>
      </c>
      <c r="AZ191">
        <v>1</v>
      </c>
      <c r="BA191">
        <v>4</v>
      </c>
      <c r="BB191" s="1">
        <v>361.64</v>
      </c>
      <c r="BC191" s="46">
        <v>12.662000000000001</v>
      </c>
      <c r="BF191">
        <v>0</v>
      </c>
      <c r="BG191">
        <v>0</v>
      </c>
      <c r="BH191">
        <v>0</v>
      </c>
      <c r="BI191" s="54">
        <f t="shared" ref="BI191" si="288">AVERAGE(BC191:BC196)</f>
        <v>12.538833333333331</v>
      </c>
    </row>
    <row r="192" spans="1:61">
      <c r="A192">
        <v>3</v>
      </c>
      <c r="B192" t="s">
        <v>7</v>
      </c>
      <c r="C192">
        <v>19040</v>
      </c>
      <c r="D192">
        <v>224</v>
      </c>
      <c r="E192">
        <v>1</v>
      </c>
      <c r="F192">
        <v>4</v>
      </c>
      <c r="G192" s="1">
        <v>402.73</v>
      </c>
      <c r="H192" s="63">
        <v>11.427</v>
      </c>
      <c r="I192" s="27">
        <v>45509</v>
      </c>
      <c r="J192" s="53">
        <v>0.78946759259259258</v>
      </c>
      <c r="K192">
        <v>0</v>
      </c>
      <c r="L192">
        <v>0</v>
      </c>
      <c r="M192">
        <v>0</v>
      </c>
      <c r="N192" s="54">
        <f t="shared" si="216"/>
        <v>11.3934</v>
      </c>
      <c r="Q192">
        <v>3</v>
      </c>
      <c r="R192" t="s">
        <v>7</v>
      </c>
      <c r="S192">
        <v>19040</v>
      </c>
      <c r="T192">
        <v>224</v>
      </c>
      <c r="U192">
        <v>1</v>
      </c>
      <c r="V192">
        <v>4</v>
      </c>
      <c r="W192">
        <v>362.14</v>
      </c>
      <c r="X192" s="48">
        <v>12.708</v>
      </c>
      <c r="Y192" s="27">
        <v>45506</v>
      </c>
      <c r="Z192" s="53">
        <v>0.56047453703703709</v>
      </c>
      <c r="AA192">
        <v>0</v>
      </c>
      <c r="AB192">
        <v>0</v>
      </c>
      <c r="AC192">
        <v>0</v>
      </c>
      <c r="AD192" s="54">
        <f t="shared" si="217"/>
        <v>12.702999999999999</v>
      </c>
      <c r="AF192">
        <v>3</v>
      </c>
      <c r="AG192" t="s">
        <v>7</v>
      </c>
      <c r="AH192">
        <v>17984</v>
      </c>
      <c r="AI192">
        <v>64</v>
      </c>
      <c r="AJ192">
        <v>1</v>
      </c>
      <c r="AK192">
        <v>4</v>
      </c>
      <c r="AL192">
        <v>331.16</v>
      </c>
      <c r="AM192" s="48">
        <v>11.711</v>
      </c>
      <c r="AN192" s="27">
        <v>45509</v>
      </c>
      <c r="AO192" s="53">
        <v>0.56693287037037032</v>
      </c>
      <c r="AP192">
        <v>0</v>
      </c>
      <c r="AQ192">
        <v>0</v>
      </c>
      <c r="AR192">
        <v>0</v>
      </c>
      <c r="AS192" s="54">
        <f t="shared" si="218"/>
        <v>11.7486</v>
      </c>
      <c r="AT192" s="1">
        <f>AT191</f>
        <v>11.7486</v>
      </c>
      <c r="AV192">
        <v>75</v>
      </c>
      <c r="AW192" t="s">
        <v>71</v>
      </c>
      <c r="AX192">
        <v>19072</v>
      </c>
      <c r="AY192">
        <v>192</v>
      </c>
      <c r="AZ192">
        <v>1</v>
      </c>
      <c r="BA192">
        <v>4</v>
      </c>
      <c r="BB192" s="1">
        <v>368.81</v>
      </c>
      <c r="BC192" s="46">
        <v>12.416</v>
      </c>
      <c r="BF192">
        <v>0</v>
      </c>
      <c r="BG192">
        <v>0</v>
      </c>
      <c r="BH192">
        <v>0</v>
      </c>
      <c r="BI192" s="54">
        <f t="shared" ref="BI192" si="289">BI191</f>
        <v>12.538833333333331</v>
      </c>
    </row>
    <row r="193" spans="1:61">
      <c r="A193">
        <v>4</v>
      </c>
      <c r="B193" t="s">
        <v>7</v>
      </c>
      <c r="C193">
        <v>19040</v>
      </c>
      <c r="D193">
        <v>224</v>
      </c>
      <c r="E193">
        <v>1</v>
      </c>
      <c r="F193">
        <v>4</v>
      </c>
      <c r="G193" s="1">
        <v>403.18</v>
      </c>
      <c r="H193" s="63">
        <v>11.414999999999999</v>
      </c>
      <c r="I193" s="27">
        <v>45510</v>
      </c>
      <c r="J193" s="53">
        <v>5.7430555555555554E-2</v>
      </c>
      <c r="K193">
        <v>0</v>
      </c>
      <c r="L193">
        <v>0</v>
      </c>
      <c r="M193">
        <v>0</v>
      </c>
      <c r="N193" s="54">
        <f t="shared" si="216"/>
        <v>11.3934</v>
      </c>
      <c r="Q193">
        <v>4</v>
      </c>
      <c r="R193" t="s">
        <v>7</v>
      </c>
      <c r="S193">
        <v>19040</v>
      </c>
      <c r="T193">
        <v>224</v>
      </c>
      <c r="U193">
        <v>1</v>
      </c>
      <c r="V193">
        <v>4</v>
      </c>
      <c r="W193">
        <v>364.73</v>
      </c>
      <c r="X193" s="48">
        <v>12.618</v>
      </c>
      <c r="Y193" s="27">
        <v>45506</v>
      </c>
      <c r="Z193" s="53">
        <v>0.79809027777777775</v>
      </c>
      <c r="AA193">
        <v>0</v>
      </c>
      <c r="AB193">
        <v>0</v>
      </c>
      <c r="AC193">
        <v>0</v>
      </c>
      <c r="AD193" s="54">
        <f t="shared" si="217"/>
        <v>12.702999999999999</v>
      </c>
      <c r="AF193">
        <v>4</v>
      </c>
      <c r="AG193" t="s">
        <v>7</v>
      </c>
      <c r="AH193">
        <v>17984</v>
      </c>
      <c r="AI193">
        <v>64</v>
      </c>
      <c r="AJ193">
        <v>1</v>
      </c>
      <c r="AK193">
        <v>4</v>
      </c>
      <c r="AL193">
        <v>329.54</v>
      </c>
      <c r="AM193" s="48">
        <v>11.768000000000001</v>
      </c>
      <c r="AN193" s="27">
        <v>45509</v>
      </c>
      <c r="AO193" s="53">
        <v>0.80508101851851854</v>
      </c>
      <c r="AP193">
        <v>0</v>
      </c>
      <c r="AQ193">
        <v>0</v>
      </c>
      <c r="AR193">
        <v>0</v>
      </c>
      <c r="AS193" s="54">
        <f t="shared" si="218"/>
        <v>11.7486</v>
      </c>
      <c r="AT193" s="1">
        <f>AT192</f>
        <v>11.7486</v>
      </c>
      <c r="AV193">
        <v>123</v>
      </c>
      <c r="AW193" t="s">
        <v>71</v>
      </c>
      <c r="AX193">
        <v>19072</v>
      </c>
      <c r="AY193">
        <v>192</v>
      </c>
      <c r="AZ193">
        <v>1</v>
      </c>
      <c r="BA193">
        <v>4</v>
      </c>
      <c r="BB193" s="1">
        <v>366.57</v>
      </c>
      <c r="BC193" s="46">
        <v>12.491</v>
      </c>
      <c r="BF193">
        <v>0</v>
      </c>
      <c r="BG193">
        <v>0</v>
      </c>
      <c r="BH193">
        <v>0</v>
      </c>
      <c r="BI193" s="54">
        <f t="shared" si="219"/>
        <v>12.538833333333331</v>
      </c>
    </row>
    <row r="194" spans="1:61">
      <c r="A194">
        <v>0</v>
      </c>
      <c r="B194" t="s">
        <v>7</v>
      </c>
      <c r="C194">
        <v>20160</v>
      </c>
      <c r="D194">
        <v>224</v>
      </c>
      <c r="E194">
        <v>1</v>
      </c>
      <c r="F194">
        <v>4</v>
      </c>
      <c r="G194" s="1">
        <v>482.02</v>
      </c>
      <c r="H194" s="63">
        <v>11.333</v>
      </c>
      <c r="I194" s="27">
        <v>45509</v>
      </c>
      <c r="J194" s="53">
        <v>8.7187500000000001E-2</v>
      </c>
      <c r="K194">
        <v>0</v>
      </c>
      <c r="L194">
        <v>0</v>
      </c>
      <c r="M194">
        <v>0</v>
      </c>
      <c r="N194" s="54">
        <f t="shared" ref="N194" si="290">AVERAGE(H194:H198)</f>
        <v>11.352799999999998</v>
      </c>
      <c r="Q194">
        <v>0</v>
      </c>
      <c r="R194" t="s">
        <v>7</v>
      </c>
      <c r="S194">
        <v>20160</v>
      </c>
      <c r="T194">
        <v>224</v>
      </c>
      <c r="U194">
        <v>1</v>
      </c>
      <c r="V194">
        <v>4</v>
      </c>
      <c r="W194">
        <v>443.24</v>
      </c>
      <c r="X194" s="48">
        <v>12.324999999999999</v>
      </c>
      <c r="Y194" s="27">
        <v>45505</v>
      </c>
      <c r="Z194" s="53">
        <v>0.93876157407407412</v>
      </c>
      <c r="AA194">
        <v>0</v>
      </c>
      <c r="AB194">
        <v>0</v>
      </c>
      <c r="AC194">
        <v>0</v>
      </c>
      <c r="AD194" s="54">
        <f t="shared" ref="AD194" si="291">AVERAGE(X194:X198)</f>
        <v>12.5924</v>
      </c>
      <c r="AF194">
        <v>0</v>
      </c>
      <c r="AG194" t="s">
        <v>7</v>
      </c>
      <c r="AH194">
        <v>19968</v>
      </c>
      <c r="AI194">
        <v>256</v>
      </c>
      <c r="AJ194">
        <v>2</v>
      </c>
      <c r="AK194">
        <v>2</v>
      </c>
      <c r="AL194">
        <v>463.11</v>
      </c>
      <c r="AM194" s="48">
        <v>11.462999999999999</v>
      </c>
      <c r="AN194" s="27">
        <v>45509</v>
      </c>
      <c r="AO194" s="53">
        <v>7.452546296296296E-2</v>
      </c>
      <c r="AP194">
        <v>0</v>
      </c>
      <c r="AQ194">
        <v>0</v>
      </c>
      <c r="AR194">
        <v>0</v>
      </c>
      <c r="AS194" s="54">
        <f t="shared" ref="AS194" si="292">AVERAGE(AM194:AM198)</f>
        <v>11.743399999999999</v>
      </c>
      <c r="AT194" s="1">
        <f>AS194</f>
        <v>11.743399999999999</v>
      </c>
      <c r="AV194">
        <v>171</v>
      </c>
      <c r="AW194" t="s">
        <v>71</v>
      </c>
      <c r="AX194">
        <v>19072</v>
      </c>
      <c r="AY194">
        <v>192</v>
      </c>
      <c r="AZ194">
        <v>1</v>
      </c>
      <c r="BA194">
        <v>4</v>
      </c>
      <c r="BB194" s="1">
        <v>358.75</v>
      </c>
      <c r="BC194" s="46">
        <v>12.763999999999999</v>
      </c>
      <c r="BF194">
        <v>0</v>
      </c>
      <c r="BG194">
        <v>0</v>
      </c>
      <c r="BH194">
        <v>0</v>
      </c>
      <c r="BI194" s="54">
        <f t="shared" si="219"/>
        <v>12.538833333333331</v>
      </c>
    </row>
    <row r="195" spans="1:61">
      <c r="A195">
        <v>1</v>
      </c>
      <c r="B195" t="s">
        <v>7</v>
      </c>
      <c r="C195">
        <v>20160</v>
      </c>
      <c r="D195">
        <v>224</v>
      </c>
      <c r="E195">
        <v>1</v>
      </c>
      <c r="F195">
        <v>4</v>
      </c>
      <c r="G195" s="1">
        <v>479.64</v>
      </c>
      <c r="H195" s="63">
        <v>11.39</v>
      </c>
      <c r="I195" s="27">
        <v>45509</v>
      </c>
      <c r="J195" s="53">
        <v>0.35547453703703702</v>
      </c>
      <c r="K195">
        <v>0</v>
      </c>
      <c r="L195">
        <v>0</v>
      </c>
      <c r="M195">
        <v>0</v>
      </c>
      <c r="N195" s="54">
        <f t="shared" ref="N195" si="293">N194</f>
        <v>11.352799999999998</v>
      </c>
      <c r="Q195">
        <v>1</v>
      </c>
      <c r="R195" t="s">
        <v>7</v>
      </c>
      <c r="S195">
        <v>20160</v>
      </c>
      <c r="T195">
        <v>224</v>
      </c>
      <c r="U195">
        <v>1</v>
      </c>
      <c r="V195">
        <v>4</v>
      </c>
      <c r="W195">
        <v>431.3</v>
      </c>
      <c r="X195" s="48">
        <v>12.666</v>
      </c>
      <c r="Y195" s="27">
        <v>45506</v>
      </c>
      <c r="Z195" s="53">
        <v>0.17609953703703704</v>
      </c>
      <c r="AA195">
        <v>0</v>
      </c>
      <c r="AB195">
        <v>0</v>
      </c>
      <c r="AC195">
        <v>0</v>
      </c>
      <c r="AD195" s="54">
        <f t="shared" ref="AD195" si="294">AD194</f>
        <v>12.5924</v>
      </c>
      <c r="AF195">
        <v>1</v>
      </c>
      <c r="AG195" t="s">
        <v>7</v>
      </c>
      <c r="AH195">
        <v>19968</v>
      </c>
      <c r="AI195">
        <v>256</v>
      </c>
      <c r="AJ195">
        <v>2</v>
      </c>
      <c r="AK195">
        <v>2</v>
      </c>
      <c r="AL195">
        <v>450.44</v>
      </c>
      <c r="AM195" s="48">
        <v>11.785</v>
      </c>
      <c r="AN195" s="27">
        <v>45509</v>
      </c>
      <c r="AO195" s="53">
        <v>0.31197916666666664</v>
      </c>
      <c r="AP195">
        <v>0</v>
      </c>
      <c r="AQ195">
        <v>0</v>
      </c>
      <c r="AR195">
        <v>0</v>
      </c>
      <c r="AS195" s="54">
        <f t="shared" ref="AS195" si="295">AS194</f>
        <v>11.743399999999999</v>
      </c>
      <c r="AT195" s="1">
        <f>AT194</f>
        <v>11.743399999999999</v>
      </c>
      <c r="AV195">
        <v>219</v>
      </c>
      <c r="AW195" t="s">
        <v>71</v>
      </c>
      <c r="AX195">
        <v>19072</v>
      </c>
      <c r="AY195">
        <v>192</v>
      </c>
      <c r="AZ195">
        <v>1</v>
      </c>
      <c r="BA195">
        <v>4</v>
      </c>
      <c r="BB195" s="1">
        <v>372.1</v>
      </c>
      <c r="BC195" s="46">
        <v>12.305999999999999</v>
      </c>
      <c r="BF195">
        <v>0</v>
      </c>
      <c r="BG195">
        <v>0</v>
      </c>
      <c r="BH195">
        <v>0</v>
      </c>
      <c r="BI195" s="54">
        <f t="shared" si="219"/>
        <v>12.538833333333331</v>
      </c>
    </row>
    <row r="196" spans="1:61">
      <c r="A196">
        <v>2</v>
      </c>
      <c r="B196" t="s">
        <v>7</v>
      </c>
      <c r="C196">
        <v>20160</v>
      </c>
      <c r="D196">
        <v>224</v>
      </c>
      <c r="E196">
        <v>1</v>
      </c>
      <c r="F196">
        <v>4</v>
      </c>
      <c r="G196" s="1">
        <v>480.65</v>
      </c>
      <c r="H196" s="63">
        <v>11.366</v>
      </c>
      <c r="I196" s="27">
        <v>45509</v>
      </c>
      <c r="J196" s="53">
        <v>0.62332175925925926</v>
      </c>
      <c r="K196">
        <v>0</v>
      </c>
      <c r="L196">
        <v>0</v>
      </c>
      <c r="M196">
        <v>0</v>
      </c>
      <c r="N196" s="54">
        <f t="shared" si="216"/>
        <v>11.352799999999998</v>
      </c>
      <c r="Q196">
        <v>2</v>
      </c>
      <c r="R196" t="s">
        <v>7</v>
      </c>
      <c r="S196">
        <v>20160</v>
      </c>
      <c r="T196">
        <v>224</v>
      </c>
      <c r="U196">
        <v>1</v>
      </c>
      <c r="V196">
        <v>4</v>
      </c>
      <c r="W196">
        <v>434.76</v>
      </c>
      <c r="X196" s="48">
        <v>12.565</v>
      </c>
      <c r="Y196" s="27">
        <v>45506</v>
      </c>
      <c r="Z196" s="53">
        <v>0.41349537037037037</v>
      </c>
      <c r="AA196">
        <v>0</v>
      </c>
      <c r="AB196">
        <v>0</v>
      </c>
      <c r="AC196">
        <v>0</v>
      </c>
      <c r="AD196" s="54">
        <f t="shared" si="217"/>
        <v>12.5924</v>
      </c>
      <c r="AF196">
        <v>2</v>
      </c>
      <c r="AG196" t="s">
        <v>7</v>
      </c>
      <c r="AH196">
        <v>19968</v>
      </c>
      <c r="AI196">
        <v>256</v>
      </c>
      <c r="AJ196">
        <v>2</v>
      </c>
      <c r="AK196">
        <v>2</v>
      </c>
      <c r="AL196">
        <v>452.71</v>
      </c>
      <c r="AM196" s="48">
        <v>11.726000000000001</v>
      </c>
      <c r="AN196" s="27">
        <v>45509</v>
      </c>
      <c r="AO196" s="53">
        <v>0.5504282407407407</v>
      </c>
      <c r="AP196">
        <v>0</v>
      </c>
      <c r="AQ196">
        <v>0</v>
      </c>
      <c r="AR196">
        <v>0</v>
      </c>
      <c r="AS196" s="54">
        <f t="shared" si="218"/>
        <v>11.743399999999999</v>
      </c>
      <c r="AT196" s="1">
        <f>AT195</f>
        <v>11.743399999999999</v>
      </c>
      <c r="AV196">
        <v>267</v>
      </c>
      <c r="AW196" t="s">
        <v>71</v>
      </c>
      <c r="AX196">
        <v>19072</v>
      </c>
      <c r="AY196">
        <v>192</v>
      </c>
      <c r="AZ196">
        <v>1</v>
      </c>
      <c r="BA196">
        <v>4</v>
      </c>
      <c r="BB196" s="1">
        <v>363.58</v>
      </c>
      <c r="BC196" s="46">
        <v>12.593999999999999</v>
      </c>
      <c r="BF196">
        <v>0</v>
      </c>
      <c r="BG196">
        <v>0</v>
      </c>
      <c r="BH196">
        <v>0</v>
      </c>
      <c r="BI196" s="54">
        <f t="shared" si="219"/>
        <v>12.538833333333331</v>
      </c>
    </row>
    <row r="197" spans="1:61">
      <c r="A197">
        <v>3</v>
      </c>
      <c r="B197" t="s">
        <v>7</v>
      </c>
      <c r="C197">
        <v>20160</v>
      </c>
      <c r="D197">
        <v>224</v>
      </c>
      <c r="E197">
        <v>1</v>
      </c>
      <c r="F197">
        <v>4</v>
      </c>
      <c r="G197" s="1">
        <v>482.41</v>
      </c>
      <c r="H197" s="63">
        <v>11.324</v>
      </c>
      <c r="I197" s="27">
        <v>45509</v>
      </c>
      <c r="J197" s="53">
        <v>0.89129629629629625</v>
      </c>
      <c r="K197">
        <v>0</v>
      </c>
      <c r="L197">
        <v>0</v>
      </c>
      <c r="M197">
        <v>0</v>
      </c>
      <c r="N197" s="54">
        <f t="shared" si="216"/>
        <v>11.352799999999998</v>
      </c>
      <c r="Q197">
        <v>3</v>
      </c>
      <c r="R197" t="s">
        <v>7</v>
      </c>
      <c r="S197">
        <v>20160</v>
      </c>
      <c r="T197">
        <v>224</v>
      </c>
      <c r="U197">
        <v>1</v>
      </c>
      <c r="V197">
        <v>4</v>
      </c>
      <c r="W197">
        <v>428.62</v>
      </c>
      <c r="X197" s="48">
        <v>12.744999999999999</v>
      </c>
      <c r="Y197" s="27">
        <v>45506</v>
      </c>
      <c r="Z197" s="53">
        <v>0.65079861111111115</v>
      </c>
      <c r="AA197">
        <v>0</v>
      </c>
      <c r="AB197">
        <v>0</v>
      </c>
      <c r="AC197">
        <v>0</v>
      </c>
      <c r="AD197" s="54">
        <f t="shared" si="217"/>
        <v>12.5924</v>
      </c>
      <c r="AF197">
        <v>3</v>
      </c>
      <c r="AG197" t="s">
        <v>7</v>
      </c>
      <c r="AH197">
        <v>19968</v>
      </c>
      <c r="AI197">
        <v>256</v>
      </c>
      <c r="AJ197">
        <v>2</v>
      </c>
      <c r="AK197">
        <v>2</v>
      </c>
      <c r="AL197">
        <v>452.29</v>
      </c>
      <c r="AM197" s="48">
        <v>11.737</v>
      </c>
      <c r="AN197" s="27">
        <v>45509</v>
      </c>
      <c r="AO197" s="53">
        <v>0.78861111111111115</v>
      </c>
      <c r="AP197">
        <v>0</v>
      </c>
      <c r="AQ197">
        <v>0</v>
      </c>
      <c r="AR197">
        <v>0</v>
      </c>
      <c r="AS197" s="54">
        <f t="shared" si="218"/>
        <v>11.743399999999999</v>
      </c>
      <c r="AT197" s="1">
        <f>AT196</f>
        <v>11.743399999999999</v>
      </c>
      <c r="AV197">
        <v>43</v>
      </c>
      <c r="AW197" t="s">
        <v>71</v>
      </c>
      <c r="AX197">
        <v>20096</v>
      </c>
      <c r="AY197">
        <v>192</v>
      </c>
      <c r="AZ197">
        <v>1</v>
      </c>
      <c r="BA197">
        <v>4</v>
      </c>
      <c r="BB197" s="1">
        <v>431.71</v>
      </c>
      <c r="BC197" s="46">
        <v>12.654</v>
      </c>
      <c r="BF197">
        <v>0</v>
      </c>
      <c r="BG197">
        <v>0</v>
      </c>
      <c r="BH197">
        <v>0</v>
      </c>
      <c r="BI197" s="54">
        <f t="shared" ref="BI197" si="296">AVERAGE(BC197:BC202)</f>
        <v>12.522166666666665</v>
      </c>
    </row>
    <row r="198" spans="1:61">
      <c r="A198">
        <v>4</v>
      </c>
      <c r="B198" t="s">
        <v>7</v>
      </c>
      <c r="C198">
        <v>20160</v>
      </c>
      <c r="D198">
        <v>224</v>
      </c>
      <c r="E198">
        <v>1</v>
      </c>
      <c r="F198">
        <v>4</v>
      </c>
      <c r="G198" s="1">
        <v>481.28</v>
      </c>
      <c r="H198" s="63">
        <v>11.351000000000001</v>
      </c>
      <c r="I198" s="27">
        <v>45510</v>
      </c>
      <c r="J198" s="53">
        <v>0.1592824074074074</v>
      </c>
      <c r="K198">
        <v>0</v>
      </c>
      <c r="L198">
        <v>0</v>
      </c>
      <c r="M198">
        <v>0</v>
      </c>
      <c r="N198" s="54">
        <f t="shared" si="216"/>
        <v>11.352799999999998</v>
      </c>
      <c r="Q198">
        <v>4</v>
      </c>
      <c r="R198" t="s">
        <v>7</v>
      </c>
      <c r="S198">
        <v>20160</v>
      </c>
      <c r="T198">
        <v>224</v>
      </c>
      <c r="U198">
        <v>1</v>
      </c>
      <c r="V198">
        <v>4</v>
      </c>
      <c r="W198">
        <v>431.48</v>
      </c>
      <c r="X198" s="48">
        <v>12.661</v>
      </c>
      <c r="Y198" s="27">
        <v>45506</v>
      </c>
      <c r="Z198" s="53">
        <v>0.88840277777777776</v>
      </c>
      <c r="AA198">
        <v>0</v>
      </c>
      <c r="AB198">
        <v>0</v>
      </c>
      <c r="AC198">
        <v>0</v>
      </c>
      <c r="AD198" s="54">
        <f t="shared" si="217"/>
        <v>12.5924</v>
      </c>
      <c r="AF198">
        <v>4</v>
      </c>
      <c r="AG198" t="s">
        <v>7</v>
      </c>
      <c r="AH198">
        <v>19968</v>
      </c>
      <c r="AI198">
        <v>256</v>
      </c>
      <c r="AJ198">
        <v>2</v>
      </c>
      <c r="AK198">
        <v>2</v>
      </c>
      <c r="AL198">
        <v>442.15</v>
      </c>
      <c r="AM198" s="48">
        <v>12.006</v>
      </c>
      <c r="AN198" s="27">
        <v>45510</v>
      </c>
      <c r="AO198" s="53">
        <v>2.6388888888888889E-2</v>
      </c>
      <c r="AP198">
        <v>0</v>
      </c>
      <c r="AQ198">
        <v>0</v>
      </c>
      <c r="AR198">
        <v>0</v>
      </c>
      <c r="AS198" s="54">
        <f t="shared" si="218"/>
        <v>11.743399999999999</v>
      </c>
      <c r="AT198" s="1">
        <f>AT197</f>
        <v>11.743399999999999</v>
      </c>
      <c r="AV198">
        <v>91</v>
      </c>
      <c r="AW198" t="s">
        <v>71</v>
      </c>
      <c r="AX198">
        <v>20096</v>
      </c>
      <c r="AY198">
        <v>192</v>
      </c>
      <c r="AZ198">
        <v>1</v>
      </c>
      <c r="BA198">
        <v>4</v>
      </c>
      <c r="BB198" s="1">
        <v>432.02</v>
      </c>
      <c r="BC198" s="46">
        <v>12.645</v>
      </c>
      <c r="BF198">
        <v>0</v>
      </c>
      <c r="BG198">
        <v>0</v>
      </c>
      <c r="BH198">
        <v>0</v>
      </c>
      <c r="BI198" s="54">
        <f t="shared" ref="BI198" si="297">BI197</f>
        <v>12.522166666666665</v>
      </c>
    </row>
    <row r="199" spans="1:61">
      <c r="A199">
        <v>0</v>
      </c>
      <c r="B199" t="s">
        <v>7</v>
      </c>
      <c r="C199">
        <v>17920</v>
      </c>
      <c r="D199">
        <v>224</v>
      </c>
      <c r="E199">
        <v>2</v>
      </c>
      <c r="F199">
        <v>2</v>
      </c>
      <c r="G199" s="1">
        <v>345.95</v>
      </c>
      <c r="H199" s="63">
        <v>11.090999999999999</v>
      </c>
      <c r="I199" s="27">
        <v>45508</v>
      </c>
      <c r="J199" s="53">
        <v>0.90328703703703705</v>
      </c>
      <c r="K199">
        <v>0</v>
      </c>
      <c r="L199">
        <v>0</v>
      </c>
      <c r="M199">
        <v>0</v>
      </c>
      <c r="N199" s="54">
        <f t="shared" ref="N199" si="298">AVERAGE(H199:H203)</f>
        <v>11.1624</v>
      </c>
      <c r="Q199">
        <v>0</v>
      </c>
      <c r="R199" t="s">
        <v>7</v>
      </c>
      <c r="S199">
        <v>17920</v>
      </c>
      <c r="T199">
        <v>224</v>
      </c>
      <c r="U199">
        <v>2</v>
      </c>
      <c r="V199">
        <v>2</v>
      </c>
      <c r="W199">
        <v>311.41000000000003</v>
      </c>
      <c r="X199" s="48">
        <v>12.321</v>
      </c>
      <c r="Y199" s="27">
        <v>45505</v>
      </c>
      <c r="Z199" s="53">
        <v>0.77436342592592589</v>
      </c>
      <c r="AA199">
        <v>0</v>
      </c>
      <c r="AB199">
        <v>0</v>
      </c>
      <c r="AC199">
        <v>0</v>
      </c>
      <c r="AD199" s="54">
        <f t="shared" ref="AD199" si="299">AVERAGE(X199:X203)</f>
        <v>12.303599999999999</v>
      </c>
      <c r="AF199">
        <v>0</v>
      </c>
      <c r="AG199" t="s">
        <v>7</v>
      </c>
      <c r="AH199">
        <v>20160</v>
      </c>
      <c r="AI199">
        <v>64</v>
      </c>
      <c r="AJ199">
        <v>2</v>
      </c>
      <c r="AK199">
        <v>2</v>
      </c>
      <c r="AL199">
        <v>469.27</v>
      </c>
      <c r="AM199" s="48">
        <v>11.641</v>
      </c>
      <c r="AN199" s="27">
        <v>45509</v>
      </c>
      <c r="AO199" s="53">
        <v>1.0231481481481482E-2</v>
      </c>
      <c r="AP199">
        <v>0</v>
      </c>
      <c r="AQ199">
        <v>0</v>
      </c>
      <c r="AR199">
        <v>0</v>
      </c>
      <c r="AS199" s="54">
        <f t="shared" ref="AS199" si="300">AVERAGE(AM199:AM203)</f>
        <v>11.6516</v>
      </c>
      <c r="AT199" s="1">
        <f>AS199</f>
        <v>11.6516</v>
      </c>
      <c r="AV199">
        <v>139</v>
      </c>
      <c r="AW199" t="s">
        <v>71</v>
      </c>
      <c r="AX199">
        <v>20096</v>
      </c>
      <c r="AY199">
        <v>192</v>
      </c>
      <c r="AZ199">
        <v>1</v>
      </c>
      <c r="BA199">
        <v>4</v>
      </c>
      <c r="BB199" s="1">
        <v>430.08</v>
      </c>
      <c r="BC199" s="46">
        <v>12.702</v>
      </c>
      <c r="BF199">
        <v>0</v>
      </c>
      <c r="BG199">
        <v>0</v>
      </c>
      <c r="BH199">
        <v>0</v>
      </c>
      <c r="BI199" s="54">
        <f t="shared" si="219"/>
        <v>12.522166666666665</v>
      </c>
    </row>
    <row r="200" spans="1:61">
      <c r="A200">
        <v>1</v>
      </c>
      <c r="B200" t="s">
        <v>7</v>
      </c>
      <c r="C200">
        <v>17920</v>
      </c>
      <c r="D200">
        <v>224</v>
      </c>
      <c r="E200">
        <v>2</v>
      </c>
      <c r="F200">
        <v>2</v>
      </c>
      <c r="G200" s="1">
        <v>344.18</v>
      </c>
      <c r="H200" s="63">
        <v>11.148</v>
      </c>
      <c r="I200" s="27">
        <v>45509</v>
      </c>
      <c r="J200" s="53">
        <v>0.17178240740740741</v>
      </c>
      <c r="K200">
        <v>0</v>
      </c>
      <c r="L200">
        <v>0</v>
      </c>
      <c r="M200">
        <v>0</v>
      </c>
      <c r="N200" s="54">
        <f t="shared" ref="N200" si="301">N199</f>
        <v>11.1624</v>
      </c>
      <c r="Q200">
        <v>1</v>
      </c>
      <c r="R200" t="s">
        <v>7</v>
      </c>
      <c r="S200">
        <v>17920</v>
      </c>
      <c r="T200">
        <v>224</v>
      </c>
      <c r="U200">
        <v>2</v>
      </c>
      <c r="V200">
        <v>2</v>
      </c>
      <c r="W200">
        <v>313.74</v>
      </c>
      <c r="X200" s="48">
        <v>12.228999999999999</v>
      </c>
      <c r="Y200" s="27">
        <v>45506</v>
      </c>
      <c r="Z200" s="53">
        <v>1.3587962962962963E-2</v>
      </c>
      <c r="AA200">
        <v>0</v>
      </c>
      <c r="AB200">
        <v>0</v>
      </c>
      <c r="AC200">
        <v>0</v>
      </c>
      <c r="AD200" s="54">
        <f t="shared" ref="AD200" si="302">AD199</f>
        <v>12.303599999999999</v>
      </c>
      <c r="AF200">
        <v>1</v>
      </c>
      <c r="AG200" t="s">
        <v>7</v>
      </c>
      <c r="AH200">
        <v>20160</v>
      </c>
      <c r="AI200">
        <v>64</v>
      </c>
      <c r="AJ200">
        <v>2</v>
      </c>
      <c r="AK200">
        <v>2</v>
      </c>
      <c r="AL200">
        <v>468.74</v>
      </c>
      <c r="AM200" s="48">
        <v>11.654999999999999</v>
      </c>
      <c r="AN200" s="27">
        <v>45509</v>
      </c>
      <c r="AO200" s="53">
        <v>0.24788194444444445</v>
      </c>
      <c r="AP200">
        <v>0</v>
      </c>
      <c r="AQ200">
        <v>0</v>
      </c>
      <c r="AR200">
        <v>0</v>
      </c>
      <c r="AS200" s="54">
        <f t="shared" ref="AS200" si="303">AS199</f>
        <v>11.6516</v>
      </c>
      <c r="AT200" s="1">
        <f>AT199</f>
        <v>11.6516</v>
      </c>
      <c r="AV200">
        <v>187</v>
      </c>
      <c r="AW200" t="s">
        <v>71</v>
      </c>
      <c r="AX200">
        <v>20096</v>
      </c>
      <c r="AY200">
        <v>192</v>
      </c>
      <c r="AZ200">
        <v>1</v>
      </c>
      <c r="BA200">
        <v>4</v>
      </c>
      <c r="BB200" s="1">
        <v>459.55</v>
      </c>
      <c r="BC200" s="46">
        <v>11.888</v>
      </c>
      <c r="BF200">
        <v>0</v>
      </c>
      <c r="BG200">
        <v>0</v>
      </c>
      <c r="BH200">
        <v>0</v>
      </c>
      <c r="BI200" s="54">
        <f t="shared" si="219"/>
        <v>12.522166666666665</v>
      </c>
    </row>
    <row r="201" spans="1:61">
      <c r="A201">
        <v>2</v>
      </c>
      <c r="B201" t="s">
        <v>7</v>
      </c>
      <c r="C201">
        <v>17920</v>
      </c>
      <c r="D201">
        <v>224</v>
      </c>
      <c r="E201">
        <v>2</v>
      </c>
      <c r="F201">
        <v>2</v>
      </c>
      <c r="G201" s="1">
        <v>342.75</v>
      </c>
      <c r="H201" s="63">
        <v>11.194000000000001</v>
      </c>
      <c r="I201" s="27">
        <v>45509</v>
      </c>
      <c r="J201" s="53">
        <v>0.43996527777777777</v>
      </c>
      <c r="K201">
        <v>0</v>
      </c>
      <c r="L201">
        <v>0</v>
      </c>
      <c r="M201">
        <v>0</v>
      </c>
      <c r="N201" s="54">
        <f t="shared" si="216"/>
        <v>11.1624</v>
      </c>
      <c r="Q201">
        <v>2</v>
      </c>
      <c r="R201" t="s">
        <v>7</v>
      </c>
      <c r="S201">
        <v>17920</v>
      </c>
      <c r="T201">
        <v>224</v>
      </c>
      <c r="U201">
        <v>2</v>
      </c>
      <c r="V201">
        <v>2</v>
      </c>
      <c r="W201">
        <v>312.17</v>
      </c>
      <c r="X201" s="48">
        <v>12.291</v>
      </c>
      <c r="Y201" s="27">
        <v>45506</v>
      </c>
      <c r="Z201" s="53">
        <v>0.25078703703703703</v>
      </c>
      <c r="AA201">
        <v>0</v>
      </c>
      <c r="AB201">
        <v>0</v>
      </c>
      <c r="AC201">
        <v>0</v>
      </c>
      <c r="AD201" s="54">
        <f t="shared" si="217"/>
        <v>12.303599999999999</v>
      </c>
      <c r="AF201">
        <v>2</v>
      </c>
      <c r="AG201" t="s">
        <v>7</v>
      </c>
      <c r="AH201">
        <v>20160</v>
      </c>
      <c r="AI201">
        <v>64</v>
      </c>
      <c r="AJ201">
        <v>2</v>
      </c>
      <c r="AK201">
        <v>2</v>
      </c>
      <c r="AL201">
        <v>469.97</v>
      </c>
      <c r="AM201" s="48">
        <v>11.624000000000001</v>
      </c>
      <c r="AN201" s="27">
        <v>45509</v>
      </c>
      <c r="AO201" s="53">
        <v>0.48562499999999997</v>
      </c>
      <c r="AP201">
        <v>0</v>
      </c>
      <c r="AQ201">
        <v>0</v>
      </c>
      <c r="AR201">
        <v>0</v>
      </c>
      <c r="AS201" s="54">
        <f t="shared" si="218"/>
        <v>11.6516</v>
      </c>
      <c r="AT201" s="1">
        <f>AT200</f>
        <v>11.6516</v>
      </c>
      <c r="AV201">
        <v>235</v>
      </c>
      <c r="AW201" t="s">
        <v>71</v>
      </c>
      <c r="AX201">
        <v>20096</v>
      </c>
      <c r="AY201">
        <v>192</v>
      </c>
      <c r="AZ201">
        <v>1</v>
      </c>
      <c r="BA201">
        <v>4</v>
      </c>
      <c r="BB201" s="1">
        <v>433.32</v>
      </c>
      <c r="BC201" s="46">
        <v>12.606999999999999</v>
      </c>
      <c r="BF201">
        <v>0</v>
      </c>
      <c r="BG201">
        <v>0</v>
      </c>
      <c r="BH201">
        <v>0</v>
      </c>
      <c r="BI201" s="54">
        <f t="shared" si="219"/>
        <v>12.522166666666665</v>
      </c>
    </row>
    <row r="202" spans="1:61">
      <c r="A202">
        <v>3</v>
      </c>
      <c r="B202" t="s">
        <v>7</v>
      </c>
      <c r="C202">
        <v>17920</v>
      </c>
      <c r="D202">
        <v>224</v>
      </c>
      <c r="E202">
        <v>2</v>
      </c>
      <c r="F202">
        <v>2</v>
      </c>
      <c r="G202" s="1">
        <v>342.32</v>
      </c>
      <c r="H202" s="63">
        <v>11.209</v>
      </c>
      <c r="I202" s="27">
        <v>45509</v>
      </c>
      <c r="J202" s="53">
        <v>0.70789351851851856</v>
      </c>
      <c r="K202">
        <v>0</v>
      </c>
      <c r="L202">
        <v>0</v>
      </c>
      <c r="M202">
        <v>0</v>
      </c>
      <c r="N202" s="54">
        <f t="shared" si="216"/>
        <v>11.1624</v>
      </c>
      <c r="Q202">
        <v>3</v>
      </c>
      <c r="R202" t="s">
        <v>7</v>
      </c>
      <c r="S202">
        <v>17920</v>
      </c>
      <c r="T202">
        <v>224</v>
      </c>
      <c r="U202">
        <v>2</v>
      </c>
      <c r="V202">
        <v>2</v>
      </c>
      <c r="W202">
        <v>312.89999999999998</v>
      </c>
      <c r="X202" s="48">
        <v>12.262</v>
      </c>
      <c r="Y202" s="27">
        <v>45506</v>
      </c>
      <c r="Z202" s="53">
        <v>0.48820601851851853</v>
      </c>
      <c r="AA202">
        <v>0</v>
      </c>
      <c r="AB202">
        <v>0</v>
      </c>
      <c r="AC202">
        <v>0</v>
      </c>
      <c r="AD202" s="54">
        <f t="shared" si="217"/>
        <v>12.303599999999999</v>
      </c>
      <c r="AF202">
        <v>3</v>
      </c>
      <c r="AG202" t="s">
        <v>7</v>
      </c>
      <c r="AH202">
        <v>20160</v>
      </c>
      <c r="AI202">
        <v>64</v>
      </c>
      <c r="AJ202">
        <v>2</v>
      </c>
      <c r="AK202">
        <v>2</v>
      </c>
      <c r="AL202">
        <v>468.6</v>
      </c>
      <c r="AM202" s="48">
        <v>11.657999999999999</v>
      </c>
      <c r="AN202" s="27">
        <v>45509</v>
      </c>
      <c r="AO202" s="53">
        <v>0.72430555555555554</v>
      </c>
      <c r="AP202">
        <v>0</v>
      </c>
      <c r="AQ202">
        <v>0</v>
      </c>
      <c r="AR202">
        <v>0</v>
      </c>
      <c r="AS202" s="54">
        <f t="shared" si="218"/>
        <v>11.6516</v>
      </c>
      <c r="AT202" s="1">
        <f>AT201</f>
        <v>11.6516</v>
      </c>
      <c r="AV202">
        <v>283</v>
      </c>
      <c r="AW202" t="s">
        <v>71</v>
      </c>
      <c r="AX202">
        <v>20096</v>
      </c>
      <c r="AY202">
        <v>192</v>
      </c>
      <c r="AZ202">
        <v>1</v>
      </c>
      <c r="BA202">
        <v>4</v>
      </c>
      <c r="BB202" s="1">
        <v>432.28</v>
      </c>
      <c r="BC202" s="46">
        <v>12.637</v>
      </c>
      <c r="BF202">
        <v>0</v>
      </c>
      <c r="BG202">
        <v>0</v>
      </c>
      <c r="BH202">
        <v>0</v>
      </c>
      <c r="BI202" s="54">
        <f t="shared" si="219"/>
        <v>12.522166666666665</v>
      </c>
    </row>
    <row r="203" spans="1:61">
      <c r="A203">
        <v>4</v>
      </c>
      <c r="B203" t="s">
        <v>7</v>
      </c>
      <c r="C203">
        <v>17920</v>
      </c>
      <c r="D203">
        <v>224</v>
      </c>
      <c r="E203">
        <v>2</v>
      </c>
      <c r="F203">
        <v>2</v>
      </c>
      <c r="G203" s="1">
        <v>343.51</v>
      </c>
      <c r="H203" s="63">
        <v>11.17</v>
      </c>
      <c r="I203" s="27">
        <v>45509</v>
      </c>
      <c r="J203" s="53">
        <v>0.97584490740740737</v>
      </c>
      <c r="K203">
        <v>0</v>
      </c>
      <c r="L203">
        <v>0</v>
      </c>
      <c r="M203">
        <v>0</v>
      </c>
      <c r="N203" s="54">
        <f t="shared" si="216"/>
        <v>11.1624</v>
      </c>
      <c r="Q203">
        <v>4</v>
      </c>
      <c r="R203" t="s">
        <v>7</v>
      </c>
      <c r="S203">
        <v>17920</v>
      </c>
      <c r="T203">
        <v>224</v>
      </c>
      <c r="U203">
        <v>2</v>
      </c>
      <c r="V203">
        <v>2</v>
      </c>
      <c r="W203">
        <v>309.04000000000002</v>
      </c>
      <c r="X203" s="48">
        <v>12.414999999999999</v>
      </c>
      <c r="Y203" s="27">
        <v>45506</v>
      </c>
      <c r="Z203" s="53">
        <v>0.72542824074074075</v>
      </c>
      <c r="AA203">
        <v>0</v>
      </c>
      <c r="AB203">
        <v>0</v>
      </c>
      <c r="AC203">
        <v>0</v>
      </c>
      <c r="AD203" s="54">
        <f t="shared" si="217"/>
        <v>12.303599999999999</v>
      </c>
      <c r="AF203">
        <v>4</v>
      </c>
      <c r="AG203" t="s">
        <v>7</v>
      </c>
      <c r="AH203">
        <v>20160</v>
      </c>
      <c r="AI203">
        <v>64</v>
      </c>
      <c r="AJ203">
        <v>2</v>
      </c>
      <c r="AK203">
        <v>2</v>
      </c>
      <c r="AL203">
        <v>467.73</v>
      </c>
      <c r="AM203" s="48">
        <v>11.68</v>
      </c>
      <c r="AN203" s="27">
        <v>45509</v>
      </c>
      <c r="AO203" s="53">
        <v>0.96210648148148148</v>
      </c>
      <c r="AP203">
        <v>0</v>
      </c>
      <c r="AQ203">
        <v>0</v>
      </c>
      <c r="AR203">
        <v>0</v>
      </c>
      <c r="AS203" s="54">
        <f t="shared" si="218"/>
        <v>11.6516</v>
      </c>
      <c r="AT203" s="1">
        <f>AT202</f>
        <v>11.6516</v>
      </c>
      <c r="AV203">
        <v>12</v>
      </c>
      <c r="AW203" t="s">
        <v>71</v>
      </c>
      <c r="AX203">
        <v>18048</v>
      </c>
      <c r="AY203">
        <v>192</v>
      </c>
      <c r="AZ203">
        <v>2</v>
      </c>
      <c r="BA203">
        <v>2</v>
      </c>
      <c r="BB203" s="1">
        <v>322.95</v>
      </c>
      <c r="BC203" s="46">
        <v>12.137</v>
      </c>
      <c r="BF203">
        <v>0</v>
      </c>
      <c r="BG203">
        <v>0</v>
      </c>
      <c r="BH203">
        <v>0</v>
      </c>
      <c r="BI203" s="54">
        <f t="shared" ref="BI203" si="304">AVERAGE(BC203:BC208)</f>
        <v>12.174666666666667</v>
      </c>
    </row>
    <row r="204" spans="1:61">
      <c r="A204">
        <v>0</v>
      </c>
      <c r="B204" t="s">
        <v>7</v>
      </c>
      <c r="C204">
        <v>19040</v>
      </c>
      <c r="D204">
        <v>224</v>
      </c>
      <c r="E204">
        <v>2</v>
      </c>
      <c r="F204">
        <v>2</v>
      </c>
      <c r="G204" s="1">
        <v>400.34</v>
      </c>
      <c r="H204" s="63">
        <v>11.494999999999999</v>
      </c>
      <c r="I204" s="27">
        <v>45508</v>
      </c>
      <c r="J204" s="53">
        <v>0.99032407407407408</v>
      </c>
      <c r="K204">
        <v>0</v>
      </c>
      <c r="L204">
        <v>0</v>
      </c>
      <c r="M204">
        <v>0</v>
      </c>
      <c r="N204" s="54">
        <f t="shared" ref="N204" si="305">AVERAGE(H204:H208)</f>
        <v>11.488</v>
      </c>
      <c r="Q204">
        <v>0</v>
      </c>
      <c r="R204" t="s">
        <v>7</v>
      </c>
      <c r="S204">
        <v>19040</v>
      </c>
      <c r="T204">
        <v>224</v>
      </c>
      <c r="U204">
        <v>2</v>
      </c>
      <c r="V204">
        <v>2</v>
      </c>
      <c r="W204">
        <v>368.41</v>
      </c>
      <c r="X204" s="48">
        <v>12.492000000000001</v>
      </c>
      <c r="Y204" s="27">
        <v>45505</v>
      </c>
      <c r="Z204" s="53">
        <v>0.8526273148148148</v>
      </c>
      <c r="AA204">
        <v>0</v>
      </c>
      <c r="AB204">
        <v>0</v>
      </c>
      <c r="AC204">
        <v>0</v>
      </c>
      <c r="AD204" s="54">
        <f t="shared" ref="AD204" si="306">AVERAGE(X204:X208)</f>
        <v>12.4704</v>
      </c>
      <c r="AF204">
        <v>0</v>
      </c>
      <c r="AG204" t="s">
        <v>7</v>
      </c>
      <c r="AH204">
        <v>17984</v>
      </c>
      <c r="AI204">
        <v>64</v>
      </c>
      <c r="AJ204">
        <v>2</v>
      </c>
      <c r="AK204">
        <v>2</v>
      </c>
      <c r="AL204">
        <v>332.56</v>
      </c>
      <c r="AM204" s="48">
        <v>11.661</v>
      </c>
      <c r="AN204" s="27">
        <v>45508</v>
      </c>
      <c r="AO204" s="53">
        <v>0.8577893518518519</v>
      </c>
      <c r="AP204">
        <v>0</v>
      </c>
      <c r="AQ204">
        <v>0</v>
      </c>
      <c r="AR204">
        <v>0</v>
      </c>
      <c r="AS204" s="54">
        <f t="shared" ref="AS204" si="307">AVERAGE(AM204:AM208)</f>
        <v>11.646999999999998</v>
      </c>
      <c r="AT204" s="1">
        <f>AS204</f>
        <v>11.646999999999998</v>
      </c>
      <c r="AV204">
        <v>60</v>
      </c>
      <c r="AW204" t="s">
        <v>71</v>
      </c>
      <c r="AX204">
        <v>18048</v>
      </c>
      <c r="AY204">
        <v>192</v>
      </c>
      <c r="AZ204">
        <v>2</v>
      </c>
      <c r="BA204">
        <v>2</v>
      </c>
      <c r="BB204" s="1">
        <v>322.52999999999997</v>
      </c>
      <c r="BC204" s="46">
        <v>12.153</v>
      </c>
      <c r="BF204">
        <v>0</v>
      </c>
      <c r="BG204">
        <v>0</v>
      </c>
      <c r="BH204">
        <v>0</v>
      </c>
      <c r="BI204" s="54">
        <f t="shared" ref="BI204" si="308">BI203</f>
        <v>12.174666666666667</v>
      </c>
    </row>
    <row r="205" spans="1:61">
      <c r="A205">
        <v>1</v>
      </c>
      <c r="B205" t="s">
        <v>7</v>
      </c>
      <c r="C205">
        <v>19040</v>
      </c>
      <c r="D205">
        <v>224</v>
      </c>
      <c r="E205">
        <v>2</v>
      </c>
      <c r="F205">
        <v>2</v>
      </c>
      <c r="G205" s="1">
        <v>401.87</v>
      </c>
      <c r="H205" s="63">
        <v>11.452</v>
      </c>
      <c r="I205" s="27">
        <v>45509</v>
      </c>
      <c r="J205" s="53">
        <v>0.25842592592592595</v>
      </c>
      <c r="K205">
        <v>0</v>
      </c>
      <c r="L205">
        <v>0</v>
      </c>
      <c r="M205">
        <v>0</v>
      </c>
      <c r="N205" s="54">
        <f t="shared" ref="N205" si="309">N204</f>
        <v>11.488</v>
      </c>
      <c r="Q205">
        <v>1</v>
      </c>
      <c r="R205" t="s">
        <v>7</v>
      </c>
      <c r="S205">
        <v>19040</v>
      </c>
      <c r="T205">
        <v>224</v>
      </c>
      <c r="U205">
        <v>2</v>
      </c>
      <c r="V205">
        <v>2</v>
      </c>
      <c r="W205">
        <v>365.11</v>
      </c>
      <c r="X205" s="48">
        <v>12.605</v>
      </c>
      <c r="Y205" s="27">
        <v>45506</v>
      </c>
      <c r="Z205" s="53">
        <v>9.0289351851851857E-2</v>
      </c>
      <c r="AA205">
        <v>0</v>
      </c>
      <c r="AB205">
        <v>0</v>
      </c>
      <c r="AC205">
        <v>0</v>
      </c>
      <c r="AD205" s="54">
        <f t="shared" ref="AD205" si="310">AD204</f>
        <v>12.4704</v>
      </c>
      <c r="AF205">
        <v>1</v>
      </c>
      <c r="AG205" t="s">
        <v>7</v>
      </c>
      <c r="AH205">
        <v>17984</v>
      </c>
      <c r="AI205">
        <v>64</v>
      </c>
      <c r="AJ205">
        <v>2</v>
      </c>
      <c r="AK205">
        <v>2</v>
      </c>
      <c r="AL205">
        <v>332.95</v>
      </c>
      <c r="AM205" s="48">
        <v>11.648</v>
      </c>
      <c r="AN205" s="27">
        <v>45509</v>
      </c>
      <c r="AO205" s="53">
        <v>9.509259259259259E-2</v>
      </c>
      <c r="AP205">
        <v>0</v>
      </c>
      <c r="AQ205">
        <v>0</v>
      </c>
      <c r="AR205">
        <v>0</v>
      </c>
      <c r="AS205" s="54">
        <f t="shared" ref="AS205" si="311">AS204</f>
        <v>11.646999999999998</v>
      </c>
      <c r="AT205" s="1">
        <f>AT204</f>
        <v>11.646999999999998</v>
      </c>
      <c r="AV205">
        <v>108</v>
      </c>
      <c r="AW205" t="s">
        <v>71</v>
      </c>
      <c r="AX205">
        <v>18048</v>
      </c>
      <c r="AY205">
        <v>192</v>
      </c>
      <c r="AZ205">
        <v>2</v>
      </c>
      <c r="BA205">
        <v>2</v>
      </c>
      <c r="BB205" s="1">
        <v>321.08</v>
      </c>
      <c r="BC205" s="46">
        <v>12.208</v>
      </c>
      <c r="BF205">
        <v>0</v>
      </c>
      <c r="BG205">
        <v>0</v>
      </c>
      <c r="BH205">
        <v>0</v>
      </c>
      <c r="BI205" s="54">
        <f t="shared" si="219"/>
        <v>12.174666666666667</v>
      </c>
    </row>
    <row r="206" spans="1:61">
      <c r="A206">
        <v>2</v>
      </c>
      <c r="B206" t="s">
        <v>7</v>
      </c>
      <c r="C206">
        <v>19040</v>
      </c>
      <c r="D206">
        <v>224</v>
      </c>
      <c r="E206">
        <v>2</v>
      </c>
      <c r="F206">
        <v>2</v>
      </c>
      <c r="G206" s="1">
        <v>400.36</v>
      </c>
      <c r="H206" s="63">
        <v>11.494999999999999</v>
      </c>
      <c r="I206" s="27">
        <v>45509</v>
      </c>
      <c r="J206" s="53">
        <v>0.52643518518518517</v>
      </c>
      <c r="K206">
        <v>0</v>
      </c>
      <c r="L206">
        <v>0</v>
      </c>
      <c r="M206">
        <v>0</v>
      </c>
      <c r="N206" s="54">
        <f t="shared" si="216"/>
        <v>11.488</v>
      </c>
      <c r="Q206">
        <v>2</v>
      </c>
      <c r="R206" t="s">
        <v>7</v>
      </c>
      <c r="S206">
        <v>19040</v>
      </c>
      <c r="T206">
        <v>224</v>
      </c>
      <c r="U206">
        <v>2</v>
      </c>
      <c r="V206">
        <v>2</v>
      </c>
      <c r="W206">
        <v>372.32</v>
      </c>
      <c r="X206" s="48">
        <v>12.361000000000001</v>
      </c>
      <c r="Y206" s="27">
        <v>45506</v>
      </c>
      <c r="Z206" s="53">
        <v>0.3278240740740741</v>
      </c>
      <c r="AA206">
        <v>0</v>
      </c>
      <c r="AB206">
        <v>0</v>
      </c>
      <c r="AC206">
        <v>0</v>
      </c>
      <c r="AD206" s="54">
        <f t="shared" si="217"/>
        <v>12.4704</v>
      </c>
      <c r="AF206">
        <v>2</v>
      </c>
      <c r="AG206" t="s">
        <v>7</v>
      </c>
      <c r="AH206">
        <v>17984</v>
      </c>
      <c r="AI206">
        <v>64</v>
      </c>
      <c r="AJ206">
        <v>2</v>
      </c>
      <c r="AK206">
        <v>2</v>
      </c>
      <c r="AL206">
        <v>333.38</v>
      </c>
      <c r="AM206" s="48">
        <v>11.632999999999999</v>
      </c>
      <c r="AN206" s="27">
        <v>45509</v>
      </c>
      <c r="AO206" s="53">
        <v>0.33255787037037038</v>
      </c>
      <c r="AP206">
        <v>0</v>
      </c>
      <c r="AQ206">
        <v>0</v>
      </c>
      <c r="AR206">
        <v>0</v>
      </c>
      <c r="AS206" s="54">
        <f t="shared" si="218"/>
        <v>11.646999999999998</v>
      </c>
      <c r="AT206" s="1">
        <f>AT205</f>
        <v>11.646999999999998</v>
      </c>
      <c r="AV206">
        <v>156</v>
      </c>
      <c r="AW206" t="s">
        <v>71</v>
      </c>
      <c r="AX206">
        <v>18048</v>
      </c>
      <c r="AY206">
        <v>192</v>
      </c>
      <c r="AZ206">
        <v>2</v>
      </c>
      <c r="BA206">
        <v>2</v>
      </c>
      <c r="BB206" s="1">
        <v>320.02</v>
      </c>
      <c r="BC206" s="46">
        <v>12.247999999999999</v>
      </c>
      <c r="BF206">
        <v>0</v>
      </c>
      <c r="BG206">
        <v>0</v>
      </c>
      <c r="BH206">
        <v>0</v>
      </c>
      <c r="BI206" s="54">
        <f t="shared" si="219"/>
        <v>12.174666666666667</v>
      </c>
    </row>
    <row r="207" spans="1:61">
      <c r="A207">
        <v>3</v>
      </c>
      <c r="B207" t="s">
        <v>7</v>
      </c>
      <c r="C207">
        <v>19040</v>
      </c>
      <c r="D207">
        <v>224</v>
      </c>
      <c r="E207">
        <v>2</v>
      </c>
      <c r="F207">
        <v>2</v>
      </c>
      <c r="G207" s="1">
        <v>399.52</v>
      </c>
      <c r="H207" s="63">
        <v>11.519</v>
      </c>
      <c r="I207" s="27">
        <v>45509</v>
      </c>
      <c r="J207" s="53">
        <v>0.7943634259259259</v>
      </c>
      <c r="K207">
        <v>0</v>
      </c>
      <c r="L207">
        <v>0</v>
      </c>
      <c r="M207">
        <v>0</v>
      </c>
      <c r="N207" s="54">
        <f t="shared" si="216"/>
        <v>11.488</v>
      </c>
      <c r="Q207">
        <v>3</v>
      </c>
      <c r="R207" t="s">
        <v>7</v>
      </c>
      <c r="S207">
        <v>19040</v>
      </c>
      <c r="T207">
        <v>224</v>
      </c>
      <c r="U207">
        <v>2</v>
      </c>
      <c r="V207">
        <v>2</v>
      </c>
      <c r="W207">
        <v>373</v>
      </c>
      <c r="X207" s="48">
        <v>12.337999999999999</v>
      </c>
      <c r="Y207" s="27">
        <v>45506</v>
      </c>
      <c r="Z207" s="53">
        <v>0.56505787037037036</v>
      </c>
      <c r="AA207">
        <v>0</v>
      </c>
      <c r="AB207">
        <v>0</v>
      </c>
      <c r="AC207">
        <v>0</v>
      </c>
      <c r="AD207" s="54">
        <f t="shared" si="217"/>
        <v>12.4704</v>
      </c>
      <c r="AF207">
        <v>3</v>
      </c>
      <c r="AG207" t="s">
        <v>7</v>
      </c>
      <c r="AH207">
        <v>17984</v>
      </c>
      <c r="AI207">
        <v>64</v>
      </c>
      <c r="AJ207">
        <v>2</v>
      </c>
      <c r="AK207">
        <v>2</v>
      </c>
      <c r="AL207">
        <v>332.71</v>
      </c>
      <c r="AM207" s="48">
        <v>11.656000000000001</v>
      </c>
      <c r="AN207" s="27">
        <v>45509</v>
      </c>
      <c r="AO207" s="53">
        <v>0.57103009259259263</v>
      </c>
      <c r="AP207">
        <v>0</v>
      </c>
      <c r="AQ207">
        <v>0</v>
      </c>
      <c r="AR207">
        <v>0</v>
      </c>
      <c r="AS207" s="54">
        <f t="shared" si="218"/>
        <v>11.646999999999998</v>
      </c>
      <c r="AT207" s="1">
        <f>AT206</f>
        <v>11.646999999999998</v>
      </c>
      <c r="AV207">
        <v>204</v>
      </c>
      <c r="AW207" t="s">
        <v>71</v>
      </c>
      <c r="AX207">
        <v>18048</v>
      </c>
      <c r="AY207">
        <v>192</v>
      </c>
      <c r="AZ207">
        <v>2</v>
      </c>
      <c r="BA207">
        <v>2</v>
      </c>
      <c r="BB207" s="1">
        <v>325.16000000000003</v>
      </c>
      <c r="BC207" s="46">
        <v>12.054</v>
      </c>
      <c r="BF207">
        <v>0</v>
      </c>
      <c r="BG207">
        <v>0</v>
      </c>
      <c r="BH207">
        <v>0</v>
      </c>
      <c r="BI207" s="54">
        <f t="shared" si="219"/>
        <v>12.174666666666667</v>
      </c>
    </row>
    <row r="208" spans="1:61">
      <c r="A208">
        <v>4</v>
      </c>
      <c r="B208" t="s">
        <v>7</v>
      </c>
      <c r="C208">
        <v>19040</v>
      </c>
      <c r="D208">
        <v>224</v>
      </c>
      <c r="E208">
        <v>2</v>
      </c>
      <c r="F208">
        <v>2</v>
      </c>
      <c r="G208" s="1">
        <v>400.92</v>
      </c>
      <c r="H208" s="63">
        <v>11.478999999999999</v>
      </c>
      <c r="I208" s="27">
        <v>45510</v>
      </c>
      <c r="J208" s="53">
        <v>6.2337962962962963E-2</v>
      </c>
      <c r="K208">
        <v>0</v>
      </c>
      <c r="L208">
        <v>0</v>
      </c>
      <c r="M208">
        <v>0</v>
      </c>
      <c r="N208" s="54">
        <f t="shared" si="216"/>
        <v>11.488</v>
      </c>
      <c r="Q208">
        <v>4</v>
      </c>
      <c r="R208" t="s">
        <v>7</v>
      </c>
      <c r="S208">
        <v>19040</v>
      </c>
      <c r="T208">
        <v>224</v>
      </c>
      <c r="U208">
        <v>2</v>
      </c>
      <c r="V208">
        <v>2</v>
      </c>
      <c r="W208">
        <v>366.54</v>
      </c>
      <c r="X208" s="48">
        <v>12.555999999999999</v>
      </c>
      <c r="Y208" s="27">
        <v>45506</v>
      </c>
      <c r="Z208" s="53">
        <v>0.80260416666666667</v>
      </c>
      <c r="AA208">
        <v>0</v>
      </c>
      <c r="AB208">
        <v>0</v>
      </c>
      <c r="AC208">
        <v>0</v>
      </c>
      <c r="AD208" s="54">
        <f t="shared" si="217"/>
        <v>12.4704</v>
      </c>
      <c r="AF208">
        <v>4</v>
      </c>
      <c r="AG208" t="s">
        <v>7</v>
      </c>
      <c r="AH208">
        <v>17984</v>
      </c>
      <c r="AI208">
        <v>64</v>
      </c>
      <c r="AJ208">
        <v>2</v>
      </c>
      <c r="AK208">
        <v>2</v>
      </c>
      <c r="AL208">
        <v>333.27</v>
      </c>
      <c r="AM208" s="48">
        <v>11.637</v>
      </c>
      <c r="AN208" s="27">
        <v>45509</v>
      </c>
      <c r="AO208" s="53">
        <v>0.80918981481481478</v>
      </c>
      <c r="AP208">
        <v>0</v>
      </c>
      <c r="AQ208">
        <v>0</v>
      </c>
      <c r="AR208">
        <v>0</v>
      </c>
      <c r="AS208" s="54">
        <f t="shared" si="218"/>
        <v>11.646999999999998</v>
      </c>
      <c r="AT208" s="1">
        <f>AT207</f>
        <v>11.646999999999998</v>
      </c>
      <c r="AV208">
        <v>252</v>
      </c>
      <c r="AW208" t="s">
        <v>71</v>
      </c>
      <c r="AX208">
        <v>18048</v>
      </c>
      <c r="AY208">
        <v>192</v>
      </c>
      <c r="AZ208">
        <v>2</v>
      </c>
      <c r="BA208">
        <v>2</v>
      </c>
      <c r="BB208" s="1">
        <v>320.04000000000002</v>
      </c>
      <c r="BC208" s="46">
        <v>12.247999999999999</v>
      </c>
      <c r="BF208">
        <v>0</v>
      </c>
      <c r="BG208">
        <v>0</v>
      </c>
      <c r="BH208">
        <v>0</v>
      </c>
      <c r="BI208" s="54">
        <f t="shared" si="219"/>
        <v>12.174666666666667</v>
      </c>
    </row>
    <row r="209" spans="1:61">
      <c r="A209">
        <v>0</v>
      </c>
      <c r="B209" t="s">
        <v>7</v>
      </c>
      <c r="C209">
        <v>20160</v>
      </c>
      <c r="D209">
        <v>224</v>
      </c>
      <c r="E209">
        <v>2</v>
      </c>
      <c r="F209">
        <v>2</v>
      </c>
      <c r="G209" s="1">
        <v>478.08</v>
      </c>
      <c r="H209" s="63">
        <v>11.427</v>
      </c>
      <c r="I209" s="27">
        <v>45509</v>
      </c>
      <c r="J209" s="53">
        <v>9.302083333333333E-2</v>
      </c>
      <c r="K209">
        <v>0</v>
      </c>
      <c r="L209">
        <v>0</v>
      </c>
      <c r="M209">
        <v>0</v>
      </c>
      <c r="N209" s="54">
        <f t="shared" ref="N209" si="312">AVERAGE(H209:H213)</f>
        <v>11.428999999999998</v>
      </c>
      <c r="Q209">
        <v>0</v>
      </c>
      <c r="R209" t="s">
        <v>7</v>
      </c>
      <c r="S209">
        <v>20160</v>
      </c>
      <c r="T209">
        <v>224</v>
      </c>
      <c r="U209">
        <v>2</v>
      </c>
      <c r="V209">
        <v>2</v>
      </c>
      <c r="W209">
        <v>443.4</v>
      </c>
      <c r="X209" s="48">
        <v>12.321</v>
      </c>
      <c r="Y209" s="27">
        <v>45505</v>
      </c>
      <c r="Z209" s="53">
        <v>0.94420138888888894</v>
      </c>
      <c r="AA209">
        <v>0</v>
      </c>
      <c r="AB209">
        <v>0</v>
      </c>
      <c r="AC209">
        <v>0</v>
      </c>
      <c r="AD209" s="54">
        <f t="shared" ref="AD209" si="313">AVERAGE(X209:X213)</f>
        <v>12.196</v>
      </c>
      <c r="AF209">
        <v>0</v>
      </c>
      <c r="AG209" t="s">
        <v>7</v>
      </c>
      <c r="AH209">
        <v>19072</v>
      </c>
      <c r="AI209">
        <v>64</v>
      </c>
      <c r="AJ209">
        <v>2</v>
      </c>
      <c r="AK209">
        <v>2</v>
      </c>
      <c r="AL209">
        <v>396.54</v>
      </c>
      <c r="AM209" s="48">
        <v>11.664</v>
      </c>
      <c r="AN209" s="27">
        <v>45508</v>
      </c>
      <c r="AO209" s="53">
        <v>0.92765046296296294</v>
      </c>
      <c r="AP209">
        <v>0</v>
      </c>
      <c r="AQ209">
        <v>0</v>
      </c>
      <c r="AR209">
        <v>0</v>
      </c>
      <c r="AS209" s="54">
        <f t="shared" ref="AS209" si="314">AVERAGE(AM209:AM213)</f>
        <v>11.6424</v>
      </c>
      <c r="AT209" s="1">
        <f>AS209</f>
        <v>11.6424</v>
      </c>
      <c r="AV209">
        <v>28</v>
      </c>
      <c r="AW209" t="s">
        <v>71</v>
      </c>
      <c r="AX209">
        <v>19072</v>
      </c>
      <c r="AY209">
        <v>192</v>
      </c>
      <c r="AZ209">
        <v>2</v>
      </c>
      <c r="BA209">
        <v>2</v>
      </c>
      <c r="BB209" s="1">
        <v>366.01</v>
      </c>
      <c r="BC209" s="46">
        <v>12.510999999999999</v>
      </c>
      <c r="BF209">
        <v>0</v>
      </c>
      <c r="BG209">
        <v>0</v>
      </c>
      <c r="BH209">
        <v>0</v>
      </c>
      <c r="BI209" s="54">
        <f t="shared" ref="BI209" si="315">AVERAGE(BC209:BC214)</f>
        <v>12.297666666666666</v>
      </c>
    </row>
    <row r="210" spans="1:61">
      <c r="A210">
        <v>1</v>
      </c>
      <c r="B210" t="s">
        <v>7</v>
      </c>
      <c r="C210">
        <v>20160</v>
      </c>
      <c r="D210">
        <v>224</v>
      </c>
      <c r="E210">
        <v>2</v>
      </c>
      <c r="F210">
        <v>2</v>
      </c>
      <c r="G210" s="1">
        <v>477.94</v>
      </c>
      <c r="H210" s="63">
        <v>11.43</v>
      </c>
      <c r="I210" s="27">
        <v>45509</v>
      </c>
      <c r="J210" s="53">
        <v>0.36130787037037038</v>
      </c>
      <c r="K210">
        <v>0</v>
      </c>
      <c r="L210">
        <v>0</v>
      </c>
      <c r="M210">
        <v>0</v>
      </c>
      <c r="N210" s="54">
        <f t="shared" ref="N210:N243" si="316">N209</f>
        <v>11.428999999999998</v>
      </c>
      <c r="Q210">
        <v>1</v>
      </c>
      <c r="R210" t="s">
        <v>7</v>
      </c>
      <c r="S210">
        <v>20160</v>
      </c>
      <c r="T210">
        <v>224</v>
      </c>
      <c r="U210">
        <v>2</v>
      </c>
      <c r="V210">
        <v>2</v>
      </c>
      <c r="W210">
        <v>450.45</v>
      </c>
      <c r="X210" s="48">
        <v>12.128</v>
      </c>
      <c r="Y210" s="27">
        <v>45506</v>
      </c>
      <c r="Z210" s="53">
        <v>0.18160879629629631</v>
      </c>
      <c r="AA210">
        <v>0</v>
      </c>
      <c r="AB210">
        <v>0</v>
      </c>
      <c r="AC210">
        <v>0</v>
      </c>
      <c r="AD210" s="54">
        <f t="shared" ref="AD210:AD243" si="317">AD209</f>
        <v>12.196</v>
      </c>
      <c r="AF210">
        <v>1</v>
      </c>
      <c r="AG210" t="s">
        <v>7</v>
      </c>
      <c r="AH210">
        <v>19072</v>
      </c>
      <c r="AI210">
        <v>64</v>
      </c>
      <c r="AJ210">
        <v>2</v>
      </c>
      <c r="AK210">
        <v>2</v>
      </c>
      <c r="AL210">
        <v>395.95</v>
      </c>
      <c r="AM210" s="48">
        <v>11.682</v>
      </c>
      <c r="AN210" s="27">
        <v>45509</v>
      </c>
      <c r="AO210" s="53">
        <v>0.16496527777777778</v>
      </c>
      <c r="AP210">
        <v>0</v>
      </c>
      <c r="AQ210">
        <v>0</v>
      </c>
      <c r="AR210">
        <v>0</v>
      </c>
      <c r="AS210" s="54">
        <f t="shared" ref="AS210:AS243" si="318">AS209</f>
        <v>11.6424</v>
      </c>
      <c r="AT210" s="1">
        <f>AT209</f>
        <v>11.6424</v>
      </c>
      <c r="AV210">
        <v>76</v>
      </c>
      <c r="AW210" t="s">
        <v>71</v>
      </c>
      <c r="AX210">
        <v>19072</v>
      </c>
      <c r="AY210">
        <v>192</v>
      </c>
      <c r="AZ210">
        <v>2</v>
      </c>
      <c r="BA210">
        <v>2</v>
      </c>
      <c r="BB210" s="1">
        <v>370.43</v>
      </c>
      <c r="BC210" s="46">
        <v>12.361000000000001</v>
      </c>
      <c r="BF210">
        <v>0</v>
      </c>
      <c r="BG210">
        <v>0</v>
      </c>
      <c r="BH210">
        <v>0</v>
      </c>
      <c r="BI210" s="54">
        <f t="shared" ref="BI210:BI273" si="319">BI209</f>
        <v>12.297666666666666</v>
      </c>
    </row>
    <row r="211" spans="1:61">
      <c r="A211">
        <v>2</v>
      </c>
      <c r="B211" t="s">
        <v>7</v>
      </c>
      <c r="C211">
        <v>20160</v>
      </c>
      <c r="D211">
        <v>224</v>
      </c>
      <c r="E211">
        <v>2</v>
      </c>
      <c r="F211">
        <v>2</v>
      </c>
      <c r="G211" s="1">
        <v>479.03</v>
      </c>
      <c r="H211" s="63">
        <v>11.404</v>
      </c>
      <c r="I211" s="27">
        <v>45509</v>
      </c>
      <c r="J211" s="53">
        <v>0.62916666666666665</v>
      </c>
      <c r="K211">
        <v>0</v>
      </c>
      <c r="L211">
        <v>0</v>
      </c>
      <c r="M211">
        <v>0</v>
      </c>
      <c r="N211" s="54">
        <f t="shared" si="316"/>
        <v>11.428999999999998</v>
      </c>
      <c r="Q211">
        <v>2</v>
      </c>
      <c r="R211" t="s">
        <v>7</v>
      </c>
      <c r="S211">
        <v>20160</v>
      </c>
      <c r="T211">
        <v>224</v>
      </c>
      <c r="U211">
        <v>2</v>
      </c>
      <c r="V211">
        <v>2</v>
      </c>
      <c r="W211">
        <v>458.09</v>
      </c>
      <c r="X211" s="48">
        <v>11.926</v>
      </c>
      <c r="Y211" s="27">
        <v>45506</v>
      </c>
      <c r="Z211" s="53">
        <v>0.41909722222222223</v>
      </c>
      <c r="AA211">
        <v>0</v>
      </c>
      <c r="AB211">
        <v>0</v>
      </c>
      <c r="AC211">
        <v>0</v>
      </c>
      <c r="AD211" s="54">
        <f t="shared" si="317"/>
        <v>12.196</v>
      </c>
      <c r="AF211">
        <v>2</v>
      </c>
      <c r="AG211" t="s">
        <v>7</v>
      </c>
      <c r="AH211">
        <v>19072</v>
      </c>
      <c r="AI211">
        <v>64</v>
      </c>
      <c r="AJ211">
        <v>2</v>
      </c>
      <c r="AK211">
        <v>2</v>
      </c>
      <c r="AL211">
        <v>397.64</v>
      </c>
      <c r="AM211" s="48">
        <v>11.632</v>
      </c>
      <c r="AN211" s="27">
        <v>45509</v>
      </c>
      <c r="AO211" s="53">
        <v>0.40239583333333334</v>
      </c>
      <c r="AP211">
        <v>0</v>
      </c>
      <c r="AQ211">
        <v>0</v>
      </c>
      <c r="AR211">
        <v>0</v>
      </c>
      <c r="AS211" s="54">
        <f t="shared" si="318"/>
        <v>11.6424</v>
      </c>
      <c r="AT211" s="1">
        <f>AT210</f>
        <v>11.6424</v>
      </c>
      <c r="AV211">
        <v>124</v>
      </c>
      <c r="AW211" t="s">
        <v>71</v>
      </c>
      <c r="AX211">
        <v>19072</v>
      </c>
      <c r="AY211">
        <v>192</v>
      </c>
      <c r="AZ211">
        <v>2</v>
      </c>
      <c r="BA211">
        <v>2</v>
      </c>
      <c r="BB211" s="1">
        <v>376.64</v>
      </c>
      <c r="BC211" s="46">
        <v>12.157</v>
      </c>
      <c r="BF211">
        <v>0</v>
      </c>
      <c r="BG211">
        <v>0</v>
      </c>
      <c r="BH211">
        <v>0</v>
      </c>
      <c r="BI211" s="54">
        <f t="shared" si="319"/>
        <v>12.297666666666666</v>
      </c>
    </row>
    <row r="212" spans="1:61">
      <c r="A212">
        <v>3</v>
      </c>
      <c r="B212" t="s">
        <v>7</v>
      </c>
      <c r="C212">
        <v>20160</v>
      </c>
      <c r="D212">
        <v>224</v>
      </c>
      <c r="E212">
        <v>2</v>
      </c>
      <c r="F212">
        <v>2</v>
      </c>
      <c r="G212" s="1">
        <v>477.99</v>
      </c>
      <c r="H212" s="63">
        <v>11.429</v>
      </c>
      <c r="I212" s="27">
        <v>45509</v>
      </c>
      <c r="J212" s="53">
        <v>0.89711805555555557</v>
      </c>
      <c r="K212">
        <v>0</v>
      </c>
      <c r="L212">
        <v>0</v>
      </c>
      <c r="M212">
        <v>0</v>
      </c>
      <c r="N212" s="54">
        <f t="shared" si="316"/>
        <v>11.428999999999998</v>
      </c>
      <c r="Q212">
        <v>3</v>
      </c>
      <c r="R212" t="s">
        <v>7</v>
      </c>
      <c r="S212">
        <v>20160</v>
      </c>
      <c r="T212">
        <v>224</v>
      </c>
      <c r="U212">
        <v>2</v>
      </c>
      <c r="V212">
        <v>2</v>
      </c>
      <c r="W212">
        <v>445.03</v>
      </c>
      <c r="X212" s="48">
        <v>12.275</v>
      </c>
      <c r="Y212" s="27">
        <v>45506</v>
      </c>
      <c r="Z212" s="53">
        <v>0.65625</v>
      </c>
      <c r="AA212">
        <v>0</v>
      </c>
      <c r="AB212">
        <v>0</v>
      </c>
      <c r="AC212">
        <v>0</v>
      </c>
      <c r="AD212" s="54">
        <f t="shared" si="317"/>
        <v>12.196</v>
      </c>
      <c r="AF212">
        <v>3</v>
      </c>
      <c r="AG212" t="s">
        <v>7</v>
      </c>
      <c r="AH212">
        <v>19072</v>
      </c>
      <c r="AI212">
        <v>64</v>
      </c>
      <c r="AJ212">
        <v>2</v>
      </c>
      <c r="AK212">
        <v>2</v>
      </c>
      <c r="AL212">
        <v>401.05</v>
      </c>
      <c r="AM212" s="48">
        <v>11.532999999999999</v>
      </c>
      <c r="AN212" s="27">
        <v>45509</v>
      </c>
      <c r="AO212" s="53">
        <v>0.64086805555555559</v>
      </c>
      <c r="AP212">
        <v>0</v>
      </c>
      <c r="AQ212">
        <v>0</v>
      </c>
      <c r="AR212">
        <v>0</v>
      </c>
      <c r="AS212" s="54">
        <f t="shared" si="318"/>
        <v>11.6424</v>
      </c>
      <c r="AT212" s="1">
        <f>AT211</f>
        <v>11.6424</v>
      </c>
      <c r="AV212">
        <v>172</v>
      </c>
      <c r="AW212" t="s">
        <v>71</v>
      </c>
      <c r="AX212">
        <v>19072</v>
      </c>
      <c r="AY212">
        <v>192</v>
      </c>
      <c r="AZ212">
        <v>2</v>
      </c>
      <c r="BA212">
        <v>2</v>
      </c>
      <c r="BB212" s="1">
        <v>375.51</v>
      </c>
      <c r="BC212" s="46">
        <v>12.194000000000001</v>
      </c>
      <c r="BF212">
        <v>0</v>
      </c>
      <c r="BG212">
        <v>0</v>
      </c>
      <c r="BH212">
        <v>0</v>
      </c>
      <c r="BI212" s="54">
        <f t="shared" si="319"/>
        <v>12.297666666666666</v>
      </c>
    </row>
    <row r="213" spans="1:61">
      <c r="A213">
        <v>4</v>
      </c>
      <c r="B213" t="s">
        <v>7</v>
      </c>
      <c r="C213">
        <v>20160</v>
      </c>
      <c r="D213">
        <v>224</v>
      </c>
      <c r="E213">
        <v>2</v>
      </c>
      <c r="F213">
        <v>2</v>
      </c>
      <c r="G213" s="1">
        <v>476.9</v>
      </c>
      <c r="H213" s="63">
        <v>11.455</v>
      </c>
      <c r="I213" s="27">
        <v>45510</v>
      </c>
      <c r="J213" s="53">
        <v>0.1650925925925926</v>
      </c>
      <c r="K213">
        <v>0</v>
      </c>
      <c r="L213">
        <v>0</v>
      </c>
      <c r="M213">
        <v>0</v>
      </c>
      <c r="N213" s="54">
        <f t="shared" si="316"/>
        <v>11.428999999999998</v>
      </c>
      <c r="Q213">
        <v>4</v>
      </c>
      <c r="R213" t="s">
        <v>7</v>
      </c>
      <c r="S213">
        <v>20160</v>
      </c>
      <c r="T213">
        <v>224</v>
      </c>
      <c r="U213">
        <v>2</v>
      </c>
      <c r="V213">
        <v>2</v>
      </c>
      <c r="W213">
        <v>443.05</v>
      </c>
      <c r="X213" s="48">
        <v>12.33</v>
      </c>
      <c r="Y213" s="27">
        <v>45506</v>
      </c>
      <c r="Z213" s="53">
        <v>0.8938194444444445</v>
      </c>
      <c r="AA213">
        <v>0</v>
      </c>
      <c r="AB213">
        <v>0</v>
      </c>
      <c r="AC213">
        <v>0</v>
      </c>
      <c r="AD213" s="54">
        <f t="shared" si="317"/>
        <v>12.196</v>
      </c>
      <c r="AF213">
        <v>4</v>
      </c>
      <c r="AG213" t="s">
        <v>7</v>
      </c>
      <c r="AH213">
        <v>19072</v>
      </c>
      <c r="AI213">
        <v>64</v>
      </c>
      <c r="AJ213">
        <v>2</v>
      </c>
      <c r="AK213">
        <v>2</v>
      </c>
      <c r="AL213">
        <v>395.29</v>
      </c>
      <c r="AM213" s="48">
        <v>11.701000000000001</v>
      </c>
      <c r="AN213" s="27">
        <v>45509</v>
      </c>
      <c r="AO213" s="53">
        <v>0.87908564814814816</v>
      </c>
      <c r="AP213">
        <v>0</v>
      </c>
      <c r="AQ213">
        <v>0</v>
      </c>
      <c r="AR213">
        <v>0</v>
      </c>
      <c r="AS213" s="54">
        <f t="shared" si="318"/>
        <v>11.6424</v>
      </c>
      <c r="AT213" s="1">
        <f>AT212</f>
        <v>11.6424</v>
      </c>
      <c r="AV213">
        <v>220</v>
      </c>
      <c r="AW213" t="s">
        <v>71</v>
      </c>
      <c r="AX213">
        <v>19072</v>
      </c>
      <c r="AY213">
        <v>192</v>
      </c>
      <c r="AZ213">
        <v>2</v>
      </c>
      <c r="BA213">
        <v>2</v>
      </c>
      <c r="BB213" s="1">
        <v>369.83</v>
      </c>
      <c r="BC213" s="46">
        <v>12.381</v>
      </c>
      <c r="BF213">
        <v>0</v>
      </c>
      <c r="BG213">
        <v>0</v>
      </c>
      <c r="BH213">
        <v>0</v>
      </c>
      <c r="BI213" s="54">
        <f t="shared" si="319"/>
        <v>12.297666666666666</v>
      </c>
    </row>
    <row r="214" spans="1:61">
      <c r="A214">
        <v>0</v>
      </c>
      <c r="B214" t="s">
        <v>7</v>
      </c>
      <c r="C214">
        <v>17920</v>
      </c>
      <c r="D214">
        <v>256</v>
      </c>
      <c r="E214">
        <v>1</v>
      </c>
      <c r="F214">
        <v>4</v>
      </c>
      <c r="G214" s="1">
        <v>367.26</v>
      </c>
      <c r="H214" s="63">
        <v>10.446999999999999</v>
      </c>
      <c r="I214" s="27">
        <v>45508</v>
      </c>
      <c r="J214" s="53">
        <v>0.90778935185185183</v>
      </c>
      <c r="K214">
        <v>0</v>
      </c>
      <c r="L214">
        <v>0</v>
      </c>
      <c r="M214">
        <v>0</v>
      </c>
      <c r="N214" s="54">
        <f t="shared" ref="N214" si="320">AVERAGE(H214:H218)</f>
        <v>10.541</v>
      </c>
      <c r="Q214">
        <v>0</v>
      </c>
      <c r="R214" t="s">
        <v>7</v>
      </c>
      <c r="S214">
        <v>17920</v>
      </c>
      <c r="T214">
        <v>256</v>
      </c>
      <c r="U214">
        <v>1</v>
      </c>
      <c r="V214">
        <v>4</v>
      </c>
      <c r="W214">
        <v>320.37</v>
      </c>
      <c r="X214" s="48">
        <v>11.976000000000001</v>
      </c>
      <c r="Y214" s="27">
        <v>45505</v>
      </c>
      <c r="Z214" s="53">
        <v>0.77834490740740736</v>
      </c>
      <c r="AA214">
        <v>0</v>
      </c>
      <c r="AB214">
        <v>0</v>
      </c>
      <c r="AC214">
        <v>0</v>
      </c>
      <c r="AD214" s="54">
        <f t="shared" ref="AD214" si="321">AVERAGE(X214:X218)</f>
        <v>12.274199999999999</v>
      </c>
      <c r="AF214">
        <v>0</v>
      </c>
      <c r="AG214" t="s">
        <v>7</v>
      </c>
      <c r="AH214">
        <v>19072</v>
      </c>
      <c r="AI214">
        <v>32</v>
      </c>
      <c r="AJ214">
        <v>1</v>
      </c>
      <c r="AK214">
        <v>4</v>
      </c>
      <c r="AL214">
        <v>591.49</v>
      </c>
      <c r="AM214" s="48">
        <v>7.8197999999999999</v>
      </c>
      <c r="AN214" s="27">
        <v>45508</v>
      </c>
      <c r="AO214" s="53">
        <v>0.91081018518518519</v>
      </c>
      <c r="AP214">
        <v>0</v>
      </c>
      <c r="AQ214">
        <v>0</v>
      </c>
      <c r="AR214">
        <v>0</v>
      </c>
      <c r="AS214" s="54">
        <f t="shared" ref="AS214" si="322">AVERAGE(AM214:AM218)</f>
        <v>7.8392999999999997</v>
      </c>
      <c r="AT214" s="1">
        <f>AS214</f>
        <v>7.8392999999999997</v>
      </c>
      <c r="AV214">
        <v>268</v>
      </c>
      <c r="AW214" t="s">
        <v>71</v>
      </c>
      <c r="AX214">
        <v>19072</v>
      </c>
      <c r="AY214">
        <v>192</v>
      </c>
      <c r="AZ214">
        <v>2</v>
      </c>
      <c r="BA214">
        <v>2</v>
      </c>
      <c r="BB214" s="1">
        <v>375.89</v>
      </c>
      <c r="BC214" s="46">
        <v>12.182</v>
      </c>
      <c r="BF214">
        <v>0</v>
      </c>
      <c r="BG214">
        <v>0</v>
      </c>
      <c r="BH214">
        <v>0</v>
      </c>
      <c r="BI214" s="54">
        <f t="shared" si="319"/>
        <v>12.297666666666666</v>
      </c>
    </row>
    <row r="215" spans="1:61">
      <c r="A215">
        <v>1</v>
      </c>
      <c r="B215" t="s">
        <v>7</v>
      </c>
      <c r="C215">
        <v>17920</v>
      </c>
      <c r="D215">
        <v>256</v>
      </c>
      <c r="E215">
        <v>1</v>
      </c>
      <c r="F215">
        <v>4</v>
      </c>
      <c r="G215" s="1">
        <v>363.89</v>
      </c>
      <c r="H215" s="63">
        <v>10.544</v>
      </c>
      <c r="I215" s="27">
        <v>45509</v>
      </c>
      <c r="J215" s="53">
        <v>0.17624999999999999</v>
      </c>
      <c r="K215">
        <v>0</v>
      </c>
      <c r="L215">
        <v>0</v>
      </c>
      <c r="M215">
        <v>0</v>
      </c>
      <c r="N215" s="54">
        <f t="shared" ref="N215" si="323">N214</f>
        <v>10.541</v>
      </c>
      <c r="Q215">
        <v>1</v>
      </c>
      <c r="R215" t="s">
        <v>7</v>
      </c>
      <c r="S215">
        <v>17920</v>
      </c>
      <c r="T215">
        <v>256</v>
      </c>
      <c r="U215">
        <v>1</v>
      </c>
      <c r="V215">
        <v>4</v>
      </c>
      <c r="W215">
        <v>306.11</v>
      </c>
      <c r="X215" s="48">
        <v>12.534000000000001</v>
      </c>
      <c r="Y215" s="27">
        <v>45506</v>
      </c>
      <c r="Z215" s="53">
        <v>1.7395833333333333E-2</v>
      </c>
      <c r="AA215">
        <v>0</v>
      </c>
      <c r="AB215">
        <v>0</v>
      </c>
      <c r="AC215">
        <v>0</v>
      </c>
      <c r="AD215" s="54">
        <f t="shared" ref="AD215" si="324">AD214</f>
        <v>12.274199999999999</v>
      </c>
      <c r="AF215">
        <v>1</v>
      </c>
      <c r="AG215" t="s">
        <v>7</v>
      </c>
      <c r="AH215">
        <v>19072</v>
      </c>
      <c r="AI215">
        <v>32</v>
      </c>
      <c r="AJ215">
        <v>1</v>
      </c>
      <c r="AK215">
        <v>4</v>
      </c>
      <c r="AL215">
        <v>590.01</v>
      </c>
      <c r="AM215" s="48">
        <v>7.8395000000000001</v>
      </c>
      <c r="AN215" s="27">
        <v>45509</v>
      </c>
      <c r="AO215" s="53">
        <v>0.14813657407407407</v>
      </c>
      <c r="AP215">
        <v>0</v>
      </c>
      <c r="AQ215">
        <v>0</v>
      </c>
      <c r="AR215">
        <v>0</v>
      </c>
      <c r="AS215" s="54">
        <f t="shared" ref="AS215" si="325">AS214</f>
        <v>7.8392999999999997</v>
      </c>
      <c r="AT215" s="1">
        <f>AT214</f>
        <v>7.8392999999999997</v>
      </c>
      <c r="AV215">
        <v>44</v>
      </c>
      <c r="AW215" t="s">
        <v>71</v>
      </c>
      <c r="AX215">
        <v>20096</v>
      </c>
      <c r="AY215">
        <v>192</v>
      </c>
      <c r="AZ215">
        <v>2</v>
      </c>
      <c r="BA215">
        <v>2</v>
      </c>
      <c r="BB215" s="1">
        <v>441.43</v>
      </c>
      <c r="BC215" s="46">
        <v>12.375999999999999</v>
      </c>
      <c r="BF215">
        <v>0</v>
      </c>
      <c r="BG215">
        <v>0</v>
      </c>
      <c r="BH215">
        <v>0</v>
      </c>
      <c r="BI215" s="54">
        <f t="shared" ref="BI215" si="326">AVERAGE(BC215:BC220)</f>
        <v>12.319999999999999</v>
      </c>
    </row>
    <row r="216" spans="1:61">
      <c r="A216">
        <v>2</v>
      </c>
      <c r="B216" t="s">
        <v>7</v>
      </c>
      <c r="C216">
        <v>17920</v>
      </c>
      <c r="D216">
        <v>256</v>
      </c>
      <c r="E216">
        <v>1</v>
      </c>
      <c r="F216">
        <v>4</v>
      </c>
      <c r="G216" s="1">
        <v>362.14</v>
      </c>
      <c r="H216" s="63">
        <v>10.595000000000001</v>
      </c>
      <c r="I216" s="27">
        <v>45509</v>
      </c>
      <c r="J216" s="53">
        <v>0.44440972222222225</v>
      </c>
      <c r="K216">
        <v>0</v>
      </c>
      <c r="L216">
        <v>0</v>
      </c>
      <c r="M216">
        <v>0</v>
      </c>
      <c r="N216" s="54">
        <f t="shared" si="316"/>
        <v>10.541</v>
      </c>
      <c r="Q216">
        <v>2</v>
      </c>
      <c r="R216" t="s">
        <v>7</v>
      </c>
      <c r="S216">
        <v>17920</v>
      </c>
      <c r="T216">
        <v>256</v>
      </c>
      <c r="U216">
        <v>1</v>
      </c>
      <c r="V216">
        <v>4</v>
      </c>
      <c r="W216">
        <v>318.79000000000002</v>
      </c>
      <c r="X216" s="48">
        <v>12.036</v>
      </c>
      <c r="Y216" s="27">
        <v>45506</v>
      </c>
      <c r="Z216" s="53">
        <v>0.25474537037037037</v>
      </c>
      <c r="AA216">
        <v>0</v>
      </c>
      <c r="AB216">
        <v>0</v>
      </c>
      <c r="AC216">
        <v>0</v>
      </c>
      <c r="AD216" s="54">
        <f t="shared" si="317"/>
        <v>12.274199999999999</v>
      </c>
      <c r="AF216">
        <v>2</v>
      </c>
      <c r="AG216" t="s">
        <v>7</v>
      </c>
      <c r="AH216">
        <v>19072</v>
      </c>
      <c r="AI216">
        <v>32</v>
      </c>
      <c r="AJ216">
        <v>1</v>
      </c>
      <c r="AK216">
        <v>4</v>
      </c>
      <c r="AL216">
        <v>589.67999999999995</v>
      </c>
      <c r="AM216" s="48">
        <v>7.8438999999999997</v>
      </c>
      <c r="AN216" s="27">
        <v>45509</v>
      </c>
      <c r="AO216" s="53">
        <v>0.38559027777777777</v>
      </c>
      <c r="AP216">
        <v>0</v>
      </c>
      <c r="AQ216">
        <v>0</v>
      </c>
      <c r="AR216">
        <v>0</v>
      </c>
      <c r="AS216" s="54">
        <f t="shared" si="318"/>
        <v>7.8392999999999997</v>
      </c>
      <c r="AT216" s="1">
        <f>AT215</f>
        <v>7.8392999999999997</v>
      </c>
      <c r="AV216">
        <v>92</v>
      </c>
      <c r="AW216" t="s">
        <v>71</v>
      </c>
      <c r="AX216">
        <v>20096</v>
      </c>
      <c r="AY216">
        <v>192</v>
      </c>
      <c r="AZ216">
        <v>2</v>
      </c>
      <c r="BA216">
        <v>2</v>
      </c>
      <c r="BB216" s="1">
        <v>441.35</v>
      </c>
      <c r="BC216" s="46">
        <v>12.378</v>
      </c>
      <c r="BF216">
        <v>0</v>
      </c>
      <c r="BG216">
        <v>0</v>
      </c>
      <c r="BH216">
        <v>0</v>
      </c>
      <c r="BI216" s="54">
        <f t="shared" ref="BI216" si="327">BI215</f>
        <v>12.319999999999999</v>
      </c>
    </row>
    <row r="217" spans="1:61">
      <c r="A217">
        <v>3</v>
      </c>
      <c r="B217" t="s">
        <v>7</v>
      </c>
      <c r="C217">
        <v>17920</v>
      </c>
      <c r="D217">
        <v>256</v>
      </c>
      <c r="E217">
        <v>1</v>
      </c>
      <c r="F217">
        <v>4</v>
      </c>
      <c r="G217" s="1">
        <v>363.89</v>
      </c>
      <c r="H217" s="63">
        <v>10.544</v>
      </c>
      <c r="I217" s="27">
        <v>45509</v>
      </c>
      <c r="J217" s="53">
        <v>0.71234953703703707</v>
      </c>
      <c r="K217">
        <v>0</v>
      </c>
      <c r="L217">
        <v>0</v>
      </c>
      <c r="M217">
        <v>0</v>
      </c>
      <c r="N217" s="54">
        <f t="shared" si="316"/>
        <v>10.541</v>
      </c>
      <c r="Q217">
        <v>3</v>
      </c>
      <c r="R217" t="s">
        <v>7</v>
      </c>
      <c r="S217">
        <v>17920</v>
      </c>
      <c r="T217">
        <v>256</v>
      </c>
      <c r="U217">
        <v>1</v>
      </c>
      <c r="V217">
        <v>4</v>
      </c>
      <c r="W217">
        <v>311.95999999999998</v>
      </c>
      <c r="X217" s="48">
        <v>12.298999999999999</v>
      </c>
      <c r="Y217" s="27">
        <v>45506</v>
      </c>
      <c r="Z217" s="53">
        <v>0.49208333333333332</v>
      </c>
      <c r="AA217">
        <v>0</v>
      </c>
      <c r="AB217">
        <v>0</v>
      </c>
      <c r="AC217">
        <v>0</v>
      </c>
      <c r="AD217" s="54">
        <f t="shared" si="317"/>
        <v>12.274199999999999</v>
      </c>
      <c r="AF217">
        <v>3</v>
      </c>
      <c r="AG217" t="s">
        <v>7</v>
      </c>
      <c r="AH217">
        <v>19072</v>
      </c>
      <c r="AI217">
        <v>32</v>
      </c>
      <c r="AJ217">
        <v>1</v>
      </c>
      <c r="AK217">
        <v>4</v>
      </c>
      <c r="AL217">
        <v>589.95000000000005</v>
      </c>
      <c r="AM217" s="48">
        <v>7.8403</v>
      </c>
      <c r="AN217" s="27">
        <v>45509</v>
      </c>
      <c r="AO217" s="53">
        <v>0.62399305555555551</v>
      </c>
      <c r="AP217">
        <v>0</v>
      </c>
      <c r="AQ217">
        <v>0</v>
      </c>
      <c r="AR217">
        <v>0</v>
      </c>
      <c r="AS217" s="54">
        <f t="shared" si="318"/>
        <v>7.8392999999999997</v>
      </c>
      <c r="AT217" s="1">
        <f>AT216</f>
        <v>7.8392999999999997</v>
      </c>
      <c r="AV217">
        <v>140</v>
      </c>
      <c r="AW217" t="s">
        <v>71</v>
      </c>
      <c r="AX217">
        <v>20096</v>
      </c>
      <c r="AY217">
        <v>192</v>
      </c>
      <c r="AZ217">
        <v>2</v>
      </c>
      <c r="BA217">
        <v>2</v>
      </c>
      <c r="BB217" s="1">
        <v>439.19</v>
      </c>
      <c r="BC217" s="46">
        <v>12.439</v>
      </c>
      <c r="BF217">
        <v>0</v>
      </c>
      <c r="BG217">
        <v>0</v>
      </c>
      <c r="BH217">
        <v>0</v>
      </c>
      <c r="BI217" s="54">
        <f t="shared" si="319"/>
        <v>12.319999999999999</v>
      </c>
    </row>
    <row r="218" spans="1:61">
      <c r="A218">
        <v>4</v>
      </c>
      <c r="B218" t="s">
        <v>7</v>
      </c>
      <c r="C218">
        <v>17920</v>
      </c>
      <c r="D218">
        <v>256</v>
      </c>
      <c r="E218">
        <v>1</v>
      </c>
      <c r="F218">
        <v>4</v>
      </c>
      <c r="G218" s="1">
        <v>362.84</v>
      </c>
      <c r="H218" s="63">
        <v>10.574999999999999</v>
      </c>
      <c r="I218" s="27">
        <v>45509</v>
      </c>
      <c r="J218" s="53">
        <v>0.98028935185185184</v>
      </c>
      <c r="K218">
        <v>0</v>
      </c>
      <c r="L218">
        <v>0</v>
      </c>
      <c r="M218">
        <v>0</v>
      </c>
      <c r="N218" s="54">
        <f t="shared" si="316"/>
        <v>10.541</v>
      </c>
      <c r="Q218">
        <v>4</v>
      </c>
      <c r="R218" t="s">
        <v>7</v>
      </c>
      <c r="S218">
        <v>17920</v>
      </c>
      <c r="T218">
        <v>256</v>
      </c>
      <c r="U218">
        <v>1</v>
      </c>
      <c r="V218">
        <v>4</v>
      </c>
      <c r="W218">
        <v>306.32</v>
      </c>
      <c r="X218" s="48">
        <v>12.526</v>
      </c>
      <c r="Y218" s="27">
        <v>45506</v>
      </c>
      <c r="Z218" s="53">
        <v>0.72923611111111108</v>
      </c>
      <c r="AA218">
        <v>0</v>
      </c>
      <c r="AB218">
        <v>0</v>
      </c>
      <c r="AC218">
        <v>0</v>
      </c>
      <c r="AD218" s="54">
        <f t="shared" si="317"/>
        <v>12.274199999999999</v>
      </c>
      <c r="AF218">
        <v>4</v>
      </c>
      <c r="AG218" t="s">
        <v>7</v>
      </c>
      <c r="AH218">
        <v>19072</v>
      </c>
      <c r="AI218">
        <v>32</v>
      </c>
      <c r="AJ218">
        <v>1</v>
      </c>
      <c r="AK218">
        <v>4</v>
      </c>
      <c r="AL218">
        <v>589</v>
      </c>
      <c r="AM218" s="48">
        <v>7.8529999999999998</v>
      </c>
      <c r="AN218" s="27">
        <v>45509</v>
      </c>
      <c r="AO218" s="53">
        <v>0.86229166666666668</v>
      </c>
      <c r="AP218">
        <v>0</v>
      </c>
      <c r="AQ218">
        <v>0</v>
      </c>
      <c r="AR218">
        <v>0</v>
      </c>
      <c r="AS218" s="54">
        <f t="shared" si="318"/>
        <v>7.8392999999999997</v>
      </c>
      <c r="AT218" s="1">
        <f>AT217</f>
        <v>7.8392999999999997</v>
      </c>
      <c r="AV218">
        <v>188</v>
      </c>
      <c r="AW218" t="s">
        <v>71</v>
      </c>
      <c r="AX218">
        <v>20096</v>
      </c>
      <c r="AY218">
        <v>192</v>
      </c>
      <c r="AZ218">
        <v>2</v>
      </c>
      <c r="BA218">
        <v>2</v>
      </c>
      <c r="BB218" s="1">
        <v>454.21</v>
      </c>
      <c r="BC218" s="46">
        <v>12.026999999999999</v>
      </c>
      <c r="BF218">
        <v>0</v>
      </c>
      <c r="BG218">
        <v>0</v>
      </c>
      <c r="BH218">
        <v>0</v>
      </c>
      <c r="BI218" s="54">
        <f t="shared" si="319"/>
        <v>12.319999999999999</v>
      </c>
    </row>
    <row r="219" spans="1:61">
      <c r="A219">
        <v>0</v>
      </c>
      <c r="B219" t="s">
        <v>7</v>
      </c>
      <c r="C219">
        <v>18944</v>
      </c>
      <c r="D219">
        <v>256</v>
      </c>
      <c r="E219">
        <v>1</v>
      </c>
      <c r="F219">
        <v>4</v>
      </c>
      <c r="G219" s="1">
        <v>439.73</v>
      </c>
      <c r="H219" s="63">
        <v>10.308</v>
      </c>
      <c r="I219" s="27">
        <v>45508</v>
      </c>
      <c r="J219" s="53">
        <v>0.99569444444444444</v>
      </c>
      <c r="K219">
        <v>0</v>
      </c>
      <c r="L219">
        <v>0</v>
      </c>
      <c r="M219">
        <v>0</v>
      </c>
      <c r="N219" s="54">
        <f t="shared" ref="N219" si="328">AVERAGE(H219:H223)</f>
        <v>10.3424</v>
      </c>
      <c r="Q219">
        <v>0</v>
      </c>
      <c r="R219" t="s">
        <v>7</v>
      </c>
      <c r="S219">
        <v>18944</v>
      </c>
      <c r="T219">
        <v>256</v>
      </c>
      <c r="U219">
        <v>1</v>
      </c>
      <c r="V219">
        <v>4</v>
      </c>
      <c r="W219">
        <v>359.71</v>
      </c>
      <c r="X219" s="48">
        <v>12.602</v>
      </c>
      <c r="Y219" s="27">
        <v>45505</v>
      </c>
      <c r="Z219" s="53">
        <v>0.85708333333333331</v>
      </c>
      <c r="AA219">
        <v>0</v>
      </c>
      <c r="AB219">
        <v>0</v>
      </c>
      <c r="AC219">
        <v>0</v>
      </c>
      <c r="AD219" s="54">
        <f t="shared" ref="AD219" si="329">AVERAGE(X219:X223)</f>
        <v>12.648199999999999</v>
      </c>
      <c r="AF219">
        <v>0</v>
      </c>
      <c r="AG219" t="s">
        <v>7</v>
      </c>
      <c r="AH219">
        <v>19072</v>
      </c>
      <c r="AI219">
        <v>32</v>
      </c>
      <c r="AJ219">
        <v>2</v>
      </c>
      <c r="AK219">
        <v>2</v>
      </c>
      <c r="AL219">
        <v>595.75</v>
      </c>
      <c r="AM219" s="48">
        <v>7.7640000000000002</v>
      </c>
      <c r="AN219" s="27">
        <v>45508</v>
      </c>
      <c r="AO219" s="53">
        <v>0.91798611111111106</v>
      </c>
      <c r="AP219">
        <v>0</v>
      </c>
      <c r="AQ219">
        <v>0</v>
      </c>
      <c r="AR219">
        <v>0</v>
      </c>
      <c r="AS219" s="54">
        <f t="shared" ref="AS219" si="330">AVERAGE(AM219:AM223)</f>
        <v>7.7670399999999997</v>
      </c>
      <c r="AT219" s="1">
        <f>AS219</f>
        <v>7.7670399999999997</v>
      </c>
      <c r="AV219">
        <v>236</v>
      </c>
      <c r="AW219" t="s">
        <v>71</v>
      </c>
      <c r="AX219">
        <v>20096</v>
      </c>
      <c r="AY219">
        <v>192</v>
      </c>
      <c r="AZ219">
        <v>2</v>
      </c>
      <c r="BA219">
        <v>2</v>
      </c>
      <c r="BB219" s="1">
        <v>440.41</v>
      </c>
      <c r="BC219" s="46">
        <v>12.404</v>
      </c>
      <c r="BF219">
        <v>0</v>
      </c>
      <c r="BG219">
        <v>0</v>
      </c>
      <c r="BH219">
        <v>0</v>
      </c>
      <c r="BI219" s="54">
        <f t="shared" si="319"/>
        <v>12.319999999999999</v>
      </c>
    </row>
    <row r="220" spans="1:61">
      <c r="A220">
        <v>1</v>
      </c>
      <c r="B220" t="s">
        <v>7</v>
      </c>
      <c r="C220">
        <v>18944</v>
      </c>
      <c r="D220">
        <v>256</v>
      </c>
      <c r="E220">
        <v>1</v>
      </c>
      <c r="F220">
        <v>4</v>
      </c>
      <c r="G220" s="1">
        <v>439.09</v>
      </c>
      <c r="H220" s="63">
        <v>10.323</v>
      </c>
      <c r="I220" s="27">
        <v>45509</v>
      </c>
      <c r="J220" s="53">
        <v>0.26381944444444444</v>
      </c>
      <c r="K220">
        <v>0</v>
      </c>
      <c r="L220">
        <v>0</v>
      </c>
      <c r="M220">
        <v>0</v>
      </c>
      <c r="N220" s="54">
        <f t="shared" ref="N220" si="331">N219</f>
        <v>10.3424</v>
      </c>
      <c r="Q220">
        <v>1</v>
      </c>
      <c r="R220" t="s">
        <v>7</v>
      </c>
      <c r="S220">
        <v>18944</v>
      </c>
      <c r="T220">
        <v>256</v>
      </c>
      <c r="U220">
        <v>1</v>
      </c>
      <c r="V220">
        <v>4</v>
      </c>
      <c r="W220">
        <v>363.75</v>
      </c>
      <c r="X220" s="48">
        <v>12.461</v>
      </c>
      <c r="Y220" s="27">
        <v>45506</v>
      </c>
      <c r="Z220" s="53">
        <v>9.4791666666666663E-2</v>
      </c>
      <c r="AA220">
        <v>0</v>
      </c>
      <c r="AB220">
        <v>0</v>
      </c>
      <c r="AC220">
        <v>0</v>
      </c>
      <c r="AD220" s="54">
        <f t="shared" ref="AD220" si="332">AD219</f>
        <v>12.648199999999999</v>
      </c>
      <c r="AF220">
        <v>1</v>
      </c>
      <c r="AG220" t="s">
        <v>7</v>
      </c>
      <c r="AH220">
        <v>19072</v>
      </c>
      <c r="AI220">
        <v>32</v>
      </c>
      <c r="AJ220">
        <v>2</v>
      </c>
      <c r="AK220">
        <v>2</v>
      </c>
      <c r="AL220">
        <v>597.39</v>
      </c>
      <c r="AM220" s="48">
        <v>7.7427000000000001</v>
      </c>
      <c r="AN220" s="27">
        <v>45509</v>
      </c>
      <c r="AO220" s="53">
        <v>0.15532407407407409</v>
      </c>
      <c r="AP220">
        <v>0</v>
      </c>
      <c r="AQ220">
        <v>0</v>
      </c>
      <c r="AR220">
        <v>0</v>
      </c>
      <c r="AS220" s="54">
        <f t="shared" ref="AS220" si="333">AS219</f>
        <v>7.7670399999999997</v>
      </c>
      <c r="AT220" s="1">
        <f>AT219</f>
        <v>7.7670399999999997</v>
      </c>
      <c r="AV220">
        <v>284</v>
      </c>
      <c r="AW220" t="s">
        <v>71</v>
      </c>
      <c r="AX220">
        <v>20096</v>
      </c>
      <c r="AY220">
        <v>192</v>
      </c>
      <c r="AZ220">
        <v>2</v>
      </c>
      <c r="BA220">
        <v>2</v>
      </c>
      <c r="BB220" s="1">
        <v>444.3</v>
      </c>
      <c r="BC220" s="46">
        <v>12.295999999999999</v>
      </c>
      <c r="BF220">
        <v>0</v>
      </c>
      <c r="BG220">
        <v>0</v>
      </c>
      <c r="BH220">
        <v>0</v>
      </c>
      <c r="BI220" s="54">
        <f t="shared" si="319"/>
        <v>12.319999999999999</v>
      </c>
    </row>
    <row r="221" spans="1:61">
      <c r="A221">
        <v>2</v>
      </c>
      <c r="B221" t="s">
        <v>7</v>
      </c>
      <c r="C221">
        <v>18944</v>
      </c>
      <c r="D221">
        <v>256</v>
      </c>
      <c r="E221">
        <v>1</v>
      </c>
      <c r="F221">
        <v>4</v>
      </c>
      <c r="G221" s="1">
        <v>437.86</v>
      </c>
      <c r="H221" s="63">
        <v>10.352</v>
      </c>
      <c r="I221" s="27">
        <v>45509</v>
      </c>
      <c r="J221" s="53">
        <v>0.53178240740740745</v>
      </c>
      <c r="K221">
        <v>0</v>
      </c>
      <c r="L221">
        <v>0</v>
      </c>
      <c r="M221">
        <v>0</v>
      </c>
      <c r="N221" s="54">
        <f t="shared" si="316"/>
        <v>10.3424</v>
      </c>
      <c r="Q221">
        <v>2</v>
      </c>
      <c r="R221" t="s">
        <v>7</v>
      </c>
      <c r="S221">
        <v>18944</v>
      </c>
      <c r="T221">
        <v>256</v>
      </c>
      <c r="U221">
        <v>1</v>
      </c>
      <c r="V221">
        <v>4</v>
      </c>
      <c r="W221">
        <v>351.21</v>
      </c>
      <c r="X221" s="48">
        <v>12.907</v>
      </c>
      <c r="Y221" s="27">
        <v>45506</v>
      </c>
      <c r="Z221" s="53">
        <v>0.33218750000000002</v>
      </c>
      <c r="AA221">
        <v>0</v>
      </c>
      <c r="AB221">
        <v>0</v>
      </c>
      <c r="AC221">
        <v>0</v>
      </c>
      <c r="AD221" s="54">
        <f t="shared" si="317"/>
        <v>12.648199999999999</v>
      </c>
      <c r="AF221">
        <v>2</v>
      </c>
      <c r="AG221" t="s">
        <v>7</v>
      </c>
      <c r="AH221">
        <v>19072</v>
      </c>
      <c r="AI221">
        <v>32</v>
      </c>
      <c r="AJ221">
        <v>2</v>
      </c>
      <c r="AK221">
        <v>2</v>
      </c>
      <c r="AL221">
        <v>594.22</v>
      </c>
      <c r="AM221" s="48">
        <v>7.7839999999999998</v>
      </c>
      <c r="AN221" s="27">
        <v>45509</v>
      </c>
      <c r="AO221" s="53">
        <v>0.39274305555555555</v>
      </c>
      <c r="AP221">
        <v>0</v>
      </c>
      <c r="AQ221">
        <v>0</v>
      </c>
      <c r="AR221">
        <v>0</v>
      </c>
      <c r="AS221" s="54">
        <f t="shared" si="318"/>
        <v>7.7670399999999997</v>
      </c>
      <c r="AT221" s="1">
        <f>AT220</f>
        <v>7.7670399999999997</v>
      </c>
      <c r="AV221">
        <v>13</v>
      </c>
      <c r="AW221" t="s">
        <v>71</v>
      </c>
      <c r="AX221">
        <v>18048</v>
      </c>
      <c r="AY221">
        <v>224</v>
      </c>
      <c r="AZ221">
        <v>1</v>
      </c>
      <c r="BA221">
        <v>4</v>
      </c>
      <c r="BB221" s="1">
        <v>327.12</v>
      </c>
      <c r="BC221" s="46">
        <v>12.175000000000001</v>
      </c>
      <c r="BF221">
        <v>0</v>
      </c>
      <c r="BG221">
        <v>0</v>
      </c>
      <c r="BH221">
        <v>0</v>
      </c>
      <c r="BI221" s="54">
        <f t="shared" ref="BI221" si="334">AVERAGE(BC221:BC226)</f>
        <v>12.105666666666666</v>
      </c>
    </row>
    <row r="222" spans="1:61">
      <c r="A222">
        <v>3</v>
      </c>
      <c r="B222" t="s">
        <v>7</v>
      </c>
      <c r="C222">
        <v>18944</v>
      </c>
      <c r="D222">
        <v>256</v>
      </c>
      <c r="E222">
        <v>1</v>
      </c>
      <c r="F222">
        <v>4</v>
      </c>
      <c r="G222" s="1">
        <v>435.25</v>
      </c>
      <c r="H222" s="63">
        <v>10.414999999999999</v>
      </c>
      <c r="I222" s="27">
        <v>45509</v>
      </c>
      <c r="J222" s="53">
        <v>0.79967592592592596</v>
      </c>
      <c r="K222">
        <v>0</v>
      </c>
      <c r="L222">
        <v>0</v>
      </c>
      <c r="M222">
        <v>0</v>
      </c>
      <c r="N222" s="54">
        <f t="shared" si="316"/>
        <v>10.3424</v>
      </c>
      <c r="Q222">
        <v>3</v>
      </c>
      <c r="R222" t="s">
        <v>7</v>
      </c>
      <c r="S222">
        <v>18944</v>
      </c>
      <c r="T222">
        <v>256</v>
      </c>
      <c r="U222">
        <v>1</v>
      </c>
      <c r="V222">
        <v>4</v>
      </c>
      <c r="W222">
        <v>356.12</v>
      </c>
      <c r="X222" s="48">
        <v>12.728999999999999</v>
      </c>
      <c r="Y222" s="27">
        <v>45506</v>
      </c>
      <c r="Z222" s="53">
        <v>0.56947916666666665</v>
      </c>
      <c r="AA222">
        <v>0</v>
      </c>
      <c r="AB222">
        <v>0</v>
      </c>
      <c r="AC222">
        <v>0</v>
      </c>
      <c r="AD222" s="54">
        <f t="shared" si="317"/>
        <v>12.648199999999999</v>
      </c>
      <c r="AF222">
        <v>3</v>
      </c>
      <c r="AG222" t="s">
        <v>7</v>
      </c>
      <c r="AH222">
        <v>19072</v>
      </c>
      <c r="AI222">
        <v>32</v>
      </c>
      <c r="AJ222">
        <v>2</v>
      </c>
      <c r="AK222">
        <v>2</v>
      </c>
      <c r="AL222">
        <v>595.73</v>
      </c>
      <c r="AM222" s="48">
        <v>7.7641999999999998</v>
      </c>
      <c r="AN222" s="27">
        <v>45509</v>
      </c>
      <c r="AO222" s="53">
        <v>0.63116898148148148</v>
      </c>
      <c r="AP222">
        <v>0</v>
      </c>
      <c r="AQ222">
        <v>0</v>
      </c>
      <c r="AR222">
        <v>0</v>
      </c>
      <c r="AS222" s="54">
        <f t="shared" si="318"/>
        <v>7.7670399999999997</v>
      </c>
      <c r="AT222" s="1">
        <f>AT221</f>
        <v>7.7670399999999997</v>
      </c>
      <c r="AV222">
        <v>61</v>
      </c>
      <c r="AW222" t="s">
        <v>71</v>
      </c>
      <c r="AX222">
        <v>18048</v>
      </c>
      <c r="AY222">
        <v>224</v>
      </c>
      <c r="AZ222">
        <v>1</v>
      </c>
      <c r="BA222">
        <v>4</v>
      </c>
      <c r="BB222" s="1">
        <v>342.11</v>
      </c>
      <c r="BC222" s="46">
        <v>11.641</v>
      </c>
      <c r="BF222">
        <v>0</v>
      </c>
      <c r="BG222">
        <v>0</v>
      </c>
      <c r="BH222">
        <v>0</v>
      </c>
      <c r="BI222" s="54">
        <f t="shared" ref="BI222" si="335">BI221</f>
        <v>12.105666666666666</v>
      </c>
    </row>
    <row r="223" spans="1:61">
      <c r="A223">
        <v>4</v>
      </c>
      <c r="B223" t="s">
        <v>7</v>
      </c>
      <c r="C223">
        <v>18944</v>
      </c>
      <c r="D223">
        <v>256</v>
      </c>
      <c r="E223">
        <v>1</v>
      </c>
      <c r="F223">
        <v>4</v>
      </c>
      <c r="G223" s="1">
        <v>439.48</v>
      </c>
      <c r="H223" s="63">
        <v>10.314</v>
      </c>
      <c r="I223" s="27">
        <v>45510</v>
      </c>
      <c r="J223" s="53">
        <v>6.7708333333333329E-2</v>
      </c>
      <c r="K223">
        <v>0</v>
      </c>
      <c r="L223">
        <v>0</v>
      </c>
      <c r="M223">
        <v>0</v>
      </c>
      <c r="N223" s="54">
        <f t="shared" si="316"/>
        <v>10.3424</v>
      </c>
      <c r="Q223">
        <v>4</v>
      </c>
      <c r="R223" t="s">
        <v>7</v>
      </c>
      <c r="S223">
        <v>18944</v>
      </c>
      <c r="T223">
        <v>256</v>
      </c>
      <c r="U223">
        <v>1</v>
      </c>
      <c r="V223">
        <v>4</v>
      </c>
      <c r="W223">
        <v>361.42</v>
      </c>
      <c r="X223" s="48">
        <v>12.542</v>
      </c>
      <c r="Y223" s="27">
        <v>45506</v>
      </c>
      <c r="Z223" s="53">
        <v>0.80708333333333337</v>
      </c>
      <c r="AA223">
        <v>0</v>
      </c>
      <c r="AB223">
        <v>0</v>
      </c>
      <c r="AC223">
        <v>0</v>
      </c>
      <c r="AD223" s="54">
        <f t="shared" si="317"/>
        <v>12.648199999999999</v>
      </c>
      <c r="AF223">
        <v>4</v>
      </c>
      <c r="AG223" t="s">
        <v>7</v>
      </c>
      <c r="AH223">
        <v>19072</v>
      </c>
      <c r="AI223">
        <v>32</v>
      </c>
      <c r="AJ223">
        <v>2</v>
      </c>
      <c r="AK223">
        <v>2</v>
      </c>
      <c r="AL223">
        <v>594.5</v>
      </c>
      <c r="AM223" s="48">
        <v>7.7803000000000004</v>
      </c>
      <c r="AN223" s="27">
        <v>45509</v>
      </c>
      <c r="AO223" s="53">
        <v>0.8694560185185185</v>
      </c>
      <c r="AP223">
        <v>0</v>
      </c>
      <c r="AQ223">
        <v>0</v>
      </c>
      <c r="AR223">
        <v>0</v>
      </c>
      <c r="AS223" s="54">
        <f t="shared" si="318"/>
        <v>7.7670399999999997</v>
      </c>
      <c r="AT223" s="1">
        <f>AT222</f>
        <v>7.7670399999999997</v>
      </c>
      <c r="AV223">
        <v>109</v>
      </c>
      <c r="AW223" t="s">
        <v>71</v>
      </c>
      <c r="AX223">
        <v>18048</v>
      </c>
      <c r="AY223">
        <v>224</v>
      </c>
      <c r="AZ223">
        <v>1</v>
      </c>
      <c r="BA223">
        <v>4</v>
      </c>
      <c r="BB223" s="1">
        <v>327.96</v>
      </c>
      <c r="BC223" s="46">
        <v>12.143000000000001</v>
      </c>
      <c r="BF223">
        <v>0</v>
      </c>
      <c r="BG223">
        <v>0</v>
      </c>
      <c r="BH223">
        <v>0</v>
      </c>
      <c r="BI223" s="54">
        <f t="shared" si="319"/>
        <v>12.105666666666666</v>
      </c>
    </row>
    <row r="224" spans="1:61">
      <c r="A224">
        <v>0</v>
      </c>
      <c r="B224" t="s">
        <v>7</v>
      </c>
      <c r="C224">
        <v>19968</v>
      </c>
      <c r="D224">
        <v>256</v>
      </c>
      <c r="E224">
        <v>1</v>
      </c>
      <c r="F224">
        <v>4</v>
      </c>
      <c r="G224" s="1">
        <v>504.33</v>
      </c>
      <c r="H224" s="63">
        <v>10.526</v>
      </c>
      <c r="I224" s="27">
        <v>45509</v>
      </c>
      <c r="J224" s="53">
        <v>9.9166666666666667E-2</v>
      </c>
      <c r="K224">
        <v>0</v>
      </c>
      <c r="L224">
        <v>0</v>
      </c>
      <c r="M224">
        <v>0</v>
      </c>
      <c r="N224" s="54">
        <f t="shared" ref="N224" si="336">AVERAGE(H224:H228)</f>
        <v>10.601400000000002</v>
      </c>
      <c r="Q224">
        <v>0</v>
      </c>
      <c r="R224" t="s">
        <v>7</v>
      </c>
      <c r="S224">
        <v>19968</v>
      </c>
      <c r="T224">
        <v>256</v>
      </c>
      <c r="U224">
        <v>1</v>
      </c>
      <c r="V224">
        <v>4</v>
      </c>
      <c r="W224">
        <v>424.73</v>
      </c>
      <c r="X224" s="48">
        <v>12.497999999999999</v>
      </c>
      <c r="Y224" s="27">
        <v>45505</v>
      </c>
      <c r="Z224" s="53">
        <v>0.94944444444444442</v>
      </c>
      <c r="AA224">
        <v>0</v>
      </c>
      <c r="AB224">
        <v>0</v>
      </c>
      <c r="AC224">
        <v>0</v>
      </c>
      <c r="AD224" s="54">
        <f t="shared" ref="AD224" si="337">AVERAGE(X224:X228)</f>
        <v>12.798399999999999</v>
      </c>
      <c r="AF224">
        <v>0</v>
      </c>
      <c r="AG224" t="s">
        <v>7</v>
      </c>
      <c r="AH224">
        <v>20160</v>
      </c>
      <c r="AI224">
        <v>32</v>
      </c>
      <c r="AJ224">
        <v>1</v>
      </c>
      <c r="AK224">
        <v>4</v>
      </c>
      <c r="AL224">
        <v>714.01</v>
      </c>
      <c r="AM224" s="48">
        <v>7.6510999999999996</v>
      </c>
      <c r="AN224" s="27">
        <v>45508</v>
      </c>
      <c r="AO224" s="53">
        <v>0.9901388888888889</v>
      </c>
      <c r="AP224">
        <v>0</v>
      </c>
      <c r="AQ224">
        <v>0</v>
      </c>
      <c r="AR224">
        <v>0</v>
      </c>
      <c r="AS224" s="54">
        <f t="shared" ref="AS224" si="338">AVERAGE(AM224:AM228)</f>
        <v>7.6669999999999998</v>
      </c>
      <c r="AT224" s="1">
        <f>AS224</f>
        <v>7.6669999999999998</v>
      </c>
      <c r="AV224">
        <v>157</v>
      </c>
      <c r="AW224" t="s">
        <v>71</v>
      </c>
      <c r="AX224">
        <v>18048</v>
      </c>
      <c r="AY224">
        <v>224</v>
      </c>
      <c r="AZ224">
        <v>1</v>
      </c>
      <c r="BA224">
        <v>4</v>
      </c>
      <c r="BB224" s="1">
        <v>323.36</v>
      </c>
      <c r="BC224" s="46">
        <v>12.316000000000001</v>
      </c>
      <c r="BF224">
        <v>0</v>
      </c>
      <c r="BG224">
        <v>0</v>
      </c>
      <c r="BH224">
        <v>0</v>
      </c>
      <c r="BI224" s="54">
        <f t="shared" si="319"/>
        <v>12.105666666666666</v>
      </c>
    </row>
    <row r="225" spans="1:61">
      <c r="A225">
        <v>1</v>
      </c>
      <c r="B225" t="s">
        <v>7</v>
      </c>
      <c r="C225">
        <v>19968</v>
      </c>
      <c r="D225">
        <v>256</v>
      </c>
      <c r="E225">
        <v>1</v>
      </c>
      <c r="F225">
        <v>4</v>
      </c>
      <c r="G225" s="1">
        <v>498.04</v>
      </c>
      <c r="H225" s="63">
        <v>10.659000000000001</v>
      </c>
      <c r="I225" s="27">
        <v>45509</v>
      </c>
      <c r="J225" s="53">
        <v>0.36738425925925927</v>
      </c>
      <c r="K225">
        <v>0</v>
      </c>
      <c r="L225">
        <v>0</v>
      </c>
      <c r="M225">
        <v>0</v>
      </c>
      <c r="N225" s="54">
        <f t="shared" ref="N225" si="339">N224</f>
        <v>10.601400000000002</v>
      </c>
      <c r="Q225">
        <v>1</v>
      </c>
      <c r="R225" t="s">
        <v>7</v>
      </c>
      <c r="S225">
        <v>19968</v>
      </c>
      <c r="T225">
        <v>256</v>
      </c>
      <c r="U225">
        <v>1</v>
      </c>
      <c r="V225">
        <v>4</v>
      </c>
      <c r="W225">
        <v>413.12</v>
      </c>
      <c r="X225" s="48">
        <v>12.85</v>
      </c>
      <c r="Y225" s="27">
        <v>45506</v>
      </c>
      <c r="Z225" s="53">
        <v>0.18671296296296297</v>
      </c>
      <c r="AA225">
        <v>0</v>
      </c>
      <c r="AB225">
        <v>0</v>
      </c>
      <c r="AC225">
        <v>0</v>
      </c>
      <c r="AD225" s="54">
        <f t="shared" ref="AD225" si="340">AD224</f>
        <v>12.798399999999999</v>
      </c>
      <c r="AF225">
        <v>1</v>
      </c>
      <c r="AG225" t="s">
        <v>7</v>
      </c>
      <c r="AH225">
        <v>20160</v>
      </c>
      <c r="AI225">
        <v>32</v>
      </c>
      <c r="AJ225">
        <v>1</v>
      </c>
      <c r="AK225">
        <v>4</v>
      </c>
      <c r="AL225">
        <v>710.05</v>
      </c>
      <c r="AM225" s="48">
        <v>7.6938000000000004</v>
      </c>
      <c r="AN225" s="27">
        <v>45509</v>
      </c>
      <c r="AO225" s="53">
        <v>0.22777777777777777</v>
      </c>
      <c r="AP225">
        <v>0</v>
      </c>
      <c r="AQ225">
        <v>0</v>
      </c>
      <c r="AR225">
        <v>0</v>
      </c>
      <c r="AS225" s="54">
        <f t="shared" ref="AS225" si="341">AS224</f>
        <v>7.6669999999999998</v>
      </c>
      <c r="AT225" s="1">
        <f>AT224</f>
        <v>7.6669999999999998</v>
      </c>
      <c r="AV225">
        <v>205</v>
      </c>
      <c r="AW225" t="s">
        <v>71</v>
      </c>
      <c r="AX225">
        <v>18048</v>
      </c>
      <c r="AY225">
        <v>224</v>
      </c>
      <c r="AZ225">
        <v>1</v>
      </c>
      <c r="BA225">
        <v>4</v>
      </c>
      <c r="BB225" s="1">
        <v>326.77999999999997</v>
      </c>
      <c r="BC225" s="46">
        <v>12.186999999999999</v>
      </c>
      <c r="BF225">
        <v>0</v>
      </c>
      <c r="BG225">
        <v>0</v>
      </c>
      <c r="BH225">
        <v>0</v>
      </c>
      <c r="BI225" s="54">
        <f t="shared" si="319"/>
        <v>12.105666666666666</v>
      </c>
    </row>
    <row r="226" spans="1:61">
      <c r="A226">
        <v>2</v>
      </c>
      <c r="B226" t="s">
        <v>7</v>
      </c>
      <c r="C226">
        <v>19968</v>
      </c>
      <c r="D226">
        <v>256</v>
      </c>
      <c r="E226">
        <v>1</v>
      </c>
      <c r="F226">
        <v>4</v>
      </c>
      <c r="G226" s="1">
        <v>498.96</v>
      </c>
      <c r="H226" s="63">
        <v>10.638999999999999</v>
      </c>
      <c r="I226" s="27">
        <v>45509</v>
      </c>
      <c r="J226" s="53">
        <v>0.63525462962962964</v>
      </c>
      <c r="K226">
        <v>0</v>
      </c>
      <c r="L226">
        <v>0</v>
      </c>
      <c r="M226">
        <v>0</v>
      </c>
      <c r="N226" s="54">
        <f t="shared" si="316"/>
        <v>10.601400000000002</v>
      </c>
      <c r="Q226">
        <v>2</v>
      </c>
      <c r="R226" t="s">
        <v>7</v>
      </c>
      <c r="S226">
        <v>19968</v>
      </c>
      <c r="T226">
        <v>256</v>
      </c>
      <c r="U226">
        <v>1</v>
      </c>
      <c r="V226">
        <v>4</v>
      </c>
      <c r="W226">
        <v>415.23</v>
      </c>
      <c r="X226" s="48">
        <v>12.784000000000001</v>
      </c>
      <c r="Y226" s="27">
        <v>45506</v>
      </c>
      <c r="Z226" s="53">
        <v>0.42423611111111109</v>
      </c>
      <c r="AA226">
        <v>0</v>
      </c>
      <c r="AB226">
        <v>0</v>
      </c>
      <c r="AC226">
        <v>0</v>
      </c>
      <c r="AD226" s="54">
        <f t="shared" si="317"/>
        <v>12.798399999999999</v>
      </c>
      <c r="AF226">
        <v>2</v>
      </c>
      <c r="AG226" t="s">
        <v>7</v>
      </c>
      <c r="AH226">
        <v>20160</v>
      </c>
      <c r="AI226">
        <v>32</v>
      </c>
      <c r="AJ226">
        <v>1</v>
      </c>
      <c r="AK226">
        <v>4</v>
      </c>
      <c r="AL226">
        <v>709.37</v>
      </c>
      <c r="AM226" s="48">
        <v>7.7011000000000003</v>
      </c>
      <c r="AN226" s="27">
        <v>45509</v>
      </c>
      <c r="AO226" s="53">
        <v>0.46547453703703706</v>
      </c>
      <c r="AP226">
        <v>0</v>
      </c>
      <c r="AQ226">
        <v>0</v>
      </c>
      <c r="AR226">
        <v>0</v>
      </c>
      <c r="AS226" s="54">
        <f t="shared" si="318"/>
        <v>7.6669999999999998</v>
      </c>
      <c r="AT226" s="1">
        <f>AT225</f>
        <v>7.6669999999999998</v>
      </c>
      <c r="AV226">
        <v>253</v>
      </c>
      <c r="AW226" t="s">
        <v>71</v>
      </c>
      <c r="AX226">
        <v>18048</v>
      </c>
      <c r="AY226">
        <v>224</v>
      </c>
      <c r="AZ226">
        <v>1</v>
      </c>
      <c r="BA226">
        <v>4</v>
      </c>
      <c r="BB226" s="1">
        <v>327.18</v>
      </c>
      <c r="BC226" s="46">
        <v>12.172000000000001</v>
      </c>
      <c r="BF226">
        <v>0</v>
      </c>
      <c r="BG226">
        <v>0</v>
      </c>
      <c r="BH226">
        <v>0</v>
      </c>
      <c r="BI226" s="54">
        <f t="shared" si="319"/>
        <v>12.105666666666666</v>
      </c>
    </row>
    <row r="227" spans="1:61">
      <c r="A227">
        <v>3</v>
      </c>
      <c r="B227" t="s">
        <v>7</v>
      </c>
      <c r="C227">
        <v>19968</v>
      </c>
      <c r="D227">
        <v>256</v>
      </c>
      <c r="E227">
        <v>1</v>
      </c>
      <c r="F227">
        <v>4</v>
      </c>
      <c r="G227" s="1">
        <v>501.66</v>
      </c>
      <c r="H227" s="63">
        <v>10.582000000000001</v>
      </c>
      <c r="I227" s="27">
        <v>45509</v>
      </c>
      <c r="J227" s="53">
        <v>0.90324074074074079</v>
      </c>
      <c r="K227">
        <v>0</v>
      </c>
      <c r="L227">
        <v>0</v>
      </c>
      <c r="M227">
        <v>0</v>
      </c>
      <c r="N227" s="54">
        <f t="shared" si="316"/>
        <v>10.601400000000002</v>
      </c>
      <c r="Q227">
        <v>3</v>
      </c>
      <c r="R227" t="s">
        <v>7</v>
      </c>
      <c r="S227">
        <v>19968</v>
      </c>
      <c r="T227">
        <v>256</v>
      </c>
      <c r="U227">
        <v>1</v>
      </c>
      <c r="V227">
        <v>4</v>
      </c>
      <c r="W227">
        <v>410.37</v>
      </c>
      <c r="X227" s="48">
        <v>12.936</v>
      </c>
      <c r="Y227" s="27">
        <v>45506</v>
      </c>
      <c r="Z227" s="53">
        <v>0.6613310185185185</v>
      </c>
      <c r="AA227">
        <v>0</v>
      </c>
      <c r="AB227">
        <v>0</v>
      </c>
      <c r="AC227">
        <v>0</v>
      </c>
      <c r="AD227" s="54">
        <f t="shared" si="317"/>
        <v>12.798399999999999</v>
      </c>
      <c r="AF227">
        <v>3</v>
      </c>
      <c r="AG227" t="s">
        <v>7</v>
      </c>
      <c r="AH227">
        <v>20160</v>
      </c>
      <c r="AI227">
        <v>32</v>
      </c>
      <c r="AJ227">
        <v>1</v>
      </c>
      <c r="AK227">
        <v>4</v>
      </c>
      <c r="AL227">
        <v>718.42</v>
      </c>
      <c r="AM227" s="48">
        <v>7.6041999999999996</v>
      </c>
      <c r="AN227" s="27">
        <v>45509</v>
      </c>
      <c r="AO227" s="53">
        <v>0.70407407407407407</v>
      </c>
      <c r="AP227">
        <v>0</v>
      </c>
      <c r="AQ227">
        <v>0</v>
      </c>
      <c r="AR227">
        <v>0</v>
      </c>
      <c r="AS227" s="54">
        <f t="shared" si="318"/>
        <v>7.6669999999999998</v>
      </c>
      <c r="AT227" s="1">
        <f>AT226</f>
        <v>7.6669999999999998</v>
      </c>
      <c r="AV227">
        <v>29</v>
      </c>
      <c r="AW227" t="s">
        <v>71</v>
      </c>
      <c r="AX227">
        <v>19072</v>
      </c>
      <c r="AY227">
        <v>224</v>
      </c>
      <c r="AZ227">
        <v>1</v>
      </c>
      <c r="BA227">
        <v>4</v>
      </c>
      <c r="BB227" s="1">
        <v>365.21</v>
      </c>
      <c r="BC227" s="46">
        <v>12.601000000000001</v>
      </c>
      <c r="BF227">
        <v>0</v>
      </c>
      <c r="BG227">
        <v>0</v>
      </c>
      <c r="BH227">
        <v>0</v>
      </c>
      <c r="BI227" s="54">
        <f t="shared" ref="BI227" si="342">AVERAGE(BC227:BC232)</f>
        <v>12.480833333333331</v>
      </c>
    </row>
    <row r="228" spans="1:61">
      <c r="A228">
        <v>4</v>
      </c>
      <c r="B228" t="s">
        <v>7</v>
      </c>
      <c r="C228">
        <v>19968</v>
      </c>
      <c r="D228">
        <v>256</v>
      </c>
      <c r="E228">
        <v>1</v>
      </c>
      <c r="F228">
        <v>4</v>
      </c>
      <c r="G228" s="1">
        <v>500.74</v>
      </c>
      <c r="H228" s="63">
        <v>10.601000000000001</v>
      </c>
      <c r="I228" s="27">
        <v>45510</v>
      </c>
      <c r="J228" s="53">
        <v>0.17120370370370369</v>
      </c>
      <c r="K228">
        <v>0</v>
      </c>
      <c r="L228">
        <v>0</v>
      </c>
      <c r="M228">
        <v>0</v>
      </c>
      <c r="N228" s="54">
        <f t="shared" si="316"/>
        <v>10.601400000000002</v>
      </c>
      <c r="Q228">
        <v>4</v>
      </c>
      <c r="R228" t="s">
        <v>7</v>
      </c>
      <c r="S228">
        <v>19968</v>
      </c>
      <c r="T228">
        <v>256</v>
      </c>
      <c r="U228">
        <v>1</v>
      </c>
      <c r="V228">
        <v>4</v>
      </c>
      <c r="W228">
        <v>410.74</v>
      </c>
      <c r="X228" s="48">
        <v>12.923999999999999</v>
      </c>
      <c r="Y228" s="27">
        <v>45506</v>
      </c>
      <c r="Z228" s="53">
        <v>0.89891203703703704</v>
      </c>
      <c r="AA228">
        <v>0</v>
      </c>
      <c r="AB228">
        <v>0</v>
      </c>
      <c r="AC228">
        <v>0</v>
      </c>
      <c r="AD228" s="54">
        <f t="shared" si="317"/>
        <v>12.798399999999999</v>
      </c>
      <c r="AF228">
        <v>4</v>
      </c>
      <c r="AG228" t="s">
        <v>7</v>
      </c>
      <c r="AH228">
        <v>20160</v>
      </c>
      <c r="AI228">
        <v>32</v>
      </c>
      <c r="AJ228">
        <v>1</v>
      </c>
      <c r="AK228">
        <v>4</v>
      </c>
      <c r="AL228">
        <v>710.88</v>
      </c>
      <c r="AM228" s="48">
        <v>7.6848000000000001</v>
      </c>
      <c r="AN228" s="27">
        <v>45509</v>
      </c>
      <c r="AO228" s="53">
        <v>0.94193287037037032</v>
      </c>
      <c r="AP228">
        <v>0</v>
      </c>
      <c r="AQ228">
        <v>0</v>
      </c>
      <c r="AR228">
        <v>0</v>
      </c>
      <c r="AS228" s="54">
        <f t="shared" si="318"/>
        <v>7.6669999999999998</v>
      </c>
      <c r="AT228" s="1">
        <f>AT227</f>
        <v>7.6669999999999998</v>
      </c>
      <c r="AV228">
        <v>77</v>
      </c>
      <c r="AW228" t="s">
        <v>71</v>
      </c>
      <c r="AX228">
        <v>19072</v>
      </c>
      <c r="AY228">
        <v>224</v>
      </c>
      <c r="AZ228">
        <v>1</v>
      </c>
      <c r="BA228">
        <v>4</v>
      </c>
      <c r="BB228" s="1">
        <v>363.21</v>
      </c>
      <c r="BC228" s="46">
        <v>12.670999999999999</v>
      </c>
      <c r="BF228">
        <v>0</v>
      </c>
      <c r="BG228">
        <v>0</v>
      </c>
      <c r="BH228">
        <v>0</v>
      </c>
      <c r="BI228" s="54">
        <f t="shared" ref="BI228" si="343">BI227</f>
        <v>12.480833333333331</v>
      </c>
    </row>
    <row r="229" spans="1:61">
      <c r="A229">
        <v>0</v>
      </c>
      <c r="B229" t="s">
        <v>7</v>
      </c>
      <c r="C229">
        <v>17920</v>
      </c>
      <c r="D229">
        <v>256</v>
      </c>
      <c r="E229">
        <v>2</v>
      </c>
      <c r="F229">
        <v>2</v>
      </c>
      <c r="G229" s="1">
        <v>350.24</v>
      </c>
      <c r="H229" s="63">
        <v>10.955</v>
      </c>
      <c r="I229" s="27">
        <v>45508</v>
      </c>
      <c r="J229" s="53">
        <v>0.91208333333333336</v>
      </c>
      <c r="K229">
        <v>0</v>
      </c>
      <c r="L229">
        <v>0</v>
      </c>
      <c r="M229">
        <v>0</v>
      </c>
      <c r="N229" s="54">
        <f t="shared" ref="N229" si="344">AVERAGE(H229:H233)</f>
        <v>10.949199999999999</v>
      </c>
      <c r="Q229">
        <v>0</v>
      </c>
      <c r="R229" t="s">
        <v>7</v>
      </c>
      <c r="S229">
        <v>17920</v>
      </c>
      <c r="T229">
        <v>256</v>
      </c>
      <c r="U229">
        <v>2</v>
      </c>
      <c r="V229">
        <v>2</v>
      </c>
      <c r="W229">
        <v>322.23</v>
      </c>
      <c r="X229" s="48">
        <v>11.907</v>
      </c>
      <c r="Y229" s="27">
        <v>45505</v>
      </c>
      <c r="Z229" s="53">
        <v>0.78230324074074076</v>
      </c>
      <c r="AA229">
        <v>0</v>
      </c>
      <c r="AB229">
        <v>0</v>
      </c>
      <c r="AC229">
        <v>0</v>
      </c>
      <c r="AD229" s="54">
        <f t="shared" ref="AD229" si="345">AVERAGE(X229:X233)</f>
        <v>11.9526</v>
      </c>
      <c r="AF229">
        <v>0</v>
      </c>
      <c r="AG229" t="s">
        <v>7</v>
      </c>
      <c r="AH229">
        <v>17984</v>
      </c>
      <c r="AI229">
        <v>32</v>
      </c>
      <c r="AJ229">
        <v>2</v>
      </c>
      <c r="AK229">
        <v>2</v>
      </c>
      <c r="AL229">
        <v>506.67</v>
      </c>
      <c r="AM229" s="48">
        <v>7.6540999999999997</v>
      </c>
      <c r="AN229" s="27">
        <v>45508</v>
      </c>
      <c r="AO229" s="53">
        <v>0.8495949074074074</v>
      </c>
      <c r="AP229">
        <v>0</v>
      </c>
      <c r="AQ229">
        <v>0</v>
      </c>
      <c r="AR229">
        <v>0</v>
      </c>
      <c r="AS229" s="54">
        <f t="shared" ref="AS229" si="346">AVERAGE(AM229:AM233)</f>
        <v>7.6558999999999999</v>
      </c>
      <c r="AT229" s="1">
        <f>AS229</f>
        <v>7.6558999999999999</v>
      </c>
      <c r="AV229">
        <v>125</v>
      </c>
      <c r="AW229" t="s">
        <v>71</v>
      </c>
      <c r="AX229">
        <v>19072</v>
      </c>
      <c r="AY229">
        <v>224</v>
      </c>
      <c r="AZ229">
        <v>1</v>
      </c>
      <c r="BA229">
        <v>4</v>
      </c>
      <c r="BB229" s="1">
        <v>366.36</v>
      </c>
      <c r="BC229" s="46">
        <v>12.561999999999999</v>
      </c>
      <c r="BF229">
        <v>0</v>
      </c>
      <c r="BG229">
        <v>0</v>
      </c>
      <c r="BH229">
        <v>0</v>
      </c>
      <c r="BI229" s="54">
        <f t="shared" si="319"/>
        <v>12.480833333333331</v>
      </c>
    </row>
    <row r="230" spans="1:61">
      <c r="A230">
        <v>1</v>
      </c>
      <c r="B230" t="s">
        <v>7</v>
      </c>
      <c r="C230">
        <v>17920</v>
      </c>
      <c r="D230">
        <v>256</v>
      </c>
      <c r="E230">
        <v>2</v>
      </c>
      <c r="F230">
        <v>2</v>
      </c>
      <c r="G230" s="1">
        <v>350.43</v>
      </c>
      <c r="H230" s="63">
        <v>10.949</v>
      </c>
      <c r="I230" s="27">
        <v>45509</v>
      </c>
      <c r="J230" s="53">
        <v>0.18053240740740742</v>
      </c>
      <c r="K230">
        <v>0</v>
      </c>
      <c r="L230">
        <v>0</v>
      </c>
      <c r="M230">
        <v>0</v>
      </c>
      <c r="N230" s="54">
        <f t="shared" ref="N230" si="347">N229</f>
        <v>10.949199999999999</v>
      </c>
      <c r="Q230">
        <v>1</v>
      </c>
      <c r="R230" t="s">
        <v>7</v>
      </c>
      <c r="S230">
        <v>17920</v>
      </c>
      <c r="T230">
        <v>256</v>
      </c>
      <c r="U230">
        <v>2</v>
      </c>
      <c r="V230">
        <v>2</v>
      </c>
      <c r="W230">
        <v>317.75</v>
      </c>
      <c r="X230" s="48">
        <v>12.074999999999999</v>
      </c>
      <c r="Y230" s="27">
        <v>45506</v>
      </c>
      <c r="Z230" s="53">
        <v>2.1296296296296296E-2</v>
      </c>
      <c r="AA230">
        <v>0</v>
      </c>
      <c r="AB230">
        <v>0</v>
      </c>
      <c r="AC230">
        <v>0</v>
      </c>
      <c r="AD230" s="54">
        <f t="shared" ref="AD230" si="348">AD229</f>
        <v>11.9526</v>
      </c>
      <c r="AF230">
        <v>1</v>
      </c>
      <c r="AG230" t="s">
        <v>7</v>
      </c>
      <c r="AH230">
        <v>17984</v>
      </c>
      <c r="AI230">
        <v>32</v>
      </c>
      <c r="AJ230">
        <v>2</v>
      </c>
      <c r="AK230">
        <v>2</v>
      </c>
      <c r="AL230">
        <v>507.04</v>
      </c>
      <c r="AM230" s="48">
        <v>7.6486000000000001</v>
      </c>
      <c r="AN230" s="27">
        <v>45509</v>
      </c>
      <c r="AO230" s="53">
        <v>8.6921296296296302E-2</v>
      </c>
      <c r="AP230">
        <v>0</v>
      </c>
      <c r="AQ230">
        <v>0</v>
      </c>
      <c r="AR230">
        <v>0</v>
      </c>
      <c r="AS230" s="54">
        <f t="shared" ref="AS230" si="349">AS229</f>
        <v>7.6558999999999999</v>
      </c>
      <c r="AT230" s="1">
        <f>AT229</f>
        <v>7.6558999999999999</v>
      </c>
      <c r="AV230">
        <v>173</v>
      </c>
      <c r="AW230" t="s">
        <v>71</v>
      </c>
      <c r="AX230">
        <v>19072</v>
      </c>
      <c r="AY230">
        <v>224</v>
      </c>
      <c r="AZ230">
        <v>1</v>
      </c>
      <c r="BA230">
        <v>4</v>
      </c>
      <c r="BB230" s="1">
        <v>377.62</v>
      </c>
      <c r="BC230" s="46">
        <v>12.186999999999999</v>
      </c>
      <c r="BF230">
        <v>0</v>
      </c>
      <c r="BG230">
        <v>0</v>
      </c>
      <c r="BH230">
        <v>0</v>
      </c>
      <c r="BI230" s="54">
        <f t="shared" si="319"/>
        <v>12.480833333333331</v>
      </c>
    </row>
    <row r="231" spans="1:61">
      <c r="A231">
        <v>2</v>
      </c>
      <c r="B231" t="s">
        <v>7</v>
      </c>
      <c r="C231">
        <v>17920</v>
      </c>
      <c r="D231">
        <v>256</v>
      </c>
      <c r="E231">
        <v>2</v>
      </c>
      <c r="F231">
        <v>2</v>
      </c>
      <c r="G231" s="1">
        <v>350.12</v>
      </c>
      <c r="H231" s="63">
        <v>10.959</v>
      </c>
      <c r="I231" s="27">
        <v>45509</v>
      </c>
      <c r="J231" s="53">
        <v>0.44869212962962962</v>
      </c>
      <c r="K231">
        <v>0</v>
      </c>
      <c r="L231">
        <v>0</v>
      </c>
      <c r="M231">
        <v>0</v>
      </c>
      <c r="N231" s="54">
        <f t="shared" si="316"/>
        <v>10.949199999999999</v>
      </c>
      <c r="Q231">
        <v>2</v>
      </c>
      <c r="R231" t="s">
        <v>7</v>
      </c>
      <c r="S231">
        <v>17920</v>
      </c>
      <c r="T231">
        <v>256</v>
      </c>
      <c r="U231">
        <v>2</v>
      </c>
      <c r="V231">
        <v>2</v>
      </c>
      <c r="W231">
        <v>322.98</v>
      </c>
      <c r="X231" s="48">
        <v>11.88</v>
      </c>
      <c r="Y231" s="27">
        <v>45506</v>
      </c>
      <c r="Z231" s="53">
        <v>0.25871527777777775</v>
      </c>
      <c r="AA231">
        <v>0</v>
      </c>
      <c r="AB231">
        <v>0</v>
      </c>
      <c r="AC231">
        <v>0</v>
      </c>
      <c r="AD231" s="54">
        <f t="shared" si="317"/>
        <v>11.9526</v>
      </c>
      <c r="AF231">
        <v>2</v>
      </c>
      <c r="AG231" t="s">
        <v>7</v>
      </c>
      <c r="AH231">
        <v>17984</v>
      </c>
      <c r="AI231">
        <v>32</v>
      </c>
      <c r="AJ231">
        <v>2</v>
      </c>
      <c r="AK231">
        <v>2</v>
      </c>
      <c r="AL231">
        <v>506.89</v>
      </c>
      <c r="AM231" s="48">
        <v>7.6509</v>
      </c>
      <c r="AN231" s="27">
        <v>45509</v>
      </c>
      <c r="AO231" s="53">
        <v>0.32437500000000002</v>
      </c>
      <c r="AP231">
        <v>0</v>
      </c>
      <c r="AQ231">
        <v>0</v>
      </c>
      <c r="AR231">
        <v>0</v>
      </c>
      <c r="AS231" s="54">
        <f t="shared" si="318"/>
        <v>7.6558999999999999</v>
      </c>
      <c r="AT231" s="1">
        <f>AT230</f>
        <v>7.6558999999999999</v>
      </c>
      <c r="AV231">
        <v>221</v>
      </c>
      <c r="AW231" t="s">
        <v>71</v>
      </c>
      <c r="AX231">
        <v>19072</v>
      </c>
      <c r="AY231">
        <v>224</v>
      </c>
      <c r="AZ231">
        <v>1</v>
      </c>
      <c r="BA231">
        <v>4</v>
      </c>
      <c r="BB231" s="1">
        <v>373.99</v>
      </c>
      <c r="BC231" s="46">
        <v>12.305</v>
      </c>
      <c r="BF231">
        <v>0</v>
      </c>
      <c r="BG231">
        <v>0</v>
      </c>
      <c r="BH231">
        <v>0</v>
      </c>
      <c r="BI231" s="54">
        <f t="shared" si="319"/>
        <v>12.480833333333331</v>
      </c>
    </row>
    <row r="232" spans="1:61">
      <c r="A232">
        <v>3</v>
      </c>
      <c r="B232" t="s">
        <v>7</v>
      </c>
      <c r="C232">
        <v>17920</v>
      </c>
      <c r="D232">
        <v>256</v>
      </c>
      <c r="E232">
        <v>2</v>
      </c>
      <c r="F232">
        <v>2</v>
      </c>
      <c r="G232" s="1">
        <v>351.52</v>
      </c>
      <c r="H232" s="63">
        <v>10.914999999999999</v>
      </c>
      <c r="I232" s="27">
        <v>45509</v>
      </c>
      <c r="J232" s="53">
        <v>0.71665509259259264</v>
      </c>
      <c r="K232">
        <v>0</v>
      </c>
      <c r="L232">
        <v>0</v>
      </c>
      <c r="M232">
        <v>0</v>
      </c>
      <c r="N232" s="54">
        <f t="shared" si="316"/>
        <v>10.949199999999999</v>
      </c>
      <c r="Q232">
        <v>3</v>
      </c>
      <c r="R232" t="s">
        <v>7</v>
      </c>
      <c r="S232">
        <v>17920</v>
      </c>
      <c r="T232">
        <v>256</v>
      </c>
      <c r="U232">
        <v>2</v>
      </c>
      <c r="V232">
        <v>2</v>
      </c>
      <c r="W232">
        <v>319.48</v>
      </c>
      <c r="X232" s="48">
        <v>12.01</v>
      </c>
      <c r="Y232" s="27">
        <v>45506</v>
      </c>
      <c r="Z232" s="53">
        <v>0.49601851851851853</v>
      </c>
      <c r="AA232">
        <v>0</v>
      </c>
      <c r="AB232">
        <v>0</v>
      </c>
      <c r="AC232">
        <v>0</v>
      </c>
      <c r="AD232" s="54">
        <f t="shared" si="317"/>
        <v>11.9526</v>
      </c>
      <c r="AF232">
        <v>3</v>
      </c>
      <c r="AG232" t="s">
        <v>7</v>
      </c>
      <c r="AH232">
        <v>17984</v>
      </c>
      <c r="AI232">
        <v>32</v>
      </c>
      <c r="AJ232">
        <v>2</v>
      </c>
      <c r="AK232">
        <v>2</v>
      </c>
      <c r="AL232">
        <v>506.18</v>
      </c>
      <c r="AM232" s="48">
        <v>7.6615000000000002</v>
      </c>
      <c r="AN232" s="27">
        <v>45509</v>
      </c>
      <c r="AO232" s="53">
        <v>0.56283564814814813</v>
      </c>
      <c r="AP232">
        <v>0</v>
      </c>
      <c r="AQ232">
        <v>0</v>
      </c>
      <c r="AR232">
        <v>0</v>
      </c>
      <c r="AS232" s="54">
        <f t="shared" si="318"/>
        <v>7.6558999999999999</v>
      </c>
      <c r="AT232" s="1">
        <f>AT231</f>
        <v>7.6558999999999999</v>
      </c>
      <c r="AV232">
        <v>269</v>
      </c>
      <c r="AW232" t="s">
        <v>71</v>
      </c>
      <c r="AX232">
        <v>19072</v>
      </c>
      <c r="AY232">
        <v>224</v>
      </c>
      <c r="AZ232">
        <v>1</v>
      </c>
      <c r="BA232">
        <v>4</v>
      </c>
      <c r="BB232" s="1">
        <v>366.44</v>
      </c>
      <c r="BC232" s="46">
        <v>12.558999999999999</v>
      </c>
      <c r="BF232">
        <v>0</v>
      </c>
      <c r="BG232">
        <v>0</v>
      </c>
      <c r="BH232">
        <v>0</v>
      </c>
      <c r="BI232" s="54">
        <f t="shared" si="319"/>
        <v>12.480833333333331</v>
      </c>
    </row>
    <row r="233" spans="1:61">
      <c r="A233">
        <v>4</v>
      </c>
      <c r="B233" t="s">
        <v>7</v>
      </c>
      <c r="C233">
        <v>17920</v>
      </c>
      <c r="D233">
        <v>256</v>
      </c>
      <c r="E233">
        <v>2</v>
      </c>
      <c r="F233">
        <v>2</v>
      </c>
      <c r="G233" s="1">
        <v>349.81</v>
      </c>
      <c r="H233" s="63">
        <v>10.968</v>
      </c>
      <c r="I233" s="27">
        <v>45509</v>
      </c>
      <c r="J233" s="53">
        <v>0.98457175925925922</v>
      </c>
      <c r="K233">
        <v>0</v>
      </c>
      <c r="L233">
        <v>0</v>
      </c>
      <c r="M233">
        <v>0</v>
      </c>
      <c r="N233" s="54">
        <f t="shared" si="316"/>
        <v>10.949199999999999</v>
      </c>
      <c r="Q233">
        <v>4</v>
      </c>
      <c r="R233" t="s">
        <v>7</v>
      </c>
      <c r="S233">
        <v>17920</v>
      </c>
      <c r="T233">
        <v>256</v>
      </c>
      <c r="U233">
        <v>2</v>
      </c>
      <c r="V233">
        <v>2</v>
      </c>
      <c r="W233">
        <v>322.68</v>
      </c>
      <c r="X233" s="48">
        <v>11.891</v>
      </c>
      <c r="Y233" s="27">
        <v>45506</v>
      </c>
      <c r="Z233" s="53">
        <v>0.73320601851851852</v>
      </c>
      <c r="AA233">
        <v>0</v>
      </c>
      <c r="AB233">
        <v>0</v>
      </c>
      <c r="AC233">
        <v>0</v>
      </c>
      <c r="AD233" s="54">
        <f t="shared" si="317"/>
        <v>11.9526</v>
      </c>
      <c r="AF233">
        <v>4</v>
      </c>
      <c r="AG233" t="s">
        <v>7</v>
      </c>
      <c r="AH233">
        <v>17984</v>
      </c>
      <c r="AI233">
        <v>32</v>
      </c>
      <c r="AJ233">
        <v>2</v>
      </c>
      <c r="AK233">
        <v>2</v>
      </c>
      <c r="AL233">
        <v>505.99</v>
      </c>
      <c r="AM233" s="48">
        <v>7.6643999999999997</v>
      </c>
      <c r="AN233" s="27">
        <v>45509</v>
      </c>
      <c r="AO233" s="53">
        <v>0.80099537037037039</v>
      </c>
      <c r="AP233">
        <v>0</v>
      </c>
      <c r="AQ233">
        <v>0</v>
      </c>
      <c r="AR233">
        <v>0</v>
      </c>
      <c r="AS233" s="54">
        <f t="shared" si="318"/>
        <v>7.6558999999999999</v>
      </c>
      <c r="AT233" s="1">
        <f>AT232</f>
        <v>7.6558999999999999</v>
      </c>
      <c r="AV233">
        <v>45</v>
      </c>
      <c r="AW233" t="s">
        <v>71</v>
      </c>
      <c r="AX233">
        <v>20096</v>
      </c>
      <c r="AY233">
        <v>224</v>
      </c>
      <c r="AZ233">
        <v>1</v>
      </c>
      <c r="BA233">
        <v>4</v>
      </c>
      <c r="BB233" s="1">
        <v>434.49</v>
      </c>
      <c r="BC233" s="46">
        <v>12.573</v>
      </c>
      <c r="BF233">
        <v>0</v>
      </c>
      <c r="BG233">
        <v>0</v>
      </c>
      <c r="BH233">
        <v>0</v>
      </c>
      <c r="BI233" s="54">
        <f t="shared" ref="BI233" si="350">AVERAGE(BC233:BC238)</f>
        <v>12.509166666666667</v>
      </c>
    </row>
    <row r="234" spans="1:61">
      <c r="A234">
        <v>0</v>
      </c>
      <c r="B234" t="s">
        <v>7</v>
      </c>
      <c r="C234">
        <v>18944</v>
      </c>
      <c r="D234">
        <v>256</v>
      </c>
      <c r="E234">
        <v>2</v>
      </c>
      <c r="F234">
        <v>2</v>
      </c>
      <c r="G234" s="1">
        <v>408.09</v>
      </c>
      <c r="H234" s="63">
        <v>11.106999999999999</v>
      </c>
      <c r="I234" s="27">
        <v>45509</v>
      </c>
      <c r="J234" s="53">
        <v>6.8287037037037036E-4</v>
      </c>
      <c r="K234">
        <v>0</v>
      </c>
      <c r="L234">
        <v>0</v>
      </c>
      <c r="M234">
        <v>0</v>
      </c>
      <c r="N234" s="54">
        <f t="shared" ref="N234" si="351">AVERAGE(H234:H238)</f>
        <v>11.074999999999999</v>
      </c>
      <c r="Q234">
        <v>0</v>
      </c>
      <c r="R234" t="s">
        <v>7</v>
      </c>
      <c r="S234">
        <v>18944</v>
      </c>
      <c r="T234">
        <v>256</v>
      </c>
      <c r="U234">
        <v>2</v>
      </c>
      <c r="V234">
        <v>2</v>
      </c>
      <c r="W234">
        <v>376.55</v>
      </c>
      <c r="X234" s="48">
        <v>12.038</v>
      </c>
      <c r="Y234" s="27">
        <v>45505</v>
      </c>
      <c r="Z234" s="53">
        <v>0.86170138888888892</v>
      </c>
      <c r="AA234">
        <v>0</v>
      </c>
      <c r="AB234">
        <v>0</v>
      </c>
      <c r="AC234">
        <v>0</v>
      </c>
      <c r="AD234" s="54">
        <f t="shared" ref="AD234" si="352">AVERAGE(X234:X238)</f>
        <v>12.143800000000001</v>
      </c>
      <c r="AF234">
        <v>0</v>
      </c>
      <c r="AG234" t="s">
        <v>7</v>
      </c>
      <c r="AH234">
        <v>20160</v>
      </c>
      <c r="AI234">
        <v>32</v>
      </c>
      <c r="AJ234">
        <v>2</v>
      </c>
      <c r="AK234">
        <v>2</v>
      </c>
      <c r="AL234">
        <v>724.53</v>
      </c>
      <c r="AM234" s="48">
        <v>7.54</v>
      </c>
      <c r="AN234" s="27">
        <v>45508</v>
      </c>
      <c r="AO234" s="53">
        <v>0.99883101851851852</v>
      </c>
      <c r="AP234">
        <v>0</v>
      </c>
      <c r="AQ234">
        <v>0</v>
      </c>
      <c r="AR234">
        <v>0</v>
      </c>
      <c r="AS234" s="54">
        <f t="shared" ref="AS234" si="353">AVERAGE(AM234:AM238)</f>
        <v>7.4978400000000009</v>
      </c>
      <c r="AT234" s="1">
        <f>AS234</f>
        <v>7.4978400000000009</v>
      </c>
      <c r="AV234">
        <v>93</v>
      </c>
      <c r="AW234" t="s">
        <v>71</v>
      </c>
      <c r="AX234">
        <v>20096</v>
      </c>
      <c r="AY234">
        <v>224</v>
      </c>
      <c r="AZ234">
        <v>1</v>
      </c>
      <c r="BA234">
        <v>4</v>
      </c>
      <c r="BB234" s="1">
        <v>437.11</v>
      </c>
      <c r="BC234" s="46">
        <v>12.497999999999999</v>
      </c>
      <c r="BF234">
        <v>0</v>
      </c>
      <c r="BG234">
        <v>0</v>
      </c>
      <c r="BH234">
        <v>0</v>
      </c>
      <c r="BI234" s="54">
        <f t="shared" ref="BI234" si="354">BI233</f>
        <v>12.509166666666667</v>
      </c>
    </row>
    <row r="235" spans="1:61">
      <c r="A235">
        <v>1</v>
      </c>
      <c r="B235" t="s">
        <v>7</v>
      </c>
      <c r="C235">
        <v>18944</v>
      </c>
      <c r="D235">
        <v>256</v>
      </c>
      <c r="E235">
        <v>2</v>
      </c>
      <c r="F235">
        <v>2</v>
      </c>
      <c r="G235" s="1">
        <v>409.57</v>
      </c>
      <c r="H235" s="63">
        <v>11.068</v>
      </c>
      <c r="I235" s="27">
        <v>45509</v>
      </c>
      <c r="J235" s="53">
        <v>0.26881944444444444</v>
      </c>
      <c r="K235">
        <v>0</v>
      </c>
      <c r="L235">
        <v>0</v>
      </c>
      <c r="M235">
        <v>0</v>
      </c>
      <c r="N235" s="54">
        <f t="shared" ref="N235" si="355">N234</f>
        <v>11.074999999999999</v>
      </c>
      <c r="Q235">
        <v>1</v>
      </c>
      <c r="R235" t="s">
        <v>7</v>
      </c>
      <c r="S235">
        <v>18944</v>
      </c>
      <c r="T235">
        <v>256</v>
      </c>
      <c r="U235">
        <v>2</v>
      </c>
      <c r="V235">
        <v>2</v>
      </c>
      <c r="W235">
        <v>380.29</v>
      </c>
      <c r="X235" s="48">
        <v>11.92</v>
      </c>
      <c r="Y235" s="27">
        <v>45506</v>
      </c>
      <c r="Z235" s="53">
        <v>9.9456018518518513E-2</v>
      </c>
      <c r="AA235">
        <v>0</v>
      </c>
      <c r="AB235">
        <v>0</v>
      </c>
      <c r="AC235">
        <v>0</v>
      </c>
      <c r="AD235" s="54">
        <f t="shared" ref="AD235" si="356">AD234</f>
        <v>12.143800000000001</v>
      </c>
      <c r="AF235">
        <v>1</v>
      </c>
      <c r="AG235" t="s">
        <v>7</v>
      </c>
      <c r="AH235">
        <v>20160</v>
      </c>
      <c r="AI235">
        <v>32</v>
      </c>
      <c r="AJ235">
        <v>2</v>
      </c>
      <c r="AK235">
        <v>2</v>
      </c>
      <c r="AL235">
        <v>728.51</v>
      </c>
      <c r="AM235" s="48">
        <v>7.4988000000000001</v>
      </c>
      <c r="AN235" s="27">
        <v>45509</v>
      </c>
      <c r="AO235" s="53">
        <v>0.23650462962962962</v>
      </c>
      <c r="AP235">
        <v>0</v>
      </c>
      <c r="AQ235">
        <v>0</v>
      </c>
      <c r="AR235">
        <v>0</v>
      </c>
      <c r="AS235" s="54">
        <f t="shared" ref="AS235" si="357">AS234</f>
        <v>7.4978400000000009</v>
      </c>
      <c r="AT235" s="1">
        <f>AT234</f>
        <v>7.4978400000000009</v>
      </c>
      <c r="AV235">
        <v>141</v>
      </c>
      <c r="AW235" t="s">
        <v>71</v>
      </c>
      <c r="AX235">
        <v>20096</v>
      </c>
      <c r="AY235">
        <v>224</v>
      </c>
      <c r="AZ235">
        <v>1</v>
      </c>
      <c r="BA235">
        <v>4</v>
      </c>
      <c r="BB235" s="1">
        <v>435.79</v>
      </c>
      <c r="BC235" s="46">
        <v>12.536</v>
      </c>
      <c r="BF235">
        <v>0</v>
      </c>
      <c r="BG235">
        <v>0</v>
      </c>
      <c r="BH235">
        <v>0</v>
      </c>
      <c r="BI235" s="54">
        <f t="shared" si="319"/>
        <v>12.509166666666667</v>
      </c>
    </row>
    <row r="236" spans="1:61">
      <c r="A236">
        <v>2</v>
      </c>
      <c r="B236" t="s">
        <v>7</v>
      </c>
      <c r="C236">
        <v>18944</v>
      </c>
      <c r="D236">
        <v>256</v>
      </c>
      <c r="E236">
        <v>2</v>
      </c>
      <c r="F236">
        <v>2</v>
      </c>
      <c r="G236" s="1">
        <v>410.21</v>
      </c>
      <c r="H236" s="63">
        <v>11.05</v>
      </c>
      <c r="I236" s="27">
        <v>45509</v>
      </c>
      <c r="J236" s="53">
        <v>0.5367939814814815</v>
      </c>
      <c r="K236">
        <v>0</v>
      </c>
      <c r="L236">
        <v>0</v>
      </c>
      <c r="M236">
        <v>0</v>
      </c>
      <c r="N236" s="54">
        <f t="shared" si="316"/>
        <v>11.074999999999999</v>
      </c>
      <c r="Q236">
        <v>2</v>
      </c>
      <c r="R236" t="s">
        <v>7</v>
      </c>
      <c r="S236">
        <v>18944</v>
      </c>
      <c r="T236">
        <v>256</v>
      </c>
      <c r="U236">
        <v>2</v>
      </c>
      <c r="V236">
        <v>2</v>
      </c>
      <c r="W236">
        <v>364.45</v>
      </c>
      <c r="X236" s="48">
        <v>12.438000000000001</v>
      </c>
      <c r="Y236" s="27">
        <v>45506</v>
      </c>
      <c r="Z236" s="53">
        <v>0.33666666666666667</v>
      </c>
      <c r="AA236">
        <v>0</v>
      </c>
      <c r="AB236">
        <v>0</v>
      </c>
      <c r="AC236">
        <v>0</v>
      </c>
      <c r="AD236" s="54">
        <f t="shared" si="317"/>
        <v>12.143800000000001</v>
      </c>
      <c r="AF236">
        <v>2</v>
      </c>
      <c r="AG236" t="s">
        <v>7</v>
      </c>
      <c r="AH236">
        <v>20160</v>
      </c>
      <c r="AI236">
        <v>32</v>
      </c>
      <c r="AJ236">
        <v>2</v>
      </c>
      <c r="AK236">
        <v>2</v>
      </c>
      <c r="AL236">
        <v>726.48</v>
      </c>
      <c r="AM236" s="48">
        <v>7.5197000000000003</v>
      </c>
      <c r="AN236" s="27">
        <v>45509</v>
      </c>
      <c r="AO236" s="53">
        <v>0.47418981481481481</v>
      </c>
      <c r="AP236">
        <v>0</v>
      </c>
      <c r="AQ236">
        <v>0</v>
      </c>
      <c r="AR236">
        <v>0</v>
      </c>
      <c r="AS236" s="54">
        <f t="shared" si="318"/>
        <v>7.4978400000000009</v>
      </c>
      <c r="AT236" s="1">
        <f>AT235</f>
        <v>7.4978400000000009</v>
      </c>
      <c r="AV236">
        <v>189</v>
      </c>
      <c r="AW236" t="s">
        <v>71</v>
      </c>
      <c r="AX236">
        <v>20096</v>
      </c>
      <c r="AY236">
        <v>224</v>
      </c>
      <c r="AZ236">
        <v>1</v>
      </c>
      <c r="BA236">
        <v>4</v>
      </c>
      <c r="BB236" s="1">
        <v>437.03</v>
      </c>
      <c r="BC236" s="46">
        <v>12.5</v>
      </c>
      <c r="BF236">
        <v>0</v>
      </c>
      <c r="BG236">
        <v>0</v>
      </c>
      <c r="BH236">
        <v>0</v>
      </c>
      <c r="BI236" s="54">
        <f t="shared" si="319"/>
        <v>12.509166666666667</v>
      </c>
    </row>
    <row r="237" spans="1:61">
      <c r="A237">
        <v>3</v>
      </c>
      <c r="B237" t="s">
        <v>7</v>
      </c>
      <c r="C237">
        <v>18944</v>
      </c>
      <c r="D237">
        <v>256</v>
      </c>
      <c r="E237">
        <v>2</v>
      </c>
      <c r="F237">
        <v>2</v>
      </c>
      <c r="G237" s="1">
        <v>409.9</v>
      </c>
      <c r="H237" s="63">
        <v>11.058</v>
      </c>
      <c r="I237" s="27">
        <v>45509</v>
      </c>
      <c r="J237" s="53">
        <v>0.8046875</v>
      </c>
      <c r="K237">
        <v>0</v>
      </c>
      <c r="L237">
        <v>0</v>
      </c>
      <c r="M237">
        <v>0</v>
      </c>
      <c r="N237" s="54">
        <f t="shared" si="316"/>
        <v>11.074999999999999</v>
      </c>
      <c r="Q237">
        <v>3</v>
      </c>
      <c r="R237" t="s">
        <v>7</v>
      </c>
      <c r="S237">
        <v>18944</v>
      </c>
      <c r="T237">
        <v>256</v>
      </c>
      <c r="U237">
        <v>2</v>
      </c>
      <c r="V237">
        <v>2</v>
      </c>
      <c r="W237">
        <v>371.69</v>
      </c>
      <c r="X237" s="48">
        <v>12.195</v>
      </c>
      <c r="Y237" s="27">
        <v>45506</v>
      </c>
      <c r="Z237" s="53">
        <v>0.57403935185185184</v>
      </c>
      <c r="AA237">
        <v>0</v>
      </c>
      <c r="AB237">
        <v>0</v>
      </c>
      <c r="AC237">
        <v>0</v>
      </c>
      <c r="AD237" s="54">
        <f t="shared" si="317"/>
        <v>12.143800000000001</v>
      </c>
      <c r="AF237">
        <v>3</v>
      </c>
      <c r="AG237" t="s">
        <v>7</v>
      </c>
      <c r="AH237">
        <v>20160</v>
      </c>
      <c r="AI237">
        <v>32</v>
      </c>
      <c r="AJ237">
        <v>2</v>
      </c>
      <c r="AK237">
        <v>2</v>
      </c>
      <c r="AL237">
        <v>733.87</v>
      </c>
      <c r="AM237" s="48">
        <v>7.444</v>
      </c>
      <c r="AN237" s="27">
        <v>45509</v>
      </c>
      <c r="AO237" s="53">
        <v>0.71287037037037038</v>
      </c>
      <c r="AP237">
        <v>0</v>
      </c>
      <c r="AQ237">
        <v>0</v>
      </c>
      <c r="AR237">
        <v>0</v>
      </c>
      <c r="AS237" s="54">
        <f t="shared" si="318"/>
        <v>7.4978400000000009</v>
      </c>
      <c r="AT237" s="1">
        <f>AT236</f>
        <v>7.4978400000000009</v>
      </c>
      <c r="AV237">
        <v>237</v>
      </c>
      <c r="AW237" t="s">
        <v>71</v>
      </c>
      <c r="AX237">
        <v>20096</v>
      </c>
      <c r="AY237">
        <v>224</v>
      </c>
      <c r="AZ237">
        <v>1</v>
      </c>
      <c r="BA237">
        <v>4</v>
      </c>
      <c r="BB237" s="1">
        <v>437.25</v>
      </c>
      <c r="BC237" s="46">
        <v>12.494</v>
      </c>
      <c r="BF237">
        <v>0</v>
      </c>
      <c r="BG237">
        <v>0</v>
      </c>
      <c r="BH237">
        <v>0</v>
      </c>
      <c r="BI237" s="54">
        <f t="shared" si="319"/>
        <v>12.509166666666667</v>
      </c>
    </row>
    <row r="238" spans="1:61">
      <c r="A238">
        <v>4</v>
      </c>
      <c r="B238" t="s">
        <v>7</v>
      </c>
      <c r="C238">
        <v>18944</v>
      </c>
      <c r="D238">
        <v>256</v>
      </c>
      <c r="E238">
        <v>2</v>
      </c>
      <c r="F238">
        <v>2</v>
      </c>
      <c r="G238" s="1">
        <v>408.68</v>
      </c>
      <c r="H238" s="63">
        <v>11.092000000000001</v>
      </c>
      <c r="I238" s="27">
        <v>45510</v>
      </c>
      <c r="J238" s="53">
        <v>7.2696759259259253E-2</v>
      </c>
      <c r="K238">
        <v>0</v>
      </c>
      <c r="L238">
        <v>0</v>
      </c>
      <c r="M238">
        <v>0</v>
      </c>
      <c r="N238" s="54">
        <f t="shared" si="316"/>
        <v>11.074999999999999</v>
      </c>
      <c r="Q238">
        <v>4</v>
      </c>
      <c r="R238" t="s">
        <v>7</v>
      </c>
      <c r="S238">
        <v>18944</v>
      </c>
      <c r="T238">
        <v>256</v>
      </c>
      <c r="U238">
        <v>2</v>
      </c>
      <c r="V238">
        <v>2</v>
      </c>
      <c r="W238">
        <v>373.76</v>
      </c>
      <c r="X238" s="48">
        <v>12.128</v>
      </c>
      <c r="Y238" s="27">
        <v>45506</v>
      </c>
      <c r="Z238" s="53">
        <v>0.81167824074074069</v>
      </c>
      <c r="AA238">
        <v>0</v>
      </c>
      <c r="AB238">
        <v>0</v>
      </c>
      <c r="AC238">
        <v>0</v>
      </c>
      <c r="AD238" s="54">
        <f t="shared" si="317"/>
        <v>12.143800000000001</v>
      </c>
      <c r="AF238">
        <v>4</v>
      </c>
      <c r="AG238" t="s">
        <v>7</v>
      </c>
      <c r="AH238">
        <v>20160</v>
      </c>
      <c r="AI238">
        <v>32</v>
      </c>
      <c r="AJ238">
        <v>2</v>
      </c>
      <c r="AK238">
        <v>2</v>
      </c>
      <c r="AL238">
        <v>729.69</v>
      </c>
      <c r="AM238" s="48">
        <v>7.4866999999999999</v>
      </c>
      <c r="AN238" s="27">
        <v>45509</v>
      </c>
      <c r="AO238" s="53">
        <v>0.95068287037037036</v>
      </c>
      <c r="AP238">
        <v>0</v>
      </c>
      <c r="AQ238">
        <v>0</v>
      </c>
      <c r="AR238">
        <v>0</v>
      </c>
      <c r="AS238" s="54">
        <f t="shared" si="318"/>
        <v>7.4978400000000009</v>
      </c>
      <c r="AT238" s="1">
        <f>AT237</f>
        <v>7.4978400000000009</v>
      </c>
      <c r="AV238">
        <v>285</v>
      </c>
      <c r="AW238" t="s">
        <v>71</v>
      </c>
      <c r="AX238">
        <v>20096</v>
      </c>
      <c r="AY238">
        <v>224</v>
      </c>
      <c r="AZ238">
        <v>1</v>
      </c>
      <c r="BA238">
        <v>4</v>
      </c>
      <c r="BB238" s="1">
        <v>438.66</v>
      </c>
      <c r="BC238" s="46">
        <v>12.454000000000001</v>
      </c>
      <c r="BF238">
        <v>0</v>
      </c>
      <c r="BG238">
        <v>0</v>
      </c>
      <c r="BH238">
        <v>0</v>
      </c>
      <c r="BI238" s="54">
        <f t="shared" si="319"/>
        <v>12.509166666666667</v>
      </c>
    </row>
    <row r="239" spans="1:61">
      <c r="A239">
        <v>0</v>
      </c>
      <c r="B239" t="s">
        <v>7</v>
      </c>
      <c r="C239">
        <v>19968</v>
      </c>
      <c r="D239">
        <v>256</v>
      </c>
      <c r="E239">
        <v>2</v>
      </c>
      <c r="F239">
        <v>2</v>
      </c>
      <c r="G239" s="1">
        <v>478.48</v>
      </c>
      <c r="H239" s="63">
        <v>11.093999999999999</v>
      </c>
      <c r="I239" s="27">
        <v>45509</v>
      </c>
      <c r="J239" s="53">
        <v>0.105</v>
      </c>
      <c r="K239">
        <v>0</v>
      </c>
      <c r="L239">
        <v>0</v>
      </c>
      <c r="M239">
        <v>0</v>
      </c>
      <c r="N239" s="54">
        <f t="shared" ref="N239" si="358">AVERAGE(H239:H243)</f>
        <v>11.109</v>
      </c>
      <c r="Q239">
        <v>0</v>
      </c>
      <c r="R239" t="s">
        <v>7</v>
      </c>
      <c r="S239">
        <v>19968</v>
      </c>
      <c r="T239">
        <v>256</v>
      </c>
      <c r="U239">
        <v>2</v>
      </c>
      <c r="V239">
        <v>2</v>
      </c>
      <c r="W239">
        <v>441.17</v>
      </c>
      <c r="X239" s="48">
        <v>12.032999999999999</v>
      </c>
      <c r="Y239" s="27">
        <v>45505</v>
      </c>
      <c r="Z239" s="53">
        <v>0.95483796296296297</v>
      </c>
      <c r="AA239">
        <v>0</v>
      </c>
      <c r="AB239">
        <v>0</v>
      </c>
      <c r="AC239">
        <v>0</v>
      </c>
      <c r="AD239" s="54">
        <f t="shared" ref="AD239" si="359">AVERAGE(X239:X243)</f>
        <v>12.2422</v>
      </c>
      <c r="AF239">
        <v>0</v>
      </c>
      <c r="AG239" t="s">
        <v>7</v>
      </c>
      <c r="AH239">
        <v>17984</v>
      </c>
      <c r="AI239">
        <v>32</v>
      </c>
      <c r="AJ239">
        <v>1</v>
      </c>
      <c r="AK239">
        <v>4</v>
      </c>
      <c r="AL239">
        <v>518.54999999999995</v>
      </c>
      <c r="AM239" s="48">
        <v>7.4787999999999997</v>
      </c>
      <c r="AN239" s="27">
        <v>45508</v>
      </c>
      <c r="AO239" s="53">
        <v>0.84347222222222218</v>
      </c>
      <c r="AP239">
        <v>0</v>
      </c>
      <c r="AQ239">
        <v>0</v>
      </c>
      <c r="AR239">
        <v>0</v>
      </c>
      <c r="AS239" s="54">
        <f t="shared" ref="AS239" si="360">AVERAGE(AM239:AM243)</f>
        <v>7.4731799999999993</v>
      </c>
      <c r="AT239" s="1">
        <f>AS239</f>
        <v>7.4731799999999993</v>
      </c>
      <c r="AV239">
        <v>14</v>
      </c>
      <c r="AW239" t="s">
        <v>71</v>
      </c>
      <c r="AX239">
        <v>18048</v>
      </c>
      <c r="AY239">
        <v>224</v>
      </c>
      <c r="AZ239">
        <v>2</v>
      </c>
      <c r="BA239">
        <v>2</v>
      </c>
      <c r="BB239" s="1">
        <v>331.2</v>
      </c>
      <c r="BC239" s="46">
        <v>12.025</v>
      </c>
      <c r="BF239">
        <v>0</v>
      </c>
      <c r="BG239">
        <v>0</v>
      </c>
      <c r="BH239">
        <v>0</v>
      </c>
      <c r="BI239" s="54">
        <f t="shared" ref="BI239" si="361">AVERAGE(BC239:BC244)</f>
        <v>12.045833333333333</v>
      </c>
    </row>
    <row r="240" spans="1:61">
      <c r="A240">
        <v>1</v>
      </c>
      <c r="B240" t="s">
        <v>7</v>
      </c>
      <c r="C240">
        <v>19968</v>
      </c>
      <c r="D240">
        <v>256</v>
      </c>
      <c r="E240">
        <v>2</v>
      </c>
      <c r="F240">
        <v>2</v>
      </c>
      <c r="G240" s="1">
        <v>476.4</v>
      </c>
      <c r="H240" s="63">
        <v>11.143000000000001</v>
      </c>
      <c r="I240" s="27">
        <v>45509</v>
      </c>
      <c r="J240" s="53">
        <v>0.37318287037037035</v>
      </c>
      <c r="K240">
        <v>0</v>
      </c>
      <c r="L240">
        <v>0</v>
      </c>
      <c r="M240">
        <v>0</v>
      </c>
      <c r="N240" s="54">
        <f t="shared" ref="N240" si="362">N239</f>
        <v>11.109</v>
      </c>
      <c r="Q240">
        <v>1</v>
      </c>
      <c r="R240" t="s">
        <v>7</v>
      </c>
      <c r="S240">
        <v>19968</v>
      </c>
      <c r="T240">
        <v>256</v>
      </c>
      <c r="U240">
        <v>2</v>
      </c>
      <c r="V240">
        <v>2</v>
      </c>
      <c r="W240">
        <v>434.11</v>
      </c>
      <c r="X240" s="48">
        <v>12.228</v>
      </c>
      <c r="Y240" s="27">
        <v>45506</v>
      </c>
      <c r="Z240" s="53">
        <v>0.19203703703703703</v>
      </c>
      <c r="AA240">
        <v>0</v>
      </c>
      <c r="AB240">
        <v>0</v>
      </c>
      <c r="AC240">
        <v>0</v>
      </c>
      <c r="AD240" s="54">
        <f t="shared" ref="AD240" si="363">AD239</f>
        <v>12.2422</v>
      </c>
      <c r="AF240">
        <v>1</v>
      </c>
      <c r="AG240" t="s">
        <v>7</v>
      </c>
      <c r="AH240">
        <v>17984</v>
      </c>
      <c r="AI240">
        <v>32</v>
      </c>
      <c r="AJ240">
        <v>1</v>
      </c>
      <c r="AK240">
        <v>4</v>
      </c>
      <c r="AL240">
        <v>519.09</v>
      </c>
      <c r="AM240" s="48">
        <v>7.4710000000000001</v>
      </c>
      <c r="AN240" s="27">
        <v>45509</v>
      </c>
      <c r="AO240" s="53">
        <v>8.0810185185185179E-2</v>
      </c>
      <c r="AP240">
        <v>0</v>
      </c>
      <c r="AQ240">
        <v>0</v>
      </c>
      <c r="AR240">
        <v>0</v>
      </c>
      <c r="AS240" s="54">
        <f t="shared" ref="AS240" si="364">AS239</f>
        <v>7.4731799999999993</v>
      </c>
      <c r="AT240" s="1">
        <f>AT239</f>
        <v>7.4731799999999993</v>
      </c>
      <c r="AV240">
        <v>62</v>
      </c>
      <c r="AW240" t="s">
        <v>71</v>
      </c>
      <c r="AX240">
        <v>18048</v>
      </c>
      <c r="AY240">
        <v>224</v>
      </c>
      <c r="AZ240">
        <v>2</v>
      </c>
      <c r="BA240">
        <v>2</v>
      </c>
      <c r="BB240" s="1">
        <v>329.54</v>
      </c>
      <c r="BC240" s="46">
        <v>12.085000000000001</v>
      </c>
      <c r="BF240">
        <v>0</v>
      </c>
      <c r="BG240">
        <v>0</v>
      </c>
      <c r="BH240">
        <v>0</v>
      </c>
      <c r="BI240" s="54">
        <f t="shared" ref="BI240" si="365">BI239</f>
        <v>12.045833333333333</v>
      </c>
    </row>
    <row r="241" spans="1:61">
      <c r="A241">
        <v>2</v>
      </c>
      <c r="B241" t="s">
        <v>7</v>
      </c>
      <c r="C241">
        <v>19968</v>
      </c>
      <c r="D241">
        <v>256</v>
      </c>
      <c r="E241">
        <v>2</v>
      </c>
      <c r="F241">
        <v>2</v>
      </c>
      <c r="G241" s="1">
        <v>478.44</v>
      </c>
      <c r="H241" s="63">
        <v>11.095000000000001</v>
      </c>
      <c r="I241" s="27">
        <v>45509</v>
      </c>
      <c r="J241" s="53">
        <v>0.64107638888888885</v>
      </c>
      <c r="K241">
        <v>0</v>
      </c>
      <c r="L241">
        <v>0</v>
      </c>
      <c r="M241">
        <v>0</v>
      </c>
      <c r="N241" s="54">
        <f t="shared" si="316"/>
        <v>11.109</v>
      </c>
      <c r="Q241">
        <v>2</v>
      </c>
      <c r="R241" t="s">
        <v>7</v>
      </c>
      <c r="S241">
        <v>19968</v>
      </c>
      <c r="T241">
        <v>256</v>
      </c>
      <c r="U241">
        <v>2</v>
      </c>
      <c r="V241">
        <v>2</v>
      </c>
      <c r="W241">
        <v>427.33</v>
      </c>
      <c r="X241" s="48">
        <v>12.422000000000001</v>
      </c>
      <c r="Y241" s="27">
        <v>45506</v>
      </c>
      <c r="Z241" s="53">
        <v>0.4294675925925926</v>
      </c>
      <c r="AA241">
        <v>0</v>
      </c>
      <c r="AB241">
        <v>0</v>
      </c>
      <c r="AC241">
        <v>0</v>
      </c>
      <c r="AD241" s="54">
        <f t="shared" si="317"/>
        <v>12.2422</v>
      </c>
      <c r="AF241">
        <v>2</v>
      </c>
      <c r="AG241" t="s">
        <v>7</v>
      </c>
      <c r="AH241">
        <v>17984</v>
      </c>
      <c r="AI241">
        <v>32</v>
      </c>
      <c r="AJ241">
        <v>1</v>
      </c>
      <c r="AK241">
        <v>4</v>
      </c>
      <c r="AL241">
        <v>518.63</v>
      </c>
      <c r="AM241" s="48">
        <v>7.4776999999999996</v>
      </c>
      <c r="AN241" s="27">
        <v>45509</v>
      </c>
      <c r="AO241" s="53">
        <v>0.31825231481481481</v>
      </c>
      <c r="AP241">
        <v>0</v>
      </c>
      <c r="AQ241">
        <v>0</v>
      </c>
      <c r="AR241">
        <v>0</v>
      </c>
      <c r="AS241" s="54">
        <f t="shared" si="318"/>
        <v>7.4731799999999993</v>
      </c>
      <c r="AT241" s="1">
        <f>AT240</f>
        <v>7.4731799999999993</v>
      </c>
      <c r="AV241">
        <v>110</v>
      </c>
      <c r="AW241" t="s">
        <v>71</v>
      </c>
      <c r="AX241">
        <v>18048</v>
      </c>
      <c r="AY241">
        <v>224</v>
      </c>
      <c r="AZ241">
        <v>2</v>
      </c>
      <c r="BA241">
        <v>2</v>
      </c>
      <c r="BB241" s="1">
        <v>329.54</v>
      </c>
      <c r="BC241" s="46">
        <v>12.085000000000001</v>
      </c>
      <c r="BF241">
        <v>0</v>
      </c>
      <c r="BG241">
        <v>0</v>
      </c>
      <c r="BH241">
        <v>0</v>
      </c>
      <c r="BI241" s="54">
        <f t="shared" si="319"/>
        <v>12.045833333333333</v>
      </c>
    </row>
    <row r="242" spans="1:61">
      <c r="A242">
        <v>3</v>
      </c>
      <c r="B242" t="s">
        <v>7</v>
      </c>
      <c r="C242">
        <v>19968</v>
      </c>
      <c r="D242">
        <v>256</v>
      </c>
      <c r="E242">
        <v>2</v>
      </c>
      <c r="F242">
        <v>2</v>
      </c>
      <c r="G242" s="1">
        <v>479.08</v>
      </c>
      <c r="H242" s="63">
        <v>11.08</v>
      </c>
      <c r="I242" s="27">
        <v>45509</v>
      </c>
      <c r="J242" s="53">
        <v>0.90908564814814818</v>
      </c>
      <c r="K242">
        <v>0</v>
      </c>
      <c r="L242">
        <v>0</v>
      </c>
      <c r="M242">
        <v>0</v>
      </c>
      <c r="N242" s="54">
        <f t="shared" si="316"/>
        <v>11.109</v>
      </c>
      <c r="Q242">
        <v>3</v>
      </c>
      <c r="R242" t="s">
        <v>7</v>
      </c>
      <c r="S242">
        <v>19968</v>
      </c>
      <c r="T242">
        <v>256</v>
      </c>
      <c r="U242">
        <v>2</v>
      </c>
      <c r="V242">
        <v>2</v>
      </c>
      <c r="W242">
        <v>431.55</v>
      </c>
      <c r="X242" s="48">
        <v>12.301</v>
      </c>
      <c r="Y242" s="27">
        <v>45506</v>
      </c>
      <c r="Z242" s="53">
        <v>0.66662037037037036</v>
      </c>
      <c r="AA242">
        <v>0</v>
      </c>
      <c r="AB242">
        <v>0</v>
      </c>
      <c r="AC242">
        <v>0</v>
      </c>
      <c r="AD242" s="54">
        <f t="shared" si="317"/>
        <v>12.2422</v>
      </c>
      <c r="AF242">
        <v>3</v>
      </c>
      <c r="AG242" t="s">
        <v>7</v>
      </c>
      <c r="AH242">
        <v>17984</v>
      </c>
      <c r="AI242">
        <v>32</v>
      </c>
      <c r="AJ242">
        <v>1</v>
      </c>
      <c r="AK242">
        <v>4</v>
      </c>
      <c r="AL242">
        <v>519.39</v>
      </c>
      <c r="AM242" s="48">
        <v>7.4667000000000003</v>
      </c>
      <c r="AN242" s="27">
        <v>45509</v>
      </c>
      <c r="AO242" s="53">
        <v>0.55672453703703706</v>
      </c>
      <c r="AP242">
        <v>0</v>
      </c>
      <c r="AQ242">
        <v>0</v>
      </c>
      <c r="AR242">
        <v>0</v>
      </c>
      <c r="AS242" s="54">
        <f t="shared" si="318"/>
        <v>7.4731799999999993</v>
      </c>
      <c r="AT242" s="1">
        <f>AT241</f>
        <v>7.4731799999999993</v>
      </c>
      <c r="AV242">
        <v>158</v>
      </c>
      <c r="AW242" t="s">
        <v>71</v>
      </c>
      <c r="AX242">
        <v>18048</v>
      </c>
      <c r="AY242">
        <v>224</v>
      </c>
      <c r="AZ242">
        <v>2</v>
      </c>
      <c r="BA242">
        <v>2</v>
      </c>
      <c r="BB242" s="1">
        <v>325.76</v>
      </c>
      <c r="BC242" s="46">
        <v>12.226000000000001</v>
      </c>
      <c r="BF242">
        <v>0</v>
      </c>
      <c r="BG242">
        <v>0</v>
      </c>
      <c r="BH242">
        <v>0</v>
      </c>
      <c r="BI242" s="54">
        <f t="shared" si="319"/>
        <v>12.045833333333333</v>
      </c>
    </row>
    <row r="243" spans="1:61">
      <c r="A243">
        <v>4</v>
      </c>
      <c r="B243" t="s">
        <v>7</v>
      </c>
      <c r="C243">
        <v>19968</v>
      </c>
      <c r="D243">
        <v>256</v>
      </c>
      <c r="E243">
        <v>2</v>
      </c>
      <c r="F243">
        <v>2</v>
      </c>
      <c r="G243" s="1">
        <v>476.83</v>
      </c>
      <c r="H243" s="63">
        <v>11.132999999999999</v>
      </c>
      <c r="I243" s="27">
        <v>45510</v>
      </c>
      <c r="J243" s="53">
        <v>0.17701388888888889</v>
      </c>
      <c r="K243">
        <v>0</v>
      </c>
      <c r="L243">
        <v>0</v>
      </c>
      <c r="M243">
        <v>0</v>
      </c>
      <c r="N243" s="54">
        <f t="shared" si="316"/>
        <v>11.109</v>
      </c>
      <c r="Q243">
        <v>4</v>
      </c>
      <c r="R243" t="s">
        <v>7</v>
      </c>
      <c r="S243">
        <v>19968</v>
      </c>
      <c r="T243">
        <v>256</v>
      </c>
      <c r="U243">
        <v>2</v>
      </c>
      <c r="V243">
        <v>2</v>
      </c>
      <c r="W243">
        <v>434.16</v>
      </c>
      <c r="X243" s="48">
        <v>12.227</v>
      </c>
      <c r="Y243" s="27">
        <v>45506</v>
      </c>
      <c r="Z243" s="53">
        <v>0.90422453703703709</v>
      </c>
      <c r="AA243">
        <v>0</v>
      </c>
      <c r="AB243">
        <v>0</v>
      </c>
      <c r="AC243">
        <v>0</v>
      </c>
      <c r="AD243" s="54">
        <f t="shared" si="317"/>
        <v>12.2422</v>
      </c>
      <c r="AF243">
        <v>4</v>
      </c>
      <c r="AG243" t="s">
        <v>7</v>
      </c>
      <c r="AH243">
        <v>17984</v>
      </c>
      <c r="AI243">
        <v>32</v>
      </c>
      <c r="AJ243">
        <v>1</v>
      </c>
      <c r="AK243">
        <v>4</v>
      </c>
      <c r="AL243">
        <v>519.04</v>
      </c>
      <c r="AM243" s="48">
        <v>7.4717000000000002</v>
      </c>
      <c r="AN243" s="27">
        <v>45509</v>
      </c>
      <c r="AO243" s="53">
        <v>0.79489583333333336</v>
      </c>
      <c r="AP243">
        <v>0</v>
      </c>
      <c r="AQ243">
        <v>0</v>
      </c>
      <c r="AR243">
        <v>0</v>
      </c>
      <c r="AS243" s="54">
        <f t="shared" si="318"/>
        <v>7.4731799999999993</v>
      </c>
      <c r="AT243" s="1">
        <f>AT242</f>
        <v>7.4731799999999993</v>
      </c>
      <c r="AV243">
        <v>206</v>
      </c>
      <c r="AW243" t="s">
        <v>71</v>
      </c>
      <c r="AX243">
        <v>18048</v>
      </c>
      <c r="AY243">
        <v>224</v>
      </c>
      <c r="AZ243">
        <v>2</v>
      </c>
      <c r="BA243">
        <v>2</v>
      </c>
      <c r="BB243" s="1">
        <v>322.8</v>
      </c>
      <c r="BC243" s="46">
        <v>12.337</v>
      </c>
      <c r="BF243">
        <v>0</v>
      </c>
      <c r="BG243">
        <v>0</v>
      </c>
      <c r="BH243">
        <v>0</v>
      </c>
      <c r="BI243" s="54">
        <f t="shared" si="319"/>
        <v>12.045833333333333</v>
      </c>
    </row>
    <row r="244" spans="1:61">
      <c r="N244" s="54"/>
      <c r="AD244" s="46"/>
      <c r="AS244" s="46">
        <f>AVERAGE(AS3:AS243)</f>
        <v>11.788092916666674</v>
      </c>
      <c r="AV244">
        <v>254</v>
      </c>
      <c r="AW244" t="s">
        <v>71</v>
      </c>
      <c r="AX244">
        <v>18048</v>
      </c>
      <c r="AY244">
        <v>224</v>
      </c>
      <c r="AZ244">
        <v>2</v>
      </c>
      <c r="BA244">
        <v>2</v>
      </c>
      <c r="BB244" s="1">
        <v>345.81</v>
      </c>
      <c r="BC244" s="46">
        <v>11.516999999999999</v>
      </c>
      <c r="BF244">
        <v>0</v>
      </c>
      <c r="BG244">
        <v>0</v>
      </c>
      <c r="BH244">
        <v>0</v>
      </c>
      <c r="BI244" s="54">
        <f t="shared" si="319"/>
        <v>12.045833333333333</v>
      </c>
    </row>
    <row r="245" spans="1:61">
      <c r="N245" s="54"/>
      <c r="AV245">
        <v>30</v>
      </c>
      <c r="AW245" t="s">
        <v>71</v>
      </c>
      <c r="AX245">
        <v>19072</v>
      </c>
      <c r="AY245">
        <v>224</v>
      </c>
      <c r="AZ245">
        <v>2</v>
      </c>
      <c r="BA245">
        <v>2</v>
      </c>
      <c r="BB245" s="1">
        <v>372.05</v>
      </c>
      <c r="BC245" s="46">
        <v>12.37</v>
      </c>
      <c r="BF245">
        <v>0</v>
      </c>
      <c r="BG245">
        <v>0</v>
      </c>
      <c r="BH245">
        <v>0</v>
      </c>
      <c r="BI245" s="54">
        <f t="shared" ref="BI245" si="366">AVERAGE(BC245:BC250)</f>
        <v>12.203166666666666</v>
      </c>
    </row>
    <row r="246" spans="1:61">
      <c r="N246" s="54"/>
      <c r="AV246">
        <v>78</v>
      </c>
      <c r="AW246" t="s">
        <v>71</v>
      </c>
      <c r="AX246">
        <v>19072</v>
      </c>
      <c r="AY246">
        <v>224</v>
      </c>
      <c r="AZ246">
        <v>2</v>
      </c>
      <c r="BA246">
        <v>2</v>
      </c>
      <c r="BB246" s="1">
        <v>372.23</v>
      </c>
      <c r="BC246" s="46">
        <v>12.364000000000001</v>
      </c>
      <c r="BF246">
        <v>0</v>
      </c>
      <c r="BG246">
        <v>0</v>
      </c>
      <c r="BH246">
        <v>0</v>
      </c>
      <c r="BI246" s="54">
        <f t="shared" ref="BI246" si="367">BI245</f>
        <v>12.203166666666666</v>
      </c>
    </row>
    <row r="247" spans="1:61">
      <c r="N247" s="54"/>
      <c r="AV247">
        <v>126</v>
      </c>
      <c r="AW247" t="s">
        <v>71</v>
      </c>
      <c r="AX247">
        <v>19072</v>
      </c>
      <c r="AY247">
        <v>224</v>
      </c>
      <c r="AZ247">
        <v>2</v>
      </c>
      <c r="BA247">
        <v>2</v>
      </c>
      <c r="BB247" s="1">
        <v>374.2</v>
      </c>
      <c r="BC247" s="46">
        <v>12.298999999999999</v>
      </c>
      <c r="BF247">
        <v>0</v>
      </c>
      <c r="BG247">
        <v>0</v>
      </c>
      <c r="BH247">
        <v>0</v>
      </c>
      <c r="BI247" s="54">
        <f t="shared" si="319"/>
        <v>12.203166666666666</v>
      </c>
    </row>
    <row r="248" spans="1:61">
      <c r="N248" s="54"/>
      <c r="AV248">
        <v>174</v>
      </c>
      <c r="AW248" t="s">
        <v>71</v>
      </c>
      <c r="AX248">
        <v>19072</v>
      </c>
      <c r="AY248">
        <v>224</v>
      </c>
      <c r="AZ248">
        <v>2</v>
      </c>
      <c r="BA248">
        <v>2</v>
      </c>
      <c r="BB248" s="1">
        <v>395.2</v>
      </c>
      <c r="BC248" s="46">
        <v>11.645</v>
      </c>
      <c r="BF248">
        <v>0</v>
      </c>
      <c r="BG248">
        <v>0</v>
      </c>
      <c r="BH248">
        <v>0</v>
      </c>
      <c r="BI248" s="54">
        <f t="shared" si="319"/>
        <v>12.203166666666666</v>
      </c>
    </row>
    <row r="249" spans="1:61">
      <c r="N249" s="54"/>
      <c r="AV249">
        <v>222</v>
      </c>
      <c r="AW249" t="s">
        <v>71</v>
      </c>
      <c r="AX249">
        <v>19072</v>
      </c>
      <c r="AY249">
        <v>224</v>
      </c>
      <c r="AZ249">
        <v>2</v>
      </c>
      <c r="BA249">
        <v>2</v>
      </c>
      <c r="BB249" s="1">
        <v>374.68</v>
      </c>
      <c r="BC249" s="46">
        <v>12.282999999999999</v>
      </c>
      <c r="BF249">
        <v>0</v>
      </c>
      <c r="BG249">
        <v>0</v>
      </c>
      <c r="BH249">
        <v>0</v>
      </c>
      <c r="BI249" s="54">
        <f t="shared" si="319"/>
        <v>12.203166666666666</v>
      </c>
    </row>
    <row r="250" spans="1:61">
      <c r="N250" s="54"/>
      <c r="AV250">
        <v>270</v>
      </c>
      <c r="AW250" t="s">
        <v>71</v>
      </c>
      <c r="AX250">
        <v>19072</v>
      </c>
      <c r="AY250">
        <v>224</v>
      </c>
      <c r="AZ250">
        <v>2</v>
      </c>
      <c r="BA250">
        <v>2</v>
      </c>
      <c r="BB250" s="1">
        <v>375.45</v>
      </c>
      <c r="BC250" s="46">
        <v>12.257999999999999</v>
      </c>
      <c r="BF250">
        <v>0</v>
      </c>
      <c r="BG250">
        <v>0</v>
      </c>
      <c r="BH250">
        <v>0</v>
      </c>
      <c r="BI250" s="54">
        <f t="shared" si="319"/>
        <v>12.203166666666666</v>
      </c>
    </row>
    <row r="251" spans="1:61">
      <c r="N251" s="54"/>
      <c r="AV251">
        <v>46</v>
      </c>
      <c r="AW251" t="s">
        <v>71</v>
      </c>
      <c r="AX251">
        <v>20096</v>
      </c>
      <c r="AY251">
        <v>224</v>
      </c>
      <c r="AZ251">
        <v>2</v>
      </c>
      <c r="BA251">
        <v>2</v>
      </c>
      <c r="BB251" s="1">
        <v>451.41</v>
      </c>
      <c r="BC251" s="46">
        <v>12.102</v>
      </c>
      <c r="BF251">
        <v>0</v>
      </c>
      <c r="BG251">
        <v>0</v>
      </c>
      <c r="BH251">
        <v>0</v>
      </c>
      <c r="BI251" s="54">
        <f t="shared" ref="BI251" si="368">AVERAGE(BC251:BC256)</f>
        <v>12.254833333333332</v>
      </c>
    </row>
    <row r="252" spans="1:61">
      <c r="N252" s="54"/>
      <c r="AV252">
        <v>94</v>
      </c>
      <c r="AW252" t="s">
        <v>71</v>
      </c>
      <c r="AX252">
        <v>20096</v>
      </c>
      <c r="AY252">
        <v>224</v>
      </c>
      <c r="AZ252">
        <v>2</v>
      </c>
      <c r="BA252">
        <v>2</v>
      </c>
      <c r="BB252" s="1">
        <v>435.39</v>
      </c>
      <c r="BC252" s="46">
        <v>12.547000000000001</v>
      </c>
      <c r="BF252">
        <v>0</v>
      </c>
      <c r="BG252">
        <v>0</v>
      </c>
      <c r="BH252">
        <v>0</v>
      </c>
      <c r="BI252" s="54">
        <f t="shared" ref="BI252" si="369">BI251</f>
        <v>12.254833333333332</v>
      </c>
    </row>
    <row r="253" spans="1:61">
      <c r="N253" s="54"/>
      <c r="AV253">
        <v>142</v>
      </c>
      <c r="AW253" t="s">
        <v>71</v>
      </c>
      <c r="AX253">
        <v>20096</v>
      </c>
      <c r="AY253">
        <v>224</v>
      </c>
      <c r="AZ253">
        <v>2</v>
      </c>
      <c r="BA253">
        <v>2</v>
      </c>
      <c r="BB253" s="1">
        <v>449.17</v>
      </c>
      <c r="BC253" s="46">
        <v>12.162000000000001</v>
      </c>
      <c r="BF253">
        <v>0</v>
      </c>
      <c r="BG253">
        <v>0</v>
      </c>
      <c r="BH253">
        <v>0</v>
      </c>
      <c r="BI253" s="54">
        <f t="shared" si="319"/>
        <v>12.254833333333332</v>
      </c>
    </row>
    <row r="254" spans="1:61">
      <c r="N254" s="54"/>
      <c r="AV254">
        <v>190</v>
      </c>
      <c r="AW254" t="s">
        <v>71</v>
      </c>
      <c r="AX254">
        <v>20096</v>
      </c>
      <c r="AY254">
        <v>224</v>
      </c>
      <c r="AZ254">
        <v>2</v>
      </c>
      <c r="BA254">
        <v>2</v>
      </c>
      <c r="BB254" s="1">
        <v>447.2</v>
      </c>
      <c r="BC254" s="46">
        <v>12.215999999999999</v>
      </c>
      <c r="BF254">
        <v>0</v>
      </c>
      <c r="BG254">
        <v>0</v>
      </c>
      <c r="BH254">
        <v>0</v>
      </c>
      <c r="BI254" s="54">
        <f t="shared" si="319"/>
        <v>12.254833333333332</v>
      </c>
    </row>
    <row r="255" spans="1:61">
      <c r="N255" s="54"/>
      <c r="AV255">
        <v>238</v>
      </c>
      <c r="AW255" t="s">
        <v>71</v>
      </c>
      <c r="AX255">
        <v>20096</v>
      </c>
      <c r="AY255">
        <v>224</v>
      </c>
      <c r="AZ255">
        <v>2</v>
      </c>
      <c r="BA255">
        <v>2</v>
      </c>
      <c r="BB255" s="1">
        <v>440.6</v>
      </c>
      <c r="BC255" s="46">
        <v>12.398999999999999</v>
      </c>
      <c r="BF255">
        <v>0</v>
      </c>
      <c r="BG255">
        <v>0</v>
      </c>
      <c r="BH255">
        <v>0</v>
      </c>
      <c r="BI255" s="54">
        <f t="shared" si="319"/>
        <v>12.254833333333332</v>
      </c>
    </row>
    <row r="256" spans="1:61">
      <c r="N256" s="54"/>
      <c r="AV256">
        <v>286</v>
      </c>
      <c r="AW256" t="s">
        <v>71</v>
      </c>
      <c r="AX256">
        <v>20096</v>
      </c>
      <c r="AY256">
        <v>224</v>
      </c>
      <c r="AZ256">
        <v>2</v>
      </c>
      <c r="BA256">
        <v>2</v>
      </c>
      <c r="BB256" s="1">
        <v>451.37</v>
      </c>
      <c r="BC256" s="46">
        <v>12.103</v>
      </c>
      <c r="BF256">
        <v>0</v>
      </c>
      <c r="BG256">
        <v>0</v>
      </c>
      <c r="BH256">
        <v>0</v>
      </c>
      <c r="BI256" s="54">
        <f t="shared" si="319"/>
        <v>12.254833333333332</v>
      </c>
    </row>
    <row r="257" spans="14:61">
      <c r="N257" s="54"/>
      <c r="AV257">
        <v>15</v>
      </c>
      <c r="AW257" t="s">
        <v>71</v>
      </c>
      <c r="AX257">
        <v>18048</v>
      </c>
      <c r="AY257">
        <v>256</v>
      </c>
      <c r="AZ257">
        <v>1</v>
      </c>
      <c r="BA257">
        <v>4</v>
      </c>
      <c r="BB257" s="1">
        <v>309.75</v>
      </c>
      <c r="BC257" s="46">
        <v>12.387</v>
      </c>
      <c r="BF257">
        <v>0</v>
      </c>
      <c r="BG257">
        <v>0</v>
      </c>
      <c r="BH257">
        <v>0</v>
      </c>
      <c r="BI257" s="54">
        <f t="shared" ref="BI257" si="370">AVERAGE(BC257:BC262)</f>
        <v>12.281333333333334</v>
      </c>
    </row>
    <row r="258" spans="14:61">
      <c r="N258" s="54"/>
      <c r="AV258">
        <v>63</v>
      </c>
      <c r="AW258" t="s">
        <v>71</v>
      </c>
      <c r="AX258">
        <v>18048</v>
      </c>
      <c r="AY258">
        <v>256</v>
      </c>
      <c r="AZ258">
        <v>1</v>
      </c>
      <c r="BA258">
        <v>4</v>
      </c>
      <c r="BB258" s="1">
        <v>321.95999999999998</v>
      </c>
      <c r="BC258" s="46">
        <v>11.917</v>
      </c>
      <c r="BF258">
        <v>0</v>
      </c>
      <c r="BG258">
        <v>0</v>
      </c>
      <c r="BH258">
        <v>0</v>
      </c>
      <c r="BI258" s="54">
        <f t="shared" ref="BI258" si="371">BI257</f>
        <v>12.281333333333334</v>
      </c>
    </row>
    <row r="259" spans="14:61">
      <c r="N259" s="54"/>
      <c r="AV259">
        <v>111</v>
      </c>
      <c r="AW259" t="s">
        <v>71</v>
      </c>
      <c r="AX259">
        <v>18048</v>
      </c>
      <c r="AY259">
        <v>256</v>
      </c>
      <c r="AZ259">
        <v>1</v>
      </c>
      <c r="BA259">
        <v>4</v>
      </c>
      <c r="BB259" s="1">
        <v>313.38</v>
      </c>
      <c r="BC259" s="46">
        <v>12.244</v>
      </c>
      <c r="BF259">
        <v>0</v>
      </c>
      <c r="BG259">
        <v>0</v>
      </c>
      <c r="BH259">
        <v>0</v>
      </c>
      <c r="BI259" s="54">
        <f t="shared" si="319"/>
        <v>12.281333333333334</v>
      </c>
    </row>
    <row r="260" spans="14:61">
      <c r="N260" s="54"/>
      <c r="AV260">
        <v>159</v>
      </c>
      <c r="AW260" t="s">
        <v>71</v>
      </c>
      <c r="AX260">
        <v>18048</v>
      </c>
      <c r="AY260">
        <v>256</v>
      </c>
      <c r="AZ260">
        <v>1</v>
      </c>
      <c r="BA260">
        <v>4</v>
      </c>
      <c r="BB260" s="1">
        <v>307.68</v>
      </c>
      <c r="BC260" s="46">
        <v>12.47</v>
      </c>
      <c r="BF260">
        <v>0</v>
      </c>
      <c r="BG260">
        <v>0</v>
      </c>
      <c r="BH260">
        <v>0</v>
      </c>
      <c r="BI260" s="54">
        <f t="shared" si="319"/>
        <v>12.281333333333334</v>
      </c>
    </row>
    <row r="261" spans="14:61">
      <c r="N261" s="54"/>
      <c r="AV261">
        <v>207</v>
      </c>
      <c r="AW261" t="s">
        <v>71</v>
      </c>
      <c r="AX261">
        <v>18048</v>
      </c>
      <c r="AY261">
        <v>256</v>
      </c>
      <c r="AZ261">
        <v>1</v>
      </c>
      <c r="BA261">
        <v>4</v>
      </c>
      <c r="BB261" s="1">
        <v>312.45999999999998</v>
      </c>
      <c r="BC261" s="46">
        <v>12.28</v>
      </c>
      <c r="BF261">
        <v>0</v>
      </c>
      <c r="BG261">
        <v>0</v>
      </c>
      <c r="BH261">
        <v>0</v>
      </c>
      <c r="BI261" s="54">
        <f t="shared" si="319"/>
        <v>12.281333333333334</v>
      </c>
    </row>
    <row r="262" spans="14:61">
      <c r="N262" s="54"/>
      <c r="AV262">
        <v>255</v>
      </c>
      <c r="AW262" t="s">
        <v>71</v>
      </c>
      <c r="AX262">
        <v>18048</v>
      </c>
      <c r="AY262">
        <v>256</v>
      </c>
      <c r="AZ262">
        <v>1</v>
      </c>
      <c r="BA262">
        <v>4</v>
      </c>
      <c r="BB262" s="1">
        <v>309.67</v>
      </c>
      <c r="BC262" s="46">
        <v>12.39</v>
      </c>
      <c r="BF262">
        <v>0</v>
      </c>
      <c r="BG262">
        <v>0</v>
      </c>
      <c r="BH262">
        <v>0</v>
      </c>
      <c r="BI262" s="54">
        <f t="shared" si="319"/>
        <v>12.281333333333334</v>
      </c>
    </row>
    <row r="263" spans="14:61">
      <c r="N263" s="54"/>
      <c r="AV263">
        <v>31</v>
      </c>
      <c r="AW263" t="s">
        <v>71</v>
      </c>
      <c r="AX263">
        <v>19072</v>
      </c>
      <c r="AY263">
        <v>256</v>
      </c>
      <c r="AZ263">
        <v>1</v>
      </c>
      <c r="BA263">
        <v>4</v>
      </c>
      <c r="BB263" s="1">
        <v>355.89</v>
      </c>
      <c r="BC263" s="46">
        <v>12.737</v>
      </c>
      <c r="BF263">
        <v>0</v>
      </c>
      <c r="BG263">
        <v>0</v>
      </c>
      <c r="BH263">
        <v>0</v>
      </c>
      <c r="BI263" s="54">
        <f t="shared" ref="BI263" si="372">AVERAGE(BC263:BC268)</f>
        <v>12.258833333333335</v>
      </c>
    </row>
    <row r="264" spans="14:61">
      <c r="N264" s="54"/>
      <c r="AV264">
        <v>79</v>
      </c>
      <c r="AW264" t="s">
        <v>71</v>
      </c>
      <c r="AX264">
        <v>19072</v>
      </c>
      <c r="AY264">
        <v>256</v>
      </c>
      <c r="AZ264">
        <v>1</v>
      </c>
      <c r="BA264">
        <v>4</v>
      </c>
      <c r="BB264" s="1">
        <v>356.2</v>
      </c>
      <c r="BC264" s="46">
        <v>12.726000000000001</v>
      </c>
      <c r="BF264">
        <v>0</v>
      </c>
      <c r="BG264">
        <v>0</v>
      </c>
      <c r="BH264">
        <v>0</v>
      </c>
      <c r="BI264" s="54">
        <f t="shared" ref="BI264" si="373">BI263</f>
        <v>12.258833333333335</v>
      </c>
    </row>
    <row r="265" spans="14:61">
      <c r="N265" s="54"/>
      <c r="AV265">
        <v>127</v>
      </c>
      <c r="AW265" t="s">
        <v>71</v>
      </c>
      <c r="AX265">
        <v>19072</v>
      </c>
      <c r="AY265">
        <v>256</v>
      </c>
      <c r="AZ265">
        <v>1</v>
      </c>
      <c r="BA265">
        <v>4</v>
      </c>
      <c r="BB265" s="1">
        <v>364.34</v>
      </c>
      <c r="BC265" s="46">
        <v>12.441000000000001</v>
      </c>
      <c r="BF265">
        <v>0</v>
      </c>
      <c r="BG265">
        <v>0</v>
      </c>
      <c r="BH265">
        <v>0</v>
      </c>
      <c r="BI265" s="54">
        <f t="shared" si="319"/>
        <v>12.258833333333335</v>
      </c>
    </row>
    <row r="266" spans="14:61">
      <c r="N266" s="54"/>
      <c r="AV266">
        <v>175</v>
      </c>
      <c r="AW266" t="s">
        <v>71</v>
      </c>
      <c r="AX266">
        <v>19072</v>
      </c>
      <c r="AY266">
        <v>256</v>
      </c>
      <c r="AZ266">
        <v>1</v>
      </c>
      <c r="BA266">
        <v>4</v>
      </c>
      <c r="BB266" s="1">
        <v>376.21</v>
      </c>
      <c r="BC266" s="46">
        <v>12.048999999999999</v>
      </c>
      <c r="BF266">
        <v>0</v>
      </c>
      <c r="BG266">
        <v>0</v>
      </c>
      <c r="BH266">
        <v>0</v>
      </c>
      <c r="BI266" s="54">
        <f t="shared" si="319"/>
        <v>12.258833333333335</v>
      </c>
    </row>
    <row r="267" spans="14:61">
      <c r="N267" s="54"/>
      <c r="AV267">
        <v>223</v>
      </c>
      <c r="AW267" t="s">
        <v>71</v>
      </c>
      <c r="AX267">
        <v>19072</v>
      </c>
      <c r="AY267">
        <v>256</v>
      </c>
      <c r="AZ267">
        <v>1</v>
      </c>
      <c r="BA267">
        <v>4</v>
      </c>
      <c r="BB267" s="1">
        <v>409.18</v>
      </c>
      <c r="BC267" s="46">
        <v>11.077999999999999</v>
      </c>
      <c r="BF267">
        <v>0</v>
      </c>
      <c r="BG267">
        <v>0</v>
      </c>
      <c r="BH267">
        <v>0</v>
      </c>
      <c r="BI267" s="54">
        <f t="shared" si="319"/>
        <v>12.258833333333335</v>
      </c>
    </row>
    <row r="268" spans="14:61">
      <c r="N268" s="54"/>
      <c r="AV268">
        <v>271</v>
      </c>
      <c r="AW268" t="s">
        <v>71</v>
      </c>
      <c r="AX268">
        <v>19072</v>
      </c>
      <c r="AY268">
        <v>256</v>
      </c>
      <c r="AZ268">
        <v>1</v>
      </c>
      <c r="BA268">
        <v>4</v>
      </c>
      <c r="BB268" s="1">
        <v>362.01</v>
      </c>
      <c r="BC268" s="46">
        <v>12.522</v>
      </c>
      <c r="BF268">
        <v>0</v>
      </c>
      <c r="BG268">
        <v>0</v>
      </c>
      <c r="BH268">
        <v>0</v>
      </c>
      <c r="BI268" s="54">
        <f t="shared" si="319"/>
        <v>12.258833333333335</v>
      </c>
    </row>
    <row r="269" spans="14:61">
      <c r="N269" s="54"/>
      <c r="AV269">
        <v>47</v>
      </c>
      <c r="AW269" t="s">
        <v>71</v>
      </c>
      <c r="AX269">
        <v>20096</v>
      </c>
      <c r="AY269">
        <v>256</v>
      </c>
      <c r="AZ269">
        <v>1</v>
      </c>
      <c r="BA269">
        <v>4</v>
      </c>
      <c r="BB269" s="1">
        <v>434.2</v>
      </c>
      <c r="BC269" s="46">
        <v>12.226000000000001</v>
      </c>
      <c r="BF269">
        <v>0</v>
      </c>
      <c r="BG269">
        <v>0</v>
      </c>
      <c r="BH269">
        <v>0</v>
      </c>
      <c r="BI269" s="54">
        <f t="shared" ref="BI269" si="374">AVERAGE(BC269:BC274)</f>
        <v>12.316000000000001</v>
      </c>
    </row>
    <row r="270" spans="14:61">
      <c r="N270" s="54"/>
      <c r="AV270">
        <v>95</v>
      </c>
      <c r="AW270" t="s">
        <v>71</v>
      </c>
      <c r="AX270">
        <v>20096</v>
      </c>
      <c r="AY270">
        <v>256</v>
      </c>
      <c r="AZ270">
        <v>1</v>
      </c>
      <c r="BA270">
        <v>4</v>
      </c>
      <c r="BB270" s="1">
        <v>429.61</v>
      </c>
      <c r="BC270" s="46">
        <v>12.356</v>
      </c>
      <c r="BF270">
        <v>0</v>
      </c>
      <c r="BG270">
        <v>0</v>
      </c>
      <c r="BH270">
        <v>0</v>
      </c>
      <c r="BI270" s="54">
        <f t="shared" ref="BI270" si="375">BI269</f>
        <v>12.316000000000001</v>
      </c>
    </row>
    <row r="271" spans="14:61">
      <c r="N271" s="54"/>
      <c r="AV271">
        <v>143</v>
      </c>
      <c r="AW271" t="s">
        <v>71</v>
      </c>
      <c r="AX271">
        <v>20096</v>
      </c>
      <c r="AY271">
        <v>256</v>
      </c>
      <c r="AZ271">
        <v>1</v>
      </c>
      <c r="BA271">
        <v>4</v>
      </c>
      <c r="BB271" s="1">
        <v>421.94</v>
      </c>
      <c r="BC271" s="46">
        <v>12.581</v>
      </c>
      <c r="BF271">
        <v>0</v>
      </c>
      <c r="BG271">
        <v>0</v>
      </c>
      <c r="BH271">
        <v>0</v>
      </c>
      <c r="BI271" s="54">
        <f t="shared" si="319"/>
        <v>12.316000000000001</v>
      </c>
    </row>
    <row r="272" spans="14:61">
      <c r="N272" s="54"/>
      <c r="AV272">
        <v>191</v>
      </c>
      <c r="AW272" t="s">
        <v>71</v>
      </c>
      <c r="AX272">
        <v>20096</v>
      </c>
      <c r="AY272">
        <v>256</v>
      </c>
      <c r="AZ272">
        <v>1</v>
      </c>
      <c r="BA272">
        <v>4</v>
      </c>
      <c r="BB272" s="1">
        <v>418.91</v>
      </c>
      <c r="BC272" s="46">
        <v>12.672000000000001</v>
      </c>
      <c r="BF272">
        <v>0</v>
      </c>
      <c r="BG272">
        <v>0</v>
      </c>
      <c r="BH272">
        <v>0</v>
      </c>
      <c r="BI272" s="54">
        <f t="shared" si="319"/>
        <v>12.316000000000001</v>
      </c>
    </row>
    <row r="273" spans="14:61">
      <c r="N273" s="54"/>
      <c r="AV273">
        <v>239</v>
      </c>
      <c r="AW273" t="s">
        <v>71</v>
      </c>
      <c r="AX273">
        <v>20096</v>
      </c>
      <c r="AY273">
        <v>256</v>
      </c>
      <c r="AZ273">
        <v>1</v>
      </c>
      <c r="BA273">
        <v>4</v>
      </c>
      <c r="BB273" s="1">
        <v>440.71</v>
      </c>
      <c r="BC273" s="46">
        <v>12.045</v>
      </c>
      <c r="BF273">
        <v>0</v>
      </c>
      <c r="BG273">
        <v>0</v>
      </c>
      <c r="BH273">
        <v>0</v>
      </c>
      <c r="BI273" s="54">
        <f t="shared" si="319"/>
        <v>12.316000000000001</v>
      </c>
    </row>
    <row r="274" spans="14:61">
      <c r="N274" s="54"/>
      <c r="AV274">
        <v>287</v>
      </c>
      <c r="AW274" t="s">
        <v>71</v>
      </c>
      <c r="AX274">
        <v>20096</v>
      </c>
      <c r="AY274">
        <v>256</v>
      </c>
      <c r="AZ274">
        <v>1</v>
      </c>
      <c r="BA274">
        <v>4</v>
      </c>
      <c r="BB274" s="1">
        <v>441.77</v>
      </c>
      <c r="BC274" s="46">
        <v>12.016</v>
      </c>
      <c r="BF274">
        <v>0</v>
      </c>
      <c r="BG274">
        <v>0</v>
      </c>
      <c r="BH274">
        <v>0</v>
      </c>
      <c r="BI274" s="54">
        <f t="shared" ref="BI274:BI292" si="376">BI273</f>
        <v>12.316000000000001</v>
      </c>
    </row>
    <row r="275" spans="14:61">
      <c r="N275" s="54"/>
      <c r="AV275">
        <v>16</v>
      </c>
      <c r="AW275" t="s">
        <v>71</v>
      </c>
      <c r="AX275">
        <v>18048</v>
      </c>
      <c r="AY275">
        <v>256</v>
      </c>
      <c r="AZ275">
        <v>2</v>
      </c>
      <c r="BA275">
        <v>2</v>
      </c>
      <c r="BB275" s="1">
        <v>323.85000000000002</v>
      </c>
      <c r="BC275" s="46">
        <v>11.848000000000001</v>
      </c>
      <c r="BF275">
        <v>0</v>
      </c>
      <c r="BG275">
        <v>0</v>
      </c>
      <c r="BH275">
        <v>0</v>
      </c>
      <c r="BI275" s="54">
        <f t="shared" ref="BI275" si="377">AVERAGE(BC275:BC280)</f>
        <v>11.596166666666667</v>
      </c>
    </row>
    <row r="276" spans="14:61">
      <c r="N276" s="54"/>
      <c r="AV276">
        <v>64</v>
      </c>
      <c r="AW276" t="s">
        <v>71</v>
      </c>
      <c r="AX276">
        <v>18048</v>
      </c>
      <c r="AY276">
        <v>256</v>
      </c>
      <c r="AZ276">
        <v>2</v>
      </c>
      <c r="BA276">
        <v>2</v>
      </c>
      <c r="BB276" s="1">
        <v>337.42</v>
      </c>
      <c r="BC276" s="46">
        <v>11.371</v>
      </c>
      <c r="BF276">
        <v>0</v>
      </c>
      <c r="BG276">
        <v>0</v>
      </c>
      <c r="BH276">
        <v>0</v>
      </c>
      <c r="BI276" s="54">
        <f t="shared" ref="BI276" si="378">BI275</f>
        <v>11.596166666666667</v>
      </c>
    </row>
    <row r="277" spans="14:61">
      <c r="N277" s="54"/>
      <c r="AV277">
        <v>112</v>
      </c>
      <c r="AW277" t="s">
        <v>71</v>
      </c>
      <c r="AX277">
        <v>18048</v>
      </c>
      <c r="AY277">
        <v>256</v>
      </c>
      <c r="AZ277">
        <v>2</v>
      </c>
      <c r="BA277">
        <v>2</v>
      </c>
      <c r="BB277" s="1">
        <v>334.68</v>
      </c>
      <c r="BC277" s="46">
        <v>11.464</v>
      </c>
      <c r="BF277">
        <v>0</v>
      </c>
      <c r="BG277">
        <v>0</v>
      </c>
      <c r="BH277">
        <v>0</v>
      </c>
      <c r="BI277" s="54">
        <f t="shared" si="376"/>
        <v>11.596166666666667</v>
      </c>
    </row>
    <row r="278" spans="14:61">
      <c r="N278" s="54"/>
      <c r="AV278">
        <v>160</v>
      </c>
      <c r="AW278" t="s">
        <v>71</v>
      </c>
      <c r="AX278">
        <v>18048</v>
      </c>
      <c r="AY278">
        <v>256</v>
      </c>
      <c r="AZ278">
        <v>2</v>
      </c>
      <c r="BA278">
        <v>2</v>
      </c>
      <c r="BB278" s="1">
        <v>321.64999999999998</v>
      </c>
      <c r="BC278" s="46">
        <v>11.929</v>
      </c>
      <c r="BF278">
        <v>0</v>
      </c>
      <c r="BG278">
        <v>0</v>
      </c>
      <c r="BH278">
        <v>0</v>
      </c>
      <c r="BI278" s="54">
        <f t="shared" si="376"/>
        <v>11.596166666666667</v>
      </c>
    </row>
    <row r="279" spans="14:61">
      <c r="N279" s="54"/>
      <c r="AV279">
        <v>208</v>
      </c>
      <c r="AW279" t="s">
        <v>71</v>
      </c>
      <c r="AX279">
        <v>18048</v>
      </c>
      <c r="AY279">
        <v>256</v>
      </c>
      <c r="AZ279">
        <v>2</v>
      </c>
      <c r="BA279">
        <v>2</v>
      </c>
      <c r="BB279" s="1">
        <v>349.54</v>
      </c>
      <c r="BC279" s="46">
        <v>10.977</v>
      </c>
      <c r="BF279">
        <v>0</v>
      </c>
      <c r="BG279">
        <v>0</v>
      </c>
      <c r="BH279">
        <v>0</v>
      </c>
      <c r="BI279" s="54">
        <f t="shared" si="376"/>
        <v>11.596166666666667</v>
      </c>
    </row>
    <row r="280" spans="14:61">
      <c r="N280" s="54"/>
      <c r="AV280">
        <v>256</v>
      </c>
      <c r="AW280" t="s">
        <v>71</v>
      </c>
      <c r="AX280">
        <v>18048</v>
      </c>
      <c r="AY280">
        <v>256</v>
      </c>
      <c r="AZ280">
        <v>2</v>
      </c>
      <c r="BA280">
        <v>2</v>
      </c>
      <c r="BB280" s="1">
        <v>320.06</v>
      </c>
      <c r="BC280" s="46">
        <v>11.988</v>
      </c>
      <c r="BF280">
        <v>0</v>
      </c>
      <c r="BG280">
        <v>0</v>
      </c>
      <c r="BH280">
        <v>0</v>
      </c>
      <c r="BI280" s="54">
        <f t="shared" si="376"/>
        <v>11.596166666666667</v>
      </c>
    </row>
    <row r="281" spans="14:61">
      <c r="N281" s="54"/>
      <c r="AV281">
        <v>32</v>
      </c>
      <c r="AW281" t="s">
        <v>71</v>
      </c>
      <c r="AX281">
        <v>19072</v>
      </c>
      <c r="AY281">
        <v>256</v>
      </c>
      <c r="AZ281">
        <v>2</v>
      </c>
      <c r="BA281">
        <v>2</v>
      </c>
      <c r="BB281" s="1">
        <v>370.08</v>
      </c>
      <c r="BC281" s="46">
        <v>12.247999999999999</v>
      </c>
      <c r="BF281">
        <v>0</v>
      </c>
      <c r="BG281">
        <v>0</v>
      </c>
      <c r="BH281">
        <v>0</v>
      </c>
      <c r="BI281" s="54">
        <f t="shared" ref="BI281" si="379">AVERAGE(BC281:BC286)</f>
        <v>11.907499999999999</v>
      </c>
    </row>
    <row r="282" spans="14:61">
      <c r="N282" s="54"/>
      <c r="AV282">
        <v>80</v>
      </c>
      <c r="AW282" t="s">
        <v>71</v>
      </c>
      <c r="AX282">
        <v>19072</v>
      </c>
      <c r="AY282">
        <v>256</v>
      </c>
      <c r="AZ282">
        <v>2</v>
      </c>
      <c r="BA282">
        <v>2</v>
      </c>
      <c r="BB282" s="1">
        <v>374.67</v>
      </c>
      <c r="BC282" s="46">
        <v>12.098000000000001</v>
      </c>
      <c r="BF282">
        <v>0</v>
      </c>
      <c r="BG282">
        <v>0</v>
      </c>
      <c r="BH282">
        <v>0</v>
      </c>
      <c r="BI282" s="54">
        <f t="shared" ref="BI282" si="380">BI281</f>
        <v>11.907499999999999</v>
      </c>
    </row>
    <row r="283" spans="14:61">
      <c r="N283" s="54"/>
      <c r="AV283">
        <v>128</v>
      </c>
      <c r="AW283" t="s">
        <v>71</v>
      </c>
      <c r="AX283">
        <v>19072</v>
      </c>
      <c r="AY283">
        <v>256</v>
      </c>
      <c r="AZ283">
        <v>2</v>
      </c>
      <c r="BA283">
        <v>2</v>
      </c>
      <c r="BB283" s="1">
        <v>367.03</v>
      </c>
      <c r="BC283" s="46">
        <v>12.35</v>
      </c>
      <c r="BF283">
        <v>0</v>
      </c>
      <c r="BG283">
        <v>0</v>
      </c>
      <c r="BH283">
        <v>0</v>
      </c>
      <c r="BI283" s="54">
        <f t="shared" si="376"/>
        <v>11.907499999999999</v>
      </c>
    </row>
    <row r="284" spans="14:61">
      <c r="N284" s="54"/>
      <c r="AV284">
        <v>176</v>
      </c>
      <c r="AW284" t="s">
        <v>71</v>
      </c>
      <c r="AX284">
        <v>19072</v>
      </c>
      <c r="AY284">
        <v>256</v>
      </c>
      <c r="AZ284">
        <v>2</v>
      </c>
      <c r="BA284">
        <v>2</v>
      </c>
      <c r="BB284" s="1">
        <v>395.81</v>
      </c>
      <c r="BC284" s="46">
        <v>11.452</v>
      </c>
      <c r="BF284">
        <v>0</v>
      </c>
      <c r="BG284">
        <v>0</v>
      </c>
      <c r="BH284">
        <v>0</v>
      </c>
      <c r="BI284" s="54">
        <f t="shared" si="376"/>
        <v>11.907499999999999</v>
      </c>
    </row>
    <row r="285" spans="14:61">
      <c r="N285" s="54"/>
      <c r="AV285">
        <v>224</v>
      </c>
      <c r="AW285" t="s">
        <v>71</v>
      </c>
      <c r="AX285">
        <v>19072</v>
      </c>
      <c r="AY285">
        <v>256</v>
      </c>
      <c r="AZ285">
        <v>2</v>
      </c>
      <c r="BA285">
        <v>2</v>
      </c>
      <c r="BB285" s="1">
        <v>375.91</v>
      </c>
      <c r="BC285" s="46">
        <v>12.058</v>
      </c>
      <c r="BF285">
        <v>0</v>
      </c>
      <c r="BG285">
        <v>0</v>
      </c>
      <c r="BH285">
        <v>0</v>
      </c>
      <c r="BI285" s="54">
        <f t="shared" si="376"/>
        <v>11.907499999999999</v>
      </c>
    </row>
    <row r="286" spans="14:61">
      <c r="N286" s="54"/>
      <c r="AV286">
        <v>272</v>
      </c>
      <c r="AW286" t="s">
        <v>71</v>
      </c>
      <c r="AX286">
        <v>19072</v>
      </c>
      <c r="AY286">
        <v>256</v>
      </c>
      <c r="AZ286">
        <v>2</v>
      </c>
      <c r="BA286">
        <v>2</v>
      </c>
      <c r="BB286" s="1">
        <v>403.32</v>
      </c>
      <c r="BC286" s="46">
        <v>11.239000000000001</v>
      </c>
      <c r="BF286">
        <v>0</v>
      </c>
      <c r="BG286">
        <v>0</v>
      </c>
      <c r="BH286">
        <v>0</v>
      </c>
      <c r="BI286" s="54">
        <f t="shared" si="376"/>
        <v>11.907499999999999</v>
      </c>
    </row>
    <row r="287" spans="14:61">
      <c r="N287" s="54"/>
      <c r="AV287">
        <v>48</v>
      </c>
      <c r="AW287" t="s">
        <v>71</v>
      </c>
      <c r="AX287">
        <v>20096</v>
      </c>
      <c r="AY287">
        <v>256</v>
      </c>
      <c r="AZ287">
        <v>2</v>
      </c>
      <c r="BA287">
        <v>2</v>
      </c>
      <c r="BB287" s="1">
        <v>450.68</v>
      </c>
      <c r="BC287" s="46">
        <v>11.779</v>
      </c>
      <c r="BF287">
        <v>0</v>
      </c>
      <c r="BG287">
        <v>0</v>
      </c>
      <c r="BH287">
        <v>0</v>
      </c>
      <c r="BI287" s="54">
        <f t="shared" ref="BI287" si="381">AVERAGE(BC287:BC292)</f>
        <v>12.049166666666666</v>
      </c>
    </row>
    <row r="288" spans="14:61">
      <c r="N288" s="54"/>
      <c r="AV288">
        <v>96</v>
      </c>
      <c r="AW288" t="s">
        <v>71</v>
      </c>
      <c r="AX288">
        <v>20096</v>
      </c>
      <c r="AY288">
        <v>256</v>
      </c>
      <c r="AZ288">
        <v>2</v>
      </c>
      <c r="BA288">
        <v>2</v>
      </c>
      <c r="BB288" s="1">
        <v>440.49</v>
      </c>
      <c r="BC288" s="46">
        <v>12.051</v>
      </c>
      <c r="BF288">
        <v>0</v>
      </c>
      <c r="BG288">
        <v>0</v>
      </c>
      <c r="BH288">
        <v>0</v>
      </c>
      <c r="BI288" s="54">
        <f t="shared" ref="BI288" si="382">BI287</f>
        <v>12.049166666666666</v>
      </c>
    </row>
    <row r="289" spans="14:61">
      <c r="N289" s="54"/>
      <c r="AV289">
        <v>144</v>
      </c>
      <c r="AW289" t="s">
        <v>71</v>
      </c>
      <c r="AX289">
        <v>20096</v>
      </c>
      <c r="AY289">
        <v>256</v>
      </c>
      <c r="AZ289">
        <v>2</v>
      </c>
      <c r="BA289">
        <v>2</v>
      </c>
      <c r="BB289" s="1">
        <v>439.19</v>
      </c>
      <c r="BC289" s="46">
        <v>12.087</v>
      </c>
      <c r="BF289">
        <v>0</v>
      </c>
      <c r="BG289">
        <v>0</v>
      </c>
      <c r="BH289">
        <v>0</v>
      </c>
      <c r="BI289" s="54">
        <f t="shared" si="376"/>
        <v>12.049166666666666</v>
      </c>
    </row>
    <row r="290" spans="14:61">
      <c r="N290" s="54"/>
      <c r="AV290">
        <v>192</v>
      </c>
      <c r="AW290" t="s">
        <v>71</v>
      </c>
      <c r="AX290">
        <v>20096</v>
      </c>
      <c r="AY290">
        <v>256</v>
      </c>
      <c r="AZ290">
        <v>2</v>
      </c>
      <c r="BA290">
        <v>2</v>
      </c>
      <c r="BB290" s="1">
        <v>431.78</v>
      </c>
      <c r="BC290" s="46">
        <v>12.294</v>
      </c>
      <c r="BF290">
        <v>0</v>
      </c>
      <c r="BG290">
        <v>0</v>
      </c>
      <c r="BH290">
        <v>0</v>
      </c>
      <c r="BI290" s="54">
        <f t="shared" si="376"/>
        <v>12.049166666666666</v>
      </c>
    </row>
    <row r="291" spans="14:61">
      <c r="N291" s="54"/>
      <c r="AV291">
        <v>240</v>
      </c>
      <c r="AW291" t="s">
        <v>71</v>
      </c>
      <c r="AX291">
        <v>20096</v>
      </c>
      <c r="AY291">
        <v>256</v>
      </c>
      <c r="AZ291">
        <v>2</v>
      </c>
      <c r="BA291">
        <v>2</v>
      </c>
      <c r="BB291" s="1">
        <v>433.7</v>
      </c>
      <c r="BC291" s="46">
        <v>12.24</v>
      </c>
      <c r="BF291">
        <v>0</v>
      </c>
      <c r="BG291">
        <v>0</v>
      </c>
      <c r="BH291">
        <v>0</v>
      </c>
      <c r="BI291" s="54">
        <f t="shared" si="376"/>
        <v>12.049166666666666</v>
      </c>
    </row>
    <row r="292" spans="14:61">
      <c r="N292" s="54"/>
      <c r="AV292">
        <v>288</v>
      </c>
      <c r="AW292" t="s">
        <v>71</v>
      </c>
      <c r="AX292">
        <v>20096</v>
      </c>
      <c r="AY292">
        <v>256</v>
      </c>
      <c r="AZ292">
        <v>2</v>
      </c>
      <c r="BA292">
        <v>2</v>
      </c>
      <c r="BB292" s="1">
        <v>448.2</v>
      </c>
      <c r="BC292" s="46">
        <v>11.843999999999999</v>
      </c>
      <c r="BF292">
        <v>0</v>
      </c>
      <c r="BG292">
        <v>0</v>
      </c>
      <c r="BH292">
        <v>0</v>
      </c>
      <c r="BI292" s="54">
        <f t="shared" si="376"/>
        <v>12.049166666666666</v>
      </c>
    </row>
  </sheetData>
  <sortState xmlns:xlrd2="http://schemas.microsoft.com/office/spreadsheetml/2017/richdata2" ref="AF4:AT243">
    <sortCondition descending="1" ref="AT4:AT243"/>
    <sortCondition ref="AI4:AI243"/>
    <sortCondition ref="AJ4:AJ243"/>
    <sortCondition ref="AH4:AH243"/>
    <sortCondition ref="AF4:AF243"/>
  </sortState>
  <mergeCells count="20">
    <mergeCell ref="AF1:AI1"/>
    <mergeCell ref="AP1:AR1"/>
    <mergeCell ref="AS1:AS3"/>
    <mergeCell ref="AF2:AG2"/>
    <mergeCell ref="AP2:AR2"/>
    <mergeCell ref="Q1:T1"/>
    <mergeCell ref="AA1:AC1"/>
    <mergeCell ref="AD1:AD3"/>
    <mergeCell ref="Q2:R2"/>
    <mergeCell ref="AA2:AC2"/>
    <mergeCell ref="A1:D1"/>
    <mergeCell ref="K1:M1"/>
    <mergeCell ref="N1:N3"/>
    <mergeCell ref="A2:B2"/>
    <mergeCell ref="K2:M2"/>
    <mergeCell ref="AV1:AY1"/>
    <mergeCell ref="BF1:BH1"/>
    <mergeCell ref="BI1:BI3"/>
    <mergeCell ref="AV2:AW2"/>
    <mergeCell ref="BF2:BH2"/>
  </mergeCells>
  <conditionalFormatting sqref="N4:N243 AD4:AD243 AS4:AS243 BI5:BI29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1916-1151-496B-8E19-7EF8B0C8C637}">
  <dimension ref="A1:CQ796"/>
  <sheetViews>
    <sheetView zoomScale="85" zoomScaleNormal="85" workbookViewId="0">
      <selection activeCell="BA15" sqref="BA15"/>
    </sheetView>
  </sheetViews>
  <sheetFormatPr defaultRowHeight="15"/>
  <cols>
    <col min="8" max="8" width="9.140625" style="1"/>
    <col min="32" max="32" width="9.140625" style="1"/>
  </cols>
  <sheetData>
    <row r="1" spans="1:95">
      <c r="A1" s="79" t="s">
        <v>99</v>
      </c>
      <c r="B1" s="80"/>
      <c r="C1" s="80"/>
      <c r="D1" s="81"/>
      <c r="E1" s="30">
        <f>MAX(W:W)</f>
        <v>41.390200000000007</v>
      </c>
      <c r="F1" s="44">
        <f>INDEX(C:C,MATCH(MAX($W:$W),$W:$W,0))</f>
        <v>40160</v>
      </c>
      <c r="G1" s="44">
        <f t="shared" ref="G1:I1" si="0">INDEX(D:D,MATCH(MAX($W:$W),$W:$W,0))</f>
        <v>160</v>
      </c>
      <c r="H1" s="44">
        <f t="shared" si="0"/>
        <v>4</v>
      </c>
      <c r="I1" s="44">
        <f t="shared" si="0"/>
        <v>4</v>
      </c>
      <c r="J1" s="32"/>
      <c r="K1" s="88" t="s">
        <v>100</v>
      </c>
      <c r="L1" s="89"/>
      <c r="M1" s="89"/>
      <c r="N1" s="89"/>
      <c r="O1" s="89"/>
      <c r="P1" s="89"/>
      <c r="Q1" s="89"/>
      <c r="R1" s="89"/>
      <c r="S1" s="89"/>
      <c r="T1" s="89"/>
      <c r="U1" s="89"/>
      <c r="V1" s="90"/>
      <c r="W1" s="91" t="s">
        <v>113</v>
      </c>
      <c r="Y1" s="79" t="s">
        <v>99</v>
      </c>
      <c r="Z1" s="80"/>
      <c r="AA1" s="80"/>
      <c r="AB1" s="81"/>
      <c r="AC1" s="30">
        <f>MAX(AU:AU)</f>
        <v>45.218400000000003</v>
      </c>
      <c r="AD1" s="44">
        <f>INDEX(AA:AA,MATCH(MAX($AU:$AU),$AU:$AU,0))</f>
        <v>40064</v>
      </c>
      <c r="AE1" s="44">
        <f t="shared" ref="AE1:AG1" si="1">INDEX(AB:AB,MATCH(MAX($AU:$AU),$AU:$AU,0))</f>
        <v>128</v>
      </c>
      <c r="AF1" s="44">
        <f t="shared" si="1"/>
        <v>2</v>
      </c>
      <c r="AG1" s="44">
        <f t="shared" si="1"/>
        <v>8</v>
      </c>
      <c r="AH1" s="32"/>
      <c r="AI1" s="88" t="s">
        <v>114</v>
      </c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90"/>
      <c r="AU1" s="91" t="s">
        <v>113</v>
      </c>
      <c r="AW1" s="79" t="s">
        <v>99</v>
      </c>
      <c r="AX1" s="80"/>
      <c r="AY1" s="80"/>
      <c r="AZ1" s="81"/>
      <c r="BA1" s="30">
        <f>MAX(BS:BS)</f>
        <v>35.224000000000004</v>
      </c>
      <c r="BB1" s="44">
        <f>INDEX(AY:AY,MATCH(MAX($AU:$AU),$AU:$AU,0))</f>
        <v>40064</v>
      </c>
      <c r="BC1" s="44">
        <f>INDEX(AZ:AZ,MATCH(MAX($AU:$AU),$AU:$AU,0))</f>
        <v>128</v>
      </c>
      <c r="BD1" s="44">
        <f>INDEX(BA:BA,MATCH(MAX($AU:$AU),$AU:$AU,0))</f>
        <v>2</v>
      </c>
      <c r="BE1" s="44">
        <f>INDEX(BB:BB,MATCH(MAX($AU:$AU),$AU:$AU,0))</f>
        <v>8</v>
      </c>
      <c r="BF1" s="32"/>
      <c r="BG1" s="88" t="s">
        <v>176</v>
      </c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90"/>
      <c r="BS1" s="91" t="s">
        <v>113</v>
      </c>
      <c r="BU1" s="79" t="s">
        <v>99</v>
      </c>
      <c r="BV1" s="80"/>
      <c r="BW1" s="80"/>
      <c r="BX1" s="81"/>
      <c r="BY1" s="30">
        <f>MAX(BS:BS)</f>
        <v>35.224000000000004</v>
      </c>
      <c r="BZ1" s="44">
        <f>INDEX(AY:AY,MATCH(MAX($BS:$BS),$BS:$BS,0))</f>
        <v>40064</v>
      </c>
      <c r="CA1" s="44">
        <f>INDEX(AZ:AZ,MATCH(MAX($BS:$BS),$BS:$BS,0))</f>
        <v>128</v>
      </c>
      <c r="CB1" s="44">
        <f>INDEX(BA:BA,MATCH(MAX($BS:$BS),$BS:$BS,0))</f>
        <v>1</v>
      </c>
      <c r="CC1" s="44">
        <f>INDEX(BB:BB,MATCH(MAX($BS:$BS),$BS:$BS,0))</f>
        <v>16</v>
      </c>
      <c r="CD1" s="32"/>
      <c r="CE1" s="88" t="s">
        <v>114</v>
      </c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90"/>
      <c r="CQ1" s="91" t="s">
        <v>113</v>
      </c>
    </row>
    <row r="2" spans="1:95">
      <c r="A2" s="84" t="s">
        <v>102</v>
      </c>
      <c r="B2" s="85"/>
      <c r="C2" s="33">
        <f>MAX(H4:H835)</f>
        <v>42.048999999999999</v>
      </c>
      <c r="D2" s="34"/>
      <c r="E2" s="34"/>
      <c r="F2" s="34"/>
      <c r="G2" s="35"/>
      <c r="H2" s="35"/>
      <c r="I2" s="34"/>
      <c r="J2" s="32"/>
      <c r="K2" s="94" t="s">
        <v>109</v>
      </c>
      <c r="L2" s="95"/>
      <c r="M2" s="96"/>
      <c r="N2" s="94" t="s">
        <v>110</v>
      </c>
      <c r="O2" s="95"/>
      <c r="P2" s="96"/>
      <c r="Q2" s="94" t="s">
        <v>111</v>
      </c>
      <c r="R2" s="95"/>
      <c r="S2" s="96"/>
      <c r="T2" s="94" t="s">
        <v>112</v>
      </c>
      <c r="U2" s="95"/>
      <c r="V2" s="96"/>
      <c r="W2" s="92"/>
      <c r="Y2" s="84" t="s">
        <v>102</v>
      </c>
      <c r="Z2" s="85"/>
      <c r="AA2" s="33">
        <f>MAX(AF4:AF835)</f>
        <v>46.051000000000002</v>
      </c>
      <c r="AB2" s="34"/>
      <c r="AC2" s="34"/>
      <c r="AD2" s="34"/>
      <c r="AE2" s="35"/>
      <c r="AF2" s="35"/>
      <c r="AG2" s="34"/>
      <c r="AH2" s="32"/>
      <c r="AI2" s="94" t="s">
        <v>109</v>
      </c>
      <c r="AJ2" s="95"/>
      <c r="AK2" s="96"/>
      <c r="AL2" s="94" t="s">
        <v>110</v>
      </c>
      <c r="AM2" s="95"/>
      <c r="AN2" s="96"/>
      <c r="AO2" s="94" t="s">
        <v>111</v>
      </c>
      <c r="AP2" s="95"/>
      <c r="AQ2" s="96"/>
      <c r="AR2" s="94" t="s">
        <v>112</v>
      </c>
      <c r="AS2" s="95"/>
      <c r="AT2" s="96"/>
      <c r="AU2" s="92"/>
      <c r="AW2" s="84" t="s">
        <v>102</v>
      </c>
      <c r="AX2" s="85"/>
      <c r="AY2" s="33">
        <f>MAX(BD4:BD830)</f>
        <v>35.412999999999997</v>
      </c>
      <c r="AZ2" s="34"/>
      <c r="BA2" s="34"/>
      <c r="BB2" s="34"/>
      <c r="BC2" s="35"/>
      <c r="BD2" s="35"/>
      <c r="BE2" s="34"/>
      <c r="BF2" s="32"/>
      <c r="BG2" s="94" t="s">
        <v>109</v>
      </c>
      <c r="BH2" s="95"/>
      <c r="BI2" s="96"/>
      <c r="BJ2" s="94" t="s">
        <v>110</v>
      </c>
      <c r="BK2" s="95"/>
      <c r="BL2" s="96"/>
      <c r="BM2" s="94" t="s">
        <v>111</v>
      </c>
      <c r="BN2" s="95"/>
      <c r="BO2" s="96"/>
      <c r="BP2" s="94" t="s">
        <v>112</v>
      </c>
      <c r="BQ2" s="95"/>
      <c r="BR2" s="96"/>
      <c r="BS2" s="92"/>
      <c r="BU2" s="84" t="s">
        <v>102</v>
      </c>
      <c r="BV2" s="85"/>
      <c r="BW2" s="33">
        <f>MAX(BD4:BD822)</f>
        <v>35.412999999999997</v>
      </c>
      <c r="BX2" s="34"/>
      <c r="BY2" s="34"/>
      <c r="BZ2" s="34"/>
      <c r="CA2" s="35"/>
      <c r="CB2" s="45"/>
      <c r="CC2" s="34"/>
      <c r="CD2" s="32"/>
      <c r="CE2" s="94" t="s">
        <v>109</v>
      </c>
      <c r="CF2" s="95"/>
      <c r="CG2" s="96"/>
      <c r="CH2" s="94" t="s">
        <v>110</v>
      </c>
      <c r="CI2" s="95"/>
      <c r="CJ2" s="96"/>
      <c r="CK2" s="94" t="s">
        <v>111</v>
      </c>
      <c r="CL2" s="95"/>
      <c r="CM2" s="96"/>
      <c r="CN2" s="94" t="s">
        <v>112</v>
      </c>
      <c r="CO2" s="95"/>
      <c r="CP2" s="96"/>
      <c r="CQ2" s="92"/>
    </row>
    <row r="3" spans="1:95">
      <c r="A3" s="39" t="s">
        <v>104</v>
      </c>
      <c r="B3" s="39"/>
      <c r="C3" s="39" t="s">
        <v>1</v>
      </c>
      <c r="D3" s="39" t="s">
        <v>2</v>
      </c>
      <c r="E3" s="39" t="s">
        <v>3</v>
      </c>
      <c r="F3" s="39" t="s">
        <v>4</v>
      </c>
      <c r="G3" s="40" t="s">
        <v>5</v>
      </c>
      <c r="H3" s="40" t="s">
        <v>6</v>
      </c>
      <c r="I3" s="42" t="s">
        <v>105</v>
      </c>
      <c r="J3" s="43" t="s">
        <v>5</v>
      </c>
      <c r="K3" s="47" t="s">
        <v>106</v>
      </c>
      <c r="L3" s="47" t="s">
        <v>107</v>
      </c>
      <c r="M3" s="47" t="s">
        <v>108</v>
      </c>
      <c r="N3" s="47" t="s">
        <v>106</v>
      </c>
      <c r="O3" s="47" t="s">
        <v>107</v>
      </c>
      <c r="P3" s="47" t="s">
        <v>108</v>
      </c>
      <c r="Q3" s="47" t="s">
        <v>106</v>
      </c>
      <c r="R3" s="47" t="s">
        <v>107</v>
      </c>
      <c r="S3" s="47" t="s">
        <v>108</v>
      </c>
      <c r="T3" s="47" t="s">
        <v>106</v>
      </c>
      <c r="U3" s="47" t="s">
        <v>107</v>
      </c>
      <c r="V3" s="69" t="s">
        <v>108</v>
      </c>
      <c r="W3" s="93"/>
      <c r="Y3" s="39" t="s">
        <v>104</v>
      </c>
      <c r="Z3" s="39"/>
      <c r="AA3" s="39" t="s">
        <v>1</v>
      </c>
      <c r="AB3" s="39" t="s">
        <v>2</v>
      </c>
      <c r="AC3" s="39" t="s">
        <v>3</v>
      </c>
      <c r="AD3" s="39" t="s">
        <v>4</v>
      </c>
      <c r="AE3" s="40" t="s">
        <v>5</v>
      </c>
      <c r="AF3" s="40" t="s">
        <v>6</v>
      </c>
      <c r="AG3" s="42" t="s">
        <v>105</v>
      </c>
      <c r="AH3" s="43" t="s">
        <v>5</v>
      </c>
      <c r="AI3" s="47" t="s">
        <v>106</v>
      </c>
      <c r="AJ3" s="47" t="s">
        <v>107</v>
      </c>
      <c r="AK3" s="47" t="s">
        <v>108</v>
      </c>
      <c r="AL3" s="47" t="s">
        <v>106</v>
      </c>
      <c r="AM3" s="47" t="s">
        <v>107</v>
      </c>
      <c r="AN3" s="47" t="s">
        <v>108</v>
      </c>
      <c r="AO3" s="47" t="s">
        <v>106</v>
      </c>
      <c r="AP3" s="47" t="s">
        <v>107</v>
      </c>
      <c r="AQ3" s="47" t="s">
        <v>108</v>
      </c>
      <c r="AR3" s="47" t="s">
        <v>106</v>
      </c>
      <c r="AS3" s="47" t="s">
        <v>107</v>
      </c>
      <c r="AT3" s="47" t="s">
        <v>108</v>
      </c>
      <c r="AU3" s="93"/>
      <c r="AW3" s="39" t="s">
        <v>104</v>
      </c>
      <c r="AX3" s="39"/>
      <c r="AY3" s="39" t="s">
        <v>1</v>
      </c>
      <c r="AZ3" s="39" t="s">
        <v>2</v>
      </c>
      <c r="BA3" s="39" t="s">
        <v>3</v>
      </c>
      <c r="BB3" s="39" t="s">
        <v>4</v>
      </c>
      <c r="BC3" s="40" t="s">
        <v>5</v>
      </c>
      <c r="BD3" s="40" t="s">
        <v>6</v>
      </c>
      <c r="BE3" s="42" t="s">
        <v>105</v>
      </c>
      <c r="BF3" s="43" t="s">
        <v>5</v>
      </c>
      <c r="BG3" s="47" t="s">
        <v>106</v>
      </c>
      <c r="BH3" s="47" t="s">
        <v>107</v>
      </c>
      <c r="BI3" s="47" t="s">
        <v>108</v>
      </c>
      <c r="BJ3" s="47" t="s">
        <v>106</v>
      </c>
      <c r="BK3" s="47" t="s">
        <v>107</v>
      </c>
      <c r="BL3" s="47" t="s">
        <v>108</v>
      </c>
      <c r="BM3" s="47" t="s">
        <v>106</v>
      </c>
      <c r="BN3" s="47" t="s">
        <v>107</v>
      </c>
      <c r="BO3" s="47" t="s">
        <v>108</v>
      </c>
      <c r="BP3" s="47" t="s">
        <v>106</v>
      </c>
      <c r="BQ3" s="47" t="s">
        <v>107</v>
      </c>
      <c r="BR3" s="47" t="s">
        <v>108</v>
      </c>
      <c r="BS3" s="93"/>
      <c r="BU3" s="39" t="s">
        <v>104</v>
      </c>
      <c r="BV3" s="39"/>
      <c r="BW3" s="39" t="s">
        <v>1</v>
      </c>
      <c r="BX3" s="39" t="s">
        <v>2</v>
      </c>
      <c r="BY3" s="39" t="s">
        <v>3</v>
      </c>
      <c r="BZ3" s="39" t="s">
        <v>4</v>
      </c>
      <c r="CA3" s="40" t="s">
        <v>5</v>
      </c>
      <c r="CB3" s="42" t="s">
        <v>6</v>
      </c>
      <c r="CC3" s="42" t="s">
        <v>105</v>
      </c>
      <c r="CD3" s="43" t="s">
        <v>5</v>
      </c>
      <c r="CE3" s="47" t="s">
        <v>106</v>
      </c>
      <c r="CF3" s="47" t="s">
        <v>107</v>
      </c>
      <c r="CG3" s="47" t="s">
        <v>108</v>
      </c>
      <c r="CH3" s="47" t="s">
        <v>106</v>
      </c>
      <c r="CI3" s="47" t="s">
        <v>107</v>
      </c>
      <c r="CJ3" s="47" t="s">
        <v>108</v>
      </c>
      <c r="CK3" s="47" t="s">
        <v>106</v>
      </c>
      <c r="CL3" s="47" t="s">
        <v>107</v>
      </c>
      <c r="CM3" s="47" t="s">
        <v>108</v>
      </c>
      <c r="CN3" s="47" t="s">
        <v>106</v>
      </c>
      <c r="CO3" s="47" t="s">
        <v>107</v>
      </c>
      <c r="CP3" s="47" t="s">
        <v>108</v>
      </c>
      <c r="CQ3" s="93"/>
    </row>
    <row r="4" spans="1:95">
      <c r="A4">
        <v>0</v>
      </c>
      <c r="B4" t="s">
        <v>7</v>
      </c>
      <c r="C4">
        <v>36000</v>
      </c>
      <c r="D4">
        <v>32</v>
      </c>
      <c r="E4">
        <v>1</v>
      </c>
      <c r="F4">
        <v>16</v>
      </c>
      <c r="G4" s="1">
        <v>1200.83</v>
      </c>
      <c r="H4" s="59">
        <v>25.904</v>
      </c>
      <c r="I4" s="27">
        <v>45482</v>
      </c>
      <c r="J4" s="53">
        <v>0.36896990740740743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s="66">
        <f>AVERAGE(H4:H8)</f>
        <v>25.883199999999999</v>
      </c>
      <c r="Y4">
        <v>0</v>
      </c>
      <c r="Z4" t="s">
        <v>7</v>
      </c>
      <c r="AA4">
        <v>36000</v>
      </c>
      <c r="AB4">
        <v>32</v>
      </c>
      <c r="AC4">
        <v>1</v>
      </c>
      <c r="AD4">
        <v>16</v>
      </c>
      <c r="AE4" s="1">
        <v>1111.2</v>
      </c>
      <c r="AF4" s="48">
        <v>27.992999999999999</v>
      </c>
      <c r="AG4" s="27">
        <v>45499</v>
      </c>
      <c r="AH4" s="53">
        <v>0.51796296296296296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 s="66">
        <f>AVERAGE(AF4:AF8)</f>
        <v>28.092000000000002</v>
      </c>
      <c r="AW4">
        <v>0</v>
      </c>
      <c r="AX4" t="s">
        <v>7</v>
      </c>
      <c r="AY4">
        <v>36000</v>
      </c>
      <c r="AZ4">
        <v>32</v>
      </c>
      <c r="BA4">
        <v>1</v>
      </c>
      <c r="BB4">
        <v>16</v>
      </c>
      <c r="BC4">
        <v>1311.97</v>
      </c>
      <c r="BD4" s="61">
        <v>23.709</v>
      </c>
      <c r="BE4" s="27">
        <v>45488</v>
      </c>
      <c r="BF4" s="53">
        <v>0.53715277777777781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 s="8">
        <f>AVERAGE(BD4:BD8)</f>
        <v>23.752600000000001</v>
      </c>
      <c r="BU4" t="s">
        <v>72</v>
      </c>
      <c r="BV4" t="s">
        <v>73</v>
      </c>
      <c r="BW4" t="s">
        <v>74</v>
      </c>
      <c r="BX4" t="s">
        <v>75</v>
      </c>
      <c r="BY4" t="s">
        <v>76</v>
      </c>
      <c r="BZ4" t="s">
        <v>77</v>
      </c>
      <c r="CA4" t="s">
        <v>78</v>
      </c>
      <c r="CB4" t="s">
        <v>79</v>
      </c>
    </row>
    <row r="5" spans="1:95">
      <c r="A5">
        <v>1</v>
      </c>
      <c r="B5" t="s">
        <v>7</v>
      </c>
      <c r="C5">
        <v>36000</v>
      </c>
      <c r="D5">
        <v>32</v>
      </c>
      <c r="E5">
        <v>1</v>
      </c>
      <c r="F5">
        <v>16</v>
      </c>
      <c r="G5">
        <v>1190.8499999999999</v>
      </c>
      <c r="H5" s="59">
        <v>26.120999999999999</v>
      </c>
      <c r="I5" s="27">
        <v>45483</v>
      </c>
      <c r="J5" s="53">
        <v>0.22928240740740741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s="66">
        <f>W4</f>
        <v>25.883199999999999</v>
      </c>
      <c r="Y5">
        <v>1</v>
      </c>
      <c r="Z5" t="s">
        <v>7</v>
      </c>
      <c r="AA5">
        <v>36000</v>
      </c>
      <c r="AB5">
        <v>32</v>
      </c>
      <c r="AC5">
        <v>1</v>
      </c>
      <c r="AD5">
        <v>16</v>
      </c>
      <c r="AE5">
        <v>1105.27</v>
      </c>
      <c r="AF5" s="48">
        <v>28.143000000000001</v>
      </c>
      <c r="AG5" s="27">
        <v>45500</v>
      </c>
      <c r="AH5" s="53">
        <v>0.63880787037037035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 s="66">
        <f>AU4</f>
        <v>28.092000000000002</v>
      </c>
      <c r="AW5">
        <v>1</v>
      </c>
      <c r="AX5" t="s">
        <v>7</v>
      </c>
      <c r="AY5">
        <v>36000</v>
      </c>
      <c r="AZ5">
        <v>32</v>
      </c>
      <c r="BA5">
        <v>1</v>
      </c>
      <c r="BB5">
        <v>16</v>
      </c>
      <c r="BC5">
        <v>1312.81</v>
      </c>
      <c r="BD5" s="61">
        <v>23.693999999999999</v>
      </c>
      <c r="BE5" s="27">
        <v>45489</v>
      </c>
      <c r="BF5" s="53">
        <v>0.93126157407407406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 s="8">
        <f>BS4</f>
        <v>23.752600000000001</v>
      </c>
      <c r="BU5">
        <v>1</v>
      </c>
      <c r="BV5" t="s">
        <v>70</v>
      </c>
      <c r="BW5">
        <v>35968</v>
      </c>
      <c r="BX5">
        <v>32</v>
      </c>
      <c r="BY5">
        <v>1</v>
      </c>
      <c r="BZ5">
        <v>16</v>
      </c>
      <c r="CA5">
        <v>1159.74</v>
      </c>
      <c r="CB5">
        <v>26.75</v>
      </c>
      <c r="CQ5" s="54">
        <f>AVERAGE(CB5:CB10)</f>
        <v>26.963833333333337</v>
      </c>
    </row>
    <row r="6" spans="1:95">
      <c r="A6">
        <v>2</v>
      </c>
      <c r="B6" t="s">
        <v>7</v>
      </c>
      <c r="C6">
        <v>36000</v>
      </c>
      <c r="D6">
        <v>32</v>
      </c>
      <c r="E6">
        <v>1</v>
      </c>
      <c r="F6">
        <v>16</v>
      </c>
      <c r="G6">
        <v>1197.44</v>
      </c>
      <c r="H6" s="59">
        <v>25.977</v>
      </c>
      <c r="I6" s="27">
        <v>45484</v>
      </c>
      <c r="J6" s="53">
        <v>9.4212962962962957E-2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s="66">
        <f t="shared" ref="W6:W8" si="2">W5</f>
        <v>25.883199999999999</v>
      </c>
      <c r="Y6">
        <v>2</v>
      </c>
      <c r="Z6" t="s">
        <v>7</v>
      </c>
      <c r="AA6">
        <v>36000</v>
      </c>
      <c r="AB6">
        <v>32</v>
      </c>
      <c r="AC6">
        <v>1</v>
      </c>
      <c r="AD6">
        <v>16</v>
      </c>
      <c r="AE6">
        <v>1112.19</v>
      </c>
      <c r="AF6" s="48">
        <v>27.968</v>
      </c>
      <c r="AG6" s="27">
        <v>45501</v>
      </c>
      <c r="AH6" s="53">
        <v>0.4327199074074074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 s="66">
        <f t="shared" ref="AU6:AU8" si="3">AU5</f>
        <v>28.092000000000002</v>
      </c>
      <c r="AW6">
        <v>2</v>
      </c>
      <c r="AX6" t="s">
        <v>7</v>
      </c>
      <c r="AY6">
        <v>36000</v>
      </c>
      <c r="AZ6">
        <v>32</v>
      </c>
      <c r="BA6">
        <v>1</v>
      </c>
      <c r="BB6">
        <v>16</v>
      </c>
      <c r="BC6">
        <v>1307.44</v>
      </c>
      <c r="BD6" s="61">
        <v>23.791</v>
      </c>
      <c r="BE6" s="27">
        <v>45491</v>
      </c>
      <c r="BF6" s="53">
        <v>1.6527777777777777E-2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 s="8">
        <f t="shared" ref="BS6:BS8" si="4">BS5</f>
        <v>23.752600000000001</v>
      </c>
      <c r="BU6">
        <v>72</v>
      </c>
      <c r="BV6" t="s">
        <v>70</v>
      </c>
      <c r="BW6">
        <v>35968</v>
      </c>
      <c r="BX6">
        <v>32</v>
      </c>
      <c r="BY6">
        <v>1</v>
      </c>
      <c r="BZ6">
        <v>16</v>
      </c>
      <c r="CA6">
        <v>1146.95</v>
      </c>
      <c r="CB6">
        <v>27.047999999999998</v>
      </c>
      <c r="CQ6" s="54">
        <f>CQ5</f>
        <v>26.963833333333337</v>
      </c>
    </row>
    <row r="7" spans="1:95">
      <c r="A7">
        <v>3</v>
      </c>
      <c r="B7" t="s">
        <v>7</v>
      </c>
      <c r="C7">
        <v>36000</v>
      </c>
      <c r="D7">
        <v>32</v>
      </c>
      <c r="E7">
        <v>1</v>
      </c>
      <c r="F7">
        <v>16</v>
      </c>
      <c r="G7">
        <v>1189.3399999999999</v>
      </c>
      <c r="H7" s="59">
        <v>26.154</v>
      </c>
      <c r="I7" s="27">
        <v>45484</v>
      </c>
      <c r="J7" s="53">
        <v>0.95685185185185184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s="66">
        <f t="shared" si="2"/>
        <v>25.883199999999999</v>
      </c>
      <c r="Y7">
        <v>3</v>
      </c>
      <c r="Z7" t="s">
        <v>7</v>
      </c>
      <c r="AA7">
        <v>36000</v>
      </c>
      <c r="AB7">
        <v>32</v>
      </c>
      <c r="AC7">
        <v>1</v>
      </c>
      <c r="AD7">
        <v>16</v>
      </c>
      <c r="AE7">
        <v>1105.05</v>
      </c>
      <c r="AF7" s="48">
        <v>28.149000000000001</v>
      </c>
      <c r="AG7" s="27">
        <v>45502</v>
      </c>
      <c r="AH7" s="53">
        <v>0.2278125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 s="66">
        <f t="shared" si="3"/>
        <v>28.092000000000002</v>
      </c>
      <c r="AW7">
        <v>3</v>
      </c>
      <c r="AX7" t="s">
        <v>7</v>
      </c>
      <c r="AY7">
        <v>36000</v>
      </c>
      <c r="AZ7">
        <v>32</v>
      </c>
      <c r="BA7">
        <v>1</v>
      </c>
      <c r="BB7">
        <v>16</v>
      </c>
      <c r="BC7">
        <v>1307.1500000000001</v>
      </c>
      <c r="BD7" s="61">
        <v>23.797000000000001</v>
      </c>
      <c r="BE7" s="27">
        <v>45492</v>
      </c>
      <c r="BF7" s="53">
        <v>0.10174768518518519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 s="8">
        <f t="shared" si="4"/>
        <v>23.752600000000001</v>
      </c>
      <c r="BU7">
        <v>143</v>
      </c>
      <c r="BV7" t="s">
        <v>70</v>
      </c>
      <c r="BW7">
        <v>35968</v>
      </c>
      <c r="BX7">
        <v>32</v>
      </c>
      <c r="BY7">
        <v>1</v>
      </c>
      <c r="BZ7">
        <v>16</v>
      </c>
      <c r="CA7">
        <v>1149.6500000000001</v>
      </c>
      <c r="CB7">
        <v>26.984999999999999</v>
      </c>
      <c r="CQ7" s="54">
        <f t="shared" ref="CQ7:CQ10" si="5">CQ6</f>
        <v>26.963833333333337</v>
      </c>
    </row>
    <row r="8" spans="1:95">
      <c r="A8">
        <v>4</v>
      </c>
      <c r="B8" t="s">
        <v>7</v>
      </c>
      <c r="C8">
        <v>36000</v>
      </c>
      <c r="D8">
        <v>32</v>
      </c>
      <c r="E8">
        <v>1</v>
      </c>
      <c r="F8">
        <v>16</v>
      </c>
      <c r="G8">
        <v>1231.42</v>
      </c>
      <c r="H8" s="59">
        <v>25.26</v>
      </c>
      <c r="I8" s="27">
        <v>45485</v>
      </c>
      <c r="J8" s="53">
        <v>0.8318402777777778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s="66">
        <f t="shared" si="2"/>
        <v>25.883199999999999</v>
      </c>
      <c r="Y8">
        <v>4</v>
      </c>
      <c r="Z8" t="s">
        <v>7</v>
      </c>
      <c r="AA8">
        <v>36000</v>
      </c>
      <c r="AB8">
        <v>32</v>
      </c>
      <c r="AC8">
        <v>1</v>
      </c>
      <c r="AD8">
        <v>16</v>
      </c>
      <c r="AE8">
        <v>1102.78</v>
      </c>
      <c r="AF8" s="48">
        <v>28.207000000000001</v>
      </c>
      <c r="AG8" s="27">
        <v>45503</v>
      </c>
      <c r="AH8" s="53">
        <v>2.2685185185185187E-2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s="66">
        <f t="shared" si="3"/>
        <v>28.092000000000002</v>
      </c>
      <c r="AW8">
        <v>4</v>
      </c>
      <c r="AX8" t="s">
        <v>7</v>
      </c>
      <c r="AY8">
        <v>36000</v>
      </c>
      <c r="AZ8">
        <v>32</v>
      </c>
      <c r="BA8">
        <v>1</v>
      </c>
      <c r="BB8">
        <v>16</v>
      </c>
      <c r="BC8">
        <v>1308.49</v>
      </c>
      <c r="BD8" s="61">
        <v>23.771999999999998</v>
      </c>
      <c r="BE8" s="27">
        <v>45493</v>
      </c>
      <c r="BF8" s="53">
        <v>0.18703703703703703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 s="8">
        <f t="shared" si="4"/>
        <v>23.752600000000001</v>
      </c>
      <c r="BU8">
        <v>214</v>
      </c>
      <c r="BV8" t="s">
        <v>70</v>
      </c>
      <c r="BW8">
        <v>35968</v>
      </c>
      <c r="BX8">
        <v>32</v>
      </c>
      <c r="BY8">
        <v>1</v>
      </c>
      <c r="BZ8">
        <v>16</v>
      </c>
      <c r="CA8">
        <v>1145.8599999999999</v>
      </c>
      <c r="CB8">
        <v>27.074000000000002</v>
      </c>
      <c r="CQ8" s="54">
        <f t="shared" si="5"/>
        <v>26.963833333333337</v>
      </c>
    </row>
    <row r="9" spans="1:95">
      <c r="A9">
        <v>0</v>
      </c>
      <c r="B9" t="s">
        <v>7</v>
      </c>
      <c r="C9">
        <v>38080</v>
      </c>
      <c r="D9">
        <v>32</v>
      </c>
      <c r="E9">
        <v>1</v>
      </c>
      <c r="F9">
        <v>16</v>
      </c>
      <c r="G9" s="1">
        <v>1426.99</v>
      </c>
      <c r="H9" s="59">
        <v>25.798999999999999</v>
      </c>
      <c r="I9" s="27">
        <v>45482</v>
      </c>
      <c r="J9" s="53">
        <v>0.61767361111111108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s="66">
        <f>AVERAGE(H9:H13)</f>
        <v>25.642000000000003</v>
      </c>
      <c r="Y9">
        <v>0</v>
      </c>
      <c r="Z9" t="s">
        <v>7</v>
      </c>
      <c r="AA9">
        <v>38080</v>
      </c>
      <c r="AB9">
        <v>32</v>
      </c>
      <c r="AC9">
        <v>1</v>
      </c>
      <c r="AD9">
        <v>16</v>
      </c>
      <c r="AE9">
        <v>1329.82</v>
      </c>
      <c r="AF9" s="48">
        <v>27.684000000000001</v>
      </c>
      <c r="AG9" s="27">
        <v>45499</v>
      </c>
      <c r="AH9" s="53">
        <v>0.74605324074074075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s="66">
        <f t="shared" ref="AU9" si="6">AVERAGE(AF9:AF13)</f>
        <v>27.536999999999999</v>
      </c>
      <c r="AW9">
        <v>0</v>
      </c>
      <c r="AX9" t="s">
        <v>7</v>
      </c>
      <c r="AY9">
        <v>38080</v>
      </c>
      <c r="AZ9">
        <v>32</v>
      </c>
      <c r="BA9">
        <v>1</v>
      </c>
      <c r="BB9">
        <v>16</v>
      </c>
      <c r="BC9">
        <v>1543.37</v>
      </c>
      <c r="BD9" s="61">
        <v>23.853999999999999</v>
      </c>
      <c r="BE9" s="27">
        <v>45488</v>
      </c>
      <c r="BF9" s="53">
        <v>0.85396990740740741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 s="8">
        <f>AVERAGE(BD9:BD13)</f>
        <v>23.735599999999998</v>
      </c>
      <c r="BU9">
        <v>285</v>
      </c>
      <c r="BV9" t="s">
        <v>70</v>
      </c>
      <c r="BW9">
        <v>35968</v>
      </c>
      <c r="BX9">
        <v>32</v>
      </c>
      <c r="BY9">
        <v>1</v>
      </c>
      <c r="BZ9">
        <v>16</v>
      </c>
      <c r="CA9">
        <v>1148.69</v>
      </c>
      <c r="CB9">
        <v>27.007000000000001</v>
      </c>
      <c r="CQ9" s="54">
        <f t="shared" si="5"/>
        <v>26.963833333333337</v>
      </c>
    </row>
    <row r="10" spans="1:95">
      <c r="A10">
        <v>1</v>
      </c>
      <c r="B10" t="s">
        <v>7</v>
      </c>
      <c r="C10">
        <v>38080</v>
      </c>
      <c r="D10">
        <v>32</v>
      </c>
      <c r="E10">
        <v>1</v>
      </c>
      <c r="F10">
        <v>16</v>
      </c>
      <c r="G10">
        <v>1423.55</v>
      </c>
      <c r="H10" s="59">
        <v>25.861000000000001</v>
      </c>
      <c r="I10" s="27">
        <v>45483</v>
      </c>
      <c r="J10" s="53">
        <v>0.4800462962962963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s="66">
        <f>W9</f>
        <v>25.642000000000003</v>
      </c>
      <c r="Y10">
        <v>1</v>
      </c>
      <c r="Z10" t="s">
        <v>7</v>
      </c>
      <c r="AA10">
        <v>38080</v>
      </c>
      <c r="AB10">
        <v>32</v>
      </c>
      <c r="AC10">
        <v>1</v>
      </c>
      <c r="AD10">
        <v>16</v>
      </c>
      <c r="AE10">
        <v>1338.26</v>
      </c>
      <c r="AF10" s="48">
        <v>27.51</v>
      </c>
      <c r="AG10" s="27">
        <v>45500</v>
      </c>
      <c r="AH10" s="53">
        <v>0.86775462962962968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 s="66">
        <f t="shared" ref="AU10:AU73" si="7">AU9</f>
        <v>27.536999999999999</v>
      </c>
      <c r="AW10">
        <v>1</v>
      </c>
      <c r="AX10" t="s">
        <v>7</v>
      </c>
      <c r="AY10">
        <v>38080</v>
      </c>
      <c r="AZ10">
        <v>32</v>
      </c>
      <c r="BA10">
        <v>1</v>
      </c>
      <c r="BB10">
        <v>16</v>
      </c>
      <c r="BC10">
        <v>1542.73</v>
      </c>
      <c r="BD10" s="61">
        <v>23.864000000000001</v>
      </c>
      <c r="BE10" s="27">
        <v>45490</v>
      </c>
      <c r="BF10" s="53">
        <v>0.24741898148148148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 s="8">
        <f>BS9</f>
        <v>23.735599999999998</v>
      </c>
      <c r="BU10">
        <v>356</v>
      </c>
      <c r="BV10" t="s">
        <v>70</v>
      </c>
      <c r="BW10">
        <v>35968</v>
      </c>
      <c r="BX10">
        <v>32</v>
      </c>
      <c r="BY10">
        <v>1</v>
      </c>
      <c r="BZ10">
        <v>16</v>
      </c>
      <c r="CA10">
        <v>1152.47</v>
      </c>
      <c r="CB10">
        <v>26.919</v>
      </c>
      <c r="CQ10" s="54">
        <f t="shared" si="5"/>
        <v>26.963833333333337</v>
      </c>
    </row>
    <row r="11" spans="1:95">
      <c r="A11">
        <v>2</v>
      </c>
      <c r="B11" t="s">
        <v>7</v>
      </c>
      <c r="C11">
        <v>38080</v>
      </c>
      <c r="D11">
        <v>32</v>
      </c>
      <c r="E11">
        <v>1</v>
      </c>
      <c r="F11">
        <v>16</v>
      </c>
      <c r="G11">
        <v>1421.98</v>
      </c>
      <c r="H11" s="59">
        <v>25.89</v>
      </c>
      <c r="I11" s="27">
        <v>45484</v>
      </c>
      <c r="J11" s="53">
        <v>0.34274305555555556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s="66">
        <f t="shared" ref="W11:W13" si="8">W10</f>
        <v>25.642000000000003</v>
      </c>
      <c r="Y11">
        <v>2</v>
      </c>
      <c r="Z11" t="s">
        <v>7</v>
      </c>
      <c r="AA11">
        <v>38080</v>
      </c>
      <c r="AB11">
        <v>32</v>
      </c>
      <c r="AC11">
        <v>1</v>
      </c>
      <c r="AD11">
        <v>16</v>
      </c>
      <c r="AE11">
        <v>1337.8</v>
      </c>
      <c r="AF11" s="48">
        <v>27.518999999999998</v>
      </c>
      <c r="AG11" s="27">
        <v>45501</v>
      </c>
      <c r="AH11" s="53">
        <v>0.66178240740740746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 s="66">
        <f t="shared" si="7"/>
        <v>27.536999999999999</v>
      </c>
      <c r="AW11">
        <v>2</v>
      </c>
      <c r="AX11" t="s">
        <v>7</v>
      </c>
      <c r="AY11">
        <v>38080</v>
      </c>
      <c r="AZ11">
        <v>32</v>
      </c>
      <c r="BA11">
        <v>1</v>
      </c>
      <c r="BB11">
        <v>16</v>
      </c>
      <c r="BC11">
        <v>1553.46</v>
      </c>
      <c r="BD11" s="61">
        <v>23.699000000000002</v>
      </c>
      <c r="BE11" s="27">
        <v>45491</v>
      </c>
      <c r="BF11" s="53">
        <v>0.33358796296296295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 s="8">
        <f t="shared" ref="BS11:BS13" si="9">BS10</f>
        <v>23.735599999999998</v>
      </c>
      <c r="BU11">
        <v>25</v>
      </c>
      <c r="BV11" t="s">
        <v>70</v>
      </c>
      <c r="BW11">
        <v>38144</v>
      </c>
      <c r="BX11">
        <v>32</v>
      </c>
      <c r="BY11">
        <v>1</v>
      </c>
      <c r="BZ11">
        <v>16</v>
      </c>
      <c r="CA11">
        <v>1411.85</v>
      </c>
      <c r="CB11">
        <v>26.207000000000001</v>
      </c>
      <c r="CQ11" s="54">
        <f>AVERAGE(CB11:CB16)</f>
        <v>26.092666666666663</v>
      </c>
    </row>
    <row r="12" spans="1:95">
      <c r="A12">
        <v>3</v>
      </c>
      <c r="B12" t="s">
        <v>7</v>
      </c>
      <c r="C12">
        <v>38080</v>
      </c>
      <c r="D12">
        <v>32</v>
      </c>
      <c r="E12">
        <v>1</v>
      </c>
      <c r="F12">
        <v>16</v>
      </c>
      <c r="G12">
        <v>1435.5</v>
      </c>
      <c r="H12" s="59">
        <v>25.646000000000001</v>
      </c>
      <c r="I12" s="27">
        <v>45485</v>
      </c>
      <c r="J12" s="53">
        <v>0.20601851851851852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s="66">
        <f t="shared" si="8"/>
        <v>25.642000000000003</v>
      </c>
      <c r="Y12">
        <v>3</v>
      </c>
      <c r="Z12" t="s">
        <v>7</v>
      </c>
      <c r="AA12">
        <v>38080</v>
      </c>
      <c r="AB12">
        <v>32</v>
      </c>
      <c r="AC12">
        <v>1</v>
      </c>
      <c r="AD12">
        <v>16</v>
      </c>
      <c r="AE12" s="1">
        <v>1342.83</v>
      </c>
      <c r="AF12" s="48">
        <v>27.416</v>
      </c>
      <c r="AG12" s="27">
        <v>45502</v>
      </c>
      <c r="AH12" s="53">
        <v>0.45604166666666668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s="66">
        <f t="shared" si="7"/>
        <v>27.536999999999999</v>
      </c>
      <c r="AW12">
        <v>3</v>
      </c>
      <c r="AX12" t="s">
        <v>7</v>
      </c>
      <c r="AY12">
        <v>38080</v>
      </c>
      <c r="AZ12">
        <v>32</v>
      </c>
      <c r="BA12">
        <v>1</v>
      </c>
      <c r="BB12">
        <v>16</v>
      </c>
      <c r="BC12">
        <v>1550.48</v>
      </c>
      <c r="BD12" s="61">
        <v>23.744</v>
      </c>
      <c r="BE12" s="27">
        <v>45492</v>
      </c>
      <c r="BF12" s="53">
        <v>0.41859953703703706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 s="8">
        <f t="shared" si="9"/>
        <v>23.735599999999998</v>
      </c>
      <c r="BU12">
        <v>96</v>
      </c>
      <c r="BV12" t="s">
        <v>70</v>
      </c>
      <c r="BW12">
        <v>38144</v>
      </c>
      <c r="BX12">
        <v>32</v>
      </c>
      <c r="BY12">
        <v>1</v>
      </c>
      <c r="BZ12">
        <v>16</v>
      </c>
      <c r="CA12">
        <v>1415.07</v>
      </c>
      <c r="CB12">
        <v>26.148</v>
      </c>
      <c r="CQ12" s="54">
        <f>CQ11</f>
        <v>26.092666666666663</v>
      </c>
    </row>
    <row r="13" spans="1:95">
      <c r="A13">
        <v>4</v>
      </c>
      <c r="B13" t="s">
        <v>7</v>
      </c>
      <c r="C13">
        <v>38080</v>
      </c>
      <c r="D13">
        <v>32</v>
      </c>
      <c r="E13">
        <v>1</v>
      </c>
      <c r="F13">
        <v>16</v>
      </c>
      <c r="G13">
        <v>1471.75</v>
      </c>
      <c r="H13" s="59">
        <v>25.013999999999999</v>
      </c>
      <c r="I13" s="27">
        <v>45486</v>
      </c>
      <c r="J13" s="53">
        <v>8.8217592592592597E-2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66">
        <f t="shared" si="8"/>
        <v>25.642000000000003</v>
      </c>
      <c r="Y13">
        <v>4</v>
      </c>
      <c r="Z13" t="s">
        <v>7</v>
      </c>
      <c r="AA13">
        <v>38080</v>
      </c>
      <c r="AB13">
        <v>32</v>
      </c>
      <c r="AC13">
        <v>1</v>
      </c>
      <c r="AD13">
        <v>16</v>
      </c>
      <c r="AE13">
        <v>1336.01</v>
      </c>
      <c r="AF13" s="48">
        <v>27.556000000000001</v>
      </c>
      <c r="AG13" s="27">
        <v>45503</v>
      </c>
      <c r="AH13" s="53">
        <v>0.25079861111111112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s="66">
        <f t="shared" si="7"/>
        <v>27.536999999999999</v>
      </c>
      <c r="AW13">
        <v>4</v>
      </c>
      <c r="AX13" t="s">
        <v>7</v>
      </c>
      <c r="AY13">
        <v>38080</v>
      </c>
      <c r="AZ13">
        <v>32</v>
      </c>
      <c r="BA13">
        <v>1</v>
      </c>
      <c r="BB13">
        <v>16</v>
      </c>
      <c r="BC13">
        <v>1565.5</v>
      </c>
      <c r="BD13" s="61">
        <v>23.516999999999999</v>
      </c>
      <c r="BE13" s="27">
        <v>45493</v>
      </c>
      <c r="BF13" s="53">
        <v>0.50400462962962966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 s="8">
        <f t="shared" si="9"/>
        <v>23.735599999999998</v>
      </c>
      <c r="BU13">
        <v>167</v>
      </c>
      <c r="BV13" t="s">
        <v>70</v>
      </c>
      <c r="BW13">
        <v>38144</v>
      </c>
      <c r="BX13">
        <v>32</v>
      </c>
      <c r="BY13">
        <v>1</v>
      </c>
      <c r="BZ13">
        <v>16</v>
      </c>
      <c r="CA13">
        <v>1421.02</v>
      </c>
      <c r="CB13">
        <v>26.038</v>
      </c>
      <c r="CQ13" s="54">
        <f t="shared" ref="CQ13:CQ16" si="10">CQ12</f>
        <v>26.092666666666663</v>
      </c>
    </row>
    <row r="14" spans="1:95">
      <c r="A14">
        <v>0</v>
      </c>
      <c r="B14" t="s">
        <v>7</v>
      </c>
      <c r="C14">
        <v>40160</v>
      </c>
      <c r="D14">
        <v>32</v>
      </c>
      <c r="E14">
        <v>1</v>
      </c>
      <c r="F14">
        <v>16</v>
      </c>
      <c r="G14" s="1">
        <v>1651.82</v>
      </c>
      <c r="H14" s="59">
        <v>26.143000000000001</v>
      </c>
      <c r="I14" s="27">
        <v>45482</v>
      </c>
      <c r="J14" s="53">
        <v>0.90537037037037038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66">
        <f t="shared" ref="W14" si="11">AVERAGE(H14:H18)</f>
        <v>25.820999999999998</v>
      </c>
      <c r="Y14">
        <v>0</v>
      </c>
      <c r="Z14" t="s">
        <v>7</v>
      </c>
      <c r="AA14">
        <v>40160</v>
      </c>
      <c r="AB14">
        <v>32</v>
      </c>
      <c r="AC14">
        <v>1</v>
      </c>
      <c r="AD14">
        <v>16</v>
      </c>
      <c r="AE14">
        <v>1547.24</v>
      </c>
      <c r="AF14" s="48">
        <v>27.91</v>
      </c>
      <c r="AG14" s="27">
        <v>45500</v>
      </c>
      <c r="AH14" s="53">
        <v>1.050925925925926E-2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s="66">
        <f t="shared" ref="AU14" si="12">AVERAGE(AF14:AF18)</f>
        <v>28.027800000000003</v>
      </c>
      <c r="AW14">
        <v>0</v>
      </c>
      <c r="AX14" t="s">
        <v>7</v>
      </c>
      <c r="AY14">
        <v>40160</v>
      </c>
      <c r="AZ14">
        <v>32</v>
      </c>
      <c r="BA14">
        <v>1</v>
      </c>
      <c r="BB14">
        <v>16</v>
      </c>
      <c r="BC14">
        <v>1770.76</v>
      </c>
      <c r="BD14" s="61">
        <v>24.387</v>
      </c>
      <c r="BE14" s="27">
        <v>45489</v>
      </c>
      <c r="BF14" s="53">
        <v>0.21657407407407409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 s="8">
        <f t="shared" ref="BS14" si="13">AVERAGE(BD14:BD18)</f>
        <v>24.372999999999998</v>
      </c>
      <c r="BU14">
        <v>238</v>
      </c>
      <c r="BV14" t="s">
        <v>70</v>
      </c>
      <c r="BW14">
        <v>38144</v>
      </c>
      <c r="BX14">
        <v>32</v>
      </c>
      <c r="BY14">
        <v>1</v>
      </c>
      <c r="BZ14">
        <v>16</v>
      </c>
      <c r="CA14">
        <v>1423.64</v>
      </c>
      <c r="CB14">
        <v>25.99</v>
      </c>
      <c r="CQ14" s="54">
        <f t="shared" si="10"/>
        <v>26.092666666666663</v>
      </c>
    </row>
    <row r="15" spans="1:95">
      <c r="A15">
        <v>1</v>
      </c>
      <c r="B15" t="s">
        <v>7</v>
      </c>
      <c r="C15">
        <v>40160</v>
      </c>
      <c r="D15">
        <v>32</v>
      </c>
      <c r="E15">
        <v>1</v>
      </c>
      <c r="F15">
        <v>16</v>
      </c>
      <c r="G15">
        <v>1646.53</v>
      </c>
      <c r="H15" s="59">
        <v>26.227</v>
      </c>
      <c r="I15" s="27">
        <v>45483</v>
      </c>
      <c r="J15" s="53">
        <v>0.77042824074074079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66">
        <f t="shared" ref="W15:W78" si="14">W14</f>
        <v>25.820999999999998</v>
      </c>
      <c r="Y15">
        <v>1</v>
      </c>
      <c r="Z15" t="s">
        <v>7</v>
      </c>
      <c r="AA15">
        <v>40160</v>
      </c>
      <c r="AB15">
        <v>32</v>
      </c>
      <c r="AC15">
        <v>1</v>
      </c>
      <c r="AD15">
        <v>16</v>
      </c>
      <c r="AE15" s="1">
        <v>1536.96</v>
      </c>
      <c r="AF15" s="48">
        <v>28.096</v>
      </c>
      <c r="AG15" s="27">
        <v>45501</v>
      </c>
      <c r="AH15" s="53">
        <v>0.13253472222222223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s="66">
        <f t="shared" ref="AU15" si="15">AU14</f>
        <v>28.027800000000003</v>
      </c>
      <c r="AW15">
        <v>1</v>
      </c>
      <c r="AX15" t="s">
        <v>7</v>
      </c>
      <c r="AY15">
        <v>40160</v>
      </c>
      <c r="AZ15">
        <v>32</v>
      </c>
      <c r="BA15">
        <v>1</v>
      </c>
      <c r="BB15">
        <v>16</v>
      </c>
      <c r="BC15">
        <v>1770.49</v>
      </c>
      <c r="BD15" s="61">
        <v>24.39</v>
      </c>
      <c r="BE15" s="27">
        <v>45490</v>
      </c>
      <c r="BF15" s="53">
        <v>0.61015046296296294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 s="8">
        <f t="shared" ref="BS15:BS78" si="16">BS14</f>
        <v>24.372999999999998</v>
      </c>
      <c r="BU15">
        <v>309</v>
      </c>
      <c r="BV15" t="s">
        <v>70</v>
      </c>
      <c r="BW15">
        <v>38144</v>
      </c>
      <c r="BX15">
        <v>32</v>
      </c>
      <c r="BY15">
        <v>1</v>
      </c>
      <c r="BZ15">
        <v>16</v>
      </c>
      <c r="CA15">
        <v>1418.05</v>
      </c>
      <c r="CB15">
        <v>26.093</v>
      </c>
      <c r="CQ15" s="54">
        <f t="shared" si="10"/>
        <v>26.092666666666663</v>
      </c>
    </row>
    <row r="16" spans="1:95">
      <c r="A16">
        <v>2</v>
      </c>
      <c r="B16" t="s">
        <v>7</v>
      </c>
      <c r="C16">
        <v>40160</v>
      </c>
      <c r="D16">
        <v>32</v>
      </c>
      <c r="E16">
        <v>1</v>
      </c>
      <c r="F16">
        <v>16</v>
      </c>
      <c r="G16">
        <v>1645.25</v>
      </c>
      <c r="H16" s="59">
        <v>26.247</v>
      </c>
      <c r="I16" s="27">
        <v>45484</v>
      </c>
      <c r="J16" s="53">
        <v>0.63275462962962958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66">
        <f t="shared" si="14"/>
        <v>25.820999999999998</v>
      </c>
      <c r="Y16">
        <v>2</v>
      </c>
      <c r="Z16" t="s">
        <v>7</v>
      </c>
      <c r="AA16">
        <v>40160</v>
      </c>
      <c r="AB16">
        <v>32</v>
      </c>
      <c r="AC16">
        <v>1</v>
      </c>
      <c r="AD16">
        <v>16</v>
      </c>
      <c r="AE16">
        <v>1535.75</v>
      </c>
      <c r="AF16" s="48">
        <v>28.119</v>
      </c>
      <c r="AG16" s="27">
        <v>45501</v>
      </c>
      <c r="AH16" s="53">
        <v>0.9271180555555556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s="66">
        <f t="shared" si="7"/>
        <v>28.027800000000003</v>
      </c>
      <c r="AW16">
        <v>2</v>
      </c>
      <c r="AX16" t="s">
        <v>7</v>
      </c>
      <c r="AY16">
        <v>40160</v>
      </c>
      <c r="AZ16">
        <v>32</v>
      </c>
      <c r="BA16">
        <v>1</v>
      </c>
      <c r="BB16">
        <v>16</v>
      </c>
      <c r="BC16">
        <v>1773.53</v>
      </c>
      <c r="BD16" s="61">
        <v>24.349</v>
      </c>
      <c r="BE16" s="27">
        <v>45491</v>
      </c>
      <c r="BF16" s="53">
        <v>0.69587962962962968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 s="8">
        <f t="shared" si="16"/>
        <v>24.372999999999998</v>
      </c>
      <c r="BU16">
        <v>380</v>
      </c>
      <c r="BV16" t="s">
        <v>70</v>
      </c>
      <c r="BW16">
        <v>38144</v>
      </c>
      <c r="BX16">
        <v>32</v>
      </c>
      <c r="BY16">
        <v>1</v>
      </c>
      <c r="BZ16">
        <v>16</v>
      </c>
      <c r="CA16">
        <v>1418.78</v>
      </c>
      <c r="CB16">
        <v>26.08</v>
      </c>
      <c r="CQ16" s="54">
        <f t="shared" si="10"/>
        <v>26.092666666666663</v>
      </c>
    </row>
    <row r="17" spans="1:95">
      <c r="A17">
        <v>3</v>
      </c>
      <c r="B17" t="s">
        <v>7</v>
      </c>
      <c r="C17">
        <v>40160</v>
      </c>
      <c r="D17">
        <v>32</v>
      </c>
      <c r="E17">
        <v>1</v>
      </c>
      <c r="F17">
        <v>16</v>
      </c>
      <c r="G17">
        <v>1707.73</v>
      </c>
      <c r="H17" s="59">
        <v>25.286999999999999</v>
      </c>
      <c r="I17" s="27">
        <v>45485</v>
      </c>
      <c r="J17" s="53">
        <v>0.49817129629629631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s="66">
        <f t="shared" si="14"/>
        <v>25.820999999999998</v>
      </c>
      <c r="Y17">
        <v>3</v>
      </c>
      <c r="Z17" t="s">
        <v>7</v>
      </c>
      <c r="AA17">
        <v>40160</v>
      </c>
      <c r="AB17">
        <v>32</v>
      </c>
      <c r="AC17">
        <v>1</v>
      </c>
      <c r="AD17">
        <v>16</v>
      </c>
      <c r="AE17">
        <v>1536.51</v>
      </c>
      <c r="AF17" s="48">
        <v>28.105</v>
      </c>
      <c r="AG17" s="27">
        <v>45502</v>
      </c>
      <c r="AH17" s="53">
        <v>0.72158564814814818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s="66">
        <f t="shared" si="7"/>
        <v>28.027800000000003</v>
      </c>
      <c r="AW17">
        <v>3</v>
      </c>
      <c r="AX17" t="s">
        <v>7</v>
      </c>
      <c r="AY17">
        <v>40160</v>
      </c>
      <c r="AZ17">
        <v>32</v>
      </c>
      <c r="BA17">
        <v>1</v>
      </c>
      <c r="BB17">
        <v>16</v>
      </c>
      <c r="BC17">
        <v>1772.58</v>
      </c>
      <c r="BD17" s="61">
        <v>24.361999999999998</v>
      </c>
      <c r="BE17" s="27">
        <v>45492</v>
      </c>
      <c r="BF17" s="53">
        <v>0.78119212962962958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 s="8">
        <f t="shared" si="16"/>
        <v>24.372999999999998</v>
      </c>
      <c r="BU17">
        <v>49</v>
      </c>
      <c r="BV17" t="s">
        <v>70</v>
      </c>
      <c r="BW17">
        <v>40320</v>
      </c>
      <c r="BX17">
        <v>32</v>
      </c>
      <c r="BY17">
        <v>1</v>
      </c>
      <c r="BZ17">
        <v>16</v>
      </c>
      <c r="CA17">
        <v>1628.82</v>
      </c>
      <c r="CB17">
        <v>26.83</v>
      </c>
      <c r="CQ17" s="54">
        <f t="shared" ref="CQ17" si="17">AVERAGE(CB17:CB22)</f>
        <v>26.691333333333333</v>
      </c>
    </row>
    <row r="18" spans="1:95">
      <c r="A18">
        <v>4</v>
      </c>
      <c r="B18" t="s">
        <v>7</v>
      </c>
      <c r="C18">
        <v>40160</v>
      </c>
      <c r="D18">
        <v>32</v>
      </c>
      <c r="E18">
        <v>1</v>
      </c>
      <c r="F18">
        <v>16</v>
      </c>
      <c r="G18">
        <v>1713.52</v>
      </c>
      <c r="H18" s="59">
        <v>25.201000000000001</v>
      </c>
      <c r="I18" s="27">
        <v>45486</v>
      </c>
      <c r="J18" s="53">
        <v>0.38649305555555558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s="66">
        <f t="shared" si="14"/>
        <v>25.820999999999998</v>
      </c>
      <c r="Y18">
        <v>4</v>
      </c>
      <c r="Z18" t="s">
        <v>7</v>
      </c>
      <c r="AA18">
        <v>40160</v>
      </c>
      <c r="AB18">
        <v>32</v>
      </c>
      <c r="AC18">
        <v>1</v>
      </c>
      <c r="AD18">
        <v>16</v>
      </c>
      <c r="AE18">
        <v>1547.26</v>
      </c>
      <c r="AF18" s="48">
        <v>27.908999999999999</v>
      </c>
      <c r="AG18" s="27">
        <v>45503</v>
      </c>
      <c r="AH18" s="53">
        <v>0.51655092592592589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s="66">
        <f t="shared" si="7"/>
        <v>28.027800000000003</v>
      </c>
      <c r="AW18">
        <v>4</v>
      </c>
      <c r="AX18" t="s">
        <v>7</v>
      </c>
      <c r="AY18">
        <v>40160</v>
      </c>
      <c r="AZ18">
        <v>32</v>
      </c>
      <c r="BA18">
        <v>1</v>
      </c>
      <c r="BB18">
        <v>16</v>
      </c>
      <c r="BC18">
        <v>1771.46</v>
      </c>
      <c r="BD18" s="61">
        <v>24.376999999999999</v>
      </c>
      <c r="BE18" s="27">
        <v>45493</v>
      </c>
      <c r="BF18" s="53">
        <v>0.86682870370370368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 s="8">
        <f t="shared" si="16"/>
        <v>24.372999999999998</v>
      </c>
      <c r="BU18">
        <v>120</v>
      </c>
      <c r="BV18" t="s">
        <v>70</v>
      </c>
      <c r="BW18">
        <v>40320</v>
      </c>
      <c r="BX18">
        <v>32</v>
      </c>
      <c r="BY18">
        <v>1</v>
      </c>
      <c r="BZ18">
        <v>16</v>
      </c>
      <c r="CA18">
        <v>1638.57</v>
      </c>
      <c r="CB18">
        <v>26.67</v>
      </c>
      <c r="CQ18" s="54">
        <f t="shared" ref="CQ18:CQ81" si="18">CQ17</f>
        <v>26.691333333333333</v>
      </c>
    </row>
    <row r="19" spans="1:95">
      <c r="A19">
        <v>0</v>
      </c>
      <c r="B19" t="s">
        <v>7</v>
      </c>
      <c r="C19">
        <v>36000</v>
      </c>
      <c r="D19">
        <v>32</v>
      </c>
      <c r="E19">
        <v>2</v>
      </c>
      <c r="F19">
        <v>8</v>
      </c>
      <c r="G19" s="1">
        <v>1172</v>
      </c>
      <c r="H19" s="59">
        <v>26.541</v>
      </c>
      <c r="I19" s="27">
        <v>45482</v>
      </c>
      <c r="J19" s="53">
        <v>0.38280092592592591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s="66">
        <f t="shared" ref="W19" si="19">AVERAGE(H19:H23)</f>
        <v>26.306399999999996</v>
      </c>
      <c r="Y19">
        <v>0</v>
      </c>
      <c r="Z19" t="s">
        <v>7</v>
      </c>
      <c r="AA19">
        <v>36000</v>
      </c>
      <c r="AB19">
        <v>32</v>
      </c>
      <c r="AC19">
        <v>2</v>
      </c>
      <c r="AD19">
        <v>8</v>
      </c>
      <c r="AE19">
        <v>1137.9100000000001</v>
      </c>
      <c r="AF19" s="48">
        <v>27.335999999999999</v>
      </c>
      <c r="AG19" s="27">
        <v>45499</v>
      </c>
      <c r="AH19" s="53">
        <v>0.53141203703703699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s="66">
        <f t="shared" ref="AU19" si="20">AVERAGE(AF19:AF23)</f>
        <v>27.536399999999997</v>
      </c>
      <c r="AW19">
        <v>0</v>
      </c>
      <c r="AX19" t="s">
        <v>7</v>
      </c>
      <c r="AY19">
        <v>36000</v>
      </c>
      <c r="AZ19">
        <v>32</v>
      </c>
      <c r="BA19">
        <v>2</v>
      </c>
      <c r="BB19">
        <v>8</v>
      </c>
      <c r="BC19">
        <v>1391.45</v>
      </c>
      <c r="BD19" s="61">
        <v>22.355</v>
      </c>
      <c r="BE19" s="27">
        <v>45488</v>
      </c>
      <c r="BF19" s="53">
        <v>0.55410879629629628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 s="8">
        <f t="shared" ref="BS19" si="21">AVERAGE(BD19:BD23)</f>
        <v>22.455400000000004</v>
      </c>
      <c r="BU19">
        <v>191</v>
      </c>
      <c r="BV19" t="s">
        <v>70</v>
      </c>
      <c r="BW19">
        <v>40320</v>
      </c>
      <c r="BX19">
        <v>32</v>
      </c>
      <c r="BY19">
        <v>1</v>
      </c>
      <c r="BZ19">
        <v>16</v>
      </c>
      <c r="CA19">
        <v>1638.59</v>
      </c>
      <c r="CB19">
        <v>26.67</v>
      </c>
      <c r="CQ19" s="54">
        <f t="shared" si="18"/>
        <v>26.691333333333333</v>
      </c>
    </row>
    <row r="20" spans="1:95">
      <c r="A20">
        <v>1</v>
      </c>
      <c r="B20" t="s">
        <v>7</v>
      </c>
      <c r="C20">
        <v>36000</v>
      </c>
      <c r="D20">
        <v>32</v>
      </c>
      <c r="E20">
        <v>2</v>
      </c>
      <c r="F20">
        <v>8</v>
      </c>
      <c r="G20">
        <v>1179.6600000000001</v>
      </c>
      <c r="H20" s="59">
        <v>26.369</v>
      </c>
      <c r="I20" s="27">
        <v>45483</v>
      </c>
      <c r="J20" s="53">
        <v>0.24319444444444444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s="66">
        <f t="shared" ref="W20" si="22">W19</f>
        <v>26.306399999999996</v>
      </c>
      <c r="Y20">
        <v>1</v>
      </c>
      <c r="Z20" t="s">
        <v>7</v>
      </c>
      <c r="AA20">
        <v>36000</v>
      </c>
      <c r="AB20">
        <v>32</v>
      </c>
      <c r="AC20">
        <v>2</v>
      </c>
      <c r="AD20">
        <v>8</v>
      </c>
      <c r="AE20">
        <v>1129.33</v>
      </c>
      <c r="AF20" s="48">
        <v>27.544</v>
      </c>
      <c r="AG20" s="27">
        <v>45500</v>
      </c>
      <c r="AH20" s="53">
        <v>0.65216435185185184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s="66">
        <f t="shared" ref="AU20" si="23">AU19</f>
        <v>27.536399999999997</v>
      </c>
      <c r="AW20">
        <v>1</v>
      </c>
      <c r="AX20" t="s">
        <v>7</v>
      </c>
      <c r="AY20">
        <v>36000</v>
      </c>
      <c r="AZ20">
        <v>32</v>
      </c>
      <c r="BA20">
        <v>2</v>
      </c>
      <c r="BB20">
        <v>8</v>
      </c>
      <c r="BC20">
        <v>1382.29</v>
      </c>
      <c r="BD20" s="61">
        <v>22.503</v>
      </c>
      <c r="BE20" s="27">
        <v>45489</v>
      </c>
      <c r="BF20" s="53">
        <v>0.94807870370370373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 s="8">
        <f t="shared" ref="BS20" si="24">BS19</f>
        <v>22.455400000000004</v>
      </c>
      <c r="BU20">
        <v>262</v>
      </c>
      <c r="BV20" t="s">
        <v>70</v>
      </c>
      <c r="BW20">
        <v>40320</v>
      </c>
      <c r="BX20">
        <v>32</v>
      </c>
      <c r="BY20">
        <v>1</v>
      </c>
      <c r="BZ20">
        <v>16</v>
      </c>
      <c r="CA20">
        <v>1645.69</v>
      </c>
      <c r="CB20">
        <v>26.555</v>
      </c>
      <c r="CQ20" s="54">
        <f t="shared" si="18"/>
        <v>26.691333333333333</v>
      </c>
    </row>
    <row r="21" spans="1:95">
      <c r="A21">
        <v>2</v>
      </c>
      <c r="B21" t="s">
        <v>7</v>
      </c>
      <c r="C21">
        <v>36000</v>
      </c>
      <c r="D21">
        <v>32</v>
      </c>
      <c r="E21">
        <v>2</v>
      </c>
      <c r="F21">
        <v>8</v>
      </c>
      <c r="G21">
        <v>1179.4100000000001</v>
      </c>
      <c r="H21" s="59">
        <v>26.373999999999999</v>
      </c>
      <c r="I21" s="27">
        <v>45484</v>
      </c>
      <c r="J21" s="53">
        <v>0.108125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66">
        <f t="shared" si="14"/>
        <v>26.306399999999996</v>
      </c>
      <c r="Y21">
        <v>2</v>
      </c>
      <c r="Z21" t="s">
        <v>7</v>
      </c>
      <c r="AA21">
        <v>36000</v>
      </c>
      <c r="AB21">
        <v>32</v>
      </c>
      <c r="AC21">
        <v>2</v>
      </c>
      <c r="AD21">
        <v>8</v>
      </c>
      <c r="AE21" s="1">
        <v>1128.3499999999999</v>
      </c>
      <c r="AF21" s="48">
        <v>27.568000000000001</v>
      </c>
      <c r="AG21" s="27">
        <v>45501</v>
      </c>
      <c r="AH21" s="53">
        <v>0.4460648148148148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s="66">
        <f t="shared" si="7"/>
        <v>27.536399999999997</v>
      </c>
      <c r="AW21">
        <v>2</v>
      </c>
      <c r="AX21" t="s">
        <v>7</v>
      </c>
      <c r="AY21">
        <v>36000</v>
      </c>
      <c r="AZ21">
        <v>32</v>
      </c>
      <c r="BA21">
        <v>2</v>
      </c>
      <c r="BB21">
        <v>8</v>
      </c>
      <c r="BC21">
        <v>1387.24</v>
      </c>
      <c r="BD21" s="61">
        <v>22.422999999999998</v>
      </c>
      <c r="BE21" s="27">
        <v>45491</v>
      </c>
      <c r="BF21" s="53">
        <v>3.3402777777777781E-2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 s="8">
        <f t="shared" si="16"/>
        <v>22.455400000000004</v>
      </c>
      <c r="BU21">
        <v>333</v>
      </c>
      <c r="BV21" t="s">
        <v>70</v>
      </c>
      <c r="BW21">
        <v>40320</v>
      </c>
      <c r="BX21">
        <v>32</v>
      </c>
      <c r="BY21">
        <v>1</v>
      </c>
      <c r="BZ21">
        <v>16</v>
      </c>
      <c r="CA21">
        <v>1639.93</v>
      </c>
      <c r="CB21">
        <v>26.648</v>
      </c>
      <c r="CQ21" s="54">
        <f t="shared" si="18"/>
        <v>26.691333333333333</v>
      </c>
    </row>
    <row r="22" spans="1:95">
      <c r="A22">
        <v>3</v>
      </c>
      <c r="B22" t="s">
        <v>7</v>
      </c>
      <c r="C22">
        <v>36000</v>
      </c>
      <c r="D22">
        <v>32</v>
      </c>
      <c r="E22">
        <v>2</v>
      </c>
      <c r="F22">
        <v>8</v>
      </c>
      <c r="G22">
        <v>1172.49</v>
      </c>
      <c r="H22" s="59">
        <v>26.53</v>
      </c>
      <c r="I22" s="27">
        <v>45484</v>
      </c>
      <c r="J22" s="53">
        <v>0.97068287037037038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s="66">
        <f t="shared" si="14"/>
        <v>26.306399999999996</v>
      </c>
      <c r="Y22">
        <v>3</v>
      </c>
      <c r="Z22" t="s">
        <v>7</v>
      </c>
      <c r="AA22">
        <v>36000</v>
      </c>
      <c r="AB22">
        <v>32</v>
      </c>
      <c r="AC22">
        <v>2</v>
      </c>
      <c r="AD22">
        <v>8</v>
      </c>
      <c r="AE22">
        <v>1124.44</v>
      </c>
      <c r="AF22" s="48">
        <v>27.663</v>
      </c>
      <c r="AG22" s="27">
        <v>45502</v>
      </c>
      <c r="AH22" s="53">
        <v>0.24111111111111111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 s="66">
        <f t="shared" si="7"/>
        <v>27.536399999999997</v>
      </c>
      <c r="AW22">
        <v>3</v>
      </c>
      <c r="AX22" t="s">
        <v>7</v>
      </c>
      <c r="AY22">
        <v>36000</v>
      </c>
      <c r="AZ22">
        <v>32</v>
      </c>
      <c r="BA22">
        <v>2</v>
      </c>
      <c r="BB22">
        <v>8</v>
      </c>
      <c r="BC22">
        <v>1383.14</v>
      </c>
      <c r="BD22" s="61">
        <v>22.489000000000001</v>
      </c>
      <c r="BE22" s="27">
        <v>45492</v>
      </c>
      <c r="BF22" s="53">
        <v>0.11856481481481482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 s="8">
        <f t="shared" si="16"/>
        <v>22.455400000000004</v>
      </c>
      <c r="BU22">
        <v>404</v>
      </c>
      <c r="BV22" t="s">
        <v>70</v>
      </c>
      <c r="BW22">
        <v>40320</v>
      </c>
      <c r="BX22">
        <v>32</v>
      </c>
      <c r="BY22">
        <v>1</v>
      </c>
      <c r="BZ22">
        <v>16</v>
      </c>
      <c r="CA22">
        <v>1632.16</v>
      </c>
      <c r="CB22">
        <v>26.774999999999999</v>
      </c>
      <c r="CQ22" s="54">
        <f t="shared" si="18"/>
        <v>26.691333333333333</v>
      </c>
    </row>
    <row r="23" spans="1:95">
      <c r="A23">
        <v>4</v>
      </c>
      <c r="B23" t="s">
        <v>7</v>
      </c>
      <c r="C23">
        <v>36000</v>
      </c>
      <c r="D23">
        <v>32</v>
      </c>
      <c r="E23">
        <v>2</v>
      </c>
      <c r="F23">
        <v>8</v>
      </c>
      <c r="G23">
        <v>1209.48</v>
      </c>
      <c r="H23" s="59">
        <v>25.718</v>
      </c>
      <c r="I23" s="27">
        <v>45485</v>
      </c>
      <c r="J23" s="53">
        <v>0.84611111111111115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66">
        <f t="shared" si="14"/>
        <v>26.306399999999996</v>
      </c>
      <c r="Y23">
        <v>4</v>
      </c>
      <c r="Z23" t="s">
        <v>7</v>
      </c>
      <c r="AA23">
        <v>36000</v>
      </c>
      <c r="AB23">
        <v>32</v>
      </c>
      <c r="AC23">
        <v>2</v>
      </c>
      <c r="AD23">
        <v>8</v>
      </c>
      <c r="AE23">
        <v>1128.23</v>
      </c>
      <c r="AF23" s="48">
        <v>27.571000000000002</v>
      </c>
      <c r="AG23" s="27">
        <v>45503</v>
      </c>
      <c r="AH23" s="53">
        <v>3.6030092592592593E-2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s="66">
        <f t="shared" si="7"/>
        <v>27.536399999999997</v>
      </c>
      <c r="AW23">
        <v>4</v>
      </c>
      <c r="AX23" t="s">
        <v>7</v>
      </c>
      <c r="AY23">
        <v>36000</v>
      </c>
      <c r="AZ23">
        <v>32</v>
      </c>
      <c r="BA23">
        <v>2</v>
      </c>
      <c r="BB23">
        <v>8</v>
      </c>
      <c r="BC23">
        <v>1382.06</v>
      </c>
      <c r="BD23" s="61">
        <v>22.507000000000001</v>
      </c>
      <c r="BE23" s="27">
        <v>45493</v>
      </c>
      <c r="BF23" s="53">
        <v>0.2038425925925926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 s="8">
        <f t="shared" si="16"/>
        <v>22.455400000000004</v>
      </c>
      <c r="BU23">
        <v>2</v>
      </c>
      <c r="BV23" t="s">
        <v>70</v>
      </c>
      <c r="BW23">
        <v>35968</v>
      </c>
      <c r="BX23">
        <v>32</v>
      </c>
      <c r="BY23">
        <v>2</v>
      </c>
      <c r="BZ23">
        <v>8</v>
      </c>
      <c r="CA23">
        <v>1195.18</v>
      </c>
      <c r="CB23">
        <v>25.957000000000001</v>
      </c>
      <c r="CQ23" s="54">
        <f t="shared" ref="CQ23" si="25">AVERAGE(CB23:CB28)</f>
        <v>26.126666666666665</v>
      </c>
    </row>
    <row r="24" spans="1:95">
      <c r="A24">
        <v>0</v>
      </c>
      <c r="B24" t="s">
        <v>7</v>
      </c>
      <c r="C24">
        <v>38080</v>
      </c>
      <c r="D24">
        <v>32</v>
      </c>
      <c r="E24">
        <v>2</v>
      </c>
      <c r="F24">
        <v>8</v>
      </c>
      <c r="G24" s="1">
        <v>1343.2</v>
      </c>
      <c r="H24" s="59">
        <v>27.408999999999999</v>
      </c>
      <c r="I24" s="27">
        <v>45482</v>
      </c>
      <c r="J24" s="53">
        <v>0.63350694444444444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s="66">
        <f t="shared" ref="W24" si="26">AVERAGE(H24:H28)</f>
        <v>27.111599999999999</v>
      </c>
      <c r="Y24">
        <v>0</v>
      </c>
      <c r="Z24" t="s">
        <v>7</v>
      </c>
      <c r="AA24">
        <v>38080</v>
      </c>
      <c r="AB24">
        <v>32</v>
      </c>
      <c r="AC24">
        <v>2</v>
      </c>
      <c r="AD24">
        <v>8</v>
      </c>
      <c r="AE24" s="1">
        <v>1260.28</v>
      </c>
      <c r="AF24" s="48">
        <v>29.212</v>
      </c>
      <c r="AG24" s="27">
        <v>45499</v>
      </c>
      <c r="AH24" s="53">
        <v>0.76094907407407408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 s="66">
        <f t="shared" ref="AU24" si="27">AVERAGE(AF24:AF28)</f>
        <v>29.197800000000001</v>
      </c>
      <c r="AW24">
        <v>0</v>
      </c>
      <c r="AX24" t="s">
        <v>7</v>
      </c>
      <c r="AY24">
        <v>38080</v>
      </c>
      <c r="AZ24">
        <v>32</v>
      </c>
      <c r="BA24">
        <v>2</v>
      </c>
      <c r="BB24">
        <v>8</v>
      </c>
      <c r="BC24">
        <v>1540.76</v>
      </c>
      <c r="BD24" s="61">
        <v>23.893999999999998</v>
      </c>
      <c r="BE24" s="27">
        <v>45488</v>
      </c>
      <c r="BF24" s="53">
        <v>0.8727314814814815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 s="8">
        <f t="shared" ref="BS24" si="28">AVERAGE(BD24:BD28)</f>
        <v>23.872</v>
      </c>
      <c r="BU24">
        <v>73</v>
      </c>
      <c r="BV24" t="s">
        <v>70</v>
      </c>
      <c r="BW24">
        <v>35968</v>
      </c>
      <c r="BX24">
        <v>32</v>
      </c>
      <c r="BY24">
        <v>2</v>
      </c>
      <c r="BZ24">
        <v>8</v>
      </c>
      <c r="CA24">
        <v>1179.8499999999999</v>
      </c>
      <c r="CB24">
        <v>26.294</v>
      </c>
      <c r="CQ24" s="54">
        <f t="shared" ref="CQ24" si="29">CQ23</f>
        <v>26.126666666666665</v>
      </c>
    </row>
    <row r="25" spans="1:95">
      <c r="A25">
        <v>1</v>
      </c>
      <c r="B25" t="s">
        <v>7</v>
      </c>
      <c r="C25">
        <v>38080</v>
      </c>
      <c r="D25">
        <v>32</v>
      </c>
      <c r="E25">
        <v>2</v>
      </c>
      <c r="F25">
        <v>8</v>
      </c>
      <c r="G25">
        <v>1345.48</v>
      </c>
      <c r="H25" s="59">
        <v>27.361999999999998</v>
      </c>
      <c r="I25" s="27">
        <v>45483</v>
      </c>
      <c r="J25" s="53">
        <v>0.49591435185185184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s="66">
        <f t="shared" ref="W25" si="30">W24</f>
        <v>27.111599999999999</v>
      </c>
      <c r="Y25">
        <v>1</v>
      </c>
      <c r="Z25" t="s">
        <v>7</v>
      </c>
      <c r="AA25">
        <v>38080</v>
      </c>
      <c r="AB25">
        <v>32</v>
      </c>
      <c r="AC25">
        <v>2</v>
      </c>
      <c r="AD25">
        <v>8</v>
      </c>
      <c r="AE25">
        <v>1257.1600000000001</v>
      </c>
      <c r="AF25" s="48">
        <v>29.283999999999999</v>
      </c>
      <c r="AG25" s="27">
        <v>45500</v>
      </c>
      <c r="AH25" s="53">
        <v>0.88262731481481482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 s="66">
        <f t="shared" ref="AU25" si="31">AU24</f>
        <v>29.197800000000001</v>
      </c>
      <c r="AW25">
        <v>1</v>
      </c>
      <c r="AX25" t="s">
        <v>7</v>
      </c>
      <c r="AY25">
        <v>38080</v>
      </c>
      <c r="AZ25">
        <v>32</v>
      </c>
      <c r="BA25">
        <v>2</v>
      </c>
      <c r="BB25">
        <v>8</v>
      </c>
      <c r="BC25">
        <v>1540.77</v>
      </c>
      <c r="BD25" s="61">
        <v>23.893999999999998</v>
      </c>
      <c r="BE25" s="27">
        <v>45490</v>
      </c>
      <c r="BF25" s="53">
        <v>0.2661574074074074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 s="8">
        <f t="shared" ref="BS25" si="32">BS24</f>
        <v>23.872</v>
      </c>
      <c r="BU25">
        <v>144</v>
      </c>
      <c r="BV25" t="s">
        <v>70</v>
      </c>
      <c r="BW25">
        <v>35968</v>
      </c>
      <c r="BX25">
        <v>32</v>
      </c>
      <c r="BY25">
        <v>2</v>
      </c>
      <c r="BZ25">
        <v>8</v>
      </c>
      <c r="CA25">
        <v>1185.04</v>
      </c>
      <c r="CB25">
        <v>26.178999999999998</v>
      </c>
      <c r="CQ25" s="54">
        <f t="shared" si="18"/>
        <v>26.126666666666665</v>
      </c>
    </row>
    <row r="26" spans="1:95">
      <c r="A26">
        <v>2</v>
      </c>
      <c r="B26" t="s">
        <v>7</v>
      </c>
      <c r="C26">
        <v>38080</v>
      </c>
      <c r="D26">
        <v>32</v>
      </c>
      <c r="E26">
        <v>2</v>
      </c>
      <c r="F26">
        <v>8</v>
      </c>
      <c r="G26">
        <v>1356.89</v>
      </c>
      <c r="H26" s="59">
        <v>27.132000000000001</v>
      </c>
      <c r="I26" s="27">
        <v>45484</v>
      </c>
      <c r="J26" s="53">
        <v>0.35875000000000001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s="66">
        <f t="shared" si="14"/>
        <v>27.111599999999999</v>
      </c>
      <c r="Y26">
        <v>2</v>
      </c>
      <c r="Z26" t="s">
        <v>7</v>
      </c>
      <c r="AA26">
        <v>38080</v>
      </c>
      <c r="AB26">
        <v>32</v>
      </c>
      <c r="AC26">
        <v>2</v>
      </c>
      <c r="AD26">
        <v>8</v>
      </c>
      <c r="AE26">
        <v>1260.72</v>
      </c>
      <c r="AF26" s="48">
        <v>29.202000000000002</v>
      </c>
      <c r="AG26" s="27">
        <v>45501</v>
      </c>
      <c r="AH26" s="53">
        <v>0.67668981481481483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 s="66">
        <f t="shared" si="7"/>
        <v>29.197800000000001</v>
      </c>
      <c r="AW26">
        <v>2</v>
      </c>
      <c r="AX26" t="s">
        <v>7</v>
      </c>
      <c r="AY26">
        <v>38080</v>
      </c>
      <c r="AZ26">
        <v>32</v>
      </c>
      <c r="BA26">
        <v>2</v>
      </c>
      <c r="BB26">
        <v>8</v>
      </c>
      <c r="BC26">
        <v>1542.93</v>
      </c>
      <c r="BD26" s="61">
        <v>23.861000000000001</v>
      </c>
      <c r="BE26" s="27">
        <v>45491</v>
      </c>
      <c r="BF26" s="53">
        <v>0.35234953703703703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 s="8">
        <f t="shared" si="16"/>
        <v>23.872</v>
      </c>
      <c r="BU26">
        <v>215</v>
      </c>
      <c r="BV26" t="s">
        <v>70</v>
      </c>
      <c r="BW26">
        <v>35968</v>
      </c>
      <c r="BX26">
        <v>32</v>
      </c>
      <c r="BY26">
        <v>2</v>
      </c>
      <c r="BZ26">
        <v>8</v>
      </c>
      <c r="CA26">
        <v>1188.8900000000001</v>
      </c>
      <c r="CB26">
        <v>26.094000000000001</v>
      </c>
      <c r="CQ26" s="54">
        <f t="shared" si="18"/>
        <v>26.126666666666665</v>
      </c>
    </row>
    <row r="27" spans="1:95">
      <c r="A27">
        <v>3</v>
      </c>
      <c r="B27" t="s">
        <v>7</v>
      </c>
      <c r="C27">
        <v>38080</v>
      </c>
      <c r="D27">
        <v>32</v>
      </c>
      <c r="E27">
        <v>2</v>
      </c>
      <c r="F27">
        <v>8</v>
      </c>
      <c r="G27">
        <v>1350.12</v>
      </c>
      <c r="H27" s="59">
        <v>27.268000000000001</v>
      </c>
      <c r="I27" s="27">
        <v>45485</v>
      </c>
      <c r="J27" s="53">
        <v>0.22194444444444444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s="66">
        <f t="shared" si="14"/>
        <v>27.111599999999999</v>
      </c>
      <c r="Y27">
        <v>3</v>
      </c>
      <c r="Z27" t="s">
        <v>7</v>
      </c>
      <c r="AA27">
        <v>38080</v>
      </c>
      <c r="AB27">
        <v>32</v>
      </c>
      <c r="AC27">
        <v>2</v>
      </c>
      <c r="AD27">
        <v>8</v>
      </c>
      <c r="AE27">
        <v>1262.99</v>
      </c>
      <c r="AF27" s="48">
        <v>29.149000000000001</v>
      </c>
      <c r="AG27" s="27">
        <v>45502</v>
      </c>
      <c r="AH27" s="53">
        <v>0.47098379629629628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s="66">
        <f t="shared" si="7"/>
        <v>29.197800000000001</v>
      </c>
      <c r="AW27">
        <v>3</v>
      </c>
      <c r="AX27" t="s">
        <v>7</v>
      </c>
      <c r="AY27">
        <v>38080</v>
      </c>
      <c r="AZ27">
        <v>32</v>
      </c>
      <c r="BA27">
        <v>2</v>
      </c>
      <c r="BB27">
        <v>8</v>
      </c>
      <c r="BC27">
        <v>1542.59</v>
      </c>
      <c r="BD27" s="61">
        <v>23.866</v>
      </c>
      <c r="BE27" s="27">
        <v>45492</v>
      </c>
      <c r="BF27" s="53">
        <v>0.43736111111111109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 s="8">
        <f t="shared" si="16"/>
        <v>23.872</v>
      </c>
      <c r="BU27">
        <v>286</v>
      </c>
      <c r="BV27" t="s">
        <v>70</v>
      </c>
      <c r="BW27">
        <v>35968</v>
      </c>
      <c r="BX27">
        <v>32</v>
      </c>
      <c r="BY27">
        <v>2</v>
      </c>
      <c r="BZ27">
        <v>8</v>
      </c>
      <c r="CA27">
        <v>1187.58</v>
      </c>
      <c r="CB27">
        <v>26.123000000000001</v>
      </c>
      <c r="CQ27" s="54">
        <f t="shared" si="18"/>
        <v>26.126666666666665</v>
      </c>
    </row>
    <row r="28" spans="1:95">
      <c r="A28">
        <v>4</v>
      </c>
      <c r="B28" t="s">
        <v>7</v>
      </c>
      <c r="C28">
        <v>38080</v>
      </c>
      <c r="D28">
        <v>32</v>
      </c>
      <c r="E28">
        <v>2</v>
      </c>
      <c r="F28">
        <v>8</v>
      </c>
      <c r="G28">
        <v>1395.19</v>
      </c>
      <c r="H28" s="59">
        <v>26.387</v>
      </c>
      <c r="I28" s="27">
        <v>45486</v>
      </c>
      <c r="J28" s="53">
        <v>0.10466435185185186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s="66">
        <f t="shared" si="14"/>
        <v>27.111599999999999</v>
      </c>
      <c r="Y28">
        <v>4</v>
      </c>
      <c r="Z28" t="s">
        <v>7</v>
      </c>
      <c r="AA28">
        <v>38080</v>
      </c>
      <c r="AB28">
        <v>32</v>
      </c>
      <c r="AC28">
        <v>2</v>
      </c>
      <c r="AD28">
        <v>8</v>
      </c>
      <c r="AE28">
        <v>1263.3</v>
      </c>
      <c r="AF28" s="48">
        <v>29.141999999999999</v>
      </c>
      <c r="AG28" s="27">
        <v>45503</v>
      </c>
      <c r="AH28" s="53">
        <v>0.26575231481481482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 s="66">
        <f t="shared" si="7"/>
        <v>29.197800000000001</v>
      </c>
      <c r="AW28">
        <v>4</v>
      </c>
      <c r="AX28" t="s">
        <v>7</v>
      </c>
      <c r="AY28">
        <v>38080</v>
      </c>
      <c r="AZ28">
        <v>32</v>
      </c>
      <c r="BA28">
        <v>2</v>
      </c>
      <c r="BB28">
        <v>8</v>
      </c>
      <c r="BC28">
        <v>1543.96</v>
      </c>
      <c r="BD28" s="61">
        <v>23.844999999999999</v>
      </c>
      <c r="BE28" s="27">
        <v>45493</v>
      </c>
      <c r="BF28" s="53">
        <v>0.52277777777777779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 s="8">
        <f t="shared" si="16"/>
        <v>23.872</v>
      </c>
      <c r="BU28">
        <v>357</v>
      </c>
      <c r="BV28" t="s">
        <v>70</v>
      </c>
      <c r="BW28">
        <v>35968</v>
      </c>
      <c r="BX28">
        <v>32</v>
      </c>
      <c r="BY28">
        <v>2</v>
      </c>
      <c r="BZ28">
        <v>8</v>
      </c>
      <c r="CA28">
        <v>1188.03</v>
      </c>
      <c r="CB28">
        <v>26.113</v>
      </c>
      <c r="CQ28" s="54">
        <f t="shared" si="18"/>
        <v>26.126666666666665</v>
      </c>
    </row>
    <row r="29" spans="1:95">
      <c r="A29">
        <v>0</v>
      </c>
      <c r="B29" t="s">
        <v>7</v>
      </c>
      <c r="C29">
        <v>40160</v>
      </c>
      <c r="D29">
        <v>32</v>
      </c>
      <c r="E29">
        <v>2</v>
      </c>
      <c r="F29">
        <v>8</v>
      </c>
      <c r="G29" s="1">
        <v>1585.83</v>
      </c>
      <c r="H29" s="59">
        <v>27.231000000000002</v>
      </c>
      <c r="I29" s="27">
        <v>45482</v>
      </c>
      <c r="J29" s="53">
        <v>0.92405092592592597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s="66">
        <f t="shared" ref="W29" si="33">AVERAGE(H29:H33)</f>
        <v>26.947600000000001</v>
      </c>
      <c r="Y29">
        <v>0</v>
      </c>
      <c r="Z29" t="s">
        <v>7</v>
      </c>
      <c r="AA29">
        <v>40160</v>
      </c>
      <c r="AB29">
        <v>32</v>
      </c>
      <c r="AC29">
        <v>2</v>
      </c>
      <c r="AD29">
        <v>8</v>
      </c>
      <c r="AE29">
        <v>1505.29</v>
      </c>
      <c r="AF29" s="48">
        <v>28.687999999999999</v>
      </c>
      <c r="AG29" s="27">
        <v>45500</v>
      </c>
      <c r="AH29" s="53">
        <v>2.8310185185185185E-2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 s="66">
        <f t="shared" ref="AU29" si="34">AVERAGE(AF29:AF33)</f>
        <v>28.695800000000002</v>
      </c>
      <c r="AW29">
        <v>0</v>
      </c>
      <c r="AX29" t="s">
        <v>7</v>
      </c>
      <c r="AY29">
        <v>40160</v>
      </c>
      <c r="AZ29">
        <v>32</v>
      </c>
      <c r="BA29">
        <v>2</v>
      </c>
      <c r="BB29">
        <v>8</v>
      </c>
      <c r="BC29">
        <v>1797.24</v>
      </c>
      <c r="BD29" s="61">
        <v>24.027999999999999</v>
      </c>
      <c r="BE29" s="27">
        <v>45489</v>
      </c>
      <c r="BF29" s="53">
        <v>0.23841435185185186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 s="8">
        <f t="shared" ref="BS29" si="35">AVERAGE(BD29:BD33)</f>
        <v>23.959799999999998</v>
      </c>
      <c r="BU29">
        <v>26</v>
      </c>
      <c r="BV29" t="s">
        <v>70</v>
      </c>
      <c r="BW29">
        <v>38144</v>
      </c>
      <c r="BX29">
        <v>32</v>
      </c>
      <c r="BY29">
        <v>2</v>
      </c>
      <c r="BZ29">
        <v>8</v>
      </c>
      <c r="CA29">
        <v>1344.95</v>
      </c>
      <c r="CB29">
        <v>27.510999999999999</v>
      </c>
      <c r="CQ29" s="54">
        <f t="shared" ref="CQ29" si="36">AVERAGE(CB29:CB34)</f>
        <v>27.490166666666667</v>
      </c>
    </row>
    <row r="30" spans="1:95">
      <c r="A30">
        <v>1</v>
      </c>
      <c r="B30" t="s">
        <v>7</v>
      </c>
      <c r="C30">
        <v>40160</v>
      </c>
      <c r="D30">
        <v>32</v>
      </c>
      <c r="E30">
        <v>2</v>
      </c>
      <c r="F30">
        <v>8</v>
      </c>
      <c r="G30">
        <v>1578.31</v>
      </c>
      <c r="H30" s="59">
        <v>27.36</v>
      </c>
      <c r="I30" s="27">
        <v>45483</v>
      </c>
      <c r="J30" s="53">
        <v>0.78901620370370373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s="66">
        <f t="shared" ref="W30" si="37">W29</f>
        <v>26.947600000000001</v>
      </c>
      <c r="Y30">
        <v>1</v>
      </c>
      <c r="Z30" t="s">
        <v>7</v>
      </c>
      <c r="AA30">
        <v>40160</v>
      </c>
      <c r="AB30">
        <v>32</v>
      </c>
      <c r="AC30">
        <v>2</v>
      </c>
      <c r="AD30">
        <v>8</v>
      </c>
      <c r="AE30">
        <v>1503.94</v>
      </c>
      <c r="AF30" s="48">
        <v>28.713000000000001</v>
      </c>
      <c r="AG30" s="27">
        <v>45501</v>
      </c>
      <c r="AH30" s="53">
        <v>0.15028935185185185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 s="66">
        <f t="shared" ref="AU30" si="38">AU29</f>
        <v>28.695800000000002</v>
      </c>
      <c r="AW30">
        <v>1</v>
      </c>
      <c r="AX30" t="s">
        <v>7</v>
      </c>
      <c r="AY30">
        <v>40160</v>
      </c>
      <c r="AZ30">
        <v>32</v>
      </c>
      <c r="BA30">
        <v>2</v>
      </c>
      <c r="BB30">
        <v>8</v>
      </c>
      <c r="BC30">
        <v>1801.2</v>
      </c>
      <c r="BD30" s="61">
        <v>23.975000000000001</v>
      </c>
      <c r="BE30" s="27">
        <v>45490</v>
      </c>
      <c r="BF30" s="53">
        <v>0.63200231481481484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 s="8">
        <f t="shared" ref="BS30" si="39">BS29</f>
        <v>23.959799999999998</v>
      </c>
      <c r="BU30">
        <v>97</v>
      </c>
      <c r="BV30" t="s">
        <v>70</v>
      </c>
      <c r="BW30">
        <v>38144</v>
      </c>
      <c r="BX30">
        <v>32</v>
      </c>
      <c r="BY30">
        <v>2</v>
      </c>
      <c r="BZ30">
        <v>8</v>
      </c>
      <c r="CA30">
        <v>1341.45</v>
      </c>
      <c r="CB30">
        <v>27.582999999999998</v>
      </c>
      <c r="CQ30" s="54">
        <f t="shared" ref="CQ30" si="40">CQ29</f>
        <v>27.490166666666667</v>
      </c>
    </row>
    <row r="31" spans="1:95">
      <c r="A31">
        <v>2</v>
      </c>
      <c r="B31" t="s">
        <v>7</v>
      </c>
      <c r="C31">
        <v>40160</v>
      </c>
      <c r="D31">
        <v>32</v>
      </c>
      <c r="E31">
        <v>2</v>
      </c>
      <c r="F31">
        <v>8</v>
      </c>
      <c r="G31">
        <v>1581.94</v>
      </c>
      <c r="H31" s="59">
        <v>27.297999999999998</v>
      </c>
      <c r="I31" s="27">
        <v>45484</v>
      </c>
      <c r="J31" s="53">
        <v>0.65138888888888891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s="66">
        <f t="shared" si="14"/>
        <v>26.947600000000001</v>
      </c>
      <c r="Y31">
        <v>2</v>
      </c>
      <c r="Z31" t="s">
        <v>7</v>
      </c>
      <c r="AA31">
        <v>40160</v>
      </c>
      <c r="AB31">
        <v>32</v>
      </c>
      <c r="AC31">
        <v>2</v>
      </c>
      <c r="AD31">
        <v>8</v>
      </c>
      <c r="AE31">
        <v>1503.86</v>
      </c>
      <c r="AF31" s="48">
        <v>28.715</v>
      </c>
      <c r="AG31" s="27">
        <v>45501</v>
      </c>
      <c r="AH31" s="53">
        <v>0.94487268518518519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 s="66">
        <f t="shared" si="7"/>
        <v>28.695800000000002</v>
      </c>
      <c r="AW31">
        <v>2</v>
      </c>
      <c r="AX31" t="s">
        <v>7</v>
      </c>
      <c r="AY31">
        <v>40160</v>
      </c>
      <c r="AZ31">
        <v>32</v>
      </c>
      <c r="BA31">
        <v>2</v>
      </c>
      <c r="BB31">
        <v>8</v>
      </c>
      <c r="BC31">
        <v>1798.82</v>
      </c>
      <c r="BD31" s="61">
        <v>24.006</v>
      </c>
      <c r="BE31" s="27">
        <v>45491</v>
      </c>
      <c r="BF31" s="53">
        <v>0.71769675925925924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 s="8">
        <f t="shared" si="16"/>
        <v>23.959799999999998</v>
      </c>
      <c r="BU31">
        <v>168</v>
      </c>
      <c r="BV31" t="s">
        <v>70</v>
      </c>
      <c r="BW31">
        <v>38144</v>
      </c>
      <c r="BX31">
        <v>32</v>
      </c>
      <c r="BY31">
        <v>2</v>
      </c>
      <c r="BZ31">
        <v>8</v>
      </c>
      <c r="CA31">
        <v>1345.37</v>
      </c>
      <c r="CB31">
        <v>27.501999999999999</v>
      </c>
      <c r="CQ31" s="54">
        <f t="shared" si="18"/>
        <v>27.490166666666667</v>
      </c>
    </row>
    <row r="32" spans="1:95">
      <c r="A32">
        <v>3</v>
      </c>
      <c r="B32" t="s">
        <v>7</v>
      </c>
      <c r="C32">
        <v>40160</v>
      </c>
      <c r="D32">
        <v>32</v>
      </c>
      <c r="E32">
        <v>2</v>
      </c>
      <c r="F32">
        <v>8</v>
      </c>
      <c r="G32">
        <v>1630.85</v>
      </c>
      <c r="H32" s="59">
        <v>26.478999999999999</v>
      </c>
      <c r="I32" s="27">
        <v>45485</v>
      </c>
      <c r="J32" s="53">
        <v>0.5173726851851852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s="66">
        <f t="shared" si="14"/>
        <v>26.947600000000001</v>
      </c>
      <c r="Y32">
        <v>3</v>
      </c>
      <c r="Z32" t="s">
        <v>7</v>
      </c>
      <c r="AA32">
        <v>40160</v>
      </c>
      <c r="AB32">
        <v>32</v>
      </c>
      <c r="AC32">
        <v>2</v>
      </c>
      <c r="AD32">
        <v>8</v>
      </c>
      <c r="AE32" s="1">
        <v>1506.82</v>
      </c>
      <c r="AF32" s="48">
        <v>28.658999999999999</v>
      </c>
      <c r="AG32" s="27">
        <v>45502</v>
      </c>
      <c r="AH32" s="53">
        <v>0.73938657407407404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 s="66">
        <f t="shared" si="7"/>
        <v>28.695800000000002</v>
      </c>
      <c r="AW32">
        <v>3</v>
      </c>
      <c r="AX32" t="s">
        <v>7</v>
      </c>
      <c r="AY32">
        <v>40160</v>
      </c>
      <c r="AZ32">
        <v>32</v>
      </c>
      <c r="BA32">
        <v>2</v>
      </c>
      <c r="BB32">
        <v>8</v>
      </c>
      <c r="BC32">
        <v>1807.43</v>
      </c>
      <c r="BD32" s="61">
        <v>23.891999999999999</v>
      </c>
      <c r="BE32" s="27">
        <v>45492</v>
      </c>
      <c r="BF32" s="53">
        <v>0.80312499999999998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 s="8">
        <f t="shared" si="16"/>
        <v>23.959799999999998</v>
      </c>
      <c r="BU32">
        <v>239</v>
      </c>
      <c r="BV32" t="s">
        <v>70</v>
      </c>
      <c r="BW32">
        <v>38144</v>
      </c>
      <c r="BX32">
        <v>32</v>
      </c>
      <c r="BY32">
        <v>2</v>
      </c>
      <c r="BZ32">
        <v>8</v>
      </c>
      <c r="CA32">
        <v>1347.99</v>
      </c>
      <c r="CB32">
        <v>27.449000000000002</v>
      </c>
      <c r="CQ32" s="54">
        <f t="shared" si="18"/>
        <v>27.490166666666667</v>
      </c>
    </row>
    <row r="33" spans="1:95">
      <c r="A33">
        <v>4</v>
      </c>
      <c r="B33" t="s">
        <v>7</v>
      </c>
      <c r="C33">
        <v>40160</v>
      </c>
      <c r="D33">
        <v>32</v>
      </c>
      <c r="E33">
        <v>2</v>
      </c>
      <c r="F33">
        <v>8</v>
      </c>
      <c r="G33">
        <v>1637.6</v>
      </c>
      <c r="H33" s="59">
        <v>26.37</v>
      </c>
      <c r="I33" s="27">
        <v>45486</v>
      </c>
      <c r="J33" s="53">
        <v>0.40577546296296296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s="66">
        <f t="shared" si="14"/>
        <v>26.947600000000001</v>
      </c>
      <c r="Y33">
        <v>4</v>
      </c>
      <c r="Z33" t="s">
        <v>7</v>
      </c>
      <c r="AA33">
        <v>40160</v>
      </c>
      <c r="AB33">
        <v>32</v>
      </c>
      <c r="AC33">
        <v>2</v>
      </c>
      <c r="AD33">
        <v>8</v>
      </c>
      <c r="AE33">
        <v>1504.42</v>
      </c>
      <c r="AF33" s="48">
        <v>28.704000000000001</v>
      </c>
      <c r="AG33" s="27">
        <v>45503</v>
      </c>
      <c r="AH33" s="53">
        <v>0.53431712962962963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 s="66">
        <f t="shared" si="7"/>
        <v>28.695800000000002</v>
      </c>
      <c r="AW33">
        <v>4</v>
      </c>
      <c r="AX33" t="s">
        <v>7</v>
      </c>
      <c r="AY33">
        <v>40160</v>
      </c>
      <c r="AZ33">
        <v>32</v>
      </c>
      <c r="BA33">
        <v>2</v>
      </c>
      <c r="BB33">
        <v>8</v>
      </c>
      <c r="BC33">
        <v>1806.95</v>
      </c>
      <c r="BD33" s="61">
        <v>23.898</v>
      </c>
      <c r="BE33" s="27">
        <v>45493</v>
      </c>
      <c r="BF33" s="53">
        <v>0.88875000000000004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 s="8">
        <f t="shared" si="16"/>
        <v>23.959799999999998</v>
      </c>
      <c r="BU33">
        <v>310</v>
      </c>
      <c r="BV33" t="s">
        <v>70</v>
      </c>
      <c r="BW33">
        <v>38144</v>
      </c>
      <c r="BX33">
        <v>32</v>
      </c>
      <c r="BY33">
        <v>2</v>
      </c>
      <c r="BZ33">
        <v>8</v>
      </c>
      <c r="CA33">
        <v>1348.05</v>
      </c>
      <c r="CB33">
        <v>27.448</v>
      </c>
      <c r="CQ33" s="54">
        <f t="shared" si="18"/>
        <v>27.490166666666667</v>
      </c>
    </row>
    <row r="34" spans="1:95">
      <c r="A34">
        <v>0</v>
      </c>
      <c r="B34" t="s">
        <v>7</v>
      </c>
      <c r="C34">
        <v>36000</v>
      </c>
      <c r="D34">
        <v>32</v>
      </c>
      <c r="E34">
        <v>4</v>
      </c>
      <c r="F34">
        <v>4</v>
      </c>
      <c r="G34" s="1">
        <v>1193.1099999999999</v>
      </c>
      <c r="H34" s="59">
        <v>26.071000000000002</v>
      </c>
      <c r="I34" s="27">
        <v>45482</v>
      </c>
      <c r="J34" s="53">
        <v>0.39685185185185184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s="66">
        <f t="shared" ref="W34" si="41">AVERAGE(H34:H38)</f>
        <v>25.848399999999998</v>
      </c>
      <c r="Y34">
        <v>0</v>
      </c>
      <c r="Z34" t="s">
        <v>7</v>
      </c>
      <c r="AA34">
        <v>36000</v>
      </c>
      <c r="AB34">
        <v>32</v>
      </c>
      <c r="AC34">
        <v>4</v>
      </c>
      <c r="AD34">
        <v>4</v>
      </c>
      <c r="AE34">
        <v>1135.71</v>
      </c>
      <c r="AF34" s="48">
        <v>27.388999999999999</v>
      </c>
      <c r="AG34" s="27">
        <v>45499</v>
      </c>
      <c r="AH34" s="53">
        <v>0.5448263888888889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 s="66">
        <f t="shared" ref="AU34" si="42">AVERAGE(AF34:AF38)</f>
        <v>27.448599999999999</v>
      </c>
      <c r="AW34">
        <v>0</v>
      </c>
      <c r="AX34" t="s">
        <v>7</v>
      </c>
      <c r="AY34">
        <v>36000</v>
      </c>
      <c r="AZ34">
        <v>32</v>
      </c>
      <c r="BA34">
        <v>4</v>
      </c>
      <c r="BB34">
        <v>4</v>
      </c>
      <c r="BC34">
        <v>1391.32</v>
      </c>
      <c r="BD34" s="61">
        <v>22.356999999999999</v>
      </c>
      <c r="BE34" s="27">
        <v>45488</v>
      </c>
      <c r="BF34" s="53">
        <v>0.57103009259259263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 s="8">
        <f t="shared" ref="BS34" si="43">AVERAGE(BD34:BD38)</f>
        <v>22.3202</v>
      </c>
      <c r="BU34">
        <v>381</v>
      </c>
      <c r="BV34" t="s">
        <v>70</v>
      </c>
      <c r="BW34">
        <v>38144</v>
      </c>
      <c r="BX34">
        <v>32</v>
      </c>
      <c r="BY34">
        <v>2</v>
      </c>
      <c r="BZ34">
        <v>8</v>
      </c>
      <c r="CA34">
        <v>1348.04</v>
      </c>
      <c r="CB34">
        <v>27.448</v>
      </c>
      <c r="CQ34" s="54">
        <f t="shared" si="18"/>
        <v>27.490166666666667</v>
      </c>
    </row>
    <row r="35" spans="1:95">
      <c r="A35">
        <v>1</v>
      </c>
      <c r="B35" t="s">
        <v>7</v>
      </c>
      <c r="C35">
        <v>36000</v>
      </c>
      <c r="D35">
        <v>32</v>
      </c>
      <c r="E35">
        <v>4</v>
      </c>
      <c r="F35">
        <v>4</v>
      </c>
      <c r="G35">
        <v>1195.48</v>
      </c>
      <c r="H35" s="59">
        <v>26.02</v>
      </c>
      <c r="I35" s="27">
        <v>45483</v>
      </c>
      <c r="J35" s="53">
        <v>0.2572800925925926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s="66">
        <f t="shared" ref="W35" si="44">W34</f>
        <v>25.848399999999998</v>
      </c>
      <c r="Y35">
        <v>1</v>
      </c>
      <c r="Z35" t="s">
        <v>7</v>
      </c>
      <c r="AA35">
        <v>36000</v>
      </c>
      <c r="AB35">
        <v>32</v>
      </c>
      <c r="AC35">
        <v>4</v>
      </c>
      <c r="AD35">
        <v>4</v>
      </c>
      <c r="AE35">
        <v>1136.6400000000001</v>
      </c>
      <c r="AF35" s="48">
        <v>27.367000000000001</v>
      </c>
      <c r="AG35" s="27">
        <v>45500</v>
      </c>
      <c r="AH35" s="53">
        <v>0.66557870370370376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 s="66">
        <f t="shared" ref="AU35" si="45">AU34</f>
        <v>27.448599999999999</v>
      </c>
      <c r="AW35">
        <v>1</v>
      </c>
      <c r="AX35" t="s">
        <v>7</v>
      </c>
      <c r="AY35">
        <v>36000</v>
      </c>
      <c r="AZ35">
        <v>32</v>
      </c>
      <c r="BA35">
        <v>4</v>
      </c>
      <c r="BB35">
        <v>4</v>
      </c>
      <c r="BC35">
        <v>1390.66</v>
      </c>
      <c r="BD35" s="61">
        <v>22.367999999999999</v>
      </c>
      <c r="BE35" s="27">
        <v>45489</v>
      </c>
      <c r="BF35" s="53">
        <v>0.96497685185185189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 s="8">
        <f t="shared" ref="BS35" si="46">BS34</f>
        <v>22.3202</v>
      </c>
      <c r="BU35">
        <v>50</v>
      </c>
      <c r="BV35" t="s">
        <v>70</v>
      </c>
      <c r="BW35">
        <v>40320</v>
      </c>
      <c r="BX35">
        <v>32</v>
      </c>
      <c r="BY35">
        <v>2</v>
      </c>
      <c r="BZ35">
        <v>8</v>
      </c>
      <c r="CA35">
        <v>1608.34</v>
      </c>
      <c r="CB35">
        <v>27.172000000000001</v>
      </c>
      <c r="CQ35" s="54">
        <f t="shared" ref="CQ35" si="47">AVERAGE(CB35:CB40)</f>
        <v>27.123000000000001</v>
      </c>
    </row>
    <row r="36" spans="1:95">
      <c r="A36">
        <v>2</v>
      </c>
      <c r="B36" t="s">
        <v>7</v>
      </c>
      <c r="C36">
        <v>36000</v>
      </c>
      <c r="D36">
        <v>32</v>
      </c>
      <c r="E36">
        <v>4</v>
      </c>
      <c r="F36">
        <v>4</v>
      </c>
      <c r="G36">
        <v>1199.8900000000001</v>
      </c>
      <c r="H36" s="59">
        <v>25.923999999999999</v>
      </c>
      <c r="I36" s="27">
        <v>45484</v>
      </c>
      <c r="J36" s="53">
        <v>0.12226851851851851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s="66">
        <f t="shared" si="14"/>
        <v>25.848399999999998</v>
      </c>
      <c r="Y36">
        <v>2</v>
      </c>
      <c r="Z36" t="s">
        <v>7</v>
      </c>
      <c r="AA36">
        <v>36000</v>
      </c>
      <c r="AB36">
        <v>32</v>
      </c>
      <c r="AC36">
        <v>4</v>
      </c>
      <c r="AD36">
        <v>4</v>
      </c>
      <c r="AE36">
        <v>1133.19</v>
      </c>
      <c r="AF36" s="48">
        <v>27.45</v>
      </c>
      <c r="AG36" s="27">
        <v>45501</v>
      </c>
      <c r="AH36" s="53">
        <v>0.45944444444444443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 s="66">
        <f t="shared" si="7"/>
        <v>27.448599999999999</v>
      </c>
      <c r="AW36">
        <v>2</v>
      </c>
      <c r="AX36" t="s">
        <v>7</v>
      </c>
      <c r="AY36">
        <v>36000</v>
      </c>
      <c r="AZ36">
        <v>32</v>
      </c>
      <c r="BA36">
        <v>4</v>
      </c>
      <c r="BB36">
        <v>4</v>
      </c>
      <c r="BC36">
        <v>1396</v>
      </c>
      <c r="BD36" s="61">
        <v>22.282</v>
      </c>
      <c r="BE36" s="27">
        <v>45491</v>
      </c>
      <c r="BF36" s="53">
        <v>5.0370370370370371E-2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 s="8">
        <f t="shared" si="16"/>
        <v>22.3202</v>
      </c>
      <c r="BU36">
        <v>121</v>
      </c>
      <c r="BV36" t="s">
        <v>70</v>
      </c>
      <c r="BW36">
        <v>40320</v>
      </c>
      <c r="BX36">
        <v>32</v>
      </c>
      <c r="BY36">
        <v>2</v>
      </c>
      <c r="BZ36">
        <v>8</v>
      </c>
      <c r="CA36">
        <v>1609.25</v>
      </c>
      <c r="CB36">
        <v>27.155999999999999</v>
      </c>
      <c r="CQ36" s="54">
        <f t="shared" ref="CQ36" si="48">CQ35</f>
        <v>27.123000000000001</v>
      </c>
    </row>
    <row r="37" spans="1:95">
      <c r="A37">
        <v>3</v>
      </c>
      <c r="B37" t="s">
        <v>7</v>
      </c>
      <c r="C37">
        <v>36000</v>
      </c>
      <c r="D37">
        <v>32</v>
      </c>
      <c r="E37">
        <v>4</v>
      </c>
      <c r="F37">
        <v>4</v>
      </c>
      <c r="G37">
        <v>1194.9100000000001</v>
      </c>
      <c r="H37" s="59">
        <v>26.032</v>
      </c>
      <c r="I37" s="27">
        <v>45484</v>
      </c>
      <c r="J37" s="53">
        <v>0.98476851851851854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s="66">
        <f t="shared" si="14"/>
        <v>25.848399999999998</v>
      </c>
      <c r="Y37">
        <v>3</v>
      </c>
      <c r="Z37" t="s">
        <v>7</v>
      </c>
      <c r="AA37">
        <v>36000</v>
      </c>
      <c r="AB37">
        <v>32</v>
      </c>
      <c r="AC37">
        <v>4</v>
      </c>
      <c r="AD37">
        <v>4</v>
      </c>
      <c r="AE37">
        <v>1131.94</v>
      </c>
      <c r="AF37" s="48">
        <v>27.48</v>
      </c>
      <c r="AG37" s="27">
        <v>45502</v>
      </c>
      <c r="AH37" s="53">
        <v>0.25446759259259261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s="66">
        <f t="shared" si="7"/>
        <v>27.448599999999999</v>
      </c>
      <c r="AW37">
        <v>3</v>
      </c>
      <c r="AX37" t="s">
        <v>7</v>
      </c>
      <c r="AY37">
        <v>36000</v>
      </c>
      <c r="AZ37">
        <v>32</v>
      </c>
      <c r="BA37">
        <v>4</v>
      </c>
      <c r="BB37">
        <v>4</v>
      </c>
      <c r="BC37">
        <v>1392.41</v>
      </c>
      <c r="BD37" s="61">
        <v>22.34</v>
      </c>
      <c r="BE37" s="27">
        <v>45492</v>
      </c>
      <c r="BF37" s="53">
        <v>0.13547453703703705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 s="8">
        <f t="shared" si="16"/>
        <v>22.3202</v>
      </c>
      <c r="BU37">
        <v>192</v>
      </c>
      <c r="BV37" t="s">
        <v>70</v>
      </c>
      <c r="BW37">
        <v>40320</v>
      </c>
      <c r="BX37">
        <v>32</v>
      </c>
      <c r="BY37">
        <v>2</v>
      </c>
      <c r="BZ37">
        <v>8</v>
      </c>
      <c r="CA37">
        <v>1611.11</v>
      </c>
      <c r="CB37">
        <v>27.125</v>
      </c>
      <c r="CQ37" s="54">
        <f t="shared" si="18"/>
        <v>27.123000000000001</v>
      </c>
    </row>
    <row r="38" spans="1:95">
      <c r="A38">
        <v>4</v>
      </c>
      <c r="B38" t="s">
        <v>7</v>
      </c>
      <c r="C38">
        <v>36000</v>
      </c>
      <c r="D38">
        <v>32</v>
      </c>
      <c r="E38">
        <v>4</v>
      </c>
      <c r="F38">
        <v>4</v>
      </c>
      <c r="G38">
        <v>1234.58</v>
      </c>
      <c r="H38" s="59">
        <v>25.195</v>
      </c>
      <c r="I38" s="27">
        <v>45485</v>
      </c>
      <c r="J38" s="53">
        <v>0.8606597222222222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s="66">
        <f t="shared" si="14"/>
        <v>25.848399999999998</v>
      </c>
      <c r="Y38">
        <v>4</v>
      </c>
      <c r="Z38" t="s">
        <v>7</v>
      </c>
      <c r="AA38">
        <v>36000</v>
      </c>
      <c r="AB38">
        <v>32</v>
      </c>
      <c r="AC38">
        <v>4</v>
      </c>
      <c r="AD38">
        <v>4</v>
      </c>
      <c r="AE38" s="1">
        <v>1128.79</v>
      </c>
      <c r="AF38" s="48">
        <v>27.556999999999999</v>
      </c>
      <c r="AG38" s="27">
        <v>45503</v>
      </c>
      <c r="AH38" s="53">
        <v>4.9351851851851855E-2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s="66">
        <f t="shared" si="7"/>
        <v>27.448599999999999</v>
      </c>
      <c r="AW38">
        <v>4</v>
      </c>
      <c r="AX38" t="s">
        <v>7</v>
      </c>
      <c r="AY38">
        <v>36000</v>
      </c>
      <c r="AZ38">
        <v>32</v>
      </c>
      <c r="BA38">
        <v>4</v>
      </c>
      <c r="BB38">
        <v>4</v>
      </c>
      <c r="BC38">
        <v>1397.8</v>
      </c>
      <c r="BD38" s="61">
        <v>22.254000000000001</v>
      </c>
      <c r="BE38" s="27">
        <v>45493</v>
      </c>
      <c r="BF38" s="53">
        <v>0.22082175925925926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 s="8">
        <f t="shared" si="16"/>
        <v>22.3202</v>
      </c>
      <c r="BU38">
        <v>263</v>
      </c>
      <c r="BV38" t="s">
        <v>70</v>
      </c>
      <c r="BW38">
        <v>40320</v>
      </c>
      <c r="BX38">
        <v>32</v>
      </c>
      <c r="BY38">
        <v>2</v>
      </c>
      <c r="BZ38">
        <v>8</v>
      </c>
      <c r="CA38">
        <v>1609.49</v>
      </c>
      <c r="CB38">
        <v>27.152000000000001</v>
      </c>
      <c r="CQ38" s="54">
        <f t="shared" si="18"/>
        <v>27.123000000000001</v>
      </c>
    </row>
    <row r="39" spans="1:95">
      <c r="A39">
        <v>0</v>
      </c>
      <c r="B39" t="s">
        <v>7</v>
      </c>
      <c r="C39">
        <v>38080</v>
      </c>
      <c r="D39">
        <v>32</v>
      </c>
      <c r="E39">
        <v>4</v>
      </c>
      <c r="F39">
        <v>4</v>
      </c>
      <c r="G39" s="1">
        <v>1390.34</v>
      </c>
      <c r="H39" s="59">
        <v>26.478999999999999</v>
      </c>
      <c r="I39" s="27">
        <v>45482</v>
      </c>
      <c r="J39" s="53">
        <v>0.6498842592592593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s="66">
        <f t="shared" ref="W39" si="49">AVERAGE(H39:H43)</f>
        <v>26.345799999999997</v>
      </c>
      <c r="Y39">
        <v>0</v>
      </c>
      <c r="Z39" t="s">
        <v>7</v>
      </c>
      <c r="AA39">
        <v>38080</v>
      </c>
      <c r="AB39">
        <v>32</v>
      </c>
      <c r="AC39">
        <v>4</v>
      </c>
      <c r="AD39">
        <v>4</v>
      </c>
      <c r="AE39">
        <v>1321.66</v>
      </c>
      <c r="AF39" s="48">
        <v>27.855</v>
      </c>
      <c r="AG39" s="27">
        <v>45499</v>
      </c>
      <c r="AH39" s="53">
        <v>0.77653935185185186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s="66">
        <f t="shared" ref="AU39" si="50">AVERAGE(AF39:AF43)</f>
        <v>27.963999999999999</v>
      </c>
      <c r="AW39">
        <v>0</v>
      </c>
      <c r="AX39" t="s">
        <v>7</v>
      </c>
      <c r="AY39">
        <v>38080</v>
      </c>
      <c r="AZ39">
        <v>32</v>
      </c>
      <c r="BA39">
        <v>4</v>
      </c>
      <c r="BB39">
        <v>4</v>
      </c>
      <c r="BC39">
        <v>1604.5</v>
      </c>
      <c r="BD39" s="61">
        <v>22.945</v>
      </c>
      <c r="BE39" s="27">
        <v>45488</v>
      </c>
      <c r="BF39" s="53">
        <v>0.89222222222222225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 s="8">
        <f t="shared" ref="BS39" si="51">AVERAGE(BD39:BD43)</f>
        <v>22.964199999999998</v>
      </c>
      <c r="BU39">
        <v>334</v>
      </c>
      <c r="BV39" t="s">
        <v>70</v>
      </c>
      <c r="BW39">
        <v>40320</v>
      </c>
      <c r="BX39">
        <v>32</v>
      </c>
      <c r="BY39">
        <v>2</v>
      </c>
      <c r="BZ39">
        <v>8</v>
      </c>
      <c r="CA39">
        <v>1617.48</v>
      </c>
      <c r="CB39">
        <v>27.018000000000001</v>
      </c>
      <c r="CQ39" s="54">
        <f t="shared" si="18"/>
        <v>27.123000000000001</v>
      </c>
    </row>
    <row r="40" spans="1:95">
      <c r="A40">
        <v>1</v>
      </c>
      <c r="B40" t="s">
        <v>7</v>
      </c>
      <c r="C40">
        <v>38080</v>
      </c>
      <c r="D40">
        <v>32</v>
      </c>
      <c r="E40">
        <v>4</v>
      </c>
      <c r="F40">
        <v>4</v>
      </c>
      <c r="G40">
        <v>1391.46</v>
      </c>
      <c r="H40" s="59">
        <v>26.457999999999998</v>
      </c>
      <c r="I40" s="27">
        <v>45483</v>
      </c>
      <c r="J40" s="53">
        <v>0.5122916666666667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 s="66">
        <f t="shared" ref="W40" si="52">W39</f>
        <v>26.345799999999997</v>
      </c>
      <c r="Y40">
        <v>1</v>
      </c>
      <c r="Z40" t="s">
        <v>7</v>
      </c>
      <c r="AA40">
        <v>38080</v>
      </c>
      <c r="AB40">
        <v>32</v>
      </c>
      <c r="AC40">
        <v>4</v>
      </c>
      <c r="AD40">
        <v>4</v>
      </c>
      <c r="AE40">
        <v>1315.63</v>
      </c>
      <c r="AF40" s="48">
        <v>27.983000000000001</v>
      </c>
      <c r="AG40" s="27">
        <v>45500</v>
      </c>
      <c r="AH40" s="53">
        <v>0.8981365740740741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s="66">
        <f t="shared" ref="AU40" si="53">AU39</f>
        <v>27.963999999999999</v>
      </c>
      <c r="AW40">
        <v>1</v>
      </c>
      <c r="AX40" t="s">
        <v>7</v>
      </c>
      <c r="AY40">
        <v>38080</v>
      </c>
      <c r="AZ40">
        <v>32</v>
      </c>
      <c r="BA40">
        <v>4</v>
      </c>
      <c r="BB40">
        <v>4</v>
      </c>
      <c r="BC40">
        <v>1610.9</v>
      </c>
      <c r="BD40" s="61">
        <v>22.853999999999999</v>
      </c>
      <c r="BE40" s="27">
        <v>45490</v>
      </c>
      <c r="BF40" s="53">
        <v>0.28569444444444442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 s="8">
        <f t="shared" ref="BS40" si="54">BS39</f>
        <v>22.964199999999998</v>
      </c>
      <c r="BU40">
        <v>405</v>
      </c>
      <c r="BV40" t="s">
        <v>70</v>
      </c>
      <c r="BW40">
        <v>40320</v>
      </c>
      <c r="BX40">
        <v>32</v>
      </c>
      <c r="BY40">
        <v>2</v>
      </c>
      <c r="BZ40">
        <v>8</v>
      </c>
      <c r="CA40">
        <v>1611.73</v>
      </c>
      <c r="CB40">
        <v>27.114999999999998</v>
      </c>
      <c r="CQ40" s="54">
        <f t="shared" si="18"/>
        <v>27.123000000000001</v>
      </c>
    </row>
    <row r="41" spans="1:95">
      <c r="A41">
        <v>2</v>
      </c>
      <c r="B41" t="s">
        <v>7</v>
      </c>
      <c r="C41">
        <v>38080</v>
      </c>
      <c r="D41">
        <v>32</v>
      </c>
      <c r="E41">
        <v>4</v>
      </c>
      <c r="F41">
        <v>4</v>
      </c>
      <c r="G41">
        <v>1386.05</v>
      </c>
      <c r="H41" s="59">
        <v>26.561</v>
      </c>
      <c r="I41" s="27">
        <v>45484</v>
      </c>
      <c r="J41" s="53">
        <v>0.37506944444444446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 s="66">
        <f t="shared" si="14"/>
        <v>26.345799999999997</v>
      </c>
      <c r="Y41">
        <v>2</v>
      </c>
      <c r="Z41" t="s">
        <v>7</v>
      </c>
      <c r="AA41">
        <v>38080</v>
      </c>
      <c r="AB41">
        <v>32</v>
      </c>
      <c r="AC41">
        <v>4</v>
      </c>
      <c r="AD41">
        <v>4</v>
      </c>
      <c r="AE41" s="1">
        <v>1314.75</v>
      </c>
      <c r="AF41" s="48">
        <v>28.001999999999999</v>
      </c>
      <c r="AG41" s="27">
        <v>45501</v>
      </c>
      <c r="AH41" s="53">
        <v>0.69219907407407411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s="66">
        <f t="shared" si="7"/>
        <v>27.963999999999999</v>
      </c>
      <c r="AW41">
        <v>2</v>
      </c>
      <c r="AX41" t="s">
        <v>7</v>
      </c>
      <c r="AY41">
        <v>38080</v>
      </c>
      <c r="AZ41">
        <v>32</v>
      </c>
      <c r="BA41">
        <v>4</v>
      </c>
      <c r="BB41">
        <v>4</v>
      </c>
      <c r="BC41">
        <v>1600.55</v>
      </c>
      <c r="BD41" s="61">
        <v>23.001000000000001</v>
      </c>
      <c r="BE41" s="27">
        <v>45491</v>
      </c>
      <c r="BF41" s="53">
        <v>0.37177083333333333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 s="8">
        <f t="shared" si="16"/>
        <v>22.964199999999998</v>
      </c>
      <c r="BU41">
        <v>3</v>
      </c>
      <c r="BV41" t="s">
        <v>70</v>
      </c>
      <c r="BW41">
        <v>35968</v>
      </c>
      <c r="BX41">
        <v>32</v>
      </c>
      <c r="BY41">
        <v>4</v>
      </c>
      <c r="BZ41">
        <v>4</v>
      </c>
      <c r="CA41">
        <v>1193.4000000000001</v>
      </c>
      <c r="CB41">
        <v>25.995999999999999</v>
      </c>
      <c r="CQ41" s="54">
        <f t="shared" ref="CQ41" si="55">AVERAGE(CB41:CB46)</f>
        <v>26.077499999999997</v>
      </c>
    </row>
    <row r="42" spans="1:95">
      <c r="A42">
        <v>3</v>
      </c>
      <c r="B42" t="s">
        <v>7</v>
      </c>
      <c r="C42">
        <v>38080</v>
      </c>
      <c r="D42">
        <v>32</v>
      </c>
      <c r="E42">
        <v>4</v>
      </c>
      <c r="F42">
        <v>4</v>
      </c>
      <c r="G42">
        <v>1388.57</v>
      </c>
      <c r="H42" s="59">
        <v>26.513000000000002</v>
      </c>
      <c r="I42" s="27">
        <v>45485</v>
      </c>
      <c r="J42" s="53">
        <v>0.23828703703703705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s="66">
        <f t="shared" si="14"/>
        <v>26.345799999999997</v>
      </c>
      <c r="Y42">
        <v>3</v>
      </c>
      <c r="Z42" t="s">
        <v>7</v>
      </c>
      <c r="AA42">
        <v>38080</v>
      </c>
      <c r="AB42">
        <v>32</v>
      </c>
      <c r="AC42">
        <v>4</v>
      </c>
      <c r="AD42">
        <v>4</v>
      </c>
      <c r="AE42">
        <v>1315.89</v>
      </c>
      <c r="AF42" s="48">
        <v>27.977</v>
      </c>
      <c r="AG42" s="27">
        <v>45502</v>
      </c>
      <c r="AH42" s="53">
        <v>0.48650462962962965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s="66">
        <f t="shared" si="7"/>
        <v>27.963999999999999</v>
      </c>
      <c r="AW42">
        <v>3</v>
      </c>
      <c r="AX42" t="s">
        <v>7</v>
      </c>
      <c r="AY42">
        <v>38080</v>
      </c>
      <c r="AZ42">
        <v>32</v>
      </c>
      <c r="BA42">
        <v>4</v>
      </c>
      <c r="BB42">
        <v>4</v>
      </c>
      <c r="BC42">
        <v>1600.46</v>
      </c>
      <c r="BD42" s="61">
        <v>23.003</v>
      </c>
      <c r="BE42" s="27">
        <v>45492</v>
      </c>
      <c r="BF42" s="53">
        <v>0.45678240740740739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 s="8">
        <f t="shared" si="16"/>
        <v>22.964199999999998</v>
      </c>
      <c r="BU42">
        <v>74</v>
      </c>
      <c r="BV42" t="s">
        <v>70</v>
      </c>
      <c r="BW42">
        <v>35968</v>
      </c>
      <c r="BX42">
        <v>32</v>
      </c>
      <c r="BY42">
        <v>4</v>
      </c>
      <c r="BZ42">
        <v>4</v>
      </c>
      <c r="CA42">
        <v>1188.57</v>
      </c>
      <c r="CB42">
        <v>26.100999999999999</v>
      </c>
      <c r="CQ42" s="54">
        <f t="shared" ref="CQ42" si="56">CQ41</f>
        <v>26.077499999999997</v>
      </c>
    </row>
    <row r="43" spans="1:95">
      <c r="A43">
        <v>4</v>
      </c>
      <c r="B43" t="s">
        <v>7</v>
      </c>
      <c r="C43">
        <v>38080</v>
      </c>
      <c r="D43">
        <v>32</v>
      </c>
      <c r="E43">
        <v>4</v>
      </c>
      <c r="F43">
        <v>4</v>
      </c>
      <c r="G43">
        <v>1431.46</v>
      </c>
      <c r="H43" s="59">
        <v>25.718</v>
      </c>
      <c r="I43" s="27">
        <v>45486</v>
      </c>
      <c r="J43" s="53">
        <v>0.12152777777777778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s="66">
        <f t="shared" si="14"/>
        <v>26.345799999999997</v>
      </c>
      <c r="Y43">
        <v>4</v>
      </c>
      <c r="Z43" t="s">
        <v>7</v>
      </c>
      <c r="AA43">
        <v>38080</v>
      </c>
      <c r="AB43">
        <v>32</v>
      </c>
      <c r="AC43">
        <v>4</v>
      </c>
      <c r="AD43">
        <v>4</v>
      </c>
      <c r="AE43">
        <v>1314.7</v>
      </c>
      <c r="AF43" s="48">
        <v>28.003</v>
      </c>
      <c r="AG43" s="27">
        <v>45503</v>
      </c>
      <c r="AH43" s="53">
        <v>0.28125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s="66">
        <f t="shared" si="7"/>
        <v>27.963999999999999</v>
      </c>
      <c r="AW43">
        <v>4</v>
      </c>
      <c r="AX43" t="s">
        <v>7</v>
      </c>
      <c r="AY43">
        <v>38080</v>
      </c>
      <c r="AZ43">
        <v>32</v>
      </c>
      <c r="BA43">
        <v>4</v>
      </c>
      <c r="BB43">
        <v>4</v>
      </c>
      <c r="BC43">
        <v>1599.38</v>
      </c>
      <c r="BD43" s="61">
        <v>23.018000000000001</v>
      </c>
      <c r="BE43" s="27">
        <v>45493</v>
      </c>
      <c r="BF43" s="53">
        <v>0.54218750000000004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 s="8">
        <f t="shared" si="16"/>
        <v>22.964199999999998</v>
      </c>
      <c r="BU43">
        <v>145</v>
      </c>
      <c r="BV43" t="s">
        <v>70</v>
      </c>
      <c r="BW43">
        <v>35968</v>
      </c>
      <c r="BX43">
        <v>32</v>
      </c>
      <c r="BY43">
        <v>4</v>
      </c>
      <c r="BZ43">
        <v>4</v>
      </c>
      <c r="CA43">
        <v>1188.47</v>
      </c>
      <c r="CB43">
        <v>26.103000000000002</v>
      </c>
      <c r="CQ43" s="54">
        <f t="shared" si="18"/>
        <v>26.077499999999997</v>
      </c>
    </row>
    <row r="44" spans="1:95">
      <c r="A44">
        <v>0</v>
      </c>
      <c r="B44" t="s">
        <v>7</v>
      </c>
      <c r="C44">
        <v>40160</v>
      </c>
      <c r="D44">
        <v>32</v>
      </c>
      <c r="E44">
        <v>4</v>
      </c>
      <c r="F44">
        <v>4</v>
      </c>
      <c r="G44" s="1">
        <v>1625.93</v>
      </c>
      <c r="H44" s="59">
        <v>26.559000000000001</v>
      </c>
      <c r="I44" s="27">
        <v>45482</v>
      </c>
      <c r="J44" s="53">
        <v>0.94317129629629626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s="66">
        <f t="shared" ref="W44" si="57">AVERAGE(H44:H48)</f>
        <v>26.1692</v>
      </c>
      <c r="Y44">
        <v>0</v>
      </c>
      <c r="Z44" t="s">
        <v>7</v>
      </c>
      <c r="AA44">
        <v>40160</v>
      </c>
      <c r="AB44">
        <v>32</v>
      </c>
      <c r="AC44">
        <v>4</v>
      </c>
      <c r="AD44">
        <v>4</v>
      </c>
      <c r="AE44" s="1">
        <v>1564.21</v>
      </c>
      <c r="AF44" s="48">
        <v>27.606999999999999</v>
      </c>
      <c r="AG44" s="27">
        <v>45500</v>
      </c>
      <c r="AH44" s="53">
        <v>4.673611111111111E-2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s="66">
        <f t="shared" ref="AU44" si="58">AVERAGE(AF44:AF48)</f>
        <v>27.548999999999999</v>
      </c>
      <c r="AW44">
        <v>0</v>
      </c>
      <c r="AX44" t="s">
        <v>7</v>
      </c>
      <c r="AY44">
        <v>40160</v>
      </c>
      <c r="AZ44">
        <v>32</v>
      </c>
      <c r="BA44">
        <v>4</v>
      </c>
      <c r="BB44">
        <v>4</v>
      </c>
      <c r="BC44">
        <v>1874.78</v>
      </c>
      <c r="BD44" s="61">
        <v>23.033999999999999</v>
      </c>
      <c r="BE44" s="27">
        <v>45489</v>
      </c>
      <c r="BF44" s="53">
        <v>0.26114583333333335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 s="8">
        <f t="shared" ref="BS44" si="59">AVERAGE(BD44:BD48)</f>
        <v>22.979000000000003</v>
      </c>
      <c r="BU44">
        <v>216</v>
      </c>
      <c r="BV44" t="s">
        <v>70</v>
      </c>
      <c r="BW44">
        <v>35968</v>
      </c>
      <c r="BX44">
        <v>32</v>
      </c>
      <c r="BY44">
        <v>4</v>
      </c>
      <c r="BZ44">
        <v>4</v>
      </c>
      <c r="CA44">
        <v>1190.26</v>
      </c>
      <c r="CB44">
        <v>26.064</v>
      </c>
      <c r="CQ44" s="54">
        <f t="shared" si="18"/>
        <v>26.077499999999997</v>
      </c>
    </row>
    <row r="45" spans="1:95">
      <c r="A45">
        <v>1</v>
      </c>
      <c r="B45" t="s">
        <v>7</v>
      </c>
      <c r="C45">
        <v>40160</v>
      </c>
      <c r="D45">
        <v>32</v>
      </c>
      <c r="E45">
        <v>4</v>
      </c>
      <c r="F45">
        <v>4</v>
      </c>
      <c r="G45">
        <v>1627.54</v>
      </c>
      <c r="H45" s="59">
        <v>26.533000000000001</v>
      </c>
      <c r="I45" s="27">
        <v>45483</v>
      </c>
      <c r="J45" s="53">
        <v>0.80815972222222221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s="66">
        <f t="shared" ref="W45" si="60">W44</f>
        <v>26.1692</v>
      </c>
      <c r="Y45">
        <v>1</v>
      </c>
      <c r="Z45" t="s">
        <v>7</v>
      </c>
      <c r="AA45">
        <v>40160</v>
      </c>
      <c r="AB45">
        <v>32</v>
      </c>
      <c r="AC45">
        <v>4</v>
      </c>
      <c r="AD45">
        <v>4</v>
      </c>
      <c r="AE45">
        <v>1565.99</v>
      </c>
      <c r="AF45" s="48">
        <v>27.576000000000001</v>
      </c>
      <c r="AG45" s="27">
        <v>45501</v>
      </c>
      <c r="AH45" s="53">
        <v>0.16873842592592592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s="66">
        <f t="shared" ref="AU45" si="61">AU44</f>
        <v>27.548999999999999</v>
      </c>
      <c r="AW45">
        <v>1</v>
      </c>
      <c r="AX45" t="s">
        <v>7</v>
      </c>
      <c r="AY45">
        <v>40160</v>
      </c>
      <c r="AZ45">
        <v>32</v>
      </c>
      <c r="BA45">
        <v>4</v>
      </c>
      <c r="BB45">
        <v>4</v>
      </c>
      <c r="BC45">
        <v>1877.3</v>
      </c>
      <c r="BD45" s="61">
        <v>23.003</v>
      </c>
      <c r="BE45" s="27">
        <v>45490</v>
      </c>
      <c r="BF45" s="53">
        <v>0.65472222222222221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 s="8">
        <f t="shared" ref="BS45" si="62">BS44</f>
        <v>22.979000000000003</v>
      </c>
      <c r="BU45">
        <v>287</v>
      </c>
      <c r="BV45" t="s">
        <v>70</v>
      </c>
      <c r="BW45">
        <v>35968</v>
      </c>
      <c r="BX45">
        <v>32</v>
      </c>
      <c r="BY45">
        <v>4</v>
      </c>
      <c r="BZ45">
        <v>4</v>
      </c>
      <c r="CA45">
        <v>1188.5899999999999</v>
      </c>
      <c r="CB45">
        <v>26.100999999999999</v>
      </c>
      <c r="CQ45" s="54">
        <f t="shared" si="18"/>
        <v>26.077499999999997</v>
      </c>
    </row>
    <row r="46" spans="1:95">
      <c r="A46">
        <v>2</v>
      </c>
      <c r="B46" t="s">
        <v>7</v>
      </c>
      <c r="C46">
        <v>40160</v>
      </c>
      <c r="D46">
        <v>32</v>
      </c>
      <c r="E46">
        <v>4</v>
      </c>
      <c r="F46">
        <v>4</v>
      </c>
      <c r="G46">
        <v>1630.31</v>
      </c>
      <c r="H46" s="59">
        <v>26.488</v>
      </c>
      <c r="I46" s="27">
        <v>45484</v>
      </c>
      <c r="J46" s="53">
        <v>0.67056712962962961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s="66">
        <f t="shared" si="14"/>
        <v>26.1692</v>
      </c>
      <c r="Y46">
        <v>2</v>
      </c>
      <c r="Z46" t="s">
        <v>7</v>
      </c>
      <c r="AA46">
        <v>40160</v>
      </c>
      <c r="AB46">
        <v>32</v>
      </c>
      <c r="AC46">
        <v>4</v>
      </c>
      <c r="AD46">
        <v>4</v>
      </c>
      <c r="AE46">
        <v>1571.55</v>
      </c>
      <c r="AF46" s="48">
        <v>27.478000000000002</v>
      </c>
      <c r="AG46" s="27">
        <v>45501</v>
      </c>
      <c r="AH46" s="53">
        <v>0.96337962962962964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s="66">
        <f t="shared" si="7"/>
        <v>27.548999999999999</v>
      </c>
      <c r="AW46">
        <v>2</v>
      </c>
      <c r="AX46" t="s">
        <v>7</v>
      </c>
      <c r="AY46">
        <v>40160</v>
      </c>
      <c r="AZ46">
        <v>32</v>
      </c>
      <c r="BA46">
        <v>4</v>
      </c>
      <c r="BB46">
        <v>4</v>
      </c>
      <c r="BC46">
        <v>1882.77</v>
      </c>
      <c r="BD46" s="61">
        <v>22.936</v>
      </c>
      <c r="BE46" s="27">
        <v>45491</v>
      </c>
      <c r="BF46" s="53">
        <v>0.74048611111111107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 s="8">
        <f t="shared" si="16"/>
        <v>22.979000000000003</v>
      </c>
      <c r="BU46">
        <v>358</v>
      </c>
      <c r="BV46" t="s">
        <v>70</v>
      </c>
      <c r="BW46">
        <v>35968</v>
      </c>
      <c r="BX46">
        <v>32</v>
      </c>
      <c r="BY46">
        <v>4</v>
      </c>
      <c r="BZ46">
        <v>4</v>
      </c>
      <c r="CA46">
        <v>1188.6099999999999</v>
      </c>
      <c r="CB46">
        <v>26.1</v>
      </c>
      <c r="CQ46" s="54">
        <f t="shared" si="18"/>
        <v>26.077499999999997</v>
      </c>
    </row>
    <row r="47" spans="1:95">
      <c r="A47">
        <v>3</v>
      </c>
      <c r="B47" t="s">
        <v>7</v>
      </c>
      <c r="C47">
        <v>40160</v>
      </c>
      <c r="D47">
        <v>32</v>
      </c>
      <c r="E47">
        <v>4</v>
      </c>
      <c r="F47">
        <v>4</v>
      </c>
      <c r="G47">
        <v>1681.11</v>
      </c>
      <c r="H47" s="59">
        <v>25.687000000000001</v>
      </c>
      <c r="I47" s="27">
        <v>45485</v>
      </c>
      <c r="J47" s="53">
        <v>0.53715277777777781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 s="66">
        <f t="shared" si="14"/>
        <v>26.1692</v>
      </c>
      <c r="Y47">
        <v>3</v>
      </c>
      <c r="Z47" t="s">
        <v>7</v>
      </c>
      <c r="AA47">
        <v>40160</v>
      </c>
      <c r="AB47">
        <v>32</v>
      </c>
      <c r="AC47">
        <v>4</v>
      </c>
      <c r="AD47">
        <v>4</v>
      </c>
      <c r="AE47">
        <v>1567</v>
      </c>
      <c r="AF47" s="48">
        <v>27.558</v>
      </c>
      <c r="AG47" s="27">
        <v>45502</v>
      </c>
      <c r="AH47" s="53">
        <v>0.75783564814814819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s="66">
        <f t="shared" si="7"/>
        <v>27.548999999999999</v>
      </c>
      <c r="AW47">
        <v>3</v>
      </c>
      <c r="AX47" t="s">
        <v>7</v>
      </c>
      <c r="AY47">
        <v>40160</v>
      </c>
      <c r="AZ47">
        <v>32</v>
      </c>
      <c r="BA47">
        <v>4</v>
      </c>
      <c r="BB47">
        <v>4</v>
      </c>
      <c r="BC47">
        <v>1880.57</v>
      </c>
      <c r="BD47" s="61">
        <v>22.963000000000001</v>
      </c>
      <c r="BE47" s="27">
        <v>45492</v>
      </c>
      <c r="BF47" s="53">
        <v>0.82587962962962957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 s="8">
        <f t="shared" si="16"/>
        <v>22.979000000000003</v>
      </c>
      <c r="BU47">
        <v>27</v>
      </c>
      <c r="BV47" t="s">
        <v>70</v>
      </c>
      <c r="BW47">
        <v>38144</v>
      </c>
      <c r="BX47">
        <v>32</v>
      </c>
      <c r="BY47">
        <v>4</v>
      </c>
      <c r="BZ47">
        <v>4</v>
      </c>
      <c r="CA47">
        <v>1388.03</v>
      </c>
      <c r="CB47">
        <v>26.657</v>
      </c>
      <c r="CQ47" s="54">
        <f t="shared" ref="CQ47" si="63">AVERAGE(CB47:CB52)</f>
        <v>26.6875</v>
      </c>
    </row>
    <row r="48" spans="1:95">
      <c r="A48">
        <v>4</v>
      </c>
      <c r="B48" t="s">
        <v>7</v>
      </c>
      <c r="C48">
        <v>40160</v>
      </c>
      <c r="D48">
        <v>32</v>
      </c>
      <c r="E48">
        <v>4</v>
      </c>
      <c r="F48">
        <v>4</v>
      </c>
      <c r="G48">
        <v>1688.22</v>
      </c>
      <c r="H48" s="59">
        <v>25.579000000000001</v>
      </c>
      <c r="I48" s="27">
        <v>45486</v>
      </c>
      <c r="J48" s="53">
        <v>0.42563657407407407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s="66">
        <f t="shared" si="14"/>
        <v>26.1692</v>
      </c>
      <c r="Y48">
        <v>4</v>
      </c>
      <c r="Z48" t="s">
        <v>7</v>
      </c>
      <c r="AA48">
        <v>40160</v>
      </c>
      <c r="AB48">
        <v>32</v>
      </c>
      <c r="AC48">
        <v>4</v>
      </c>
      <c r="AD48">
        <v>4</v>
      </c>
      <c r="AE48">
        <v>1568.83</v>
      </c>
      <c r="AF48" s="48">
        <v>27.526</v>
      </c>
      <c r="AG48" s="27">
        <v>45503</v>
      </c>
      <c r="AH48" s="53">
        <v>0.55278935185185185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 s="66">
        <f t="shared" si="7"/>
        <v>27.548999999999999</v>
      </c>
      <c r="AW48">
        <v>4</v>
      </c>
      <c r="AX48" t="s">
        <v>7</v>
      </c>
      <c r="AY48">
        <v>40160</v>
      </c>
      <c r="AZ48">
        <v>32</v>
      </c>
      <c r="BA48">
        <v>4</v>
      </c>
      <c r="BB48">
        <v>4</v>
      </c>
      <c r="BC48">
        <v>1880.87</v>
      </c>
      <c r="BD48" s="61">
        <v>22.959</v>
      </c>
      <c r="BE48" s="27">
        <v>45493</v>
      </c>
      <c r="BF48" s="53">
        <v>0.91150462962962964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 s="8">
        <f t="shared" si="16"/>
        <v>22.979000000000003</v>
      </c>
      <c r="BU48">
        <v>98</v>
      </c>
      <c r="BV48" t="s">
        <v>70</v>
      </c>
      <c r="BW48">
        <v>38144</v>
      </c>
      <c r="BX48">
        <v>32</v>
      </c>
      <c r="BY48">
        <v>4</v>
      </c>
      <c r="BZ48">
        <v>4</v>
      </c>
      <c r="CA48">
        <v>1382.36</v>
      </c>
      <c r="CB48">
        <v>26.766999999999999</v>
      </c>
      <c r="CQ48" s="54">
        <f t="shared" ref="CQ48" si="64">CQ47</f>
        <v>26.6875</v>
      </c>
    </row>
    <row r="49" spans="1:95">
      <c r="A49">
        <v>0</v>
      </c>
      <c r="B49" t="s">
        <v>7</v>
      </c>
      <c r="C49">
        <v>35968</v>
      </c>
      <c r="D49">
        <v>64</v>
      </c>
      <c r="E49">
        <v>1</v>
      </c>
      <c r="F49">
        <v>16</v>
      </c>
      <c r="G49" s="1">
        <v>837.74</v>
      </c>
      <c r="H49" s="59">
        <v>37.031999999999996</v>
      </c>
      <c r="I49" s="27">
        <v>45482</v>
      </c>
      <c r="J49" s="53">
        <v>0.40682870370370372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s="66">
        <f t="shared" ref="W49" si="65">AVERAGE(H49:H53)</f>
        <v>36.826200000000007</v>
      </c>
      <c r="Y49">
        <v>0</v>
      </c>
      <c r="Z49" t="s">
        <v>7</v>
      </c>
      <c r="AA49">
        <v>35968</v>
      </c>
      <c r="AB49">
        <v>64</v>
      </c>
      <c r="AC49">
        <v>1</v>
      </c>
      <c r="AD49">
        <v>16</v>
      </c>
      <c r="AE49">
        <v>787.06</v>
      </c>
      <c r="AF49" s="48">
        <v>39.415999999999997</v>
      </c>
      <c r="AG49" s="27">
        <v>45499</v>
      </c>
      <c r="AH49" s="53">
        <v>0.55423611111111115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s="66">
        <f t="shared" ref="AU49" si="66">AVERAGE(AF49:AF53)</f>
        <v>39.628399999999999</v>
      </c>
      <c r="AW49">
        <v>0</v>
      </c>
      <c r="AX49" t="s">
        <v>7</v>
      </c>
      <c r="AY49">
        <v>35968</v>
      </c>
      <c r="AZ49">
        <v>64</v>
      </c>
      <c r="BA49">
        <v>1</v>
      </c>
      <c r="BB49">
        <v>16</v>
      </c>
      <c r="BC49">
        <v>971.13</v>
      </c>
      <c r="BD49" s="61">
        <v>31.945</v>
      </c>
      <c r="BE49" s="27">
        <v>45488</v>
      </c>
      <c r="BF49" s="53">
        <v>0.583125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 s="8">
        <f t="shared" ref="BS49" si="67">AVERAGE(BD49:BD53)</f>
        <v>31.945999999999998</v>
      </c>
      <c r="BU49">
        <v>169</v>
      </c>
      <c r="BV49" t="s">
        <v>70</v>
      </c>
      <c r="BW49">
        <v>38144</v>
      </c>
      <c r="BX49">
        <v>32</v>
      </c>
      <c r="BY49">
        <v>4</v>
      </c>
      <c r="BZ49">
        <v>4</v>
      </c>
      <c r="CA49">
        <v>1388.86</v>
      </c>
      <c r="CB49">
        <v>26.640999999999998</v>
      </c>
      <c r="CQ49" s="54">
        <f t="shared" si="18"/>
        <v>26.6875</v>
      </c>
    </row>
    <row r="50" spans="1:95">
      <c r="A50">
        <v>1</v>
      </c>
      <c r="B50" t="s">
        <v>7</v>
      </c>
      <c r="C50">
        <v>35968</v>
      </c>
      <c r="D50">
        <v>64</v>
      </c>
      <c r="E50">
        <v>1</v>
      </c>
      <c r="F50">
        <v>16</v>
      </c>
      <c r="G50">
        <v>838.11</v>
      </c>
      <c r="H50" s="59">
        <v>37.015999999999998</v>
      </c>
      <c r="I50" s="27">
        <v>45483</v>
      </c>
      <c r="J50" s="53">
        <v>0.26725694444444442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s="66">
        <f t="shared" ref="W50" si="68">W49</f>
        <v>36.826200000000007</v>
      </c>
      <c r="Y50">
        <v>1</v>
      </c>
      <c r="Z50" t="s">
        <v>7</v>
      </c>
      <c r="AA50">
        <v>35968</v>
      </c>
      <c r="AB50">
        <v>64</v>
      </c>
      <c r="AC50">
        <v>1</v>
      </c>
      <c r="AD50">
        <v>16</v>
      </c>
      <c r="AE50" s="1">
        <v>777.95</v>
      </c>
      <c r="AF50" s="48">
        <v>39.878</v>
      </c>
      <c r="AG50" s="27">
        <v>45500</v>
      </c>
      <c r="AH50" s="53">
        <v>0.67488425925925921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s="66">
        <f t="shared" ref="AU50" si="69">AU49</f>
        <v>39.628399999999999</v>
      </c>
      <c r="AW50">
        <v>1</v>
      </c>
      <c r="AX50" t="s">
        <v>7</v>
      </c>
      <c r="AY50">
        <v>35968</v>
      </c>
      <c r="AZ50">
        <v>64</v>
      </c>
      <c r="BA50">
        <v>1</v>
      </c>
      <c r="BB50">
        <v>16</v>
      </c>
      <c r="BC50">
        <v>971.09</v>
      </c>
      <c r="BD50" s="61">
        <v>31.946999999999999</v>
      </c>
      <c r="BE50" s="27">
        <v>45489</v>
      </c>
      <c r="BF50" s="53">
        <v>0.977025462962963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 s="8">
        <f t="shared" ref="BS50" si="70">BS49</f>
        <v>31.945999999999998</v>
      </c>
      <c r="BU50">
        <v>240</v>
      </c>
      <c r="BV50" t="s">
        <v>70</v>
      </c>
      <c r="BW50">
        <v>38144</v>
      </c>
      <c r="BX50">
        <v>32</v>
      </c>
      <c r="BY50">
        <v>4</v>
      </c>
      <c r="BZ50">
        <v>4</v>
      </c>
      <c r="CA50">
        <v>1389.66</v>
      </c>
      <c r="CB50">
        <v>26.626000000000001</v>
      </c>
      <c r="CQ50" s="54">
        <f t="shared" si="18"/>
        <v>26.6875</v>
      </c>
    </row>
    <row r="51" spans="1:95">
      <c r="A51">
        <v>2</v>
      </c>
      <c r="B51" t="s">
        <v>7</v>
      </c>
      <c r="C51">
        <v>35968</v>
      </c>
      <c r="D51">
        <v>64</v>
      </c>
      <c r="E51">
        <v>1</v>
      </c>
      <c r="F51">
        <v>16</v>
      </c>
      <c r="G51">
        <v>834.79</v>
      </c>
      <c r="H51" s="59">
        <v>37.162999999999997</v>
      </c>
      <c r="I51" s="27">
        <v>45484</v>
      </c>
      <c r="J51" s="53">
        <v>0.13219907407407408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s="66">
        <f t="shared" si="14"/>
        <v>36.826200000000007</v>
      </c>
      <c r="Y51">
        <v>2</v>
      </c>
      <c r="Z51" t="s">
        <v>7</v>
      </c>
      <c r="AA51">
        <v>35968</v>
      </c>
      <c r="AB51">
        <v>64</v>
      </c>
      <c r="AC51">
        <v>1</v>
      </c>
      <c r="AD51">
        <v>16</v>
      </c>
      <c r="AE51">
        <v>785.79</v>
      </c>
      <c r="AF51" s="48">
        <v>39.479999999999997</v>
      </c>
      <c r="AG51" s="27">
        <v>45501</v>
      </c>
      <c r="AH51" s="53">
        <v>0.46884259259259259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s="66">
        <f t="shared" si="7"/>
        <v>39.628399999999999</v>
      </c>
      <c r="AW51">
        <v>2</v>
      </c>
      <c r="AX51" t="s">
        <v>7</v>
      </c>
      <c r="AY51">
        <v>35968</v>
      </c>
      <c r="AZ51">
        <v>64</v>
      </c>
      <c r="BA51">
        <v>1</v>
      </c>
      <c r="BB51">
        <v>16</v>
      </c>
      <c r="BC51">
        <v>972.84</v>
      </c>
      <c r="BD51" s="61">
        <v>31.888999999999999</v>
      </c>
      <c r="BE51" s="27">
        <v>45491</v>
      </c>
      <c r="BF51" s="53">
        <v>6.2442129629629632E-2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 s="8">
        <f t="shared" si="16"/>
        <v>31.945999999999998</v>
      </c>
      <c r="BU51">
        <v>311</v>
      </c>
      <c r="BV51" t="s">
        <v>70</v>
      </c>
      <c r="BW51">
        <v>38144</v>
      </c>
      <c r="BX51">
        <v>32</v>
      </c>
      <c r="BY51">
        <v>4</v>
      </c>
      <c r="BZ51">
        <v>4</v>
      </c>
      <c r="CA51">
        <v>1386.62</v>
      </c>
      <c r="CB51">
        <v>26.684000000000001</v>
      </c>
      <c r="CQ51" s="54">
        <f t="shared" si="18"/>
        <v>26.6875</v>
      </c>
    </row>
    <row r="52" spans="1:95">
      <c r="A52">
        <v>3</v>
      </c>
      <c r="B52" t="s">
        <v>7</v>
      </c>
      <c r="C52">
        <v>35968</v>
      </c>
      <c r="D52">
        <v>64</v>
      </c>
      <c r="E52">
        <v>1</v>
      </c>
      <c r="F52">
        <v>16</v>
      </c>
      <c r="G52">
        <v>837.38</v>
      </c>
      <c r="H52" s="59">
        <v>37.048000000000002</v>
      </c>
      <c r="I52" s="27">
        <v>45484</v>
      </c>
      <c r="J52" s="53">
        <v>0.99473379629629632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s="66">
        <f t="shared" si="14"/>
        <v>36.826200000000007</v>
      </c>
      <c r="Y52">
        <v>3</v>
      </c>
      <c r="Z52" t="s">
        <v>7</v>
      </c>
      <c r="AA52">
        <v>35968</v>
      </c>
      <c r="AB52">
        <v>64</v>
      </c>
      <c r="AC52">
        <v>1</v>
      </c>
      <c r="AD52">
        <v>16</v>
      </c>
      <c r="AE52">
        <v>780.25</v>
      </c>
      <c r="AF52" s="48">
        <v>39.76</v>
      </c>
      <c r="AG52" s="27">
        <v>45502</v>
      </c>
      <c r="AH52" s="53">
        <v>0.26380787037037035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s="66">
        <f t="shared" si="7"/>
        <v>39.628399999999999</v>
      </c>
      <c r="AW52">
        <v>3</v>
      </c>
      <c r="AX52" t="s">
        <v>7</v>
      </c>
      <c r="AY52">
        <v>35968</v>
      </c>
      <c r="AZ52">
        <v>64</v>
      </c>
      <c r="BA52">
        <v>1</v>
      </c>
      <c r="BB52">
        <v>16</v>
      </c>
      <c r="BC52">
        <v>968.01</v>
      </c>
      <c r="BD52" s="61">
        <v>32.048000000000002</v>
      </c>
      <c r="BE52" s="27">
        <v>45492</v>
      </c>
      <c r="BF52" s="53">
        <v>0.14749999999999999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 s="8">
        <f t="shared" si="16"/>
        <v>31.945999999999998</v>
      </c>
      <c r="BU52">
        <v>382</v>
      </c>
      <c r="BV52" t="s">
        <v>70</v>
      </c>
      <c r="BW52">
        <v>38144</v>
      </c>
      <c r="BX52">
        <v>32</v>
      </c>
      <c r="BY52">
        <v>4</v>
      </c>
      <c r="BZ52">
        <v>4</v>
      </c>
      <c r="CA52">
        <v>1383.23</v>
      </c>
      <c r="CB52">
        <v>26.75</v>
      </c>
      <c r="CQ52" s="54">
        <f t="shared" si="18"/>
        <v>26.6875</v>
      </c>
    </row>
    <row r="53" spans="1:95">
      <c r="A53">
        <v>4</v>
      </c>
      <c r="B53" t="s">
        <v>7</v>
      </c>
      <c r="C53">
        <v>35968</v>
      </c>
      <c r="D53">
        <v>64</v>
      </c>
      <c r="E53">
        <v>1</v>
      </c>
      <c r="F53">
        <v>16</v>
      </c>
      <c r="G53">
        <v>864.83</v>
      </c>
      <c r="H53" s="59">
        <v>35.872</v>
      </c>
      <c r="I53" s="27">
        <v>45485</v>
      </c>
      <c r="J53" s="53">
        <v>0.87094907407407407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s="66">
        <f t="shared" si="14"/>
        <v>36.826200000000007</v>
      </c>
      <c r="Y53">
        <v>4</v>
      </c>
      <c r="Z53" t="s">
        <v>7</v>
      </c>
      <c r="AA53">
        <v>35968</v>
      </c>
      <c r="AB53">
        <v>64</v>
      </c>
      <c r="AC53">
        <v>1</v>
      </c>
      <c r="AD53">
        <v>16</v>
      </c>
      <c r="AE53">
        <v>783.25</v>
      </c>
      <c r="AF53" s="48">
        <v>39.607999999999997</v>
      </c>
      <c r="AG53" s="27">
        <v>45503</v>
      </c>
      <c r="AH53" s="53">
        <v>5.872685185185185E-2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s="66">
        <f t="shared" si="7"/>
        <v>39.628399999999999</v>
      </c>
      <c r="AW53">
        <v>4</v>
      </c>
      <c r="AX53" t="s">
        <v>7</v>
      </c>
      <c r="AY53">
        <v>35968</v>
      </c>
      <c r="AZ53">
        <v>64</v>
      </c>
      <c r="BA53">
        <v>1</v>
      </c>
      <c r="BB53">
        <v>16</v>
      </c>
      <c r="BC53">
        <v>972.48</v>
      </c>
      <c r="BD53" s="61">
        <v>31.901</v>
      </c>
      <c r="BE53" s="27">
        <v>45493</v>
      </c>
      <c r="BF53" s="53">
        <v>0.23289351851851853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 s="8">
        <f t="shared" si="16"/>
        <v>31.945999999999998</v>
      </c>
      <c r="BU53">
        <v>51</v>
      </c>
      <c r="BV53" t="s">
        <v>70</v>
      </c>
      <c r="BW53">
        <v>40320</v>
      </c>
      <c r="BX53">
        <v>32</v>
      </c>
      <c r="BY53">
        <v>4</v>
      </c>
      <c r="BZ53">
        <v>4</v>
      </c>
      <c r="CA53">
        <v>1670.93</v>
      </c>
      <c r="CB53">
        <v>26.154</v>
      </c>
      <c r="CQ53" s="54">
        <f t="shared" ref="CQ53" si="71">AVERAGE(CB53:CB58)</f>
        <v>26.09416666666667</v>
      </c>
    </row>
    <row r="54" spans="1:95">
      <c r="A54">
        <v>0</v>
      </c>
      <c r="B54" t="s">
        <v>7</v>
      </c>
      <c r="C54">
        <v>38080</v>
      </c>
      <c r="D54">
        <v>64</v>
      </c>
      <c r="E54">
        <v>1</v>
      </c>
      <c r="F54">
        <v>16</v>
      </c>
      <c r="G54" s="1">
        <v>987.13</v>
      </c>
      <c r="H54" s="59">
        <v>37.295000000000002</v>
      </c>
      <c r="I54" s="27">
        <v>45482</v>
      </c>
      <c r="J54" s="53">
        <v>0.66160879629629632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s="66">
        <f t="shared" ref="W54" si="72">AVERAGE(H54:H58)</f>
        <v>37.024999999999999</v>
      </c>
      <c r="Y54">
        <v>0</v>
      </c>
      <c r="Z54" t="s">
        <v>7</v>
      </c>
      <c r="AA54">
        <v>38080</v>
      </c>
      <c r="AB54">
        <v>64</v>
      </c>
      <c r="AC54">
        <v>1</v>
      </c>
      <c r="AD54">
        <v>16</v>
      </c>
      <c r="AE54">
        <v>921.62</v>
      </c>
      <c r="AF54" s="48">
        <v>39.945999999999998</v>
      </c>
      <c r="AG54" s="27">
        <v>45499</v>
      </c>
      <c r="AH54" s="53">
        <v>0.78753472222222221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s="66">
        <f t="shared" ref="AU54" si="73">AVERAGE(AF54:AF58)</f>
        <v>39.834199999999996</v>
      </c>
      <c r="AW54">
        <v>0</v>
      </c>
      <c r="AX54" t="s">
        <v>7</v>
      </c>
      <c r="AY54">
        <v>38080</v>
      </c>
      <c r="AZ54">
        <v>64</v>
      </c>
      <c r="BA54">
        <v>1</v>
      </c>
      <c r="BB54">
        <v>16</v>
      </c>
      <c r="BC54">
        <v>1128.8</v>
      </c>
      <c r="BD54" s="61">
        <v>32.613999999999997</v>
      </c>
      <c r="BE54" s="27">
        <v>45488</v>
      </c>
      <c r="BF54" s="53">
        <v>0.90623842592592596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 s="8">
        <f t="shared" ref="BS54" si="74">AVERAGE(BD54:BD58)</f>
        <v>32.564399999999999</v>
      </c>
      <c r="BU54">
        <v>122</v>
      </c>
      <c r="BV54" t="s">
        <v>70</v>
      </c>
      <c r="BW54">
        <v>40320</v>
      </c>
      <c r="BX54">
        <v>32</v>
      </c>
      <c r="BY54">
        <v>4</v>
      </c>
      <c r="BZ54">
        <v>4</v>
      </c>
      <c r="CA54">
        <v>1674.19</v>
      </c>
      <c r="CB54">
        <v>26.103000000000002</v>
      </c>
      <c r="CQ54" s="54">
        <f t="shared" ref="CQ54" si="75">CQ53</f>
        <v>26.09416666666667</v>
      </c>
    </row>
    <row r="55" spans="1:95">
      <c r="A55">
        <v>1</v>
      </c>
      <c r="B55" t="s">
        <v>7</v>
      </c>
      <c r="C55">
        <v>38080</v>
      </c>
      <c r="D55">
        <v>64</v>
      </c>
      <c r="E55">
        <v>1</v>
      </c>
      <c r="F55">
        <v>16</v>
      </c>
      <c r="G55">
        <v>985.18</v>
      </c>
      <c r="H55" s="59">
        <v>37.369</v>
      </c>
      <c r="I55" s="27">
        <v>45483</v>
      </c>
      <c r="J55" s="53">
        <v>0.52400462962962968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s="66">
        <f t="shared" ref="W55" si="76">W54</f>
        <v>37.024999999999999</v>
      </c>
      <c r="Y55">
        <v>1</v>
      </c>
      <c r="Z55" t="s">
        <v>7</v>
      </c>
      <c r="AA55">
        <v>38080</v>
      </c>
      <c r="AB55">
        <v>64</v>
      </c>
      <c r="AC55">
        <v>1</v>
      </c>
      <c r="AD55">
        <v>16</v>
      </c>
      <c r="AE55">
        <v>924.82</v>
      </c>
      <c r="AF55" s="48">
        <v>39.808</v>
      </c>
      <c r="AG55" s="27">
        <v>45500</v>
      </c>
      <c r="AH55" s="53">
        <v>0.90917824074074072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s="66">
        <f t="shared" ref="AU55" si="77">AU54</f>
        <v>39.834199999999996</v>
      </c>
      <c r="AW55">
        <v>1</v>
      </c>
      <c r="AX55" t="s">
        <v>7</v>
      </c>
      <c r="AY55">
        <v>38080</v>
      </c>
      <c r="AZ55">
        <v>64</v>
      </c>
      <c r="BA55">
        <v>1</v>
      </c>
      <c r="BB55">
        <v>16</v>
      </c>
      <c r="BC55">
        <v>1131.67</v>
      </c>
      <c r="BD55" s="61">
        <v>32.531999999999996</v>
      </c>
      <c r="BE55" s="27">
        <v>45490</v>
      </c>
      <c r="BF55" s="53">
        <v>0.29969907407407409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 s="8">
        <f t="shared" ref="BS55" si="78">BS54</f>
        <v>32.564399999999999</v>
      </c>
      <c r="BU55">
        <v>193</v>
      </c>
      <c r="BV55" t="s">
        <v>70</v>
      </c>
      <c r="BW55">
        <v>40320</v>
      </c>
      <c r="BX55">
        <v>32</v>
      </c>
      <c r="BY55">
        <v>4</v>
      </c>
      <c r="BZ55">
        <v>4</v>
      </c>
      <c r="CA55">
        <v>1674.05</v>
      </c>
      <c r="CB55">
        <v>26.105</v>
      </c>
      <c r="CQ55" s="54">
        <f t="shared" si="18"/>
        <v>26.09416666666667</v>
      </c>
    </row>
    <row r="56" spans="1:95">
      <c r="A56">
        <v>2</v>
      </c>
      <c r="B56" t="s">
        <v>7</v>
      </c>
      <c r="C56">
        <v>38080</v>
      </c>
      <c r="D56">
        <v>64</v>
      </c>
      <c r="E56">
        <v>1</v>
      </c>
      <c r="F56">
        <v>16</v>
      </c>
      <c r="G56">
        <v>986.77</v>
      </c>
      <c r="H56" s="59">
        <v>37.308999999999997</v>
      </c>
      <c r="I56" s="27">
        <v>45484</v>
      </c>
      <c r="J56" s="53">
        <v>0.38679398148148147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s="66">
        <f t="shared" si="14"/>
        <v>37.024999999999999</v>
      </c>
      <c r="Y56">
        <v>2</v>
      </c>
      <c r="Z56" t="s">
        <v>7</v>
      </c>
      <c r="AA56">
        <v>38080</v>
      </c>
      <c r="AB56">
        <v>64</v>
      </c>
      <c r="AC56">
        <v>1</v>
      </c>
      <c r="AD56">
        <v>16</v>
      </c>
      <c r="AE56">
        <v>925.47</v>
      </c>
      <c r="AF56" s="48">
        <v>39.78</v>
      </c>
      <c r="AG56" s="27">
        <v>45501</v>
      </c>
      <c r="AH56" s="53">
        <v>0.70325231481481476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s="66">
        <f t="shared" si="7"/>
        <v>39.834199999999996</v>
      </c>
      <c r="AW56">
        <v>2</v>
      </c>
      <c r="AX56" t="s">
        <v>7</v>
      </c>
      <c r="AY56">
        <v>38080</v>
      </c>
      <c r="AZ56">
        <v>64</v>
      </c>
      <c r="BA56">
        <v>1</v>
      </c>
      <c r="BB56">
        <v>16</v>
      </c>
      <c r="BC56">
        <v>1133.74</v>
      </c>
      <c r="BD56" s="61">
        <v>32.472000000000001</v>
      </c>
      <c r="BE56" s="27">
        <v>45491</v>
      </c>
      <c r="BF56" s="53">
        <v>0.38579861111111113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 s="8">
        <f t="shared" si="16"/>
        <v>32.564399999999999</v>
      </c>
      <c r="BU56">
        <v>264</v>
      </c>
      <c r="BV56" t="s">
        <v>70</v>
      </c>
      <c r="BW56">
        <v>40320</v>
      </c>
      <c r="BX56">
        <v>32</v>
      </c>
      <c r="BY56">
        <v>4</v>
      </c>
      <c r="BZ56">
        <v>4</v>
      </c>
      <c r="CA56">
        <v>1676.22</v>
      </c>
      <c r="CB56">
        <v>26.071000000000002</v>
      </c>
      <c r="CQ56" s="54">
        <f t="shared" si="18"/>
        <v>26.09416666666667</v>
      </c>
    </row>
    <row r="57" spans="1:95">
      <c r="A57">
        <v>3</v>
      </c>
      <c r="B57" t="s">
        <v>7</v>
      </c>
      <c r="C57">
        <v>38080</v>
      </c>
      <c r="D57">
        <v>64</v>
      </c>
      <c r="E57">
        <v>1</v>
      </c>
      <c r="F57">
        <v>16</v>
      </c>
      <c r="G57">
        <v>990.03</v>
      </c>
      <c r="H57" s="59">
        <v>37.186</v>
      </c>
      <c r="I57" s="27">
        <v>45485</v>
      </c>
      <c r="J57" s="53">
        <v>0.25004629629629632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s="66">
        <f t="shared" si="14"/>
        <v>37.024999999999999</v>
      </c>
      <c r="Y57">
        <v>3</v>
      </c>
      <c r="Z57" t="s">
        <v>7</v>
      </c>
      <c r="AA57">
        <v>38080</v>
      </c>
      <c r="AB57">
        <v>64</v>
      </c>
      <c r="AC57">
        <v>1</v>
      </c>
      <c r="AD57">
        <v>16</v>
      </c>
      <c r="AE57">
        <v>923.26</v>
      </c>
      <c r="AF57" s="48">
        <v>39.875</v>
      </c>
      <c r="AG57" s="27">
        <v>45502</v>
      </c>
      <c r="AH57" s="53">
        <v>0.49752314814814813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s="66">
        <f t="shared" si="7"/>
        <v>39.834199999999996</v>
      </c>
      <c r="AW57">
        <v>3</v>
      </c>
      <c r="AX57" t="s">
        <v>7</v>
      </c>
      <c r="AY57">
        <v>38080</v>
      </c>
      <c r="AZ57">
        <v>64</v>
      </c>
      <c r="BA57">
        <v>1</v>
      </c>
      <c r="BB57">
        <v>16</v>
      </c>
      <c r="BC57">
        <v>1128.82</v>
      </c>
      <c r="BD57" s="61">
        <v>32.613999999999997</v>
      </c>
      <c r="BE57" s="27">
        <v>45492</v>
      </c>
      <c r="BF57" s="53">
        <v>0.47075231481481483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 s="8">
        <f t="shared" si="16"/>
        <v>32.564399999999999</v>
      </c>
      <c r="BU57">
        <v>335</v>
      </c>
      <c r="BV57" t="s">
        <v>70</v>
      </c>
      <c r="BW57">
        <v>40320</v>
      </c>
      <c r="BX57">
        <v>32</v>
      </c>
      <c r="BY57">
        <v>4</v>
      </c>
      <c r="BZ57">
        <v>4</v>
      </c>
      <c r="CA57">
        <v>1673.2</v>
      </c>
      <c r="CB57">
        <v>26.117999999999999</v>
      </c>
      <c r="CQ57" s="54">
        <f t="shared" si="18"/>
        <v>26.09416666666667</v>
      </c>
    </row>
    <row r="58" spans="1:95">
      <c r="A58">
        <v>4</v>
      </c>
      <c r="B58" t="s">
        <v>7</v>
      </c>
      <c r="C58">
        <v>38080</v>
      </c>
      <c r="D58">
        <v>64</v>
      </c>
      <c r="E58">
        <v>1</v>
      </c>
      <c r="F58">
        <v>16</v>
      </c>
      <c r="G58">
        <v>1023.62</v>
      </c>
      <c r="H58" s="59">
        <v>35.966000000000001</v>
      </c>
      <c r="I58" s="27">
        <v>45486</v>
      </c>
      <c r="J58" s="53">
        <v>0.13368055555555555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s="66">
        <f t="shared" si="14"/>
        <v>37.024999999999999</v>
      </c>
      <c r="Y58">
        <v>4</v>
      </c>
      <c r="Z58" t="s">
        <v>7</v>
      </c>
      <c r="AA58">
        <v>38080</v>
      </c>
      <c r="AB58">
        <v>64</v>
      </c>
      <c r="AC58">
        <v>1</v>
      </c>
      <c r="AD58">
        <v>16</v>
      </c>
      <c r="AE58" s="1">
        <v>925.88</v>
      </c>
      <c r="AF58" s="48">
        <v>39.762</v>
      </c>
      <c r="AG58" s="27">
        <v>45503</v>
      </c>
      <c r="AH58" s="53">
        <v>0.29230324074074077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s="66">
        <f t="shared" si="7"/>
        <v>39.834199999999996</v>
      </c>
      <c r="AW58">
        <v>4</v>
      </c>
      <c r="AX58" t="s">
        <v>7</v>
      </c>
      <c r="AY58">
        <v>38080</v>
      </c>
      <c r="AZ58">
        <v>64</v>
      </c>
      <c r="BA58">
        <v>1</v>
      </c>
      <c r="BB58">
        <v>16</v>
      </c>
      <c r="BC58">
        <v>1129.6600000000001</v>
      </c>
      <c r="BD58" s="61">
        <v>32.590000000000003</v>
      </c>
      <c r="BE58" s="27">
        <v>45493</v>
      </c>
      <c r="BF58" s="53">
        <v>0.55616898148148153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 s="8">
        <f t="shared" si="16"/>
        <v>32.564399999999999</v>
      </c>
      <c r="BU58">
        <v>406</v>
      </c>
      <c r="BV58" t="s">
        <v>70</v>
      </c>
      <c r="BW58">
        <v>40320</v>
      </c>
      <c r="BX58">
        <v>32</v>
      </c>
      <c r="BY58">
        <v>4</v>
      </c>
      <c r="BZ58">
        <v>4</v>
      </c>
      <c r="CA58">
        <v>1679.94</v>
      </c>
      <c r="CB58">
        <v>26.013999999999999</v>
      </c>
      <c r="CQ58" s="54">
        <f t="shared" si="18"/>
        <v>26.09416666666667</v>
      </c>
    </row>
    <row r="59" spans="1:95">
      <c r="A59">
        <v>0</v>
      </c>
      <c r="B59" t="s">
        <v>7</v>
      </c>
      <c r="C59">
        <v>40128</v>
      </c>
      <c r="D59">
        <v>64</v>
      </c>
      <c r="E59">
        <v>1</v>
      </c>
      <c r="F59">
        <v>16</v>
      </c>
      <c r="G59" s="1">
        <v>1138.33</v>
      </c>
      <c r="H59" s="59">
        <v>37.844999999999999</v>
      </c>
      <c r="I59" s="27">
        <v>45482</v>
      </c>
      <c r="J59" s="53">
        <v>0.9566782407407407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s="66">
        <f t="shared" ref="W59" si="79">AVERAGE(H59:H63)</f>
        <v>37.244</v>
      </c>
      <c r="Y59">
        <v>0</v>
      </c>
      <c r="Z59" t="s">
        <v>7</v>
      </c>
      <c r="AA59">
        <v>40128</v>
      </c>
      <c r="AB59">
        <v>64</v>
      </c>
      <c r="AC59">
        <v>1</v>
      </c>
      <c r="AD59">
        <v>16</v>
      </c>
      <c r="AE59">
        <v>1069.8499999999999</v>
      </c>
      <c r="AF59" s="48">
        <v>40.267000000000003</v>
      </c>
      <c r="AG59" s="27">
        <v>45500</v>
      </c>
      <c r="AH59" s="53">
        <v>5.949074074074074E-2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s="66">
        <f t="shared" ref="AU59" si="80">AVERAGE(AF59:AF63)</f>
        <v>40.449800000000003</v>
      </c>
      <c r="AW59">
        <v>0</v>
      </c>
      <c r="AX59" t="s">
        <v>7</v>
      </c>
      <c r="AY59">
        <v>40128</v>
      </c>
      <c r="AZ59">
        <v>64</v>
      </c>
      <c r="BA59">
        <v>1</v>
      </c>
      <c r="BB59">
        <v>16</v>
      </c>
      <c r="BC59">
        <v>1297.3</v>
      </c>
      <c r="BD59" s="61">
        <v>33.207000000000001</v>
      </c>
      <c r="BE59" s="27">
        <v>45489</v>
      </c>
      <c r="BF59" s="53">
        <v>0.27719907407407407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 s="8">
        <f t="shared" ref="BS59" si="81">AVERAGE(BD59:BD63)</f>
        <v>33.290799999999997</v>
      </c>
      <c r="BU59">
        <v>4</v>
      </c>
      <c r="BV59" t="s">
        <v>70</v>
      </c>
      <c r="BW59">
        <v>35968</v>
      </c>
      <c r="BX59">
        <v>64</v>
      </c>
      <c r="BY59">
        <v>1</v>
      </c>
      <c r="BZ59">
        <v>16</v>
      </c>
      <c r="CA59">
        <v>829.14</v>
      </c>
      <c r="CB59">
        <v>37.415999999999997</v>
      </c>
      <c r="CQ59" s="54">
        <f t="shared" ref="CQ59" si="82">AVERAGE(CB59:CB64)</f>
        <v>37.317</v>
      </c>
    </row>
    <row r="60" spans="1:95">
      <c r="A60">
        <v>1</v>
      </c>
      <c r="B60" t="s">
        <v>7</v>
      </c>
      <c r="C60">
        <v>40128</v>
      </c>
      <c r="D60">
        <v>64</v>
      </c>
      <c r="E60">
        <v>1</v>
      </c>
      <c r="F60">
        <v>16</v>
      </c>
      <c r="G60">
        <v>1135.6400000000001</v>
      </c>
      <c r="H60" s="59">
        <v>37.935000000000002</v>
      </c>
      <c r="I60" s="27">
        <v>45483</v>
      </c>
      <c r="J60" s="53">
        <v>0.82164351851851847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s="66">
        <f t="shared" ref="W60" si="83">W59</f>
        <v>37.244</v>
      </c>
      <c r="Y60">
        <v>1</v>
      </c>
      <c r="Z60" t="s">
        <v>7</v>
      </c>
      <c r="AA60">
        <v>40128</v>
      </c>
      <c r="AB60">
        <v>64</v>
      </c>
      <c r="AC60">
        <v>1</v>
      </c>
      <c r="AD60">
        <v>16</v>
      </c>
      <c r="AE60">
        <v>1064.96</v>
      </c>
      <c r="AF60" s="48">
        <v>40.451999999999998</v>
      </c>
      <c r="AG60" s="27">
        <v>45501</v>
      </c>
      <c r="AH60" s="53">
        <v>0.18143518518518517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s="66">
        <f t="shared" ref="AU60" si="84">AU59</f>
        <v>40.449800000000003</v>
      </c>
      <c r="AW60">
        <v>1</v>
      </c>
      <c r="AX60" t="s">
        <v>7</v>
      </c>
      <c r="AY60">
        <v>40128</v>
      </c>
      <c r="AZ60">
        <v>64</v>
      </c>
      <c r="BA60">
        <v>1</v>
      </c>
      <c r="BB60">
        <v>16</v>
      </c>
      <c r="BC60">
        <v>1295.9100000000001</v>
      </c>
      <c r="BD60" s="61">
        <v>33.243000000000002</v>
      </c>
      <c r="BE60" s="27">
        <v>45490</v>
      </c>
      <c r="BF60" s="53">
        <v>0.67072916666666671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 s="8">
        <f t="shared" ref="BS60" si="85">BS59</f>
        <v>33.290799999999997</v>
      </c>
      <c r="BU60">
        <v>75</v>
      </c>
      <c r="BV60" t="s">
        <v>70</v>
      </c>
      <c r="BW60">
        <v>35968</v>
      </c>
      <c r="BX60">
        <v>64</v>
      </c>
      <c r="BY60">
        <v>1</v>
      </c>
      <c r="BZ60">
        <v>16</v>
      </c>
      <c r="CA60">
        <v>834.45</v>
      </c>
      <c r="CB60">
        <v>37.177999999999997</v>
      </c>
      <c r="CQ60" s="54">
        <f t="shared" ref="CQ60" si="86">CQ59</f>
        <v>37.317</v>
      </c>
    </row>
    <row r="61" spans="1:95">
      <c r="A61">
        <v>2</v>
      </c>
      <c r="B61" t="s">
        <v>7</v>
      </c>
      <c r="C61">
        <v>40128</v>
      </c>
      <c r="D61">
        <v>64</v>
      </c>
      <c r="E61">
        <v>1</v>
      </c>
      <c r="F61">
        <v>16</v>
      </c>
      <c r="G61">
        <v>1144.47</v>
      </c>
      <c r="H61" s="59">
        <v>37.642000000000003</v>
      </c>
      <c r="I61" s="27">
        <v>45484</v>
      </c>
      <c r="J61" s="53">
        <v>0.68414351851851851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s="66">
        <f t="shared" si="14"/>
        <v>37.244</v>
      </c>
      <c r="Y61">
        <v>2</v>
      </c>
      <c r="Z61" t="s">
        <v>7</v>
      </c>
      <c r="AA61">
        <v>40128</v>
      </c>
      <c r="AB61">
        <v>64</v>
      </c>
      <c r="AC61">
        <v>1</v>
      </c>
      <c r="AD61">
        <v>16</v>
      </c>
      <c r="AE61" s="1">
        <v>1066.78</v>
      </c>
      <c r="AF61" s="48">
        <v>40.383000000000003</v>
      </c>
      <c r="AG61" s="27">
        <v>45501</v>
      </c>
      <c r="AH61" s="53">
        <v>0.976099537037037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s="66">
        <f t="shared" si="7"/>
        <v>40.449800000000003</v>
      </c>
      <c r="AW61">
        <v>2</v>
      </c>
      <c r="AX61" t="s">
        <v>7</v>
      </c>
      <c r="AY61">
        <v>40128</v>
      </c>
      <c r="AZ61">
        <v>64</v>
      </c>
      <c r="BA61">
        <v>1</v>
      </c>
      <c r="BB61">
        <v>16</v>
      </c>
      <c r="BC61">
        <v>1291.6300000000001</v>
      </c>
      <c r="BD61" s="61">
        <v>33.353000000000002</v>
      </c>
      <c r="BE61" s="27">
        <v>45491</v>
      </c>
      <c r="BF61" s="53">
        <v>0.7564467592592593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 s="8">
        <f t="shared" si="16"/>
        <v>33.290799999999997</v>
      </c>
      <c r="BU61">
        <v>146</v>
      </c>
      <c r="BV61" t="s">
        <v>70</v>
      </c>
      <c r="BW61">
        <v>35968</v>
      </c>
      <c r="BX61">
        <v>64</v>
      </c>
      <c r="BY61">
        <v>1</v>
      </c>
      <c r="BZ61">
        <v>16</v>
      </c>
      <c r="CA61">
        <v>829.73</v>
      </c>
      <c r="CB61">
        <v>37.389000000000003</v>
      </c>
      <c r="CQ61" s="54">
        <f t="shared" si="18"/>
        <v>37.317</v>
      </c>
    </row>
    <row r="62" spans="1:95">
      <c r="A62">
        <v>3</v>
      </c>
      <c r="B62" t="s">
        <v>7</v>
      </c>
      <c r="C62">
        <v>40128</v>
      </c>
      <c r="D62">
        <v>64</v>
      </c>
      <c r="E62">
        <v>1</v>
      </c>
      <c r="F62">
        <v>16</v>
      </c>
      <c r="G62">
        <v>1183.1099999999999</v>
      </c>
      <c r="H62" s="59">
        <v>36.411999999999999</v>
      </c>
      <c r="I62" s="27">
        <v>45485</v>
      </c>
      <c r="J62" s="53">
        <v>0.55118055555555556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s="66">
        <f t="shared" si="14"/>
        <v>37.244</v>
      </c>
      <c r="Y62">
        <v>3</v>
      </c>
      <c r="Z62" t="s">
        <v>7</v>
      </c>
      <c r="AA62">
        <v>40128</v>
      </c>
      <c r="AB62">
        <v>64</v>
      </c>
      <c r="AC62">
        <v>1</v>
      </c>
      <c r="AD62">
        <v>16</v>
      </c>
      <c r="AE62">
        <v>1062.99</v>
      </c>
      <c r="AF62" s="48">
        <v>40.527000000000001</v>
      </c>
      <c r="AG62" s="27">
        <v>45502</v>
      </c>
      <c r="AH62" s="53">
        <v>0.77050925925925928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s="66">
        <f t="shared" si="7"/>
        <v>40.449800000000003</v>
      </c>
      <c r="AW62">
        <v>3</v>
      </c>
      <c r="AX62" t="s">
        <v>7</v>
      </c>
      <c r="AY62">
        <v>40128</v>
      </c>
      <c r="AZ62">
        <v>64</v>
      </c>
      <c r="BA62">
        <v>1</v>
      </c>
      <c r="BB62">
        <v>16</v>
      </c>
      <c r="BC62">
        <v>1292.24</v>
      </c>
      <c r="BD62" s="61">
        <v>33.337000000000003</v>
      </c>
      <c r="BE62" s="27">
        <v>45492</v>
      </c>
      <c r="BF62" s="53">
        <v>0.84184027777777781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 s="8">
        <f t="shared" si="16"/>
        <v>33.290799999999997</v>
      </c>
      <c r="BU62">
        <v>217</v>
      </c>
      <c r="BV62" t="s">
        <v>70</v>
      </c>
      <c r="BW62">
        <v>35968</v>
      </c>
      <c r="BX62">
        <v>64</v>
      </c>
      <c r="BY62">
        <v>1</v>
      </c>
      <c r="BZ62">
        <v>16</v>
      </c>
      <c r="CA62">
        <v>828.72</v>
      </c>
      <c r="CB62">
        <v>37.435000000000002</v>
      </c>
      <c r="CQ62" s="54">
        <f t="shared" si="18"/>
        <v>37.317</v>
      </c>
    </row>
    <row r="63" spans="1:95">
      <c r="A63">
        <v>4</v>
      </c>
      <c r="B63" t="s">
        <v>7</v>
      </c>
      <c r="C63">
        <v>40128</v>
      </c>
      <c r="D63">
        <v>64</v>
      </c>
      <c r="E63">
        <v>1</v>
      </c>
      <c r="F63">
        <v>16</v>
      </c>
      <c r="G63">
        <v>1183.98</v>
      </c>
      <c r="H63" s="59">
        <v>36.386000000000003</v>
      </c>
      <c r="I63" s="27">
        <v>45486</v>
      </c>
      <c r="J63" s="53">
        <v>0.43967592592592591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s="66">
        <f t="shared" si="14"/>
        <v>37.244</v>
      </c>
      <c r="Y63">
        <v>4</v>
      </c>
      <c r="Z63" t="s">
        <v>7</v>
      </c>
      <c r="AA63">
        <v>40128</v>
      </c>
      <c r="AB63">
        <v>64</v>
      </c>
      <c r="AC63">
        <v>1</v>
      </c>
      <c r="AD63">
        <v>16</v>
      </c>
      <c r="AE63">
        <v>1060.56</v>
      </c>
      <c r="AF63" s="48">
        <v>40.619999999999997</v>
      </c>
      <c r="AG63" s="27">
        <v>45503</v>
      </c>
      <c r="AH63" s="53">
        <v>0.56543981481481487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s="66">
        <f t="shared" si="7"/>
        <v>40.449800000000003</v>
      </c>
      <c r="AW63">
        <v>4</v>
      </c>
      <c r="AX63" t="s">
        <v>7</v>
      </c>
      <c r="AY63">
        <v>40128</v>
      </c>
      <c r="AZ63">
        <v>64</v>
      </c>
      <c r="BA63">
        <v>1</v>
      </c>
      <c r="BB63">
        <v>16</v>
      </c>
      <c r="BC63">
        <v>1293.1500000000001</v>
      </c>
      <c r="BD63" s="61">
        <v>33.314</v>
      </c>
      <c r="BE63" s="27">
        <v>45493</v>
      </c>
      <c r="BF63" s="53">
        <v>0.9274768518518518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 s="8">
        <f t="shared" si="16"/>
        <v>33.290799999999997</v>
      </c>
      <c r="BU63">
        <v>288</v>
      </c>
      <c r="BV63" t="s">
        <v>70</v>
      </c>
      <c r="BW63">
        <v>35968</v>
      </c>
      <c r="BX63">
        <v>64</v>
      </c>
      <c r="BY63">
        <v>1</v>
      </c>
      <c r="BZ63">
        <v>16</v>
      </c>
      <c r="CA63">
        <v>833.15</v>
      </c>
      <c r="CB63">
        <v>37.235999999999997</v>
      </c>
      <c r="CQ63" s="54">
        <f t="shared" si="18"/>
        <v>37.317</v>
      </c>
    </row>
    <row r="64" spans="1:95">
      <c r="A64">
        <v>0</v>
      </c>
      <c r="B64" t="s">
        <v>7</v>
      </c>
      <c r="C64">
        <v>35968</v>
      </c>
      <c r="D64">
        <v>64</v>
      </c>
      <c r="E64">
        <v>2</v>
      </c>
      <c r="F64">
        <v>8</v>
      </c>
      <c r="G64" s="1">
        <v>825.13</v>
      </c>
      <c r="H64" s="59">
        <v>37.597999999999999</v>
      </c>
      <c r="I64" s="27">
        <v>45482</v>
      </c>
      <c r="J64" s="53">
        <v>0.41663194444444446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s="66">
        <f t="shared" ref="W64" si="87">AVERAGE(H64:H68)</f>
        <v>37.062600000000003</v>
      </c>
      <c r="Y64">
        <v>0</v>
      </c>
      <c r="Z64" t="s">
        <v>7</v>
      </c>
      <c r="AA64">
        <v>35968</v>
      </c>
      <c r="AB64">
        <v>64</v>
      </c>
      <c r="AC64">
        <v>2</v>
      </c>
      <c r="AD64">
        <v>8</v>
      </c>
      <c r="AE64">
        <v>758.04</v>
      </c>
      <c r="AF64" s="48">
        <v>40.924999999999997</v>
      </c>
      <c r="AG64" s="27">
        <v>45499</v>
      </c>
      <c r="AH64" s="53">
        <v>0.56328703703703709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s="66">
        <f t="shared" ref="AU64" si="88">AVERAGE(AF64:AF68)</f>
        <v>40.939800000000005</v>
      </c>
      <c r="AW64">
        <v>0</v>
      </c>
      <c r="AX64" t="s">
        <v>7</v>
      </c>
      <c r="AY64">
        <v>35968</v>
      </c>
      <c r="AZ64">
        <v>64</v>
      </c>
      <c r="BA64">
        <v>2</v>
      </c>
      <c r="BB64">
        <v>8</v>
      </c>
      <c r="BC64">
        <v>1038.83</v>
      </c>
      <c r="BD64" s="61">
        <v>29.864000000000001</v>
      </c>
      <c r="BE64" s="27">
        <v>45488</v>
      </c>
      <c r="BF64" s="53">
        <v>0.59597222222222224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 s="8">
        <f t="shared" ref="BS64" si="89">AVERAGE(BD64:BD68)</f>
        <v>29.838600000000003</v>
      </c>
      <c r="BU64">
        <v>359</v>
      </c>
      <c r="BV64" t="s">
        <v>70</v>
      </c>
      <c r="BW64">
        <v>35968</v>
      </c>
      <c r="BX64">
        <v>64</v>
      </c>
      <c r="BY64">
        <v>1</v>
      </c>
      <c r="BZ64">
        <v>16</v>
      </c>
      <c r="CA64">
        <v>832.88</v>
      </c>
      <c r="CB64">
        <v>37.247999999999998</v>
      </c>
      <c r="CQ64" s="54">
        <f t="shared" si="18"/>
        <v>37.317</v>
      </c>
    </row>
    <row r="65" spans="1:95">
      <c r="A65">
        <v>1</v>
      </c>
      <c r="B65" t="s">
        <v>7</v>
      </c>
      <c r="C65">
        <v>35968</v>
      </c>
      <c r="D65">
        <v>64</v>
      </c>
      <c r="E65">
        <v>2</v>
      </c>
      <c r="F65">
        <v>8</v>
      </c>
      <c r="G65">
        <v>831.59</v>
      </c>
      <c r="H65" s="59">
        <v>37.305999999999997</v>
      </c>
      <c r="I65" s="27">
        <v>45483</v>
      </c>
      <c r="J65" s="53">
        <v>0.27714120370370371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s="66">
        <f t="shared" ref="W65" si="90">W64</f>
        <v>37.062600000000003</v>
      </c>
      <c r="Y65">
        <v>1</v>
      </c>
      <c r="Z65" t="s">
        <v>7</v>
      </c>
      <c r="AA65">
        <v>35968</v>
      </c>
      <c r="AB65">
        <v>64</v>
      </c>
      <c r="AC65">
        <v>2</v>
      </c>
      <c r="AD65">
        <v>8</v>
      </c>
      <c r="AE65">
        <v>758.99</v>
      </c>
      <c r="AF65" s="48">
        <v>40.874000000000002</v>
      </c>
      <c r="AG65" s="27">
        <v>45500</v>
      </c>
      <c r="AH65" s="53">
        <v>0.68395833333333333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s="66">
        <f t="shared" ref="AU65" si="91">AU64</f>
        <v>40.939800000000005</v>
      </c>
      <c r="AW65">
        <v>1</v>
      </c>
      <c r="AX65" t="s">
        <v>7</v>
      </c>
      <c r="AY65">
        <v>35968</v>
      </c>
      <c r="AZ65">
        <v>64</v>
      </c>
      <c r="BA65">
        <v>2</v>
      </c>
      <c r="BB65">
        <v>8</v>
      </c>
      <c r="BC65">
        <v>1036.3900000000001</v>
      </c>
      <c r="BD65" s="61">
        <v>29.934000000000001</v>
      </c>
      <c r="BE65" s="27">
        <v>45489</v>
      </c>
      <c r="BF65" s="53">
        <v>0.98982638888888885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 s="8">
        <f t="shared" ref="BS65" si="92">BS64</f>
        <v>29.838600000000003</v>
      </c>
      <c r="BU65">
        <v>28</v>
      </c>
      <c r="BV65" t="s">
        <v>70</v>
      </c>
      <c r="BW65">
        <v>38144</v>
      </c>
      <c r="BX65">
        <v>64</v>
      </c>
      <c r="BY65">
        <v>1</v>
      </c>
      <c r="BZ65">
        <v>16</v>
      </c>
      <c r="CA65">
        <v>977.35</v>
      </c>
      <c r="CB65">
        <v>37.859000000000002</v>
      </c>
      <c r="CQ65" s="54">
        <f t="shared" ref="CQ65" si="93">AVERAGE(CB65:CB70)</f>
        <v>37.853499999999997</v>
      </c>
    </row>
    <row r="66" spans="1:95">
      <c r="A66">
        <v>2</v>
      </c>
      <c r="B66" t="s">
        <v>7</v>
      </c>
      <c r="C66">
        <v>35968</v>
      </c>
      <c r="D66">
        <v>64</v>
      </c>
      <c r="E66">
        <v>2</v>
      </c>
      <c r="F66">
        <v>8</v>
      </c>
      <c r="G66">
        <v>830.56</v>
      </c>
      <c r="H66" s="59">
        <v>37.351999999999997</v>
      </c>
      <c r="I66" s="27">
        <v>45484</v>
      </c>
      <c r="J66" s="53">
        <v>0.14207175925925927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s="66">
        <f t="shared" si="14"/>
        <v>37.062600000000003</v>
      </c>
      <c r="Y66">
        <v>2</v>
      </c>
      <c r="Z66" t="s">
        <v>7</v>
      </c>
      <c r="AA66">
        <v>35968</v>
      </c>
      <c r="AB66">
        <v>64</v>
      </c>
      <c r="AC66">
        <v>2</v>
      </c>
      <c r="AD66">
        <v>8</v>
      </c>
      <c r="AE66">
        <v>754.95</v>
      </c>
      <c r="AF66" s="48">
        <v>41.093000000000004</v>
      </c>
      <c r="AG66" s="27">
        <v>45501</v>
      </c>
      <c r="AH66" s="53">
        <v>0.4778587962962963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s="66">
        <f t="shared" si="7"/>
        <v>40.939800000000005</v>
      </c>
      <c r="AW66">
        <v>2</v>
      </c>
      <c r="AX66" t="s">
        <v>7</v>
      </c>
      <c r="AY66">
        <v>35968</v>
      </c>
      <c r="AZ66">
        <v>64</v>
      </c>
      <c r="BA66">
        <v>2</v>
      </c>
      <c r="BB66">
        <v>8</v>
      </c>
      <c r="BC66">
        <v>1042.52</v>
      </c>
      <c r="BD66" s="61">
        <v>29.757999999999999</v>
      </c>
      <c r="BE66" s="27">
        <v>45491</v>
      </c>
      <c r="BF66" s="53">
        <v>7.5312500000000004E-2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 s="8">
        <f t="shared" si="16"/>
        <v>29.838600000000003</v>
      </c>
      <c r="BU66">
        <v>99</v>
      </c>
      <c r="BV66" t="s">
        <v>70</v>
      </c>
      <c r="BW66">
        <v>38144</v>
      </c>
      <c r="BX66">
        <v>64</v>
      </c>
      <c r="BY66">
        <v>1</v>
      </c>
      <c r="BZ66">
        <v>16</v>
      </c>
      <c r="CA66">
        <v>974.83</v>
      </c>
      <c r="CB66">
        <v>37.956000000000003</v>
      </c>
      <c r="CQ66" s="54">
        <f t="shared" ref="CQ66" si="94">CQ65</f>
        <v>37.853499999999997</v>
      </c>
    </row>
    <row r="67" spans="1:95">
      <c r="A67">
        <v>3</v>
      </c>
      <c r="B67" t="s">
        <v>7</v>
      </c>
      <c r="C67">
        <v>35968</v>
      </c>
      <c r="D67">
        <v>64</v>
      </c>
      <c r="E67">
        <v>2</v>
      </c>
      <c r="F67">
        <v>8</v>
      </c>
      <c r="G67">
        <v>833.2</v>
      </c>
      <c r="H67" s="59">
        <v>37.234000000000002</v>
      </c>
      <c r="I67" s="27">
        <v>45485</v>
      </c>
      <c r="J67" s="53">
        <v>4.6296296296296294E-3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s="66">
        <f t="shared" si="14"/>
        <v>37.062600000000003</v>
      </c>
      <c r="Y67">
        <v>3</v>
      </c>
      <c r="Z67" t="s">
        <v>7</v>
      </c>
      <c r="AA67">
        <v>35968</v>
      </c>
      <c r="AB67">
        <v>64</v>
      </c>
      <c r="AC67">
        <v>2</v>
      </c>
      <c r="AD67">
        <v>8</v>
      </c>
      <c r="AE67" s="1">
        <v>760.13</v>
      </c>
      <c r="AF67" s="48">
        <v>40.813000000000002</v>
      </c>
      <c r="AG67" s="27">
        <v>45502</v>
      </c>
      <c r="AH67" s="53">
        <v>0.27289351851851851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s="66">
        <f t="shared" si="7"/>
        <v>40.939800000000005</v>
      </c>
      <c r="AW67">
        <v>3</v>
      </c>
      <c r="AX67" t="s">
        <v>7</v>
      </c>
      <c r="AY67">
        <v>35968</v>
      </c>
      <c r="AZ67">
        <v>64</v>
      </c>
      <c r="BA67">
        <v>2</v>
      </c>
      <c r="BB67">
        <v>8</v>
      </c>
      <c r="BC67">
        <v>1038.92</v>
      </c>
      <c r="BD67" s="61">
        <v>29.861000000000001</v>
      </c>
      <c r="BE67" s="27">
        <v>45492</v>
      </c>
      <c r="BF67" s="53">
        <v>0.16032407407407406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 s="8">
        <f t="shared" si="16"/>
        <v>29.838600000000003</v>
      </c>
      <c r="BU67">
        <v>170</v>
      </c>
      <c r="BV67" t="s">
        <v>70</v>
      </c>
      <c r="BW67">
        <v>38144</v>
      </c>
      <c r="BX67">
        <v>64</v>
      </c>
      <c r="BY67">
        <v>1</v>
      </c>
      <c r="BZ67">
        <v>16</v>
      </c>
      <c r="CA67">
        <v>981.08</v>
      </c>
      <c r="CB67">
        <v>37.715000000000003</v>
      </c>
      <c r="CQ67" s="54">
        <f t="shared" si="18"/>
        <v>37.853499999999997</v>
      </c>
    </row>
    <row r="68" spans="1:95">
      <c r="A68">
        <v>4</v>
      </c>
      <c r="B68" t="s">
        <v>7</v>
      </c>
      <c r="C68">
        <v>35968</v>
      </c>
      <c r="D68">
        <v>64</v>
      </c>
      <c r="E68">
        <v>2</v>
      </c>
      <c r="F68">
        <v>8</v>
      </c>
      <c r="G68">
        <v>866.02</v>
      </c>
      <c r="H68" s="59">
        <v>35.823</v>
      </c>
      <c r="I68" s="27">
        <v>45485</v>
      </c>
      <c r="J68" s="53">
        <v>0.88123842592592594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s="66">
        <f t="shared" si="14"/>
        <v>37.062600000000003</v>
      </c>
      <c r="Y68">
        <v>4</v>
      </c>
      <c r="Z68" t="s">
        <v>7</v>
      </c>
      <c r="AA68">
        <v>35968</v>
      </c>
      <c r="AB68">
        <v>64</v>
      </c>
      <c r="AC68">
        <v>2</v>
      </c>
      <c r="AD68">
        <v>8</v>
      </c>
      <c r="AE68">
        <v>756.78</v>
      </c>
      <c r="AF68" s="48">
        <v>40.994</v>
      </c>
      <c r="AG68" s="27">
        <v>45503</v>
      </c>
      <c r="AH68" s="53">
        <v>6.7766203703703703E-2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 s="66">
        <f t="shared" si="7"/>
        <v>40.939800000000005</v>
      </c>
      <c r="AW68">
        <v>4</v>
      </c>
      <c r="AX68" t="s">
        <v>7</v>
      </c>
      <c r="AY68">
        <v>35968</v>
      </c>
      <c r="AZ68">
        <v>64</v>
      </c>
      <c r="BA68">
        <v>2</v>
      </c>
      <c r="BB68">
        <v>8</v>
      </c>
      <c r="BC68">
        <v>1041.8900000000001</v>
      </c>
      <c r="BD68" s="61">
        <v>29.776</v>
      </c>
      <c r="BE68" s="27">
        <v>45493</v>
      </c>
      <c r="BF68" s="53">
        <v>0.24575231481481483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 s="8">
        <f t="shared" si="16"/>
        <v>29.838600000000003</v>
      </c>
      <c r="BU68">
        <v>241</v>
      </c>
      <c r="BV68" t="s">
        <v>70</v>
      </c>
      <c r="BW68">
        <v>38144</v>
      </c>
      <c r="BX68">
        <v>64</v>
      </c>
      <c r="BY68">
        <v>1</v>
      </c>
      <c r="BZ68">
        <v>16</v>
      </c>
      <c r="CA68">
        <v>976.24</v>
      </c>
      <c r="CB68">
        <v>37.901000000000003</v>
      </c>
      <c r="CQ68" s="54">
        <f t="shared" si="18"/>
        <v>37.853499999999997</v>
      </c>
    </row>
    <row r="69" spans="1:95">
      <c r="A69">
        <v>0</v>
      </c>
      <c r="B69" t="s">
        <v>7</v>
      </c>
      <c r="C69">
        <v>38080</v>
      </c>
      <c r="D69">
        <v>64</v>
      </c>
      <c r="E69">
        <v>2</v>
      </c>
      <c r="F69">
        <v>8</v>
      </c>
      <c r="G69" s="1">
        <v>955.98</v>
      </c>
      <c r="H69" s="59">
        <v>38.51</v>
      </c>
      <c r="I69" s="27">
        <v>45482</v>
      </c>
      <c r="J69" s="53">
        <v>0.67296296296296299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s="66">
        <f t="shared" ref="W69" si="95">AVERAGE(H69:H73)</f>
        <v>37.890599999999999</v>
      </c>
      <c r="Y69">
        <v>0</v>
      </c>
      <c r="Z69" t="s">
        <v>7</v>
      </c>
      <c r="AA69">
        <v>38080</v>
      </c>
      <c r="AB69">
        <v>64</v>
      </c>
      <c r="AC69">
        <v>2</v>
      </c>
      <c r="AD69">
        <v>8</v>
      </c>
      <c r="AE69">
        <v>877.54</v>
      </c>
      <c r="AF69" s="48">
        <v>41.953000000000003</v>
      </c>
      <c r="AG69" s="27">
        <v>45499</v>
      </c>
      <c r="AH69" s="53">
        <v>0.79800925925925925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 s="66">
        <f t="shared" ref="AU69" si="96">AVERAGE(AF69:AF73)</f>
        <v>42.027000000000001</v>
      </c>
      <c r="AW69">
        <v>0</v>
      </c>
      <c r="AX69" t="s">
        <v>7</v>
      </c>
      <c r="AY69">
        <v>38080</v>
      </c>
      <c r="AZ69">
        <v>64</v>
      </c>
      <c r="BA69">
        <v>2</v>
      </c>
      <c r="BB69">
        <v>8</v>
      </c>
      <c r="BC69">
        <v>1192.1099999999999</v>
      </c>
      <c r="BD69" s="61">
        <v>30.882000000000001</v>
      </c>
      <c r="BE69" s="27">
        <v>45488</v>
      </c>
      <c r="BF69" s="53">
        <v>0.92096064814814815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 s="8">
        <f t="shared" ref="BS69" si="97">AVERAGE(BD69:BD73)</f>
        <v>30.960799999999999</v>
      </c>
      <c r="BU69">
        <v>312</v>
      </c>
      <c r="BV69" t="s">
        <v>70</v>
      </c>
      <c r="BW69">
        <v>38144</v>
      </c>
      <c r="BX69">
        <v>64</v>
      </c>
      <c r="BY69">
        <v>1</v>
      </c>
      <c r="BZ69">
        <v>16</v>
      </c>
      <c r="CA69">
        <v>979.92</v>
      </c>
      <c r="CB69">
        <v>37.759</v>
      </c>
      <c r="CQ69" s="54">
        <f t="shared" si="18"/>
        <v>37.853499999999997</v>
      </c>
    </row>
    <row r="70" spans="1:95">
      <c r="A70">
        <v>1</v>
      </c>
      <c r="B70" t="s">
        <v>7</v>
      </c>
      <c r="C70">
        <v>38080</v>
      </c>
      <c r="D70">
        <v>64</v>
      </c>
      <c r="E70">
        <v>2</v>
      </c>
      <c r="F70">
        <v>8</v>
      </c>
      <c r="G70">
        <v>967</v>
      </c>
      <c r="H70" s="59">
        <v>38.070999999999998</v>
      </c>
      <c r="I70" s="27">
        <v>45483</v>
      </c>
      <c r="J70" s="53">
        <v>0.53548611111111111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s="66">
        <f t="shared" ref="W70" si="98">W69</f>
        <v>37.890599999999999</v>
      </c>
      <c r="Y70">
        <v>1</v>
      </c>
      <c r="Z70" t="s">
        <v>7</v>
      </c>
      <c r="AA70">
        <v>38080</v>
      </c>
      <c r="AB70">
        <v>64</v>
      </c>
      <c r="AC70">
        <v>2</v>
      </c>
      <c r="AD70">
        <v>8</v>
      </c>
      <c r="AE70" s="1">
        <v>871.61</v>
      </c>
      <c r="AF70" s="48">
        <v>42.238</v>
      </c>
      <c r="AG70" s="27">
        <v>45500</v>
      </c>
      <c r="AH70" s="53">
        <v>0.91959490740740746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 s="66">
        <f t="shared" ref="AU70" si="99">AU69</f>
        <v>42.027000000000001</v>
      </c>
      <c r="AW70">
        <v>1</v>
      </c>
      <c r="AX70" t="s">
        <v>7</v>
      </c>
      <c r="AY70">
        <v>38080</v>
      </c>
      <c r="AZ70">
        <v>64</v>
      </c>
      <c r="BA70">
        <v>2</v>
      </c>
      <c r="BB70">
        <v>8</v>
      </c>
      <c r="BC70">
        <v>1192.55</v>
      </c>
      <c r="BD70" s="61">
        <v>30.870999999999999</v>
      </c>
      <c r="BE70" s="27">
        <v>45490</v>
      </c>
      <c r="BF70" s="53">
        <v>0.31438657407407405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 s="8">
        <f t="shared" ref="BS70" si="100">BS69</f>
        <v>30.960799999999999</v>
      </c>
      <c r="BU70">
        <v>383</v>
      </c>
      <c r="BV70" t="s">
        <v>70</v>
      </c>
      <c r="BW70">
        <v>38144</v>
      </c>
      <c r="BX70">
        <v>64</v>
      </c>
      <c r="BY70">
        <v>1</v>
      </c>
      <c r="BZ70">
        <v>16</v>
      </c>
      <c r="CA70">
        <v>975.48</v>
      </c>
      <c r="CB70">
        <v>37.930999999999997</v>
      </c>
      <c r="CQ70" s="54">
        <f t="shared" si="18"/>
        <v>37.853499999999997</v>
      </c>
    </row>
    <row r="71" spans="1:95">
      <c r="A71">
        <v>2</v>
      </c>
      <c r="B71" t="s">
        <v>7</v>
      </c>
      <c r="C71">
        <v>38080</v>
      </c>
      <c r="D71">
        <v>64</v>
      </c>
      <c r="E71">
        <v>2</v>
      </c>
      <c r="F71">
        <v>8</v>
      </c>
      <c r="G71">
        <v>975.35</v>
      </c>
      <c r="H71" s="59">
        <v>37.744999999999997</v>
      </c>
      <c r="I71" s="27">
        <v>45484</v>
      </c>
      <c r="J71" s="53">
        <v>0.39836805555555554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s="66">
        <f t="shared" si="14"/>
        <v>37.890599999999999</v>
      </c>
      <c r="Y71">
        <v>2</v>
      </c>
      <c r="Z71" t="s">
        <v>7</v>
      </c>
      <c r="AA71">
        <v>38080</v>
      </c>
      <c r="AB71">
        <v>64</v>
      </c>
      <c r="AC71">
        <v>2</v>
      </c>
      <c r="AD71">
        <v>8</v>
      </c>
      <c r="AE71">
        <v>877.68</v>
      </c>
      <c r="AF71" s="48">
        <v>41.945999999999998</v>
      </c>
      <c r="AG71" s="27">
        <v>45501</v>
      </c>
      <c r="AH71" s="53">
        <v>0.71372685185185181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 s="66">
        <f t="shared" si="7"/>
        <v>42.027000000000001</v>
      </c>
      <c r="AW71">
        <v>2</v>
      </c>
      <c r="AX71" t="s">
        <v>7</v>
      </c>
      <c r="AY71">
        <v>38080</v>
      </c>
      <c r="AZ71">
        <v>64</v>
      </c>
      <c r="BA71">
        <v>2</v>
      </c>
      <c r="BB71">
        <v>8</v>
      </c>
      <c r="BC71">
        <v>1180.1300000000001</v>
      </c>
      <c r="BD71" s="61">
        <v>31.196000000000002</v>
      </c>
      <c r="BE71" s="27">
        <v>45491</v>
      </c>
      <c r="BF71" s="53">
        <v>0.40035879629629628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 s="8">
        <f t="shared" si="16"/>
        <v>30.960799999999999</v>
      </c>
      <c r="BU71">
        <v>52</v>
      </c>
      <c r="BV71" t="s">
        <v>70</v>
      </c>
      <c r="BW71">
        <v>40320</v>
      </c>
      <c r="BX71">
        <v>64</v>
      </c>
      <c r="BY71">
        <v>1</v>
      </c>
      <c r="BZ71">
        <v>16</v>
      </c>
      <c r="CA71">
        <v>1145.8599999999999</v>
      </c>
      <c r="CB71">
        <v>38.137999999999998</v>
      </c>
      <c r="CQ71" s="54">
        <f t="shared" ref="CQ71" si="101">AVERAGE(CB71:CB76)</f>
        <v>38.246166666666667</v>
      </c>
    </row>
    <row r="72" spans="1:95">
      <c r="A72">
        <v>3</v>
      </c>
      <c r="B72" t="s">
        <v>7</v>
      </c>
      <c r="C72">
        <v>38080</v>
      </c>
      <c r="D72">
        <v>64</v>
      </c>
      <c r="E72">
        <v>2</v>
      </c>
      <c r="F72">
        <v>8</v>
      </c>
      <c r="G72">
        <v>956.24</v>
      </c>
      <c r="H72" s="59">
        <v>38.5</v>
      </c>
      <c r="I72" s="27">
        <v>45485</v>
      </c>
      <c r="J72" s="53">
        <v>0.26141203703703703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s="66">
        <f t="shared" si="14"/>
        <v>37.890599999999999</v>
      </c>
      <c r="Y72">
        <v>3</v>
      </c>
      <c r="Z72" t="s">
        <v>7</v>
      </c>
      <c r="AA72">
        <v>38080</v>
      </c>
      <c r="AB72">
        <v>64</v>
      </c>
      <c r="AC72">
        <v>2</v>
      </c>
      <c r="AD72">
        <v>8</v>
      </c>
      <c r="AE72">
        <v>880.49</v>
      </c>
      <c r="AF72" s="48">
        <v>41.811999999999998</v>
      </c>
      <c r="AG72" s="27">
        <v>45502</v>
      </c>
      <c r="AH72" s="53">
        <v>0.5080324074074074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 s="66">
        <f t="shared" si="7"/>
        <v>42.027000000000001</v>
      </c>
      <c r="AW72">
        <v>3</v>
      </c>
      <c r="AX72" t="s">
        <v>7</v>
      </c>
      <c r="AY72">
        <v>38080</v>
      </c>
      <c r="AZ72">
        <v>64</v>
      </c>
      <c r="BA72">
        <v>2</v>
      </c>
      <c r="BB72">
        <v>8</v>
      </c>
      <c r="BC72">
        <v>1187.6199999999999</v>
      </c>
      <c r="BD72" s="61">
        <v>30.998999999999999</v>
      </c>
      <c r="BE72" s="27">
        <v>45492</v>
      </c>
      <c r="BF72" s="53">
        <v>0.48539351851851853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 s="8">
        <f t="shared" si="16"/>
        <v>30.960799999999999</v>
      </c>
      <c r="BU72">
        <v>123</v>
      </c>
      <c r="BV72" t="s">
        <v>70</v>
      </c>
      <c r="BW72">
        <v>40320</v>
      </c>
      <c r="BX72">
        <v>64</v>
      </c>
      <c r="BY72">
        <v>1</v>
      </c>
      <c r="BZ72">
        <v>16</v>
      </c>
      <c r="CA72">
        <v>1142.98</v>
      </c>
      <c r="CB72">
        <v>38.234999999999999</v>
      </c>
      <c r="CQ72" s="54">
        <f t="shared" ref="CQ72" si="102">CQ71</f>
        <v>38.246166666666667</v>
      </c>
    </row>
    <row r="73" spans="1:95">
      <c r="A73">
        <v>4</v>
      </c>
      <c r="B73" t="s">
        <v>7</v>
      </c>
      <c r="C73">
        <v>38080</v>
      </c>
      <c r="D73">
        <v>64</v>
      </c>
      <c r="E73">
        <v>2</v>
      </c>
      <c r="F73">
        <v>8</v>
      </c>
      <c r="G73">
        <v>1005.13</v>
      </c>
      <c r="H73" s="59">
        <v>36.627000000000002</v>
      </c>
      <c r="I73" s="27">
        <v>45486</v>
      </c>
      <c r="J73" s="53">
        <v>0.14561342592592594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s="66">
        <f t="shared" si="14"/>
        <v>37.890599999999999</v>
      </c>
      <c r="Y73">
        <v>4</v>
      </c>
      <c r="Z73" t="s">
        <v>7</v>
      </c>
      <c r="AA73">
        <v>38080</v>
      </c>
      <c r="AB73">
        <v>64</v>
      </c>
      <c r="AC73">
        <v>2</v>
      </c>
      <c r="AD73">
        <v>8</v>
      </c>
      <c r="AE73">
        <v>872.69</v>
      </c>
      <c r="AF73" s="48">
        <v>42.186</v>
      </c>
      <c r="AG73" s="27">
        <v>45503</v>
      </c>
      <c r="AH73" s="53">
        <v>0.30273148148148149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 s="66">
        <f t="shared" si="7"/>
        <v>42.027000000000001</v>
      </c>
      <c r="AW73">
        <v>4</v>
      </c>
      <c r="AX73" t="s">
        <v>7</v>
      </c>
      <c r="AY73">
        <v>38080</v>
      </c>
      <c r="AZ73">
        <v>64</v>
      </c>
      <c r="BA73">
        <v>2</v>
      </c>
      <c r="BB73">
        <v>8</v>
      </c>
      <c r="BC73">
        <v>1193.1400000000001</v>
      </c>
      <c r="BD73" s="61">
        <v>30.856000000000002</v>
      </c>
      <c r="BE73" s="27">
        <v>45493</v>
      </c>
      <c r="BF73" s="53">
        <v>0.57086805555555553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 s="8">
        <f t="shared" si="16"/>
        <v>30.960799999999999</v>
      </c>
      <c r="BU73">
        <v>194</v>
      </c>
      <c r="BV73" t="s">
        <v>70</v>
      </c>
      <c r="BW73">
        <v>40320</v>
      </c>
      <c r="BX73">
        <v>64</v>
      </c>
      <c r="BY73">
        <v>1</v>
      </c>
      <c r="BZ73">
        <v>16</v>
      </c>
      <c r="CA73">
        <v>1145.19</v>
      </c>
      <c r="CB73">
        <v>38.161000000000001</v>
      </c>
      <c r="CQ73" s="54">
        <f t="shared" si="18"/>
        <v>38.246166666666667</v>
      </c>
    </row>
    <row r="74" spans="1:95">
      <c r="A74">
        <v>0</v>
      </c>
      <c r="B74" t="s">
        <v>7</v>
      </c>
      <c r="C74">
        <v>40128</v>
      </c>
      <c r="D74">
        <v>64</v>
      </c>
      <c r="E74">
        <v>2</v>
      </c>
      <c r="F74">
        <v>8</v>
      </c>
      <c r="G74" s="1">
        <v>1110.69</v>
      </c>
      <c r="H74" s="59">
        <v>38.786999999999999</v>
      </c>
      <c r="I74" s="27">
        <v>45482</v>
      </c>
      <c r="J74" s="53">
        <v>0.96986111111111106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s="66">
        <f t="shared" ref="W74" si="103">AVERAGE(H74:H78)</f>
        <v>38.261600000000001</v>
      </c>
      <c r="Y74">
        <v>0</v>
      </c>
      <c r="Z74" t="s">
        <v>7</v>
      </c>
      <c r="AA74">
        <v>40128</v>
      </c>
      <c r="AB74">
        <v>64</v>
      </c>
      <c r="AC74">
        <v>2</v>
      </c>
      <c r="AD74">
        <v>8</v>
      </c>
      <c r="AE74">
        <v>1019.97</v>
      </c>
      <c r="AF74" s="48">
        <v>42.235999999999997</v>
      </c>
      <c r="AG74" s="27">
        <v>45500</v>
      </c>
      <c r="AH74" s="53">
        <v>7.1643518518518523E-2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 s="66">
        <f t="shared" ref="AU74" si="104">AVERAGE(AF74:AF78)</f>
        <v>42.1922</v>
      </c>
      <c r="AW74">
        <v>0</v>
      </c>
      <c r="AX74" t="s">
        <v>7</v>
      </c>
      <c r="AY74">
        <v>40128</v>
      </c>
      <c r="AZ74">
        <v>64</v>
      </c>
      <c r="BA74">
        <v>2</v>
      </c>
      <c r="BB74">
        <v>8</v>
      </c>
      <c r="BC74">
        <v>1359.26</v>
      </c>
      <c r="BD74" s="61">
        <v>31.693999999999999</v>
      </c>
      <c r="BE74" s="27">
        <v>45489</v>
      </c>
      <c r="BF74" s="53">
        <v>0.29395833333333332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 s="8">
        <f t="shared" ref="BS74" si="105">AVERAGE(BD74:BD78)</f>
        <v>31.729599999999998</v>
      </c>
      <c r="BU74">
        <v>265</v>
      </c>
      <c r="BV74" t="s">
        <v>70</v>
      </c>
      <c r="BW74">
        <v>40320</v>
      </c>
      <c r="BX74">
        <v>64</v>
      </c>
      <c r="BY74">
        <v>1</v>
      </c>
      <c r="BZ74">
        <v>16</v>
      </c>
      <c r="CA74">
        <v>1138.45</v>
      </c>
      <c r="CB74">
        <v>38.387</v>
      </c>
      <c r="CQ74" s="54">
        <f t="shared" si="18"/>
        <v>38.246166666666667</v>
      </c>
    </row>
    <row r="75" spans="1:95">
      <c r="A75">
        <v>1</v>
      </c>
      <c r="B75" t="s">
        <v>7</v>
      </c>
      <c r="C75">
        <v>40128</v>
      </c>
      <c r="D75">
        <v>64</v>
      </c>
      <c r="E75">
        <v>2</v>
      </c>
      <c r="F75">
        <v>8</v>
      </c>
      <c r="G75">
        <v>1111.02</v>
      </c>
      <c r="H75" s="59">
        <v>38.774999999999999</v>
      </c>
      <c r="I75" s="27">
        <v>45483</v>
      </c>
      <c r="J75" s="53">
        <v>0.83482638888888894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s="66">
        <f t="shared" ref="W75" si="106">W74</f>
        <v>38.261600000000001</v>
      </c>
      <c r="Y75">
        <v>1</v>
      </c>
      <c r="Z75" t="s">
        <v>7</v>
      </c>
      <c r="AA75">
        <v>40128</v>
      </c>
      <c r="AB75">
        <v>64</v>
      </c>
      <c r="AC75">
        <v>2</v>
      </c>
      <c r="AD75">
        <v>8</v>
      </c>
      <c r="AE75">
        <v>1018.9</v>
      </c>
      <c r="AF75" s="48">
        <v>42.280999999999999</v>
      </c>
      <c r="AG75" s="27">
        <v>45501</v>
      </c>
      <c r="AH75" s="53">
        <v>0.1935763888888889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 s="66">
        <f t="shared" ref="AU75:AU138" si="107">AU74</f>
        <v>42.1922</v>
      </c>
      <c r="AW75">
        <v>1</v>
      </c>
      <c r="AX75" t="s">
        <v>7</v>
      </c>
      <c r="AY75">
        <v>40128</v>
      </c>
      <c r="AZ75">
        <v>64</v>
      </c>
      <c r="BA75">
        <v>2</v>
      </c>
      <c r="BB75">
        <v>8</v>
      </c>
      <c r="BC75">
        <v>1365.89</v>
      </c>
      <c r="BD75" s="61">
        <v>31.54</v>
      </c>
      <c r="BE75" s="27">
        <v>45490</v>
      </c>
      <c r="BF75" s="53">
        <v>0.68753472222222223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 s="8">
        <f t="shared" ref="BS75" si="108">BS74</f>
        <v>31.729599999999998</v>
      </c>
      <c r="BU75">
        <v>336</v>
      </c>
      <c r="BV75" t="s">
        <v>70</v>
      </c>
      <c r="BW75">
        <v>40320</v>
      </c>
      <c r="BX75">
        <v>64</v>
      </c>
      <c r="BY75">
        <v>1</v>
      </c>
      <c r="BZ75">
        <v>16</v>
      </c>
      <c r="CA75">
        <v>1138.54</v>
      </c>
      <c r="CB75">
        <v>38.384</v>
      </c>
      <c r="CQ75" s="54">
        <f t="shared" si="18"/>
        <v>38.246166666666667</v>
      </c>
    </row>
    <row r="76" spans="1:95">
      <c r="A76">
        <v>2</v>
      </c>
      <c r="B76" t="s">
        <v>7</v>
      </c>
      <c r="C76">
        <v>40128</v>
      </c>
      <c r="D76">
        <v>64</v>
      </c>
      <c r="E76">
        <v>2</v>
      </c>
      <c r="F76">
        <v>8</v>
      </c>
      <c r="G76">
        <v>1113.5</v>
      </c>
      <c r="H76" s="59">
        <v>38.689</v>
      </c>
      <c r="I76" s="27">
        <v>45484</v>
      </c>
      <c r="J76" s="53">
        <v>0.6973611111111111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s="66">
        <f t="shared" si="14"/>
        <v>38.261600000000001</v>
      </c>
      <c r="Y76">
        <v>2</v>
      </c>
      <c r="Z76" t="s">
        <v>7</v>
      </c>
      <c r="AA76">
        <v>40128</v>
      </c>
      <c r="AB76">
        <v>64</v>
      </c>
      <c r="AC76">
        <v>2</v>
      </c>
      <c r="AD76">
        <v>8</v>
      </c>
      <c r="AE76">
        <v>1024.54</v>
      </c>
      <c r="AF76" s="48">
        <v>42.048000000000002</v>
      </c>
      <c r="AG76" s="27">
        <v>45501</v>
      </c>
      <c r="AH76" s="53">
        <v>0.98831018518518521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 s="66">
        <f t="shared" si="107"/>
        <v>42.1922</v>
      </c>
      <c r="AW76">
        <v>2</v>
      </c>
      <c r="AX76" t="s">
        <v>7</v>
      </c>
      <c r="AY76">
        <v>40128</v>
      </c>
      <c r="AZ76">
        <v>64</v>
      </c>
      <c r="BA76">
        <v>2</v>
      </c>
      <c r="BB76">
        <v>8</v>
      </c>
      <c r="BC76">
        <v>1359.63</v>
      </c>
      <c r="BD76" s="61">
        <v>31.684999999999999</v>
      </c>
      <c r="BE76" s="27">
        <v>45491</v>
      </c>
      <c r="BF76" s="53">
        <v>0.77317129629629633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 s="8">
        <f t="shared" si="16"/>
        <v>31.729599999999998</v>
      </c>
      <c r="BU76">
        <v>407</v>
      </c>
      <c r="BV76" t="s">
        <v>70</v>
      </c>
      <c r="BW76">
        <v>40320</v>
      </c>
      <c r="BX76">
        <v>64</v>
      </c>
      <c r="BY76">
        <v>1</v>
      </c>
      <c r="BZ76">
        <v>16</v>
      </c>
      <c r="CA76">
        <v>1144.8599999999999</v>
      </c>
      <c r="CB76">
        <v>38.171999999999997</v>
      </c>
      <c r="CQ76" s="54">
        <f t="shared" si="18"/>
        <v>38.246166666666667</v>
      </c>
    </row>
    <row r="77" spans="1:95">
      <c r="A77">
        <v>3</v>
      </c>
      <c r="B77" t="s">
        <v>7</v>
      </c>
      <c r="C77">
        <v>40128</v>
      </c>
      <c r="D77">
        <v>64</v>
      </c>
      <c r="E77">
        <v>2</v>
      </c>
      <c r="F77">
        <v>8</v>
      </c>
      <c r="G77">
        <v>1151.21</v>
      </c>
      <c r="H77" s="59">
        <v>37.421999999999997</v>
      </c>
      <c r="I77" s="27">
        <v>45485</v>
      </c>
      <c r="J77" s="53">
        <v>0.56483796296296296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 s="66">
        <f t="shared" si="14"/>
        <v>38.261600000000001</v>
      </c>
      <c r="Y77">
        <v>3</v>
      </c>
      <c r="Z77" t="s">
        <v>7</v>
      </c>
      <c r="AA77">
        <v>40128</v>
      </c>
      <c r="AB77">
        <v>64</v>
      </c>
      <c r="AC77">
        <v>2</v>
      </c>
      <c r="AD77">
        <v>8</v>
      </c>
      <c r="AE77">
        <v>1022.47</v>
      </c>
      <c r="AF77" s="48">
        <v>42.133000000000003</v>
      </c>
      <c r="AG77" s="27">
        <v>45502</v>
      </c>
      <c r="AH77" s="53">
        <v>0.7826967592592593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 s="66">
        <f t="shared" si="107"/>
        <v>42.1922</v>
      </c>
      <c r="AW77">
        <v>3</v>
      </c>
      <c r="AX77" t="s">
        <v>7</v>
      </c>
      <c r="AY77">
        <v>40128</v>
      </c>
      <c r="AZ77">
        <v>64</v>
      </c>
      <c r="BA77">
        <v>2</v>
      </c>
      <c r="BB77">
        <v>8</v>
      </c>
      <c r="BC77">
        <v>1355.9</v>
      </c>
      <c r="BD77" s="61">
        <v>31.771999999999998</v>
      </c>
      <c r="BE77" s="27">
        <v>45492</v>
      </c>
      <c r="BF77" s="53">
        <v>0.85854166666666665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 s="8">
        <f t="shared" si="16"/>
        <v>31.729599999999998</v>
      </c>
      <c r="BU77">
        <v>5</v>
      </c>
      <c r="BV77" t="s">
        <v>70</v>
      </c>
      <c r="BW77">
        <v>35968</v>
      </c>
      <c r="BX77">
        <v>64</v>
      </c>
      <c r="BY77">
        <v>2</v>
      </c>
      <c r="BZ77">
        <v>8</v>
      </c>
      <c r="CA77">
        <v>815.11</v>
      </c>
      <c r="CB77">
        <v>38.06</v>
      </c>
      <c r="CQ77" s="54">
        <f t="shared" ref="CQ77" si="109">AVERAGE(CB77:CB82)</f>
        <v>38.192500000000003</v>
      </c>
    </row>
    <row r="78" spans="1:95">
      <c r="A78">
        <v>4</v>
      </c>
      <c r="B78" t="s">
        <v>7</v>
      </c>
      <c r="C78">
        <v>40128</v>
      </c>
      <c r="D78">
        <v>64</v>
      </c>
      <c r="E78">
        <v>2</v>
      </c>
      <c r="F78">
        <v>8</v>
      </c>
      <c r="G78">
        <v>1144.68</v>
      </c>
      <c r="H78" s="59">
        <v>37.634999999999998</v>
      </c>
      <c r="I78" s="27">
        <v>45486</v>
      </c>
      <c r="J78" s="53">
        <v>0.45325231481481482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s="66">
        <f t="shared" si="14"/>
        <v>38.261600000000001</v>
      </c>
      <c r="Y78">
        <v>4</v>
      </c>
      <c r="Z78" t="s">
        <v>7</v>
      </c>
      <c r="AA78">
        <v>40128</v>
      </c>
      <c r="AB78">
        <v>64</v>
      </c>
      <c r="AC78">
        <v>2</v>
      </c>
      <c r="AD78">
        <v>8</v>
      </c>
      <c r="AE78" s="1">
        <v>1019.33</v>
      </c>
      <c r="AF78" s="48">
        <v>42.262999999999998</v>
      </c>
      <c r="AG78" s="27">
        <v>45503</v>
      </c>
      <c r="AH78" s="53">
        <v>0.57759259259259255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 s="66">
        <f t="shared" si="107"/>
        <v>42.1922</v>
      </c>
      <c r="AW78">
        <v>4</v>
      </c>
      <c r="AX78" t="s">
        <v>7</v>
      </c>
      <c r="AY78">
        <v>40128</v>
      </c>
      <c r="AZ78">
        <v>64</v>
      </c>
      <c r="BA78">
        <v>2</v>
      </c>
      <c r="BB78">
        <v>8</v>
      </c>
      <c r="BC78">
        <v>1348.05</v>
      </c>
      <c r="BD78" s="61">
        <v>31.957000000000001</v>
      </c>
      <c r="BE78" s="27">
        <v>45493</v>
      </c>
      <c r="BF78" s="53">
        <v>0.94407407407407407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 s="8">
        <f t="shared" si="16"/>
        <v>31.729599999999998</v>
      </c>
      <c r="BU78">
        <v>76</v>
      </c>
      <c r="BV78" t="s">
        <v>70</v>
      </c>
      <c r="BW78">
        <v>35968</v>
      </c>
      <c r="BX78">
        <v>64</v>
      </c>
      <c r="BY78">
        <v>2</v>
      </c>
      <c r="BZ78">
        <v>8</v>
      </c>
      <c r="CA78">
        <v>810.78</v>
      </c>
      <c r="CB78">
        <v>38.262999999999998</v>
      </c>
      <c r="CQ78" s="54">
        <f t="shared" ref="CQ78" si="110">CQ77</f>
        <v>38.192500000000003</v>
      </c>
    </row>
    <row r="79" spans="1:95">
      <c r="A79">
        <v>0</v>
      </c>
      <c r="B79" t="s">
        <v>7</v>
      </c>
      <c r="C79">
        <v>35968</v>
      </c>
      <c r="D79">
        <v>64</v>
      </c>
      <c r="E79">
        <v>4</v>
      </c>
      <c r="F79">
        <v>4</v>
      </c>
      <c r="G79" s="1">
        <v>878.64</v>
      </c>
      <c r="H79" s="59">
        <v>35.308</v>
      </c>
      <c r="I79" s="27">
        <v>45482</v>
      </c>
      <c r="J79" s="53">
        <v>0.42704861111111109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s="66">
        <f t="shared" ref="W79" si="111">AVERAGE(H79:H83)</f>
        <v>35.228400000000001</v>
      </c>
      <c r="Y79">
        <v>0</v>
      </c>
      <c r="Z79" t="s">
        <v>7</v>
      </c>
      <c r="AA79">
        <v>35968</v>
      </c>
      <c r="AB79">
        <v>64</v>
      </c>
      <c r="AC79">
        <v>4</v>
      </c>
      <c r="AD79">
        <v>4</v>
      </c>
      <c r="AE79" s="1">
        <v>794.98</v>
      </c>
      <c r="AF79" s="48">
        <v>39.024000000000001</v>
      </c>
      <c r="AG79" s="27">
        <v>45499</v>
      </c>
      <c r="AH79" s="53">
        <v>0.57275462962962964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 s="66">
        <f t="shared" ref="AU79" si="112">AVERAGE(AF79:AF83)</f>
        <v>39.039400000000001</v>
      </c>
      <c r="AW79">
        <v>0</v>
      </c>
      <c r="AX79" t="s">
        <v>7</v>
      </c>
      <c r="AY79">
        <v>35968</v>
      </c>
      <c r="AZ79">
        <v>64</v>
      </c>
      <c r="BA79">
        <v>4</v>
      </c>
      <c r="BB79">
        <v>4</v>
      </c>
      <c r="BC79">
        <v>1090.21</v>
      </c>
      <c r="BD79" s="61">
        <v>28.456</v>
      </c>
      <c r="BE79" s="27">
        <v>45488</v>
      </c>
      <c r="BF79" s="53">
        <v>0.60940972222222223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 s="8">
        <f t="shared" ref="BS79" si="113">AVERAGE(BD79:BD83)</f>
        <v>28.540199999999999</v>
      </c>
      <c r="BU79">
        <v>147</v>
      </c>
      <c r="BV79" t="s">
        <v>70</v>
      </c>
      <c r="BW79">
        <v>35968</v>
      </c>
      <c r="BX79">
        <v>64</v>
      </c>
      <c r="BY79">
        <v>2</v>
      </c>
      <c r="BZ79">
        <v>8</v>
      </c>
      <c r="CA79">
        <v>811.52</v>
      </c>
      <c r="CB79">
        <v>38.228000000000002</v>
      </c>
      <c r="CQ79" s="54">
        <f t="shared" si="18"/>
        <v>38.192500000000003</v>
      </c>
    </row>
    <row r="80" spans="1:95">
      <c r="A80">
        <v>1</v>
      </c>
      <c r="B80" t="s">
        <v>7</v>
      </c>
      <c r="C80">
        <v>35968</v>
      </c>
      <c r="D80">
        <v>64</v>
      </c>
      <c r="E80">
        <v>4</v>
      </c>
      <c r="F80">
        <v>4</v>
      </c>
      <c r="G80">
        <v>873.8</v>
      </c>
      <c r="H80" s="59">
        <v>35.503</v>
      </c>
      <c r="I80" s="27">
        <v>45483</v>
      </c>
      <c r="J80" s="53">
        <v>0.28751157407407407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s="66">
        <f t="shared" ref="W80:W143" si="114">W79</f>
        <v>35.228400000000001</v>
      </c>
      <c r="Y80">
        <v>1</v>
      </c>
      <c r="Z80" t="s">
        <v>7</v>
      </c>
      <c r="AA80">
        <v>35968</v>
      </c>
      <c r="AB80">
        <v>64</v>
      </c>
      <c r="AC80">
        <v>4</v>
      </c>
      <c r="AD80">
        <v>4</v>
      </c>
      <c r="AE80">
        <v>796.53</v>
      </c>
      <c r="AF80" s="48">
        <v>38.948</v>
      </c>
      <c r="AG80" s="27">
        <v>45500</v>
      </c>
      <c r="AH80" s="53">
        <v>0.69342592592592589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 s="66">
        <f t="shared" ref="AU80" si="115">AU79</f>
        <v>39.039400000000001</v>
      </c>
      <c r="AW80">
        <v>1</v>
      </c>
      <c r="AX80" t="s">
        <v>7</v>
      </c>
      <c r="AY80">
        <v>35968</v>
      </c>
      <c r="AZ80">
        <v>64</v>
      </c>
      <c r="BA80">
        <v>4</v>
      </c>
      <c r="BB80">
        <v>4</v>
      </c>
      <c r="BC80">
        <v>1081.29</v>
      </c>
      <c r="BD80" s="61">
        <v>28.690999999999999</v>
      </c>
      <c r="BE80" s="27">
        <v>45490</v>
      </c>
      <c r="BF80" s="53">
        <v>3.1250000000000002E-3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 s="8">
        <f t="shared" ref="BS80:BS138" si="116">BS79</f>
        <v>28.540199999999999</v>
      </c>
      <c r="BU80">
        <v>218</v>
      </c>
      <c r="BV80" t="s">
        <v>70</v>
      </c>
      <c r="BW80">
        <v>35968</v>
      </c>
      <c r="BX80">
        <v>64</v>
      </c>
      <c r="BY80">
        <v>2</v>
      </c>
      <c r="BZ80">
        <v>8</v>
      </c>
      <c r="CA80">
        <v>811.1</v>
      </c>
      <c r="CB80">
        <v>38.247999999999998</v>
      </c>
      <c r="CQ80" s="54">
        <f t="shared" si="18"/>
        <v>38.192500000000003</v>
      </c>
    </row>
    <row r="81" spans="1:95">
      <c r="A81">
        <v>2</v>
      </c>
      <c r="B81" t="s">
        <v>7</v>
      </c>
      <c r="C81">
        <v>35968</v>
      </c>
      <c r="D81">
        <v>64</v>
      </c>
      <c r="E81">
        <v>4</v>
      </c>
      <c r="F81">
        <v>4</v>
      </c>
      <c r="G81">
        <v>878.69</v>
      </c>
      <c r="H81" s="59">
        <v>35.305999999999997</v>
      </c>
      <c r="I81" s="27">
        <v>45484</v>
      </c>
      <c r="J81" s="53">
        <v>0.1525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s="66">
        <f t="shared" si="114"/>
        <v>35.228400000000001</v>
      </c>
      <c r="Y81">
        <v>2</v>
      </c>
      <c r="Z81" t="s">
        <v>7</v>
      </c>
      <c r="AA81">
        <v>35968</v>
      </c>
      <c r="AB81">
        <v>64</v>
      </c>
      <c r="AC81">
        <v>4</v>
      </c>
      <c r="AD81">
        <v>4</v>
      </c>
      <c r="AE81">
        <v>795.43</v>
      </c>
      <c r="AF81" s="48">
        <v>39.000999999999998</v>
      </c>
      <c r="AG81" s="27">
        <v>45501</v>
      </c>
      <c r="AH81" s="53">
        <v>0.48732638888888891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 s="66">
        <f t="shared" si="107"/>
        <v>39.039400000000001</v>
      </c>
      <c r="AW81">
        <v>2</v>
      </c>
      <c r="AX81" t="s">
        <v>7</v>
      </c>
      <c r="AY81">
        <v>35968</v>
      </c>
      <c r="AZ81">
        <v>64</v>
      </c>
      <c r="BA81">
        <v>4</v>
      </c>
      <c r="BB81">
        <v>4</v>
      </c>
      <c r="BC81">
        <v>1088.55</v>
      </c>
      <c r="BD81" s="61">
        <v>28.498999999999999</v>
      </c>
      <c r="BE81" s="27">
        <v>45491</v>
      </c>
      <c r="BF81" s="53">
        <v>8.8703703703703701E-2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 s="8">
        <f t="shared" si="116"/>
        <v>28.540199999999999</v>
      </c>
      <c r="BU81">
        <v>289</v>
      </c>
      <c r="BV81" t="s">
        <v>70</v>
      </c>
      <c r="BW81">
        <v>35968</v>
      </c>
      <c r="BX81">
        <v>64</v>
      </c>
      <c r="BY81">
        <v>2</v>
      </c>
      <c r="BZ81">
        <v>8</v>
      </c>
      <c r="CA81">
        <v>813.48</v>
      </c>
      <c r="CB81">
        <v>38.136000000000003</v>
      </c>
      <c r="CQ81" s="54">
        <f t="shared" si="18"/>
        <v>38.192500000000003</v>
      </c>
    </row>
    <row r="82" spans="1:95">
      <c r="A82">
        <v>3</v>
      </c>
      <c r="B82" t="s">
        <v>7</v>
      </c>
      <c r="C82">
        <v>35968</v>
      </c>
      <c r="D82">
        <v>64</v>
      </c>
      <c r="E82">
        <v>4</v>
      </c>
      <c r="F82">
        <v>4</v>
      </c>
      <c r="G82">
        <v>881.15</v>
      </c>
      <c r="H82" s="59">
        <v>35.207999999999998</v>
      </c>
      <c r="I82" s="27">
        <v>45485</v>
      </c>
      <c r="J82" s="53">
        <v>1.5081018518518518E-2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s="66">
        <f t="shared" si="114"/>
        <v>35.228400000000001</v>
      </c>
      <c r="Y82">
        <v>3</v>
      </c>
      <c r="Z82" t="s">
        <v>7</v>
      </c>
      <c r="AA82">
        <v>35968</v>
      </c>
      <c r="AB82">
        <v>64</v>
      </c>
      <c r="AC82">
        <v>4</v>
      </c>
      <c r="AD82">
        <v>4</v>
      </c>
      <c r="AE82">
        <v>791.86</v>
      </c>
      <c r="AF82" s="48">
        <v>39.177</v>
      </c>
      <c r="AG82" s="27">
        <v>45502</v>
      </c>
      <c r="AH82" s="53">
        <v>0.2823148148148148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 s="66">
        <f t="shared" si="107"/>
        <v>39.039400000000001</v>
      </c>
      <c r="AW82">
        <v>3</v>
      </c>
      <c r="AX82" t="s">
        <v>7</v>
      </c>
      <c r="AY82">
        <v>35968</v>
      </c>
      <c r="AZ82">
        <v>64</v>
      </c>
      <c r="BA82">
        <v>4</v>
      </c>
      <c r="BB82">
        <v>4</v>
      </c>
      <c r="BC82">
        <v>1086.6600000000001</v>
      </c>
      <c r="BD82" s="61">
        <v>28.548999999999999</v>
      </c>
      <c r="BE82" s="27">
        <v>45492</v>
      </c>
      <c r="BF82" s="53">
        <v>0.17369212962962963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 s="8">
        <f t="shared" si="116"/>
        <v>28.540199999999999</v>
      </c>
      <c r="BU82">
        <v>360</v>
      </c>
      <c r="BV82" t="s">
        <v>70</v>
      </c>
      <c r="BW82">
        <v>35968</v>
      </c>
      <c r="BX82">
        <v>64</v>
      </c>
      <c r="BY82">
        <v>2</v>
      </c>
      <c r="BZ82">
        <v>8</v>
      </c>
      <c r="CA82">
        <v>811.69</v>
      </c>
      <c r="CB82">
        <v>38.22</v>
      </c>
      <c r="CQ82" s="54">
        <f t="shared" ref="CQ82:CQ145" si="117">CQ81</f>
        <v>38.192500000000003</v>
      </c>
    </row>
    <row r="83" spans="1:95">
      <c r="A83">
        <v>4</v>
      </c>
      <c r="B83" t="s">
        <v>7</v>
      </c>
      <c r="C83">
        <v>35968</v>
      </c>
      <c r="D83">
        <v>64</v>
      </c>
      <c r="E83">
        <v>4</v>
      </c>
      <c r="F83">
        <v>4</v>
      </c>
      <c r="G83">
        <v>891.02</v>
      </c>
      <c r="H83" s="59">
        <v>34.817</v>
      </c>
      <c r="I83" s="27">
        <v>45485</v>
      </c>
      <c r="J83" s="53">
        <v>0.89180555555555552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s="66">
        <f t="shared" si="114"/>
        <v>35.228400000000001</v>
      </c>
      <c r="Y83">
        <v>4</v>
      </c>
      <c r="Z83" t="s">
        <v>7</v>
      </c>
      <c r="AA83">
        <v>35968</v>
      </c>
      <c r="AB83">
        <v>64</v>
      </c>
      <c r="AC83">
        <v>4</v>
      </c>
      <c r="AD83">
        <v>4</v>
      </c>
      <c r="AE83">
        <v>794.5</v>
      </c>
      <c r="AF83" s="48">
        <v>39.046999999999997</v>
      </c>
      <c r="AG83" s="27">
        <v>45503</v>
      </c>
      <c r="AH83" s="53">
        <v>7.722222222222222E-2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 s="66">
        <f t="shared" si="107"/>
        <v>39.039400000000001</v>
      </c>
      <c r="AW83">
        <v>4</v>
      </c>
      <c r="AX83" t="s">
        <v>7</v>
      </c>
      <c r="AY83">
        <v>35968</v>
      </c>
      <c r="AZ83">
        <v>64</v>
      </c>
      <c r="BA83">
        <v>4</v>
      </c>
      <c r="BB83">
        <v>4</v>
      </c>
      <c r="BC83">
        <v>1088.29</v>
      </c>
      <c r="BD83" s="61">
        <v>28.506</v>
      </c>
      <c r="BE83" s="27">
        <v>45493</v>
      </c>
      <c r="BF83" s="53">
        <v>0.25914351851851852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 s="8">
        <f t="shared" si="116"/>
        <v>28.540199999999999</v>
      </c>
      <c r="BU83">
        <v>29</v>
      </c>
      <c r="BV83" t="s">
        <v>70</v>
      </c>
      <c r="BW83">
        <v>38144</v>
      </c>
      <c r="BX83">
        <v>64</v>
      </c>
      <c r="BY83">
        <v>2</v>
      </c>
      <c r="BZ83">
        <v>8</v>
      </c>
      <c r="CA83">
        <v>944.23</v>
      </c>
      <c r="CB83">
        <v>39.186</v>
      </c>
      <c r="CQ83" s="54">
        <f t="shared" ref="CQ83" si="118">AVERAGE(CB83:CB88)</f>
        <v>39.130333333333333</v>
      </c>
    </row>
    <row r="84" spans="1:95">
      <c r="A84">
        <v>0</v>
      </c>
      <c r="B84" t="s">
        <v>7</v>
      </c>
      <c r="C84">
        <v>38080</v>
      </c>
      <c r="D84">
        <v>64</v>
      </c>
      <c r="E84">
        <v>4</v>
      </c>
      <c r="F84">
        <v>4</v>
      </c>
      <c r="G84" s="1">
        <v>1013.77</v>
      </c>
      <c r="H84" s="59">
        <v>36.314999999999998</v>
      </c>
      <c r="I84" s="27">
        <v>45482</v>
      </c>
      <c r="J84" s="53">
        <v>0.68497685185185186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s="66">
        <f t="shared" ref="W84" si="119">AVERAGE(H84:H88)</f>
        <v>35.693799999999996</v>
      </c>
      <c r="Y84">
        <v>0</v>
      </c>
      <c r="Z84" t="s">
        <v>7</v>
      </c>
      <c r="AA84">
        <v>38080</v>
      </c>
      <c r="AB84">
        <v>64</v>
      </c>
      <c r="AC84">
        <v>4</v>
      </c>
      <c r="AD84">
        <v>4</v>
      </c>
      <c r="AE84">
        <v>928.64</v>
      </c>
      <c r="AF84" s="48">
        <v>39.643999999999998</v>
      </c>
      <c r="AG84" s="27">
        <v>45499</v>
      </c>
      <c r="AH84" s="53">
        <v>0.80905092592592598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 s="66">
        <f t="shared" ref="AU84" si="120">AVERAGE(AF84:AF88)</f>
        <v>39.7378</v>
      </c>
      <c r="AW84">
        <v>0</v>
      </c>
      <c r="AX84" t="s">
        <v>7</v>
      </c>
      <c r="AY84">
        <v>38080</v>
      </c>
      <c r="AZ84">
        <v>64</v>
      </c>
      <c r="BA84">
        <v>4</v>
      </c>
      <c r="BB84">
        <v>4</v>
      </c>
      <c r="BC84">
        <v>1246.76</v>
      </c>
      <c r="BD84" s="61">
        <v>29.529</v>
      </c>
      <c r="BE84" s="27">
        <v>45488</v>
      </c>
      <c r="BF84" s="53">
        <v>0.93629629629629629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 s="8">
        <f t="shared" ref="BS84" si="121">AVERAGE(BD84:BD88)</f>
        <v>29.427399999999999</v>
      </c>
      <c r="BU84">
        <v>100</v>
      </c>
      <c r="BV84" t="s">
        <v>70</v>
      </c>
      <c r="BW84">
        <v>38144</v>
      </c>
      <c r="BX84">
        <v>64</v>
      </c>
      <c r="BY84">
        <v>2</v>
      </c>
      <c r="BZ84">
        <v>8</v>
      </c>
      <c r="CA84">
        <v>944.2</v>
      </c>
      <c r="CB84">
        <v>39.188000000000002</v>
      </c>
      <c r="CQ84" s="54">
        <f t="shared" ref="CQ84" si="122">CQ83</f>
        <v>39.130333333333333</v>
      </c>
    </row>
    <row r="85" spans="1:95">
      <c r="A85">
        <v>1</v>
      </c>
      <c r="B85" t="s">
        <v>7</v>
      </c>
      <c r="C85">
        <v>38080</v>
      </c>
      <c r="D85">
        <v>64</v>
      </c>
      <c r="E85">
        <v>4</v>
      </c>
      <c r="F85">
        <v>4</v>
      </c>
      <c r="G85">
        <v>1041.8</v>
      </c>
      <c r="H85" s="59">
        <v>35.338000000000001</v>
      </c>
      <c r="I85" s="27">
        <v>45483</v>
      </c>
      <c r="J85" s="53">
        <v>0.54781250000000004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 s="66">
        <f t="shared" ref="W85" si="123">W84</f>
        <v>35.693799999999996</v>
      </c>
      <c r="Y85">
        <v>1</v>
      </c>
      <c r="Z85" t="s">
        <v>7</v>
      </c>
      <c r="AA85">
        <v>38080</v>
      </c>
      <c r="AB85">
        <v>64</v>
      </c>
      <c r="AC85">
        <v>4</v>
      </c>
      <c r="AD85">
        <v>4</v>
      </c>
      <c r="AE85">
        <v>923.04</v>
      </c>
      <c r="AF85" s="48">
        <v>39.884</v>
      </c>
      <c r="AG85" s="27">
        <v>45500</v>
      </c>
      <c r="AH85" s="53">
        <v>0.93056712962962962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 s="66">
        <f t="shared" ref="AU85" si="124">AU84</f>
        <v>39.7378</v>
      </c>
      <c r="AW85">
        <v>1</v>
      </c>
      <c r="AX85" t="s">
        <v>7</v>
      </c>
      <c r="AY85">
        <v>38080</v>
      </c>
      <c r="AZ85">
        <v>64</v>
      </c>
      <c r="BA85">
        <v>4</v>
      </c>
      <c r="BB85">
        <v>4</v>
      </c>
      <c r="BC85">
        <v>1253.3499999999999</v>
      </c>
      <c r="BD85" s="61">
        <v>29.373000000000001</v>
      </c>
      <c r="BE85" s="27">
        <v>45490</v>
      </c>
      <c r="BF85" s="53">
        <v>0.32979166666666665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 s="8">
        <f t="shared" ref="BS85" si="125">BS84</f>
        <v>29.427399999999999</v>
      </c>
      <c r="BU85">
        <v>171</v>
      </c>
      <c r="BV85" t="s">
        <v>70</v>
      </c>
      <c r="BW85">
        <v>38144</v>
      </c>
      <c r="BX85">
        <v>64</v>
      </c>
      <c r="BY85">
        <v>2</v>
      </c>
      <c r="BZ85">
        <v>8</v>
      </c>
      <c r="CA85">
        <v>947.08</v>
      </c>
      <c r="CB85">
        <v>39.069000000000003</v>
      </c>
      <c r="CQ85" s="54">
        <f t="shared" si="117"/>
        <v>39.130333333333333</v>
      </c>
    </row>
    <row r="86" spans="1:95">
      <c r="A86">
        <v>2</v>
      </c>
      <c r="B86" t="s">
        <v>7</v>
      </c>
      <c r="C86">
        <v>38080</v>
      </c>
      <c r="D86">
        <v>64</v>
      </c>
      <c r="E86">
        <v>4</v>
      </c>
      <c r="F86">
        <v>4</v>
      </c>
      <c r="G86">
        <v>1031.1500000000001</v>
      </c>
      <c r="H86" s="59">
        <v>35.703000000000003</v>
      </c>
      <c r="I86" s="27">
        <v>45484</v>
      </c>
      <c r="J86" s="53">
        <v>0.4105787037037037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s="66">
        <f t="shared" si="114"/>
        <v>35.693799999999996</v>
      </c>
      <c r="Y86">
        <v>2</v>
      </c>
      <c r="Z86" t="s">
        <v>7</v>
      </c>
      <c r="AA86">
        <v>38080</v>
      </c>
      <c r="AB86">
        <v>64</v>
      </c>
      <c r="AC86">
        <v>4</v>
      </c>
      <c r="AD86">
        <v>4</v>
      </c>
      <c r="AE86">
        <v>926.35</v>
      </c>
      <c r="AF86" s="48">
        <v>39.741999999999997</v>
      </c>
      <c r="AG86" s="27">
        <v>45501</v>
      </c>
      <c r="AH86" s="53">
        <v>0.72473379629629631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 s="66">
        <f t="shared" si="107"/>
        <v>39.7378</v>
      </c>
      <c r="AW86">
        <v>2</v>
      </c>
      <c r="AX86" t="s">
        <v>7</v>
      </c>
      <c r="AY86">
        <v>38080</v>
      </c>
      <c r="AZ86">
        <v>64</v>
      </c>
      <c r="BA86">
        <v>4</v>
      </c>
      <c r="BB86">
        <v>4</v>
      </c>
      <c r="BC86">
        <v>1252.6199999999999</v>
      </c>
      <c r="BD86" s="61">
        <v>29.39</v>
      </c>
      <c r="BE86" s="27">
        <v>45491</v>
      </c>
      <c r="BF86" s="53">
        <v>0.41574074074074074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 s="8">
        <f t="shared" si="116"/>
        <v>29.427399999999999</v>
      </c>
      <c r="BU86">
        <v>242</v>
      </c>
      <c r="BV86" t="s">
        <v>70</v>
      </c>
      <c r="BW86">
        <v>38144</v>
      </c>
      <c r="BX86">
        <v>64</v>
      </c>
      <c r="BY86">
        <v>2</v>
      </c>
      <c r="BZ86">
        <v>8</v>
      </c>
      <c r="CA86">
        <v>945.71</v>
      </c>
      <c r="CB86">
        <v>39.125</v>
      </c>
      <c r="CQ86" s="54">
        <f t="shared" si="117"/>
        <v>39.130333333333333</v>
      </c>
    </row>
    <row r="87" spans="1:95">
      <c r="A87">
        <v>3</v>
      </c>
      <c r="B87" t="s">
        <v>7</v>
      </c>
      <c r="C87">
        <v>38080</v>
      </c>
      <c r="D87">
        <v>64</v>
      </c>
      <c r="E87">
        <v>4</v>
      </c>
      <c r="F87">
        <v>4</v>
      </c>
      <c r="G87">
        <v>1014.76</v>
      </c>
      <c r="H87" s="59">
        <v>36.279000000000003</v>
      </c>
      <c r="I87" s="27">
        <v>45485</v>
      </c>
      <c r="J87" s="53">
        <v>0.27342592592592591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s="66">
        <f t="shared" si="114"/>
        <v>35.693799999999996</v>
      </c>
      <c r="Y87">
        <v>3</v>
      </c>
      <c r="Z87" t="s">
        <v>7</v>
      </c>
      <c r="AA87">
        <v>38080</v>
      </c>
      <c r="AB87">
        <v>64</v>
      </c>
      <c r="AC87">
        <v>4</v>
      </c>
      <c r="AD87">
        <v>4</v>
      </c>
      <c r="AE87" s="1">
        <v>928.5</v>
      </c>
      <c r="AF87" s="48">
        <v>39.65</v>
      </c>
      <c r="AG87" s="27">
        <v>45502</v>
      </c>
      <c r="AH87" s="53">
        <v>0.51906249999999998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 s="66">
        <f t="shared" si="107"/>
        <v>39.7378</v>
      </c>
      <c r="AW87">
        <v>3</v>
      </c>
      <c r="AX87" t="s">
        <v>7</v>
      </c>
      <c r="AY87">
        <v>38080</v>
      </c>
      <c r="AZ87">
        <v>64</v>
      </c>
      <c r="BA87">
        <v>4</v>
      </c>
      <c r="BB87">
        <v>4</v>
      </c>
      <c r="BC87">
        <v>1248</v>
      </c>
      <c r="BD87" s="61">
        <v>29.498999999999999</v>
      </c>
      <c r="BE87" s="27">
        <v>45492</v>
      </c>
      <c r="BF87" s="53">
        <v>0.50072916666666667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 s="8">
        <f t="shared" si="116"/>
        <v>29.427399999999999</v>
      </c>
      <c r="BU87">
        <v>313</v>
      </c>
      <c r="BV87" t="s">
        <v>70</v>
      </c>
      <c r="BW87">
        <v>38144</v>
      </c>
      <c r="BX87">
        <v>64</v>
      </c>
      <c r="BY87">
        <v>2</v>
      </c>
      <c r="BZ87">
        <v>8</v>
      </c>
      <c r="CA87">
        <v>947.45</v>
      </c>
      <c r="CB87">
        <v>39.052999999999997</v>
      </c>
      <c r="CQ87" s="54">
        <f t="shared" si="117"/>
        <v>39.130333333333333</v>
      </c>
    </row>
    <row r="88" spans="1:95">
      <c r="A88">
        <v>4</v>
      </c>
      <c r="B88" t="s">
        <v>7</v>
      </c>
      <c r="C88">
        <v>38080</v>
      </c>
      <c r="D88">
        <v>64</v>
      </c>
      <c r="E88">
        <v>4</v>
      </c>
      <c r="F88">
        <v>4</v>
      </c>
      <c r="G88">
        <v>1056.8800000000001</v>
      </c>
      <c r="H88" s="59">
        <v>34.834000000000003</v>
      </c>
      <c r="I88" s="27">
        <v>45486</v>
      </c>
      <c r="J88" s="53">
        <v>0.15812499999999999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s="66">
        <f t="shared" si="114"/>
        <v>35.693799999999996</v>
      </c>
      <c r="Y88">
        <v>4</v>
      </c>
      <c r="Z88" t="s">
        <v>7</v>
      </c>
      <c r="AA88">
        <v>38080</v>
      </c>
      <c r="AB88">
        <v>64</v>
      </c>
      <c r="AC88">
        <v>4</v>
      </c>
      <c r="AD88">
        <v>4</v>
      </c>
      <c r="AE88">
        <v>925.73</v>
      </c>
      <c r="AF88" s="48">
        <v>39.768999999999998</v>
      </c>
      <c r="AG88" s="27">
        <v>45503</v>
      </c>
      <c r="AH88" s="53">
        <v>0.31372685185185184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 s="66">
        <f t="shared" si="107"/>
        <v>39.7378</v>
      </c>
      <c r="AW88">
        <v>4</v>
      </c>
      <c r="AX88" t="s">
        <v>7</v>
      </c>
      <c r="AY88">
        <v>38080</v>
      </c>
      <c r="AZ88">
        <v>64</v>
      </c>
      <c r="BA88">
        <v>4</v>
      </c>
      <c r="BB88">
        <v>4</v>
      </c>
      <c r="BC88">
        <v>1254.53</v>
      </c>
      <c r="BD88" s="61">
        <v>29.346</v>
      </c>
      <c r="BE88" s="27">
        <v>45493</v>
      </c>
      <c r="BF88" s="53">
        <v>0.58627314814814813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 s="8">
        <f t="shared" si="116"/>
        <v>29.427399999999999</v>
      </c>
      <c r="BU88">
        <v>384</v>
      </c>
      <c r="BV88" t="s">
        <v>70</v>
      </c>
      <c r="BW88">
        <v>38144</v>
      </c>
      <c r="BX88">
        <v>64</v>
      </c>
      <c r="BY88">
        <v>2</v>
      </c>
      <c r="BZ88">
        <v>8</v>
      </c>
      <c r="CA88">
        <v>944.85</v>
      </c>
      <c r="CB88">
        <v>39.161000000000001</v>
      </c>
      <c r="CQ88" s="54">
        <f t="shared" si="117"/>
        <v>39.130333333333333</v>
      </c>
    </row>
    <row r="89" spans="1:95">
      <c r="A89">
        <v>0</v>
      </c>
      <c r="B89" t="s">
        <v>7</v>
      </c>
      <c r="C89">
        <v>40128</v>
      </c>
      <c r="D89">
        <v>64</v>
      </c>
      <c r="E89">
        <v>4</v>
      </c>
      <c r="F89">
        <v>4</v>
      </c>
      <c r="G89" s="1">
        <v>1167.9100000000001</v>
      </c>
      <c r="H89" s="59">
        <v>36.886000000000003</v>
      </c>
      <c r="I89" s="27">
        <v>45482</v>
      </c>
      <c r="J89" s="53">
        <v>0.98368055555555556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s="66">
        <f t="shared" ref="W89" si="126">AVERAGE(H89:H93)</f>
        <v>36.488399999999999</v>
      </c>
      <c r="Y89">
        <v>0</v>
      </c>
      <c r="Z89" t="s">
        <v>7</v>
      </c>
      <c r="AA89">
        <v>40128</v>
      </c>
      <c r="AB89">
        <v>64</v>
      </c>
      <c r="AC89">
        <v>4</v>
      </c>
      <c r="AD89">
        <v>4</v>
      </c>
      <c r="AE89">
        <v>1078.28</v>
      </c>
      <c r="AF89" s="48">
        <v>39.953000000000003</v>
      </c>
      <c r="AG89" s="27">
        <v>45500</v>
      </c>
      <c r="AH89" s="53">
        <v>8.4444444444444447E-2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 s="66">
        <f t="shared" ref="AU89" si="127">AVERAGE(AF89:AF93)</f>
        <v>39.871600000000001</v>
      </c>
      <c r="AW89">
        <v>0</v>
      </c>
      <c r="AX89" t="s">
        <v>7</v>
      </c>
      <c r="AY89">
        <v>40128</v>
      </c>
      <c r="AZ89">
        <v>64</v>
      </c>
      <c r="BA89">
        <v>4</v>
      </c>
      <c r="BB89">
        <v>4</v>
      </c>
      <c r="BC89">
        <v>1443.07</v>
      </c>
      <c r="BD89" s="61">
        <v>29.853000000000002</v>
      </c>
      <c r="BE89" s="27">
        <v>45489</v>
      </c>
      <c r="BF89" s="53">
        <v>0.31167824074074074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 s="8">
        <f t="shared" ref="BS89" si="128">AVERAGE(BD89:BD93)</f>
        <v>29.872399999999999</v>
      </c>
      <c r="BU89">
        <v>53</v>
      </c>
      <c r="BV89" t="s">
        <v>70</v>
      </c>
      <c r="BW89">
        <v>40320</v>
      </c>
      <c r="BX89">
        <v>64</v>
      </c>
      <c r="BY89">
        <v>2</v>
      </c>
      <c r="BZ89">
        <v>8</v>
      </c>
      <c r="CA89">
        <v>1110.21</v>
      </c>
      <c r="CB89">
        <v>39.363</v>
      </c>
      <c r="CQ89" s="54">
        <f t="shared" ref="CQ89" si="129">AVERAGE(CB89:CB94)</f>
        <v>39.30466666666667</v>
      </c>
    </row>
    <row r="90" spans="1:95">
      <c r="A90">
        <v>1</v>
      </c>
      <c r="B90" t="s">
        <v>7</v>
      </c>
      <c r="C90">
        <v>40128</v>
      </c>
      <c r="D90">
        <v>64</v>
      </c>
      <c r="E90">
        <v>4</v>
      </c>
      <c r="F90">
        <v>4</v>
      </c>
      <c r="G90">
        <v>1163.3399999999999</v>
      </c>
      <c r="H90" s="59">
        <v>37.030999999999999</v>
      </c>
      <c r="I90" s="27">
        <v>45483</v>
      </c>
      <c r="J90" s="53">
        <v>0.84858796296296302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s="66">
        <f t="shared" ref="W90" si="130">W89</f>
        <v>36.488399999999999</v>
      </c>
      <c r="Y90">
        <v>1</v>
      </c>
      <c r="Z90" t="s">
        <v>7</v>
      </c>
      <c r="AA90">
        <v>40128</v>
      </c>
      <c r="AB90">
        <v>64</v>
      </c>
      <c r="AC90">
        <v>4</v>
      </c>
      <c r="AD90">
        <v>4</v>
      </c>
      <c r="AE90" s="1">
        <v>1080.48</v>
      </c>
      <c r="AF90" s="48">
        <v>39.871000000000002</v>
      </c>
      <c r="AG90" s="27">
        <v>45501</v>
      </c>
      <c r="AH90" s="53">
        <v>0.20640046296296297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 s="66">
        <f t="shared" ref="AU90" si="131">AU89</f>
        <v>39.871600000000001</v>
      </c>
      <c r="AW90">
        <v>1</v>
      </c>
      <c r="AX90" t="s">
        <v>7</v>
      </c>
      <c r="AY90">
        <v>40128</v>
      </c>
      <c r="AZ90">
        <v>64</v>
      </c>
      <c r="BA90">
        <v>4</v>
      </c>
      <c r="BB90">
        <v>4</v>
      </c>
      <c r="BC90">
        <v>1438.09</v>
      </c>
      <c r="BD90" s="61">
        <v>29.956</v>
      </c>
      <c r="BE90" s="27">
        <v>45490</v>
      </c>
      <c r="BF90" s="53">
        <v>0.70516203703703706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 s="8">
        <f t="shared" ref="BS90" si="132">BS89</f>
        <v>29.872399999999999</v>
      </c>
      <c r="BU90">
        <v>124</v>
      </c>
      <c r="BV90" t="s">
        <v>70</v>
      </c>
      <c r="BW90">
        <v>40320</v>
      </c>
      <c r="BX90">
        <v>64</v>
      </c>
      <c r="BY90">
        <v>2</v>
      </c>
      <c r="BZ90">
        <v>8</v>
      </c>
      <c r="CA90">
        <v>1109.17</v>
      </c>
      <c r="CB90">
        <v>39.4</v>
      </c>
      <c r="CQ90" s="54">
        <f t="shared" ref="CQ90" si="133">CQ89</f>
        <v>39.30466666666667</v>
      </c>
    </row>
    <row r="91" spans="1:95">
      <c r="A91">
        <v>2</v>
      </c>
      <c r="B91" t="s">
        <v>7</v>
      </c>
      <c r="C91">
        <v>40128</v>
      </c>
      <c r="D91">
        <v>64</v>
      </c>
      <c r="E91">
        <v>4</v>
      </c>
      <c r="F91">
        <v>4</v>
      </c>
      <c r="G91">
        <v>1168.54</v>
      </c>
      <c r="H91" s="59">
        <v>36.866</v>
      </c>
      <c r="I91" s="27">
        <v>45484</v>
      </c>
      <c r="J91" s="53">
        <v>0.71119212962962963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s="66">
        <f t="shared" si="114"/>
        <v>36.488399999999999</v>
      </c>
      <c r="Y91">
        <v>2</v>
      </c>
      <c r="Z91" t="s">
        <v>7</v>
      </c>
      <c r="AA91">
        <v>40128</v>
      </c>
      <c r="AB91">
        <v>64</v>
      </c>
      <c r="AC91">
        <v>4</v>
      </c>
      <c r="AD91">
        <v>4</v>
      </c>
      <c r="AE91">
        <v>1080.1400000000001</v>
      </c>
      <c r="AF91" s="48">
        <v>39.884</v>
      </c>
      <c r="AG91" s="27">
        <v>45502</v>
      </c>
      <c r="AH91" s="53">
        <v>1.1342592592592593E-3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s="66">
        <f t="shared" si="107"/>
        <v>39.871600000000001</v>
      </c>
      <c r="AW91">
        <v>2</v>
      </c>
      <c r="AX91" t="s">
        <v>7</v>
      </c>
      <c r="AY91">
        <v>40128</v>
      </c>
      <c r="AZ91">
        <v>64</v>
      </c>
      <c r="BA91">
        <v>4</v>
      </c>
      <c r="BB91">
        <v>4</v>
      </c>
      <c r="BC91">
        <v>1440.38</v>
      </c>
      <c r="BD91" s="61">
        <v>29.908999999999999</v>
      </c>
      <c r="BE91" s="27">
        <v>45491</v>
      </c>
      <c r="BF91" s="53">
        <v>0.79083333333333339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 s="8">
        <f t="shared" si="116"/>
        <v>29.872399999999999</v>
      </c>
      <c r="BU91">
        <v>195</v>
      </c>
      <c r="BV91" t="s">
        <v>70</v>
      </c>
      <c r="BW91">
        <v>40320</v>
      </c>
      <c r="BX91">
        <v>64</v>
      </c>
      <c r="BY91">
        <v>2</v>
      </c>
      <c r="BZ91">
        <v>8</v>
      </c>
      <c r="CA91">
        <v>1114.73</v>
      </c>
      <c r="CB91">
        <v>39.203000000000003</v>
      </c>
      <c r="CQ91" s="54">
        <f t="shared" si="117"/>
        <v>39.30466666666667</v>
      </c>
    </row>
    <row r="92" spans="1:95">
      <c r="A92">
        <v>3</v>
      </c>
      <c r="B92" t="s">
        <v>7</v>
      </c>
      <c r="C92">
        <v>40128</v>
      </c>
      <c r="D92">
        <v>64</v>
      </c>
      <c r="E92">
        <v>4</v>
      </c>
      <c r="F92">
        <v>4</v>
      </c>
      <c r="G92">
        <v>1201.46</v>
      </c>
      <c r="H92" s="59">
        <v>35.856999999999999</v>
      </c>
      <c r="I92" s="27">
        <v>45485</v>
      </c>
      <c r="J92" s="53">
        <v>0.57905092592592589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s="66">
        <f t="shared" si="114"/>
        <v>36.488399999999999</v>
      </c>
      <c r="Y92">
        <v>3</v>
      </c>
      <c r="Z92" t="s">
        <v>7</v>
      </c>
      <c r="AA92">
        <v>40128</v>
      </c>
      <c r="AB92">
        <v>64</v>
      </c>
      <c r="AC92">
        <v>4</v>
      </c>
      <c r="AD92">
        <v>4</v>
      </c>
      <c r="AE92">
        <v>1079.94</v>
      </c>
      <c r="AF92" s="48">
        <v>39.890999999999998</v>
      </c>
      <c r="AG92" s="27">
        <v>45502</v>
      </c>
      <c r="AH92" s="53">
        <v>0.7955092592592593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 s="66">
        <f t="shared" si="107"/>
        <v>39.871600000000001</v>
      </c>
      <c r="AW92">
        <v>3</v>
      </c>
      <c r="AX92" t="s">
        <v>7</v>
      </c>
      <c r="AY92">
        <v>40128</v>
      </c>
      <c r="AZ92">
        <v>64</v>
      </c>
      <c r="BA92">
        <v>4</v>
      </c>
      <c r="BB92">
        <v>4</v>
      </c>
      <c r="BC92">
        <v>1445.44</v>
      </c>
      <c r="BD92" s="61">
        <v>29.803999999999998</v>
      </c>
      <c r="BE92" s="27">
        <v>45492</v>
      </c>
      <c r="BF92" s="53">
        <v>0.87624999999999997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 s="8">
        <f t="shared" si="116"/>
        <v>29.872399999999999</v>
      </c>
      <c r="BU92">
        <v>266</v>
      </c>
      <c r="BV92" t="s">
        <v>70</v>
      </c>
      <c r="BW92">
        <v>40320</v>
      </c>
      <c r="BX92">
        <v>64</v>
      </c>
      <c r="BY92">
        <v>2</v>
      </c>
      <c r="BZ92">
        <v>8</v>
      </c>
      <c r="CA92">
        <v>1109.17</v>
      </c>
      <c r="CB92">
        <v>39.4</v>
      </c>
      <c r="CQ92" s="54">
        <f t="shared" si="117"/>
        <v>39.30466666666667</v>
      </c>
    </row>
    <row r="93" spans="1:95">
      <c r="A93">
        <v>4</v>
      </c>
      <c r="B93" t="s">
        <v>7</v>
      </c>
      <c r="C93">
        <v>40128</v>
      </c>
      <c r="D93">
        <v>64</v>
      </c>
      <c r="E93">
        <v>4</v>
      </c>
      <c r="F93">
        <v>4</v>
      </c>
      <c r="G93">
        <v>1203.3</v>
      </c>
      <c r="H93" s="59">
        <v>35.802</v>
      </c>
      <c r="I93" s="27">
        <v>45486</v>
      </c>
      <c r="J93" s="53">
        <v>0.46748842592592593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s="66">
        <f t="shared" si="114"/>
        <v>36.488399999999999</v>
      </c>
      <c r="Y93">
        <v>4</v>
      </c>
      <c r="Z93" t="s">
        <v>7</v>
      </c>
      <c r="AA93">
        <v>40128</v>
      </c>
      <c r="AB93">
        <v>64</v>
      </c>
      <c r="AC93">
        <v>4</v>
      </c>
      <c r="AD93">
        <v>4</v>
      </c>
      <c r="AE93">
        <v>1083.53</v>
      </c>
      <c r="AF93" s="48">
        <v>39.759</v>
      </c>
      <c r="AG93" s="27">
        <v>45503</v>
      </c>
      <c r="AH93" s="53">
        <v>0.59043981481481478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 s="66">
        <f t="shared" si="107"/>
        <v>39.871600000000001</v>
      </c>
      <c r="AW93">
        <v>4</v>
      </c>
      <c r="AX93" t="s">
        <v>7</v>
      </c>
      <c r="AY93">
        <v>40128</v>
      </c>
      <c r="AZ93">
        <v>64</v>
      </c>
      <c r="BA93">
        <v>4</v>
      </c>
      <c r="BB93">
        <v>4</v>
      </c>
      <c r="BC93">
        <v>1443.72</v>
      </c>
      <c r="BD93" s="61">
        <v>29.84</v>
      </c>
      <c r="BE93" s="27">
        <v>45493</v>
      </c>
      <c r="BF93" s="53">
        <v>0.96175925925925931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 s="8">
        <f t="shared" si="116"/>
        <v>29.872399999999999</v>
      </c>
      <c r="BU93">
        <v>337</v>
      </c>
      <c r="BV93" t="s">
        <v>70</v>
      </c>
      <c r="BW93">
        <v>40320</v>
      </c>
      <c r="BX93">
        <v>64</v>
      </c>
      <c r="BY93">
        <v>2</v>
      </c>
      <c r="BZ93">
        <v>8</v>
      </c>
      <c r="CA93">
        <v>1112.42</v>
      </c>
      <c r="CB93">
        <v>39.284999999999997</v>
      </c>
      <c r="CQ93" s="54">
        <f t="shared" si="117"/>
        <v>39.30466666666667</v>
      </c>
    </row>
    <row r="94" spans="1:95">
      <c r="A94">
        <v>0</v>
      </c>
      <c r="B94" t="s">
        <v>7</v>
      </c>
      <c r="C94">
        <v>36000</v>
      </c>
      <c r="D94">
        <v>96</v>
      </c>
      <c r="E94">
        <v>1</v>
      </c>
      <c r="F94">
        <v>16</v>
      </c>
      <c r="G94" s="1">
        <v>857.91</v>
      </c>
      <c r="H94" s="59">
        <v>36.258000000000003</v>
      </c>
      <c r="I94" s="27">
        <v>45482</v>
      </c>
      <c r="J94" s="53">
        <v>0.43725694444444446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s="66">
        <f t="shared" ref="W94" si="134">AVERAGE(H94:H98)</f>
        <v>35.958600000000004</v>
      </c>
      <c r="Y94">
        <v>0</v>
      </c>
      <c r="Z94" t="s">
        <v>7</v>
      </c>
      <c r="AA94">
        <v>36000</v>
      </c>
      <c r="AB94">
        <v>96</v>
      </c>
      <c r="AC94">
        <v>1</v>
      </c>
      <c r="AD94">
        <v>16</v>
      </c>
      <c r="AE94">
        <v>740.22</v>
      </c>
      <c r="AF94" s="48">
        <v>42.021999999999998</v>
      </c>
      <c r="AG94" s="27">
        <v>45499</v>
      </c>
      <c r="AH94" s="53">
        <v>0.5816203703703704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 s="66">
        <f t="shared" ref="AU94" si="135">AVERAGE(AF94:AF98)</f>
        <v>42.007600000000004</v>
      </c>
      <c r="AW94">
        <v>0</v>
      </c>
      <c r="AX94" t="s">
        <v>7</v>
      </c>
      <c r="AY94">
        <v>36000</v>
      </c>
      <c r="AZ94">
        <v>96</v>
      </c>
      <c r="BA94">
        <v>1</v>
      </c>
      <c r="BB94">
        <v>16</v>
      </c>
      <c r="BC94">
        <v>926.92</v>
      </c>
      <c r="BD94" s="61">
        <v>33.558</v>
      </c>
      <c r="BE94" s="27">
        <v>45488</v>
      </c>
      <c r="BF94" s="53">
        <v>0.6209837962962963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 s="8">
        <f t="shared" ref="BS94" si="136">AVERAGE(BD94:BD98)</f>
        <v>33.419799999999995</v>
      </c>
      <c r="BU94">
        <v>408</v>
      </c>
      <c r="BV94" t="s">
        <v>70</v>
      </c>
      <c r="BW94">
        <v>40320</v>
      </c>
      <c r="BX94">
        <v>64</v>
      </c>
      <c r="BY94">
        <v>2</v>
      </c>
      <c r="BZ94">
        <v>8</v>
      </c>
      <c r="CA94">
        <v>1115.49</v>
      </c>
      <c r="CB94">
        <v>39.177</v>
      </c>
      <c r="CQ94" s="54">
        <f t="shared" si="117"/>
        <v>39.30466666666667</v>
      </c>
    </row>
    <row r="95" spans="1:95">
      <c r="A95">
        <v>1</v>
      </c>
      <c r="B95" t="s">
        <v>7</v>
      </c>
      <c r="C95">
        <v>36000</v>
      </c>
      <c r="D95">
        <v>96</v>
      </c>
      <c r="E95">
        <v>1</v>
      </c>
      <c r="F95">
        <v>16</v>
      </c>
      <c r="G95">
        <v>860.99</v>
      </c>
      <c r="H95" s="59">
        <v>36.128</v>
      </c>
      <c r="I95" s="27">
        <v>45483</v>
      </c>
      <c r="J95" s="53">
        <v>0.29774305555555558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s="66">
        <f t="shared" ref="W95" si="137">W94</f>
        <v>35.958600000000004</v>
      </c>
      <c r="Y95">
        <v>1</v>
      </c>
      <c r="Z95" t="s">
        <v>7</v>
      </c>
      <c r="AA95">
        <v>36000</v>
      </c>
      <c r="AB95">
        <v>96</v>
      </c>
      <c r="AC95">
        <v>1</v>
      </c>
      <c r="AD95">
        <v>16</v>
      </c>
      <c r="AE95">
        <v>739.17</v>
      </c>
      <c r="AF95" s="48">
        <v>42.082000000000001</v>
      </c>
      <c r="AG95" s="27">
        <v>45500</v>
      </c>
      <c r="AH95" s="53">
        <v>0.70229166666666665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 s="66">
        <f t="shared" ref="AU95" si="138">AU94</f>
        <v>42.007600000000004</v>
      </c>
      <c r="AW95">
        <v>1</v>
      </c>
      <c r="AX95" t="s">
        <v>7</v>
      </c>
      <c r="AY95">
        <v>36000</v>
      </c>
      <c r="AZ95">
        <v>96</v>
      </c>
      <c r="BA95">
        <v>1</v>
      </c>
      <c r="BB95">
        <v>16</v>
      </c>
      <c r="BC95">
        <v>932.49</v>
      </c>
      <c r="BD95" s="61">
        <v>33.357999999999997</v>
      </c>
      <c r="BE95" s="27">
        <v>45490</v>
      </c>
      <c r="BF95" s="53">
        <v>1.4733796296296297E-2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 s="8">
        <f t="shared" ref="BS95" si="139">BS94</f>
        <v>33.419799999999995</v>
      </c>
      <c r="BU95">
        <v>6</v>
      </c>
      <c r="BV95" t="s">
        <v>70</v>
      </c>
      <c r="BW95">
        <v>35968</v>
      </c>
      <c r="BX95">
        <v>64</v>
      </c>
      <c r="BY95">
        <v>4</v>
      </c>
      <c r="BZ95">
        <v>4</v>
      </c>
      <c r="CA95">
        <v>848.9</v>
      </c>
      <c r="CB95">
        <v>36.545000000000002</v>
      </c>
      <c r="CQ95" s="54">
        <f t="shared" ref="CQ95" si="140">AVERAGE(CB95:CB100)</f>
        <v>36.676166666666667</v>
      </c>
    </row>
    <row r="96" spans="1:95">
      <c r="A96">
        <v>2</v>
      </c>
      <c r="B96" t="s">
        <v>7</v>
      </c>
      <c r="C96">
        <v>36000</v>
      </c>
      <c r="D96">
        <v>96</v>
      </c>
      <c r="E96">
        <v>1</v>
      </c>
      <c r="F96">
        <v>16</v>
      </c>
      <c r="G96">
        <v>859.18</v>
      </c>
      <c r="H96" s="59">
        <v>36.204000000000001</v>
      </c>
      <c r="I96" s="27">
        <v>45484</v>
      </c>
      <c r="J96" s="53">
        <v>0.16271990740740741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s="66">
        <f t="shared" si="114"/>
        <v>35.958600000000004</v>
      </c>
      <c r="Y96">
        <v>2</v>
      </c>
      <c r="Z96" t="s">
        <v>7</v>
      </c>
      <c r="AA96">
        <v>36000</v>
      </c>
      <c r="AB96">
        <v>96</v>
      </c>
      <c r="AC96">
        <v>1</v>
      </c>
      <c r="AD96">
        <v>16</v>
      </c>
      <c r="AE96" s="1">
        <v>740.99</v>
      </c>
      <c r="AF96" s="48">
        <v>41.978999999999999</v>
      </c>
      <c r="AG96" s="27">
        <v>45501</v>
      </c>
      <c r="AH96" s="53">
        <v>0.4962037037037037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 s="66">
        <f t="shared" si="107"/>
        <v>42.007600000000004</v>
      </c>
      <c r="AW96">
        <v>2</v>
      </c>
      <c r="AX96" t="s">
        <v>7</v>
      </c>
      <c r="AY96">
        <v>36000</v>
      </c>
      <c r="AZ96">
        <v>96</v>
      </c>
      <c r="BA96">
        <v>1</v>
      </c>
      <c r="BB96">
        <v>16</v>
      </c>
      <c r="BC96">
        <v>935.06</v>
      </c>
      <c r="BD96" s="61">
        <v>33.265999999999998</v>
      </c>
      <c r="BE96" s="27">
        <v>45491</v>
      </c>
      <c r="BF96" s="53">
        <v>0.10033564814814815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 s="8">
        <f t="shared" si="116"/>
        <v>33.419799999999995</v>
      </c>
      <c r="BU96">
        <v>77</v>
      </c>
      <c r="BV96" t="s">
        <v>70</v>
      </c>
      <c r="BW96">
        <v>35968</v>
      </c>
      <c r="BX96">
        <v>64</v>
      </c>
      <c r="BY96">
        <v>4</v>
      </c>
      <c r="BZ96">
        <v>4</v>
      </c>
      <c r="CA96">
        <v>845.85</v>
      </c>
      <c r="CB96">
        <v>36.677</v>
      </c>
      <c r="CQ96" s="54">
        <f t="shared" ref="CQ96" si="141">CQ95</f>
        <v>36.676166666666667</v>
      </c>
    </row>
    <row r="97" spans="1:95">
      <c r="A97">
        <v>3</v>
      </c>
      <c r="B97" t="s">
        <v>7</v>
      </c>
      <c r="C97">
        <v>36000</v>
      </c>
      <c r="D97">
        <v>96</v>
      </c>
      <c r="E97">
        <v>1</v>
      </c>
      <c r="F97">
        <v>16</v>
      </c>
      <c r="G97">
        <v>857.18</v>
      </c>
      <c r="H97" s="59">
        <v>36.289000000000001</v>
      </c>
      <c r="I97" s="27">
        <v>45485</v>
      </c>
      <c r="J97" s="53">
        <v>2.5277777777777777E-2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s="66">
        <f t="shared" si="114"/>
        <v>35.958600000000004</v>
      </c>
      <c r="Y97">
        <v>3</v>
      </c>
      <c r="Z97" t="s">
        <v>7</v>
      </c>
      <c r="AA97">
        <v>36000</v>
      </c>
      <c r="AB97">
        <v>96</v>
      </c>
      <c r="AC97">
        <v>1</v>
      </c>
      <c r="AD97">
        <v>16</v>
      </c>
      <c r="AE97">
        <v>741.42</v>
      </c>
      <c r="AF97" s="48">
        <v>41.954000000000001</v>
      </c>
      <c r="AG97" s="27">
        <v>45502</v>
      </c>
      <c r="AH97" s="53">
        <v>0.29119212962962965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 s="66">
        <f t="shared" si="107"/>
        <v>42.007600000000004</v>
      </c>
      <c r="AW97">
        <v>3</v>
      </c>
      <c r="AX97" t="s">
        <v>7</v>
      </c>
      <c r="AY97">
        <v>36000</v>
      </c>
      <c r="AZ97">
        <v>96</v>
      </c>
      <c r="BA97">
        <v>1</v>
      </c>
      <c r="BB97">
        <v>16</v>
      </c>
      <c r="BC97">
        <v>927.85</v>
      </c>
      <c r="BD97" s="61">
        <v>33.524999999999999</v>
      </c>
      <c r="BE97" s="27">
        <v>45492</v>
      </c>
      <c r="BF97" s="53">
        <v>0.18525462962962963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 s="8">
        <f t="shared" si="116"/>
        <v>33.419799999999995</v>
      </c>
      <c r="BU97">
        <v>148</v>
      </c>
      <c r="BV97" t="s">
        <v>70</v>
      </c>
      <c r="BW97">
        <v>35968</v>
      </c>
      <c r="BX97">
        <v>64</v>
      </c>
      <c r="BY97">
        <v>4</v>
      </c>
      <c r="BZ97">
        <v>4</v>
      </c>
      <c r="CA97">
        <v>846.45</v>
      </c>
      <c r="CB97">
        <v>36.651000000000003</v>
      </c>
      <c r="CQ97" s="54">
        <f t="shared" si="117"/>
        <v>36.676166666666667</v>
      </c>
    </row>
    <row r="98" spans="1:95">
      <c r="A98">
        <v>4</v>
      </c>
      <c r="B98" t="s">
        <v>7</v>
      </c>
      <c r="C98">
        <v>36000</v>
      </c>
      <c r="D98">
        <v>96</v>
      </c>
      <c r="E98">
        <v>1</v>
      </c>
      <c r="F98">
        <v>16</v>
      </c>
      <c r="G98">
        <v>890.94</v>
      </c>
      <c r="H98" s="59">
        <v>34.914000000000001</v>
      </c>
      <c r="I98" s="27">
        <v>45485</v>
      </c>
      <c r="J98" s="53">
        <v>0.90239583333333329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s="66">
        <f t="shared" si="114"/>
        <v>35.958600000000004</v>
      </c>
      <c r="Y98">
        <v>4</v>
      </c>
      <c r="Z98" t="s">
        <v>7</v>
      </c>
      <c r="AA98">
        <v>36000</v>
      </c>
      <c r="AB98">
        <v>96</v>
      </c>
      <c r="AC98">
        <v>1</v>
      </c>
      <c r="AD98">
        <v>16</v>
      </c>
      <c r="AE98">
        <v>740.6</v>
      </c>
      <c r="AF98" s="48">
        <v>42.000999999999998</v>
      </c>
      <c r="AG98" s="27">
        <v>45503</v>
      </c>
      <c r="AH98" s="53">
        <v>8.6099537037037044E-2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 s="66">
        <f t="shared" si="107"/>
        <v>42.007600000000004</v>
      </c>
      <c r="AW98">
        <v>4</v>
      </c>
      <c r="AX98" t="s">
        <v>7</v>
      </c>
      <c r="AY98">
        <v>36000</v>
      </c>
      <c r="AZ98">
        <v>96</v>
      </c>
      <c r="BA98">
        <v>1</v>
      </c>
      <c r="BB98">
        <v>16</v>
      </c>
      <c r="BC98">
        <v>931.54</v>
      </c>
      <c r="BD98" s="61">
        <v>33.392000000000003</v>
      </c>
      <c r="BE98" s="27">
        <v>45493</v>
      </c>
      <c r="BF98" s="53">
        <v>0.27075231481481482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 s="8">
        <f t="shared" si="116"/>
        <v>33.419799999999995</v>
      </c>
      <c r="BU98">
        <v>219</v>
      </c>
      <c r="BV98" t="s">
        <v>70</v>
      </c>
      <c r="BW98">
        <v>35968</v>
      </c>
      <c r="BX98">
        <v>64</v>
      </c>
      <c r="BY98">
        <v>4</v>
      </c>
      <c r="BZ98">
        <v>4</v>
      </c>
      <c r="CA98">
        <v>846.9</v>
      </c>
      <c r="CB98">
        <v>36.631</v>
      </c>
      <c r="CQ98" s="54">
        <f t="shared" si="117"/>
        <v>36.676166666666667</v>
      </c>
    </row>
    <row r="99" spans="1:95">
      <c r="A99">
        <v>0</v>
      </c>
      <c r="B99" t="s">
        <v>7</v>
      </c>
      <c r="C99">
        <v>38016</v>
      </c>
      <c r="D99">
        <v>96</v>
      </c>
      <c r="E99">
        <v>1</v>
      </c>
      <c r="F99">
        <v>16</v>
      </c>
      <c r="G99" s="1">
        <v>1006.53</v>
      </c>
      <c r="H99" s="59">
        <v>36.392000000000003</v>
      </c>
      <c r="I99" s="27">
        <v>45482</v>
      </c>
      <c r="J99" s="53">
        <v>0.69692129629629629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s="66">
        <f t="shared" ref="W99" si="142">AVERAGE(H99:H103)</f>
        <v>36.255200000000002</v>
      </c>
      <c r="Y99">
        <v>0</v>
      </c>
      <c r="Z99" t="s">
        <v>7</v>
      </c>
      <c r="AA99">
        <v>38016</v>
      </c>
      <c r="AB99">
        <v>96</v>
      </c>
      <c r="AC99">
        <v>1</v>
      </c>
      <c r="AD99">
        <v>16</v>
      </c>
      <c r="AE99" s="1">
        <v>849.72</v>
      </c>
      <c r="AF99" s="48">
        <v>43.107999999999997</v>
      </c>
      <c r="AG99" s="27">
        <v>45499</v>
      </c>
      <c r="AH99" s="53">
        <v>0.81921296296296298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 s="66">
        <f t="shared" ref="AU99" si="143">AVERAGE(AF99:AF103)</f>
        <v>43.2226</v>
      </c>
      <c r="AW99">
        <v>0</v>
      </c>
      <c r="AX99" t="s">
        <v>7</v>
      </c>
      <c r="AY99">
        <v>38016</v>
      </c>
      <c r="AZ99">
        <v>96</v>
      </c>
      <c r="BA99">
        <v>1</v>
      </c>
      <c r="BB99">
        <v>16</v>
      </c>
      <c r="BC99">
        <v>1065.0999999999999</v>
      </c>
      <c r="BD99" s="61">
        <v>34.390999999999998</v>
      </c>
      <c r="BE99" s="27">
        <v>45488</v>
      </c>
      <c r="BF99" s="53">
        <v>0.94956018518518515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 s="8">
        <f t="shared" ref="BS99" si="144">AVERAGE(BD99:BD103)</f>
        <v>34.351200000000006</v>
      </c>
      <c r="BU99">
        <v>290</v>
      </c>
      <c r="BV99" t="s">
        <v>70</v>
      </c>
      <c r="BW99">
        <v>35968</v>
      </c>
      <c r="BX99">
        <v>64</v>
      </c>
      <c r="BY99">
        <v>4</v>
      </c>
      <c r="BZ99">
        <v>4</v>
      </c>
      <c r="CA99">
        <v>843.07</v>
      </c>
      <c r="CB99">
        <v>36.798000000000002</v>
      </c>
      <c r="CQ99" s="54">
        <f t="shared" si="117"/>
        <v>36.676166666666667</v>
      </c>
    </row>
    <row r="100" spans="1:95">
      <c r="A100">
        <v>1</v>
      </c>
      <c r="B100" t="s">
        <v>7</v>
      </c>
      <c r="C100">
        <v>38016</v>
      </c>
      <c r="D100">
        <v>96</v>
      </c>
      <c r="E100">
        <v>1</v>
      </c>
      <c r="F100">
        <v>16</v>
      </c>
      <c r="G100">
        <v>1005.11</v>
      </c>
      <c r="H100" s="59">
        <v>36.442999999999998</v>
      </c>
      <c r="I100" s="27">
        <v>45483</v>
      </c>
      <c r="J100" s="53">
        <v>0.55974537037037042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s="66">
        <f t="shared" ref="W100" si="145">W99</f>
        <v>36.255200000000002</v>
      </c>
      <c r="Y100">
        <v>1</v>
      </c>
      <c r="Z100" t="s">
        <v>7</v>
      </c>
      <c r="AA100">
        <v>38016</v>
      </c>
      <c r="AB100">
        <v>96</v>
      </c>
      <c r="AC100">
        <v>1</v>
      </c>
      <c r="AD100">
        <v>16</v>
      </c>
      <c r="AE100">
        <v>847.36</v>
      </c>
      <c r="AF100" s="48">
        <v>43.228000000000002</v>
      </c>
      <c r="AG100" s="27">
        <v>45500</v>
      </c>
      <c r="AH100" s="53">
        <v>0.94070601851851854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 s="66">
        <f t="shared" ref="AU100" si="146">AU99</f>
        <v>43.2226</v>
      </c>
      <c r="AW100">
        <v>1</v>
      </c>
      <c r="AX100" t="s">
        <v>7</v>
      </c>
      <c r="AY100">
        <v>38016</v>
      </c>
      <c r="AZ100">
        <v>96</v>
      </c>
      <c r="BA100">
        <v>1</v>
      </c>
      <c r="BB100">
        <v>16</v>
      </c>
      <c r="BC100">
        <v>1066.44</v>
      </c>
      <c r="BD100" s="61">
        <v>34.347999999999999</v>
      </c>
      <c r="BE100" s="27">
        <v>45490</v>
      </c>
      <c r="BF100" s="53">
        <v>0.34303240740740742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 s="8">
        <f t="shared" ref="BS100" si="147">BS99</f>
        <v>34.351200000000006</v>
      </c>
      <c r="BU100">
        <v>361</v>
      </c>
      <c r="BV100" t="s">
        <v>70</v>
      </c>
      <c r="BW100">
        <v>35968</v>
      </c>
      <c r="BX100">
        <v>64</v>
      </c>
      <c r="BY100">
        <v>4</v>
      </c>
      <c r="BZ100">
        <v>4</v>
      </c>
      <c r="CA100">
        <v>844.04</v>
      </c>
      <c r="CB100">
        <v>36.755000000000003</v>
      </c>
      <c r="CQ100" s="54">
        <f t="shared" si="117"/>
        <v>36.676166666666667</v>
      </c>
    </row>
    <row r="101" spans="1:95">
      <c r="A101">
        <v>2</v>
      </c>
      <c r="B101" t="s">
        <v>7</v>
      </c>
      <c r="C101">
        <v>38016</v>
      </c>
      <c r="D101">
        <v>96</v>
      </c>
      <c r="E101">
        <v>1</v>
      </c>
      <c r="F101">
        <v>16</v>
      </c>
      <c r="G101">
        <v>999.2</v>
      </c>
      <c r="H101" s="59">
        <v>36.658999999999999</v>
      </c>
      <c r="I101" s="27">
        <v>45484</v>
      </c>
      <c r="J101" s="53">
        <v>0.42244212962962963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s="66">
        <f t="shared" si="114"/>
        <v>36.255200000000002</v>
      </c>
      <c r="Y101">
        <v>2</v>
      </c>
      <c r="Z101" t="s">
        <v>7</v>
      </c>
      <c r="AA101">
        <v>38016</v>
      </c>
      <c r="AB101">
        <v>96</v>
      </c>
      <c r="AC101">
        <v>1</v>
      </c>
      <c r="AD101">
        <v>16</v>
      </c>
      <c r="AE101">
        <v>844.16</v>
      </c>
      <c r="AF101" s="48">
        <v>43.392000000000003</v>
      </c>
      <c r="AG101" s="27">
        <v>45501</v>
      </c>
      <c r="AH101" s="53">
        <v>0.73482638888888885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 s="66">
        <f t="shared" si="107"/>
        <v>43.2226</v>
      </c>
      <c r="AW101">
        <v>2</v>
      </c>
      <c r="AX101" t="s">
        <v>7</v>
      </c>
      <c r="AY101">
        <v>38016</v>
      </c>
      <c r="AZ101">
        <v>96</v>
      </c>
      <c r="BA101">
        <v>1</v>
      </c>
      <c r="BB101">
        <v>16</v>
      </c>
      <c r="BC101">
        <v>1068.3399999999999</v>
      </c>
      <c r="BD101" s="61">
        <v>34.286999999999999</v>
      </c>
      <c r="BE101" s="27">
        <v>45491</v>
      </c>
      <c r="BF101" s="53">
        <v>0.42900462962962965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 s="8">
        <f t="shared" si="116"/>
        <v>34.351200000000006</v>
      </c>
      <c r="BU101">
        <v>30</v>
      </c>
      <c r="BV101" t="s">
        <v>70</v>
      </c>
      <c r="BW101">
        <v>38144</v>
      </c>
      <c r="BX101">
        <v>64</v>
      </c>
      <c r="BY101">
        <v>4</v>
      </c>
      <c r="BZ101">
        <v>4</v>
      </c>
      <c r="CA101">
        <v>988.16</v>
      </c>
      <c r="CB101">
        <v>37.444000000000003</v>
      </c>
      <c r="CQ101" s="54">
        <f t="shared" ref="CQ101" si="148">AVERAGE(CB101:CB106)</f>
        <v>37.37883333333334</v>
      </c>
    </row>
    <row r="102" spans="1:95">
      <c r="A102">
        <v>3</v>
      </c>
      <c r="B102" t="s">
        <v>7</v>
      </c>
      <c r="C102">
        <v>38016</v>
      </c>
      <c r="D102">
        <v>96</v>
      </c>
      <c r="E102">
        <v>1</v>
      </c>
      <c r="F102">
        <v>16</v>
      </c>
      <c r="G102">
        <v>1009.61</v>
      </c>
      <c r="H102" s="59">
        <v>36.280999999999999</v>
      </c>
      <c r="I102" s="27">
        <v>45485</v>
      </c>
      <c r="J102" s="53">
        <v>0.28541666666666665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s="66">
        <f t="shared" si="114"/>
        <v>36.255200000000002</v>
      </c>
      <c r="Y102">
        <v>3</v>
      </c>
      <c r="Z102" t="s">
        <v>7</v>
      </c>
      <c r="AA102">
        <v>38016</v>
      </c>
      <c r="AB102">
        <v>96</v>
      </c>
      <c r="AC102">
        <v>1</v>
      </c>
      <c r="AD102">
        <v>16</v>
      </c>
      <c r="AE102">
        <v>846.14</v>
      </c>
      <c r="AF102" s="48">
        <v>43.29</v>
      </c>
      <c r="AG102" s="27">
        <v>45502</v>
      </c>
      <c r="AH102" s="53">
        <v>0.52918981481481486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 s="66">
        <f t="shared" si="107"/>
        <v>43.2226</v>
      </c>
      <c r="AW102">
        <v>3</v>
      </c>
      <c r="AX102" t="s">
        <v>7</v>
      </c>
      <c r="AY102">
        <v>38016</v>
      </c>
      <c r="AZ102">
        <v>96</v>
      </c>
      <c r="BA102">
        <v>1</v>
      </c>
      <c r="BB102">
        <v>16</v>
      </c>
      <c r="BC102">
        <v>1063.08</v>
      </c>
      <c r="BD102" s="61">
        <v>34.456000000000003</v>
      </c>
      <c r="BE102" s="27">
        <v>45492</v>
      </c>
      <c r="BF102" s="53">
        <v>0.51393518518518522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 s="8">
        <f t="shared" si="116"/>
        <v>34.351200000000006</v>
      </c>
      <c r="BU102">
        <v>101</v>
      </c>
      <c r="BV102" t="s">
        <v>70</v>
      </c>
      <c r="BW102">
        <v>38144</v>
      </c>
      <c r="BX102">
        <v>64</v>
      </c>
      <c r="BY102">
        <v>4</v>
      </c>
      <c r="BZ102">
        <v>4</v>
      </c>
      <c r="CA102">
        <v>987.62</v>
      </c>
      <c r="CB102">
        <v>37.465000000000003</v>
      </c>
      <c r="CQ102" s="54">
        <f t="shared" ref="CQ102" si="149">CQ101</f>
        <v>37.37883333333334</v>
      </c>
    </row>
    <row r="103" spans="1:95">
      <c r="A103">
        <v>4</v>
      </c>
      <c r="B103" t="s">
        <v>7</v>
      </c>
      <c r="C103">
        <v>38016</v>
      </c>
      <c r="D103">
        <v>96</v>
      </c>
      <c r="E103">
        <v>1</v>
      </c>
      <c r="F103">
        <v>16</v>
      </c>
      <c r="G103">
        <v>1031.79</v>
      </c>
      <c r="H103" s="59">
        <v>35.500999999999998</v>
      </c>
      <c r="I103" s="27">
        <v>45486</v>
      </c>
      <c r="J103" s="53">
        <v>0.17038194444444443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s="66">
        <f t="shared" si="114"/>
        <v>36.255200000000002</v>
      </c>
      <c r="Y103">
        <v>4</v>
      </c>
      <c r="Z103" t="s">
        <v>7</v>
      </c>
      <c r="AA103">
        <v>38016</v>
      </c>
      <c r="AB103">
        <v>96</v>
      </c>
      <c r="AC103">
        <v>1</v>
      </c>
      <c r="AD103">
        <v>16</v>
      </c>
      <c r="AE103">
        <v>849.97</v>
      </c>
      <c r="AF103" s="48">
        <v>43.094999999999999</v>
      </c>
      <c r="AG103" s="27">
        <v>45503</v>
      </c>
      <c r="AH103" s="53">
        <v>0.32390046296296299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 s="66">
        <f t="shared" si="107"/>
        <v>43.2226</v>
      </c>
      <c r="AW103">
        <v>4</v>
      </c>
      <c r="AX103" t="s">
        <v>7</v>
      </c>
      <c r="AY103">
        <v>38016</v>
      </c>
      <c r="AZ103">
        <v>96</v>
      </c>
      <c r="BA103">
        <v>1</v>
      </c>
      <c r="BB103">
        <v>16</v>
      </c>
      <c r="BC103">
        <v>1068.73</v>
      </c>
      <c r="BD103" s="61">
        <v>34.274000000000001</v>
      </c>
      <c r="BE103" s="27">
        <v>45493</v>
      </c>
      <c r="BF103" s="53">
        <v>0.59954861111111113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 s="8">
        <f t="shared" si="116"/>
        <v>34.351200000000006</v>
      </c>
      <c r="BU103">
        <v>172</v>
      </c>
      <c r="BV103" t="s">
        <v>70</v>
      </c>
      <c r="BW103">
        <v>38144</v>
      </c>
      <c r="BX103">
        <v>64</v>
      </c>
      <c r="BY103">
        <v>4</v>
      </c>
      <c r="BZ103">
        <v>4</v>
      </c>
      <c r="CA103">
        <v>990.48</v>
      </c>
      <c r="CB103">
        <v>37.356999999999999</v>
      </c>
      <c r="CQ103" s="54">
        <f t="shared" si="117"/>
        <v>37.37883333333334</v>
      </c>
    </row>
    <row r="104" spans="1:95">
      <c r="A104">
        <v>0</v>
      </c>
      <c r="B104" t="s">
        <v>7</v>
      </c>
      <c r="C104">
        <v>40128</v>
      </c>
      <c r="D104">
        <v>96</v>
      </c>
      <c r="E104">
        <v>1</v>
      </c>
      <c r="F104">
        <v>16</v>
      </c>
      <c r="G104" s="1">
        <v>1171.4100000000001</v>
      </c>
      <c r="H104" s="59">
        <v>36.776000000000003</v>
      </c>
      <c r="I104" s="27">
        <v>45482</v>
      </c>
      <c r="J104" s="53">
        <v>0.9975694444444444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 s="66">
        <f t="shared" ref="W104" si="150">AVERAGE(H104:H108)</f>
        <v>36.202000000000005</v>
      </c>
      <c r="Y104">
        <v>0</v>
      </c>
      <c r="Z104" t="s">
        <v>7</v>
      </c>
      <c r="AA104">
        <v>40128</v>
      </c>
      <c r="AB104">
        <v>96</v>
      </c>
      <c r="AC104">
        <v>1</v>
      </c>
      <c r="AD104">
        <v>16</v>
      </c>
      <c r="AE104">
        <v>996.95</v>
      </c>
      <c r="AF104" s="48">
        <v>43.212000000000003</v>
      </c>
      <c r="AG104" s="27">
        <v>45500</v>
      </c>
      <c r="AH104" s="53">
        <v>9.6365740740740738E-2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s="66">
        <f t="shared" ref="AU104" si="151">AVERAGE(AF104:AF108)</f>
        <v>43.191599999999994</v>
      </c>
      <c r="AW104">
        <v>0</v>
      </c>
      <c r="AX104" t="s">
        <v>7</v>
      </c>
      <c r="AY104">
        <v>40128</v>
      </c>
      <c r="AZ104">
        <v>96</v>
      </c>
      <c r="BA104">
        <v>1</v>
      </c>
      <c r="BB104">
        <v>16</v>
      </c>
      <c r="BC104">
        <v>1229.98</v>
      </c>
      <c r="BD104" s="61">
        <v>35.024999999999999</v>
      </c>
      <c r="BE104" s="27">
        <v>45489</v>
      </c>
      <c r="BF104" s="53">
        <v>0.32695601851851852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 s="8">
        <f t="shared" ref="BS104" si="152">AVERAGE(BD104:BD108)</f>
        <v>35.125399999999999</v>
      </c>
      <c r="BU104">
        <v>243</v>
      </c>
      <c r="BV104" t="s">
        <v>70</v>
      </c>
      <c r="BW104">
        <v>38144</v>
      </c>
      <c r="BX104">
        <v>64</v>
      </c>
      <c r="BY104">
        <v>4</v>
      </c>
      <c r="BZ104">
        <v>4</v>
      </c>
      <c r="CA104">
        <v>990.62</v>
      </c>
      <c r="CB104">
        <v>37.350999999999999</v>
      </c>
      <c r="CQ104" s="54">
        <f t="shared" si="117"/>
        <v>37.37883333333334</v>
      </c>
    </row>
    <row r="105" spans="1:95">
      <c r="A105">
        <v>1</v>
      </c>
      <c r="B105" t="s">
        <v>7</v>
      </c>
      <c r="C105">
        <v>40128</v>
      </c>
      <c r="D105">
        <v>96</v>
      </c>
      <c r="E105">
        <v>1</v>
      </c>
      <c r="F105">
        <v>16</v>
      </c>
      <c r="G105">
        <v>1175.74</v>
      </c>
      <c r="H105" s="59">
        <v>36.640999999999998</v>
      </c>
      <c r="I105" s="27">
        <v>45483</v>
      </c>
      <c r="J105" s="53">
        <v>0.86253472222222227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s="66">
        <f t="shared" ref="W105" si="153">W104</f>
        <v>36.202000000000005</v>
      </c>
      <c r="Y105">
        <v>1</v>
      </c>
      <c r="Z105" t="s">
        <v>7</v>
      </c>
      <c r="AA105">
        <v>40128</v>
      </c>
      <c r="AB105">
        <v>96</v>
      </c>
      <c r="AC105">
        <v>1</v>
      </c>
      <c r="AD105">
        <v>16</v>
      </c>
      <c r="AE105">
        <v>998.52</v>
      </c>
      <c r="AF105" s="48">
        <v>43.143999999999998</v>
      </c>
      <c r="AG105" s="27">
        <v>45501</v>
      </c>
      <c r="AH105" s="53">
        <v>0.21833333333333332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s="66">
        <f t="shared" ref="AU105" si="154">AU104</f>
        <v>43.191599999999994</v>
      </c>
      <c r="AW105">
        <v>1</v>
      </c>
      <c r="AX105" t="s">
        <v>7</v>
      </c>
      <c r="AY105">
        <v>40128</v>
      </c>
      <c r="AZ105">
        <v>96</v>
      </c>
      <c r="BA105">
        <v>1</v>
      </c>
      <c r="BB105">
        <v>16</v>
      </c>
      <c r="BC105">
        <v>1224.06</v>
      </c>
      <c r="BD105" s="61">
        <v>35.194000000000003</v>
      </c>
      <c r="BE105" s="27">
        <v>45490</v>
      </c>
      <c r="BF105" s="53">
        <v>0.7203356481481481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 s="8">
        <f t="shared" ref="BS105" si="155">BS104</f>
        <v>35.125399999999999</v>
      </c>
      <c r="BU105">
        <v>314</v>
      </c>
      <c r="BV105" t="s">
        <v>70</v>
      </c>
      <c r="BW105">
        <v>38144</v>
      </c>
      <c r="BX105">
        <v>64</v>
      </c>
      <c r="BY105">
        <v>4</v>
      </c>
      <c r="BZ105">
        <v>4</v>
      </c>
      <c r="CA105">
        <v>993.01</v>
      </c>
      <c r="CB105">
        <v>37.261000000000003</v>
      </c>
      <c r="CQ105" s="54">
        <f t="shared" si="117"/>
        <v>37.37883333333334</v>
      </c>
    </row>
    <row r="106" spans="1:95">
      <c r="A106">
        <v>2</v>
      </c>
      <c r="B106" t="s">
        <v>7</v>
      </c>
      <c r="C106">
        <v>40128</v>
      </c>
      <c r="D106">
        <v>96</v>
      </c>
      <c r="E106">
        <v>1</v>
      </c>
      <c r="F106">
        <v>16</v>
      </c>
      <c r="G106">
        <v>1175.79</v>
      </c>
      <c r="H106" s="59">
        <v>36.639000000000003</v>
      </c>
      <c r="I106" s="27">
        <v>45484</v>
      </c>
      <c r="J106" s="53">
        <v>0.72512731481481485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s="66">
        <f t="shared" si="114"/>
        <v>36.202000000000005</v>
      </c>
      <c r="Y106">
        <v>2</v>
      </c>
      <c r="Z106" t="s">
        <v>7</v>
      </c>
      <c r="AA106">
        <v>40128</v>
      </c>
      <c r="AB106">
        <v>96</v>
      </c>
      <c r="AC106">
        <v>1</v>
      </c>
      <c r="AD106">
        <v>16</v>
      </c>
      <c r="AE106">
        <v>994.87</v>
      </c>
      <c r="AF106" s="48">
        <v>43.302</v>
      </c>
      <c r="AG106" s="27">
        <v>45502</v>
      </c>
      <c r="AH106" s="53">
        <v>1.3020833333333334E-2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 s="66">
        <f t="shared" si="107"/>
        <v>43.191599999999994</v>
      </c>
      <c r="AW106">
        <v>2</v>
      </c>
      <c r="AX106" t="s">
        <v>7</v>
      </c>
      <c r="AY106">
        <v>40128</v>
      </c>
      <c r="AZ106">
        <v>96</v>
      </c>
      <c r="BA106">
        <v>1</v>
      </c>
      <c r="BB106">
        <v>16</v>
      </c>
      <c r="BC106">
        <v>1226.08</v>
      </c>
      <c r="BD106" s="61">
        <v>35.136000000000003</v>
      </c>
      <c r="BE106" s="27">
        <v>45491</v>
      </c>
      <c r="BF106" s="53">
        <v>0.80603009259259262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 s="8">
        <f t="shared" si="116"/>
        <v>35.125399999999999</v>
      </c>
      <c r="BU106">
        <v>385</v>
      </c>
      <c r="BV106" t="s">
        <v>70</v>
      </c>
      <c r="BW106">
        <v>38144</v>
      </c>
      <c r="BX106">
        <v>64</v>
      </c>
      <c r="BY106">
        <v>4</v>
      </c>
      <c r="BZ106">
        <v>4</v>
      </c>
      <c r="CA106">
        <v>989.46</v>
      </c>
      <c r="CB106">
        <v>37.395000000000003</v>
      </c>
      <c r="CQ106" s="54">
        <f t="shared" si="117"/>
        <v>37.37883333333334</v>
      </c>
    </row>
    <row r="107" spans="1:95">
      <c r="A107">
        <v>3</v>
      </c>
      <c r="B107" t="s">
        <v>7</v>
      </c>
      <c r="C107">
        <v>40128</v>
      </c>
      <c r="D107">
        <v>96</v>
      </c>
      <c r="E107">
        <v>1</v>
      </c>
      <c r="F107">
        <v>16</v>
      </c>
      <c r="G107">
        <v>1215.3399999999999</v>
      </c>
      <c r="H107" s="59">
        <v>35.447000000000003</v>
      </c>
      <c r="I107" s="27">
        <v>45485</v>
      </c>
      <c r="J107" s="53">
        <v>0.59346064814814814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s="66">
        <f t="shared" si="114"/>
        <v>36.202000000000005</v>
      </c>
      <c r="Y107">
        <v>3</v>
      </c>
      <c r="Z107" t="s">
        <v>7</v>
      </c>
      <c r="AA107">
        <v>40128</v>
      </c>
      <c r="AB107">
        <v>96</v>
      </c>
      <c r="AC107">
        <v>1</v>
      </c>
      <c r="AD107">
        <v>16</v>
      </c>
      <c r="AE107" s="1">
        <v>1002.48</v>
      </c>
      <c r="AF107" s="48">
        <v>42.972999999999999</v>
      </c>
      <c r="AG107" s="27">
        <v>45502</v>
      </c>
      <c r="AH107" s="53">
        <v>0.80748842592592596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 s="66">
        <f t="shared" si="107"/>
        <v>43.191599999999994</v>
      </c>
      <c r="AW107">
        <v>3</v>
      </c>
      <c r="AX107" t="s">
        <v>7</v>
      </c>
      <c r="AY107">
        <v>40128</v>
      </c>
      <c r="AZ107">
        <v>96</v>
      </c>
      <c r="BA107">
        <v>1</v>
      </c>
      <c r="BB107">
        <v>16</v>
      </c>
      <c r="BC107">
        <v>1228.06</v>
      </c>
      <c r="BD107" s="61">
        <v>35.08</v>
      </c>
      <c r="BE107" s="27">
        <v>45492</v>
      </c>
      <c r="BF107" s="53">
        <v>0.89145833333333335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 s="8">
        <f t="shared" si="116"/>
        <v>35.125399999999999</v>
      </c>
      <c r="BU107">
        <v>54</v>
      </c>
      <c r="BV107" t="s">
        <v>70</v>
      </c>
      <c r="BW107">
        <v>40320</v>
      </c>
      <c r="BX107">
        <v>64</v>
      </c>
      <c r="BY107">
        <v>4</v>
      </c>
      <c r="BZ107">
        <v>4</v>
      </c>
      <c r="CA107">
        <v>1158.0899999999999</v>
      </c>
      <c r="CB107">
        <v>37.735999999999997</v>
      </c>
      <c r="CQ107" s="54">
        <f t="shared" ref="CQ107" si="156">AVERAGE(CB107:CB112)</f>
        <v>37.697833333333335</v>
      </c>
    </row>
    <row r="108" spans="1:95">
      <c r="A108">
        <v>4</v>
      </c>
      <c r="B108" t="s">
        <v>7</v>
      </c>
      <c r="C108">
        <v>40128</v>
      </c>
      <c r="D108">
        <v>96</v>
      </c>
      <c r="E108">
        <v>1</v>
      </c>
      <c r="F108">
        <v>16</v>
      </c>
      <c r="G108">
        <v>1213.27</v>
      </c>
      <c r="H108" s="59">
        <v>35.506999999999998</v>
      </c>
      <c r="I108" s="27">
        <v>45486</v>
      </c>
      <c r="J108" s="53">
        <v>0.481875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 s="66">
        <f t="shared" si="114"/>
        <v>36.202000000000005</v>
      </c>
      <c r="Y108">
        <v>4</v>
      </c>
      <c r="Z108" t="s">
        <v>7</v>
      </c>
      <c r="AA108">
        <v>40128</v>
      </c>
      <c r="AB108">
        <v>96</v>
      </c>
      <c r="AC108">
        <v>1</v>
      </c>
      <c r="AD108">
        <v>16</v>
      </c>
      <c r="AE108">
        <v>994.3</v>
      </c>
      <c r="AF108" s="48">
        <v>43.326999999999998</v>
      </c>
      <c r="AG108" s="27">
        <v>45503</v>
      </c>
      <c r="AH108" s="53">
        <v>0.6023263888888889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 s="66">
        <f t="shared" si="107"/>
        <v>43.191599999999994</v>
      </c>
      <c r="AW108">
        <v>4</v>
      </c>
      <c r="AX108" t="s">
        <v>7</v>
      </c>
      <c r="AY108">
        <v>40128</v>
      </c>
      <c r="AZ108">
        <v>96</v>
      </c>
      <c r="BA108">
        <v>1</v>
      </c>
      <c r="BB108">
        <v>16</v>
      </c>
      <c r="BC108">
        <v>1224.1500000000001</v>
      </c>
      <c r="BD108" s="61">
        <v>35.192</v>
      </c>
      <c r="BE108" s="27">
        <v>45493</v>
      </c>
      <c r="BF108" s="53">
        <v>0.97694444444444439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 s="8">
        <f t="shared" si="116"/>
        <v>35.125399999999999</v>
      </c>
      <c r="BU108">
        <v>125</v>
      </c>
      <c r="BV108" t="s">
        <v>70</v>
      </c>
      <c r="BW108">
        <v>40320</v>
      </c>
      <c r="BX108">
        <v>64</v>
      </c>
      <c r="BY108">
        <v>4</v>
      </c>
      <c r="BZ108">
        <v>4</v>
      </c>
      <c r="CA108">
        <v>1164</v>
      </c>
      <c r="CB108">
        <v>37.543999999999997</v>
      </c>
      <c r="CQ108" s="54">
        <f t="shared" ref="CQ108" si="157">CQ107</f>
        <v>37.697833333333335</v>
      </c>
    </row>
    <row r="109" spans="1:95">
      <c r="A109">
        <v>0</v>
      </c>
      <c r="B109" t="s">
        <v>7</v>
      </c>
      <c r="C109">
        <v>36000</v>
      </c>
      <c r="D109">
        <v>96</v>
      </c>
      <c r="E109">
        <v>2</v>
      </c>
      <c r="F109">
        <v>8</v>
      </c>
      <c r="G109" s="1">
        <v>919.28</v>
      </c>
      <c r="H109" s="59">
        <v>33.837000000000003</v>
      </c>
      <c r="I109" s="27">
        <v>45482</v>
      </c>
      <c r="J109" s="53">
        <v>0.44815972222222222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 s="66">
        <f t="shared" ref="W109" si="158">AVERAGE(H109:H113)</f>
        <v>33.711200000000005</v>
      </c>
      <c r="Y109">
        <v>0</v>
      </c>
      <c r="Z109" t="s">
        <v>7</v>
      </c>
      <c r="AA109">
        <v>36000</v>
      </c>
      <c r="AB109">
        <v>96</v>
      </c>
      <c r="AC109">
        <v>2</v>
      </c>
      <c r="AD109">
        <v>8</v>
      </c>
      <c r="AE109">
        <v>709.22</v>
      </c>
      <c r="AF109" s="48">
        <v>43.859000000000002</v>
      </c>
      <c r="AG109" s="27">
        <v>45499</v>
      </c>
      <c r="AH109" s="53">
        <v>0.59011574074074069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 s="66">
        <f t="shared" ref="AU109" si="159">AVERAGE(AF109:AF113)</f>
        <v>44.076000000000008</v>
      </c>
      <c r="AW109">
        <v>0</v>
      </c>
      <c r="AX109" t="s">
        <v>7</v>
      </c>
      <c r="AY109">
        <v>36000</v>
      </c>
      <c r="AZ109">
        <v>96</v>
      </c>
      <c r="BA109">
        <v>2</v>
      </c>
      <c r="BB109">
        <v>8</v>
      </c>
      <c r="BC109">
        <v>980.31</v>
      </c>
      <c r="BD109" s="61">
        <v>31.731000000000002</v>
      </c>
      <c r="BE109" s="27">
        <v>45488</v>
      </c>
      <c r="BF109" s="53">
        <v>0.63315972222222228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 s="8">
        <f t="shared" ref="BS109" si="160">AVERAGE(BD109:BD113)</f>
        <v>31.551800000000004</v>
      </c>
      <c r="BU109">
        <v>196</v>
      </c>
      <c r="BV109" t="s">
        <v>70</v>
      </c>
      <c r="BW109">
        <v>40320</v>
      </c>
      <c r="BX109">
        <v>64</v>
      </c>
      <c r="BY109">
        <v>4</v>
      </c>
      <c r="BZ109">
        <v>4</v>
      </c>
      <c r="CA109">
        <v>1159.0899999999999</v>
      </c>
      <c r="CB109">
        <v>37.703000000000003</v>
      </c>
      <c r="CQ109" s="54">
        <f t="shared" si="117"/>
        <v>37.697833333333335</v>
      </c>
    </row>
    <row r="110" spans="1:95">
      <c r="A110">
        <v>1</v>
      </c>
      <c r="B110" t="s">
        <v>7</v>
      </c>
      <c r="C110">
        <v>36000</v>
      </c>
      <c r="D110">
        <v>96</v>
      </c>
      <c r="E110">
        <v>2</v>
      </c>
      <c r="F110">
        <v>8</v>
      </c>
      <c r="G110">
        <v>921.37</v>
      </c>
      <c r="H110" s="59">
        <v>33.761000000000003</v>
      </c>
      <c r="I110" s="27">
        <v>45483</v>
      </c>
      <c r="J110" s="53">
        <v>0.30866898148148147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s="66">
        <f t="shared" ref="W110" si="161">W109</f>
        <v>33.711200000000005</v>
      </c>
      <c r="Y110">
        <v>1</v>
      </c>
      <c r="Z110" t="s">
        <v>7</v>
      </c>
      <c r="AA110">
        <v>36000</v>
      </c>
      <c r="AB110">
        <v>96</v>
      </c>
      <c r="AC110">
        <v>2</v>
      </c>
      <c r="AD110">
        <v>8</v>
      </c>
      <c r="AE110">
        <v>705.74</v>
      </c>
      <c r="AF110" s="48">
        <v>44.076000000000001</v>
      </c>
      <c r="AG110" s="27">
        <v>45500</v>
      </c>
      <c r="AH110" s="53">
        <v>0.71074074074074078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 s="66">
        <f t="shared" ref="AU110" si="162">AU109</f>
        <v>44.076000000000008</v>
      </c>
      <c r="AW110">
        <v>1</v>
      </c>
      <c r="AX110" t="s">
        <v>7</v>
      </c>
      <c r="AY110">
        <v>36000</v>
      </c>
      <c r="AZ110">
        <v>96</v>
      </c>
      <c r="BA110">
        <v>2</v>
      </c>
      <c r="BB110">
        <v>8</v>
      </c>
      <c r="BC110">
        <v>985.56</v>
      </c>
      <c r="BD110" s="61">
        <v>31.562000000000001</v>
      </c>
      <c r="BE110" s="27">
        <v>45490</v>
      </c>
      <c r="BF110" s="53">
        <v>2.6944444444444444E-2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 s="8">
        <f t="shared" ref="BS110" si="163">BS109</f>
        <v>31.551800000000004</v>
      </c>
      <c r="BU110">
        <v>267</v>
      </c>
      <c r="BV110" t="s">
        <v>70</v>
      </c>
      <c r="BW110">
        <v>40320</v>
      </c>
      <c r="BX110">
        <v>64</v>
      </c>
      <c r="BY110">
        <v>4</v>
      </c>
      <c r="BZ110">
        <v>4</v>
      </c>
      <c r="CA110">
        <v>1157.19</v>
      </c>
      <c r="CB110">
        <v>37.765000000000001</v>
      </c>
      <c r="CQ110" s="54">
        <f t="shared" si="117"/>
        <v>37.697833333333335</v>
      </c>
    </row>
    <row r="111" spans="1:95">
      <c r="A111">
        <v>2</v>
      </c>
      <c r="B111" t="s">
        <v>7</v>
      </c>
      <c r="C111">
        <v>36000</v>
      </c>
      <c r="D111">
        <v>96</v>
      </c>
      <c r="E111">
        <v>2</v>
      </c>
      <c r="F111">
        <v>8</v>
      </c>
      <c r="G111">
        <v>916.38</v>
      </c>
      <c r="H111" s="59">
        <v>33.945</v>
      </c>
      <c r="I111" s="27">
        <v>45484</v>
      </c>
      <c r="J111" s="53">
        <v>0.17357638888888888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s="66">
        <f t="shared" si="114"/>
        <v>33.711200000000005</v>
      </c>
      <c r="Y111">
        <v>2</v>
      </c>
      <c r="Z111" t="s">
        <v>7</v>
      </c>
      <c r="AA111">
        <v>36000</v>
      </c>
      <c r="AB111">
        <v>96</v>
      </c>
      <c r="AC111">
        <v>2</v>
      </c>
      <c r="AD111">
        <v>8</v>
      </c>
      <c r="AE111">
        <v>705.42</v>
      </c>
      <c r="AF111" s="48">
        <v>44.095999999999997</v>
      </c>
      <c r="AG111" s="27">
        <v>45501</v>
      </c>
      <c r="AH111" s="53">
        <v>0.50466435185185188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 s="66">
        <f t="shared" si="107"/>
        <v>44.076000000000008</v>
      </c>
      <c r="AW111">
        <v>2</v>
      </c>
      <c r="AX111" t="s">
        <v>7</v>
      </c>
      <c r="AY111">
        <v>36000</v>
      </c>
      <c r="AZ111">
        <v>96</v>
      </c>
      <c r="BA111">
        <v>2</v>
      </c>
      <c r="BB111">
        <v>8</v>
      </c>
      <c r="BC111">
        <v>990.85</v>
      </c>
      <c r="BD111" s="61">
        <v>31.393000000000001</v>
      </c>
      <c r="BE111" s="27">
        <v>45491</v>
      </c>
      <c r="BF111" s="53">
        <v>0.11260416666666667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 s="8">
        <f t="shared" si="116"/>
        <v>31.551800000000004</v>
      </c>
      <c r="BU111">
        <v>338</v>
      </c>
      <c r="BV111" t="s">
        <v>70</v>
      </c>
      <c r="BW111">
        <v>40320</v>
      </c>
      <c r="BX111">
        <v>64</v>
      </c>
      <c r="BY111">
        <v>4</v>
      </c>
      <c r="BZ111">
        <v>4</v>
      </c>
      <c r="CA111">
        <v>1158.3399999999999</v>
      </c>
      <c r="CB111">
        <v>37.726999999999997</v>
      </c>
      <c r="CQ111" s="54">
        <f t="shared" si="117"/>
        <v>37.697833333333335</v>
      </c>
    </row>
    <row r="112" spans="1:95">
      <c r="A112">
        <v>3</v>
      </c>
      <c r="B112" t="s">
        <v>7</v>
      </c>
      <c r="C112">
        <v>36000</v>
      </c>
      <c r="D112">
        <v>96</v>
      </c>
      <c r="E112">
        <v>2</v>
      </c>
      <c r="F112">
        <v>8</v>
      </c>
      <c r="G112">
        <v>916.28</v>
      </c>
      <c r="H112" s="59">
        <v>33.948</v>
      </c>
      <c r="I112" s="27">
        <v>45485</v>
      </c>
      <c r="J112" s="53">
        <v>3.6145833333333335E-2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s="66">
        <f t="shared" si="114"/>
        <v>33.711200000000005</v>
      </c>
      <c r="Y112">
        <v>3</v>
      </c>
      <c r="Z112" t="s">
        <v>7</v>
      </c>
      <c r="AA112">
        <v>36000</v>
      </c>
      <c r="AB112">
        <v>96</v>
      </c>
      <c r="AC112">
        <v>2</v>
      </c>
      <c r="AD112">
        <v>8</v>
      </c>
      <c r="AE112">
        <v>707.21</v>
      </c>
      <c r="AF112" s="48">
        <v>43.984000000000002</v>
      </c>
      <c r="AG112" s="27">
        <v>45502</v>
      </c>
      <c r="AH112" s="53">
        <v>0.29966435185185186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 s="66">
        <f t="shared" si="107"/>
        <v>44.076000000000008</v>
      </c>
      <c r="AW112">
        <v>3</v>
      </c>
      <c r="AX112" t="s">
        <v>7</v>
      </c>
      <c r="AY112">
        <v>36000</v>
      </c>
      <c r="AZ112">
        <v>96</v>
      </c>
      <c r="BA112">
        <v>2</v>
      </c>
      <c r="BB112">
        <v>8</v>
      </c>
      <c r="BC112">
        <v>986.46</v>
      </c>
      <c r="BD112" s="61">
        <v>31.533000000000001</v>
      </c>
      <c r="BE112" s="27">
        <v>45492</v>
      </c>
      <c r="BF112" s="53">
        <v>0.19747685185185185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 s="8">
        <f t="shared" si="116"/>
        <v>31.551800000000004</v>
      </c>
      <c r="BU112">
        <v>409</v>
      </c>
      <c r="BV112" t="s">
        <v>70</v>
      </c>
      <c r="BW112">
        <v>40320</v>
      </c>
      <c r="BX112">
        <v>64</v>
      </c>
      <c r="BY112">
        <v>4</v>
      </c>
      <c r="BZ112">
        <v>4</v>
      </c>
      <c r="CA112">
        <v>1158.83</v>
      </c>
      <c r="CB112">
        <v>37.712000000000003</v>
      </c>
      <c r="CQ112" s="54">
        <f t="shared" si="117"/>
        <v>37.697833333333335</v>
      </c>
    </row>
    <row r="113" spans="1:95">
      <c r="A113">
        <v>4</v>
      </c>
      <c r="B113" t="s">
        <v>7</v>
      </c>
      <c r="C113">
        <v>36000</v>
      </c>
      <c r="D113">
        <v>96</v>
      </c>
      <c r="E113">
        <v>2</v>
      </c>
      <c r="F113">
        <v>8</v>
      </c>
      <c r="G113">
        <v>940.77</v>
      </c>
      <c r="H113" s="59">
        <v>33.064999999999998</v>
      </c>
      <c r="I113" s="27">
        <v>45485</v>
      </c>
      <c r="J113" s="53">
        <v>0.91355324074074074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s="66">
        <f t="shared" si="114"/>
        <v>33.711200000000005</v>
      </c>
      <c r="Y113">
        <v>4</v>
      </c>
      <c r="Z113" t="s">
        <v>7</v>
      </c>
      <c r="AA113">
        <v>36000</v>
      </c>
      <c r="AB113">
        <v>96</v>
      </c>
      <c r="AC113">
        <v>2</v>
      </c>
      <c r="AD113">
        <v>8</v>
      </c>
      <c r="AE113" s="1">
        <v>701.14</v>
      </c>
      <c r="AF113" s="48">
        <v>44.365000000000002</v>
      </c>
      <c r="AG113" s="27">
        <v>45503</v>
      </c>
      <c r="AH113" s="53">
        <v>9.4490740740740736E-2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 s="66">
        <f t="shared" si="107"/>
        <v>44.076000000000008</v>
      </c>
      <c r="AW113">
        <v>4</v>
      </c>
      <c r="AX113" t="s">
        <v>7</v>
      </c>
      <c r="AY113">
        <v>36000</v>
      </c>
      <c r="AZ113">
        <v>96</v>
      </c>
      <c r="BA113">
        <v>2</v>
      </c>
      <c r="BB113">
        <v>8</v>
      </c>
      <c r="BC113">
        <v>986.23</v>
      </c>
      <c r="BD113" s="61">
        <v>31.54</v>
      </c>
      <c r="BE113" s="27">
        <v>45493</v>
      </c>
      <c r="BF113" s="53">
        <v>0.28296296296296297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 s="8">
        <f t="shared" si="116"/>
        <v>31.551800000000004</v>
      </c>
      <c r="BU113">
        <v>7</v>
      </c>
      <c r="BV113" t="s">
        <v>70</v>
      </c>
      <c r="BW113">
        <v>35968</v>
      </c>
      <c r="BX113">
        <v>96</v>
      </c>
      <c r="BY113">
        <v>1</v>
      </c>
      <c r="BZ113">
        <v>16</v>
      </c>
      <c r="CA113">
        <v>783.89</v>
      </c>
      <c r="CB113">
        <v>39.682000000000002</v>
      </c>
      <c r="CQ113" s="54">
        <f t="shared" ref="CQ113" si="164">AVERAGE(CB113:CB118)</f>
        <v>39.658833333333334</v>
      </c>
    </row>
    <row r="114" spans="1:95">
      <c r="A114">
        <v>0</v>
      </c>
      <c r="B114" t="s">
        <v>7</v>
      </c>
      <c r="C114">
        <v>38016</v>
      </c>
      <c r="D114">
        <v>96</v>
      </c>
      <c r="E114">
        <v>2</v>
      </c>
      <c r="F114">
        <v>8</v>
      </c>
      <c r="G114" s="1">
        <v>1007.93</v>
      </c>
      <c r="H114" s="59">
        <v>36.341999999999999</v>
      </c>
      <c r="I114" s="27">
        <v>45482</v>
      </c>
      <c r="J114" s="53">
        <v>0.70887731481481486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s="66">
        <f t="shared" ref="W114" si="165">AVERAGE(H114:H118)</f>
        <v>35.146599999999999</v>
      </c>
      <c r="Y114">
        <v>0</v>
      </c>
      <c r="Z114" t="s">
        <v>7</v>
      </c>
      <c r="AA114">
        <v>38016</v>
      </c>
      <c r="AB114">
        <v>96</v>
      </c>
      <c r="AC114">
        <v>2</v>
      </c>
      <c r="AD114">
        <v>8</v>
      </c>
      <c r="AE114">
        <v>815.74</v>
      </c>
      <c r="AF114" s="48">
        <v>44.904000000000003</v>
      </c>
      <c r="AG114" s="27">
        <v>45499</v>
      </c>
      <c r="AH114" s="53">
        <v>0.82896990740740739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 s="66">
        <f t="shared" ref="AU114" si="166">AVERAGE(AF114:AF118)</f>
        <v>44.773799999999994</v>
      </c>
      <c r="AW114">
        <v>0</v>
      </c>
      <c r="AX114" t="s">
        <v>7</v>
      </c>
      <c r="AY114">
        <v>38016</v>
      </c>
      <c r="AZ114">
        <v>96</v>
      </c>
      <c r="BA114">
        <v>2</v>
      </c>
      <c r="BB114">
        <v>8</v>
      </c>
      <c r="BC114">
        <v>1124.02</v>
      </c>
      <c r="BD114" s="61">
        <v>32.588000000000001</v>
      </c>
      <c r="BE114" s="27">
        <v>45488</v>
      </c>
      <c r="BF114" s="53">
        <v>0.96348379629629632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 s="8">
        <f t="shared" ref="BS114" si="167">AVERAGE(BD114:BD118)</f>
        <v>32.510400000000004</v>
      </c>
      <c r="BU114">
        <v>78</v>
      </c>
      <c r="BV114" t="s">
        <v>70</v>
      </c>
      <c r="BW114">
        <v>35968</v>
      </c>
      <c r="BX114">
        <v>96</v>
      </c>
      <c r="BY114">
        <v>1</v>
      </c>
      <c r="BZ114">
        <v>16</v>
      </c>
      <c r="CA114">
        <v>781.77</v>
      </c>
      <c r="CB114">
        <v>39.789000000000001</v>
      </c>
      <c r="CQ114" s="54">
        <f t="shared" ref="CQ114" si="168">CQ113</f>
        <v>39.658833333333334</v>
      </c>
    </row>
    <row r="115" spans="1:95">
      <c r="A115">
        <v>1</v>
      </c>
      <c r="B115" t="s">
        <v>7</v>
      </c>
      <c r="C115">
        <v>38016</v>
      </c>
      <c r="D115">
        <v>96</v>
      </c>
      <c r="E115">
        <v>2</v>
      </c>
      <c r="F115">
        <v>8</v>
      </c>
      <c r="G115">
        <v>1059.1300000000001</v>
      </c>
      <c r="H115" s="59">
        <v>34.585000000000001</v>
      </c>
      <c r="I115" s="27">
        <v>45483</v>
      </c>
      <c r="J115" s="53">
        <v>0.57229166666666664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s="66">
        <f t="shared" ref="W115" si="169">W114</f>
        <v>35.146599999999999</v>
      </c>
      <c r="Y115">
        <v>1</v>
      </c>
      <c r="Z115" t="s">
        <v>7</v>
      </c>
      <c r="AA115">
        <v>38016</v>
      </c>
      <c r="AB115">
        <v>96</v>
      </c>
      <c r="AC115">
        <v>2</v>
      </c>
      <c r="AD115">
        <v>8</v>
      </c>
      <c r="AE115">
        <v>816.59</v>
      </c>
      <c r="AF115" s="48">
        <v>44.856999999999999</v>
      </c>
      <c r="AG115" s="27">
        <v>45500</v>
      </c>
      <c r="AH115" s="53">
        <v>0.95047453703703699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 s="66">
        <f t="shared" ref="AU115" si="170">AU114</f>
        <v>44.773799999999994</v>
      </c>
      <c r="AW115">
        <v>1</v>
      </c>
      <c r="AX115" t="s">
        <v>7</v>
      </c>
      <c r="AY115">
        <v>38016</v>
      </c>
      <c r="AZ115">
        <v>96</v>
      </c>
      <c r="BA115">
        <v>2</v>
      </c>
      <c r="BB115">
        <v>8</v>
      </c>
      <c r="BC115">
        <v>1127.78</v>
      </c>
      <c r="BD115" s="61">
        <v>32.478999999999999</v>
      </c>
      <c r="BE115" s="27">
        <v>45490</v>
      </c>
      <c r="BF115" s="53">
        <v>0.35697916666666668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 s="8">
        <f t="shared" ref="BS115" si="171">BS114</f>
        <v>32.510400000000004</v>
      </c>
      <c r="BU115">
        <v>149</v>
      </c>
      <c r="BV115" t="s">
        <v>70</v>
      </c>
      <c r="BW115">
        <v>35968</v>
      </c>
      <c r="BX115">
        <v>96</v>
      </c>
      <c r="BY115">
        <v>1</v>
      </c>
      <c r="BZ115">
        <v>16</v>
      </c>
      <c r="CA115">
        <v>785.21</v>
      </c>
      <c r="CB115">
        <v>39.615000000000002</v>
      </c>
      <c r="CQ115" s="54">
        <f t="shared" si="117"/>
        <v>39.658833333333334</v>
      </c>
    </row>
    <row r="116" spans="1:95">
      <c r="A116">
        <v>2</v>
      </c>
      <c r="B116" t="s">
        <v>7</v>
      </c>
      <c r="C116">
        <v>38016</v>
      </c>
      <c r="D116">
        <v>96</v>
      </c>
      <c r="E116">
        <v>2</v>
      </c>
      <c r="F116">
        <v>8</v>
      </c>
      <c r="G116">
        <v>1044.93</v>
      </c>
      <c r="H116" s="59">
        <v>35.055</v>
      </c>
      <c r="I116" s="27">
        <v>45484</v>
      </c>
      <c r="J116" s="53">
        <v>0.43482638888888892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s="66">
        <f t="shared" si="114"/>
        <v>35.146599999999999</v>
      </c>
      <c r="Y116">
        <v>2</v>
      </c>
      <c r="Z116" t="s">
        <v>7</v>
      </c>
      <c r="AA116">
        <v>38016</v>
      </c>
      <c r="AB116">
        <v>96</v>
      </c>
      <c r="AC116">
        <v>2</v>
      </c>
      <c r="AD116">
        <v>8</v>
      </c>
      <c r="AE116" s="1">
        <v>813.27</v>
      </c>
      <c r="AF116" s="48">
        <v>45.04</v>
      </c>
      <c r="AG116" s="27">
        <v>45501</v>
      </c>
      <c r="AH116" s="53">
        <v>0.74456018518518519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 s="66">
        <f t="shared" si="107"/>
        <v>44.773799999999994</v>
      </c>
      <c r="AW116">
        <v>2</v>
      </c>
      <c r="AX116" t="s">
        <v>7</v>
      </c>
      <c r="AY116">
        <v>38016</v>
      </c>
      <c r="AZ116">
        <v>96</v>
      </c>
      <c r="BA116">
        <v>2</v>
      </c>
      <c r="BB116">
        <v>8</v>
      </c>
      <c r="BC116">
        <v>1121.07</v>
      </c>
      <c r="BD116" s="61">
        <v>32.673999999999999</v>
      </c>
      <c r="BE116" s="27">
        <v>45491</v>
      </c>
      <c r="BF116" s="53">
        <v>0.44287037037037036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 s="8">
        <f t="shared" si="116"/>
        <v>32.510400000000004</v>
      </c>
      <c r="BU116">
        <v>220</v>
      </c>
      <c r="BV116" t="s">
        <v>70</v>
      </c>
      <c r="BW116">
        <v>35968</v>
      </c>
      <c r="BX116">
        <v>96</v>
      </c>
      <c r="BY116">
        <v>1</v>
      </c>
      <c r="BZ116">
        <v>16</v>
      </c>
      <c r="CA116">
        <v>786.45</v>
      </c>
      <c r="CB116">
        <v>39.552999999999997</v>
      </c>
      <c r="CQ116" s="54">
        <f t="shared" si="117"/>
        <v>39.658833333333334</v>
      </c>
    </row>
    <row r="117" spans="1:95">
      <c r="A117">
        <v>3</v>
      </c>
      <c r="B117" t="s">
        <v>7</v>
      </c>
      <c r="C117">
        <v>38016</v>
      </c>
      <c r="D117">
        <v>96</v>
      </c>
      <c r="E117">
        <v>2</v>
      </c>
      <c r="F117">
        <v>8</v>
      </c>
      <c r="G117">
        <v>1023.35</v>
      </c>
      <c r="H117" s="59">
        <v>35.793999999999997</v>
      </c>
      <c r="I117" s="27">
        <v>45485</v>
      </c>
      <c r="J117" s="53">
        <v>0.29754629629629631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s="66">
        <f t="shared" si="114"/>
        <v>35.146599999999999</v>
      </c>
      <c r="Y117">
        <v>3</v>
      </c>
      <c r="Z117" t="s">
        <v>7</v>
      </c>
      <c r="AA117">
        <v>38016</v>
      </c>
      <c r="AB117">
        <v>96</v>
      </c>
      <c r="AC117">
        <v>2</v>
      </c>
      <c r="AD117">
        <v>8</v>
      </c>
      <c r="AE117">
        <v>827.81</v>
      </c>
      <c r="AF117" s="48">
        <v>44.249000000000002</v>
      </c>
      <c r="AG117" s="27">
        <v>45502</v>
      </c>
      <c r="AH117" s="53">
        <v>0.53908564814814819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 s="66">
        <f t="shared" si="107"/>
        <v>44.773799999999994</v>
      </c>
      <c r="AW117">
        <v>3</v>
      </c>
      <c r="AX117" t="s">
        <v>7</v>
      </c>
      <c r="AY117">
        <v>38016</v>
      </c>
      <c r="AZ117">
        <v>96</v>
      </c>
      <c r="BA117">
        <v>2</v>
      </c>
      <c r="BB117">
        <v>8</v>
      </c>
      <c r="BC117">
        <v>1132.31</v>
      </c>
      <c r="BD117" s="61">
        <v>32.35</v>
      </c>
      <c r="BE117" s="27">
        <v>45492</v>
      </c>
      <c r="BF117" s="53">
        <v>0.52793981481481478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 s="8">
        <f t="shared" si="116"/>
        <v>32.510400000000004</v>
      </c>
      <c r="BU117">
        <v>291</v>
      </c>
      <c r="BV117" t="s">
        <v>70</v>
      </c>
      <c r="BW117">
        <v>35968</v>
      </c>
      <c r="BX117">
        <v>96</v>
      </c>
      <c r="BY117">
        <v>1</v>
      </c>
      <c r="BZ117">
        <v>16</v>
      </c>
      <c r="CA117">
        <v>784.93</v>
      </c>
      <c r="CB117">
        <v>39.628999999999998</v>
      </c>
      <c r="CQ117" s="54">
        <f t="shared" si="117"/>
        <v>39.658833333333334</v>
      </c>
    </row>
    <row r="118" spans="1:95">
      <c r="A118">
        <v>4</v>
      </c>
      <c r="B118" t="s">
        <v>7</v>
      </c>
      <c r="C118">
        <v>38016</v>
      </c>
      <c r="D118">
        <v>96</v>
      </c>
      <c r="E118">
        <v>2</v>
      </c>
      <c r="F118">
        <v>8</v>
      </c>
      <c r="G118">
        <v>1078.7</v>
      </c>
      <c r="H118" s="59">
        <v>33.957000000000001</v>
      </c>
      <c r="I118" s="27">
        <v>45486</v>
      </c>
      <c r="J118" s="53">
        <v>0.18315972222222221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s="66">
        <f t="shared" si="114"/>
        <v>35.146599999999999</v>
      </c>
      <c r="Y118">
        <v>4</v>
      </c>
      <c r="Z118" t="s">
        <v>7</v>
      </c>
      <c r="AA118">
        <v>38016</v>
      </c>
      <c r="AB118">
        <v>96</v>
      </c>
      <c r="AC118">
        <v>2</v>
      </c>
      <c r="AD118">
        <v>8</v>
      </c>
      <c r="AE118">
        <v>817.28</v>
      </c>
      <c r="AF118" s="48">
        <v>44.819000000000003</v>
      </c>
      <c r="AG118" s="27">
        <v>45503</v>
      </c>
      <c r="AH118" s="53">
        <v>0.3336689814814815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 s="66">
        <f t="shared" si="107"/>
        <v>44.773799999999994</v>
      </c>
      <c r="AW118">
        <v>4</v>
      </c>
      <c r="AX118" t="s">
        <v>7</v>
      </c>
      <c r="AY118">
        <v>38016</v>
      </c>
      <c r="AZ118">
        <v>96</v>
      </c>
      <c r="BA118">
        <v>2</v>
      </c>
      <c r="BB118">
        <v>8</v>
      </c>
      <c r="BC118">
        <v>1128.42</v>
      </c>
      <c r="BD118" s="61">
        <v>32.460999999999999</v>
      </c>
      <c r="BE118" s="27">
        <v>45493</v>
      </c>
      <c r="BF118" s="53">
        <v>0.61349537037037039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 s="8">
        <f t="shared" si="116"/>
        <v>32.510400000000004</v>
      </c>
      <c r="BU118">
        <v>362</v>
      </c>
      <c r="BV118" t="s">
        <v>70</v>
      </c>
      <c r="BW118">
        <v>35968</v>
      </c>
      <c r="BX118">
        <v>96</v>
      </c>
      <c r="BY118">
        <v>1</v>
      </c>
      <c r="BZ118">
        <v>16</v>
      </c>
      <c r="CA118">
        <v>783.81</v>
      </c>
      <c r="CB118">
        <v>39.685000000000002</v>
      </c>
      <c r="CQ118" s="54">
        <f t="shared" si="117"/>
        <v>39.658833333333334</v>
      </c>
    </row>
    <row r="119" spans="1:95">
      <c r="A119">
        <v>0</v>
      </c>
      <c r="B119" t="s">
        <v>7</v>
      </c>
      <c r="C119">
        <v>40128</v>
      </c>
      <c r="D119">
        <v>96</v>
      </c>
      <c r="E119">
        <v>2</v>
      </c>
      <c r="F119">
        <v>8</v>
      </c>
      <c r="G119" s="1">
        <v>1177.6300000000001</v>
      </c>
      <c r="H119" s="59">
        <v>36.582000000000001</v>
      </c>
      <c r="I119" s="27">
        <v>45483</v>
      </c>
      <c r="J119" s="53">
        <v>1.1527777777777777E-2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 s="66">
        <f t="shared" ref="W119" si="172">AVERAGE(H119:H123)</f>
        <v>36.089600000000004</v>
      </c>
      <c r="Y119">
        <v>0</v>
      </c>
      <c r="Z119" t="s">
        <v>7</v>
      </c>
      <c r="AA119">
        <v>40128</v>
      </c>
      <c r="AB119">
        <v>96</v>
      </c>
      <c r="AC119">
        <v>2</v>
      </c>
      <c r="AD119">
        <v>8</v>
      </c>
      <c r="AE119" s="1">
        <v>954.3</v>
      </c>
      <c r="AF119" s="48">
        <v>45.143000000000001</v>
      </c>
      <c r="AG119" s="27">
        <v>45500</v>
      </c>
      <c r="AH119" s="53">
        <v>0.10775462962962963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 s="66">
        <f t="shared" ref="AU119" si="173">AVERAGE(AF119:AF123)</f>
        <v>45.105199999999996</v>
      </c>
      <c r="AW119">
        <v>0</v>
      </c>
      <c r="AX119" t="s">
        <v>7</v>
      </c>
      <c r="AY119">
        <v>40128</v>
      </c>
      <c r="AZ119">
        <v>96</v>
      </c>
      <c r="BA119">
        <v>2</v>
      </c>
      <c r="BB119">
        <v>8</v>
      </c>
      <c r="BC119">
        <v>1297.22</v>
      </c>
      <c r="BD119" s="61">
        <v>33.209000000000003</v>
      </c>
      <c r="BE119" s="27">
        <v>45489</v>
      </c>
      <c r="BF119" s="53">
        <v>0.3429976851851852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 s="8">
        <f t="shared" ref="BS119" si="174">AVERAGE(BD119:BD123)</f>
        <v>33.215800000000002</v>
      </c>
      <c r="BU119">
        <v>31</v>
      </c>
      <c r="BV119" t="s">
        <v>70</v>
      </c>
      <c r="BW119">
        <v>38144</v>
      </c>
      <c r="BX119">
        <v>96</v>
      </c>
      <c r="BY119">
        <v>1</v>
      </c>
      <c r="BZ119">
        <v>16</v>
      </c>
      <c r="CA119">
        <v>917.04</v>
      </c>
      <c r="CB119">
        <v>40.247</v>
      </c>
      <c r="CQ119" s="54">
        <f t="shared" ref="CQ119" si="175">AVERAGE(CB119:CB124)</f>
        <v>40.193333333333335</v>
      </c>
    </row>
    <row r="120" spans="1:95">
      <c r="A120">
        <v>1</v>
      </c>
      <c r="B120" t="s">
        <v>7</v>
      </c>
      <c r="C120">
        <v>40128</v>
      </c>
      <c r="D120">
        <v>96</v>
      </c>
      <c r="E120">
        <v>2</v>
      </c>
      <c r="F120">
        <v>8</v>
      </c>
      <c r="G120">
        <v>1185.8599999999999</v>
      </c>
      <c r="H120" s="59">
        <v>36.328000000000003</v>
      </c>
      <c r="I120" s="27">
        <v>45483</v>
      </c>
      <c r="J120" s="53">
        <v>0.8765856481481481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 s="66">
        <f t="shared" ref="W120" si="176">W119</f>
        <v>36.089600000000004</v>
      </c>
      <c r="Y120">
        <v>1</v>
      </c>
      <c r="Z120" t="s">
        <v>7</v>
      </c>
      <c r="AA120">
        <v>40128</v>
      </c>
      <c r="AB120">
        <v>96</v>
      </c>
      <c r="AC120">
        <v>2</v>
      </c>
      <c r="AD120">
        <v>8</v>
      </c>
      <c r="AE120">
        <v>953.33</v>
      </c>
      <c r="AF120" s="48">
        <v>45.189</v>
      </c>
      <c r="AG120" s="27">
        <v>45501</v>
      </c>
      <c r="AH120" s="53">
        <v>0.22972222222222222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 s="66">
        <f t="shared" ref="AU120" si="177">AU119</f>
        <v>45.105199999999996</v>
      </c>
      <c r="AW120">
        <v>1</v>
      </c>
      <c r="AX120" t="s">
        <v>7</v>
      </c>
      <c r="AY120">
        <v>40128</v>
      </c>
      <c r="AZ120">
        <v>96</v>
      </c>
      <c r="BA120">
        <v>2</v>
      </c>
      <c r="BB120">
        <v>8</v>
      </c>
      <c r="BC120">
        <v>1295.1300000000001</v>
      </c>
      <c r="BD120" s="61">
        <v>33.262999999999998</v>
      </c>
      <c r="BE120" s="27">
        <v>45490</v>
      </c>
      <c r="BF120" s="53">
        <v>0.73631944444444442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 s="8">
        <f t="shared" ref="BS120" si="178">BS119</f>
        <v>33.215800000000002</v>
      </c>
      <c r="BU120">
        <v>102</v>
      </c>
      <c r="BV120" t="s">
        <v>70</v>
      </c>
      <c r="BW120">
        <v>38144</v>
      </c>
      <c r="BX120">
        <v>96</v>
      </c>
      <c r="BY120">
        <v>1</v>
      </c>
      <c r="BZ120">
        <v>16</v>
      </c>
      <c r="CA120">
        <v>917.6</v>
      </c>
      <c r="CB120">
        <v>40.222000000000001</v>
      </c>
      <c r="CQ120" s="54">
        <f t="shared" ref="CQ120" si="179">CQ119</f>
        <v>40.193333333333335</v>
      </c>
    </row>
    <row r="121" spans="1:95">
      <c r="A121">
        <v>2</v>
      </c>
      <c r="B121" t="s">
        <v>7</v>
      </c>
      <c r="C121">
        <v>40128</v>
      </c>
      <c r="D121">
        <v>96</v>
      </c>
      <c r="E121">
        <v>2</v>
      </c>
      <c r="F121">
        <v>8</v>
      </c>
      <c r="G121">
        <v>1181.3900000000001</v>
      </c>
      <c r="H121" s="59">
        <v>36.466000000000001</v>
      </c>
      <c r="I121" s="27">
        <v>45484</v>
      </c>
      <c r="J121" s="53">
        <v>0.73913194444444441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s="66">
        <f t="shared" si="114"/>
        <v>36.089600000000004</v>
      </c>
      <c r="Y121">
        <v>2</v>
      </c>
      <c r="Z121" t="s">
        <v>7</v>
      </c>
      <c r="AA121">
        <v>40128</v>
      </c>
      <c r="AB121">
        <v>96</v>
      </c>
      <c r="AC121">
        <v>2</v>
      </c>
      <c r="AD121">
        <v>8</v>
      </c>
      <c r="AE121">
        <v>953.6</v>
      </c>
      <c r="AF121" s="48">
        <v>45.176000000000002</v>
      </c>
      <c r="AG121" s="27">
        <v>45502</v>
      </c>
      <c r="AH121" s="53">
        <v>2.4409722222222222E-2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 s="66">
        <f t="shared" si="107"/>
        <v>45.105199999999996</v>
      </c>
      <c r="AW121">
        <v>2</v>
      </c>
      <c r="AX121" t="s">
        <v>7</v>
      </c>
      <c r="AY121">
        <v>40128</v>
      </c>
      <c r="AZ121">
        <v>96</v>
      </c>
      <c r="BA121">
        <v>2</v>
      </c>
      <c r="BB121">
        <v>8</v>
      </c>
      <c r="BC121">
        <v>1296.6199999999999</v>
      </c>
      <c r="BD121" s="61">
        <v>33.225000000000001</v>
      </c>
      <c r="BE121" s="27">
        <v>45491</v>
      </c>
      <c r="BF121" s="53">
        <v>0.82202546296296297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 s="8">
        <f t="shared" si="116"/>
        <v>33.215800000000002</v>
      </c>
      <c r="BU121">
        <v>173</v>
      </c>
      <c r="BV121" t="s">
        <v>70</v>
      </c>
      <c r="BW121">
        <v>38144</v>
      </c>
      <c r="BX121">
        <v>96</v>
      </c>
      <c r="BY121">
        <v>1</v>
      </c>
      <c r="BZ121">
        <v>16</v>
      </c>
      <c r="CA121">
        <v>914.39</v>
      </c>
      <c r="CB121">
        <v>40.363</v>
      </c>
      <c r="CQ121" s="54">
        <f t="shared" si="117"/>
        <v>40.193333333333335</v>
      </c>
    </row>
    <row r="122" spans="1:95">
      <c r="A122">
        <v>3</v>
      </c>
      <c r="B122" t="s">
        <v>7</v>
      </c>
      <c r="C122">
        <v>40128</v>
      </c>
      <c r="D122">
        <v>96</v>
      </c>
      <c r="E122">
        <v>2</v>
      </c>
      <c r="F122">
        <v>8</v>
      </c>
      <c r="G122">
        <v>1213.1099999999999</v>
      </c>
      <c r="H122" s="59">
        <v>35.512</v>
      </c>
      <c r="I122" s="27">
        <v>45485</v>
      </c>
      <c r="J122" s="53">
        <v>0.60783564814814817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s="66">
        <f t="shared" si="114"/>
        <v>36.089600000000004</v>
      </c>
      <c r="Y122">
        <v>3</v>
      </c>
      <c r="Z122" t="s">
        <v>7</v>
      </c>
      <c r="AA122">
        <v>40128</v>
      </c>
      <c r="AB122">
        <v>96</v>
      </c>
      <c r="AC122">
        <v>2</v>
      </c>
      <c r="AD122">
        <v>8</v>
      </c>
      <c r="AE122">
        <v>954.89</v>
      </c>
      <c r="AF122" s="48">
        <v>45.115000000000002</v>
      </c>
      <c r="AG122" s="27">
        <v>45502</v>
      </c>
      <c r="AH122" s="53">
        <v>0.81890046296296293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 s="66">
        <f t="shared" si="107"/>
        <v>45.105199999999996</v>
      </c>
      <c r="AW122">
        <v>3</v>
      </c>
      <c r="AX122" t="s">
        <v>7</v>
      </c>
      <c r="AY122">
        <v>40128</v>
      </c>
      <c r="AZ122">
        <v>96</v>
      </c>
      <c r="BA122">
        <v>2</v>
      </c>
      <c r="BB122">
        <v>8</v>
      </c>
      <c r="BC122">
        <v>1297.06</v>
      </c>
      <c r="BD122" s="61">
        <v>33.213999999999999</v>
      </c>
      <c r="BE122" s="27">
        <v>45492</v>
      </c>
      <c r="BF122" s="53">
        <v>0.9074768518518519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 s="8">
        <f t="shared" si="116"/>
        <v>33.215800000000002</v>
      </c>
      <c r="BU122">
        <v>244</v>
      </c>
      <c r="BV122" t="s">
        <v>70</v>
      </c>
      <c r="BW122">
        <v>38144</v>
      </c>
      <c r="BX122">
        <v>96</v>
      </c>
      <c r="BY122">
        <v>1</v>
      </c>
      <c r="BZ122">
        <v>16</v>
      </c>
      <c r="CA122">
        <v>920.42</v>
      </c>
      <c r="CB122">
        <v>40.098999999999997</v>
      </c>
      <c r="CQ122" s="54">
        <f t="shared" si="117"/>
        <v>40.193333333333335</v>
      </c>
    </row>
    <row r="123" spans="1:95">
      <c r="A123">
        <v>4</v>
      </c>
      <c r="B123" t="s">
        <v>7</v>
      </c>
      <c r="C123">
        <v>40128</v>
      </c>
      <c r="D123">
        <v>96</v>
      </c>
      <c r="E123">
        <v>2</v>
      </c>
      <c r="F123">
        <v>8</v>
      </c>
      <c r="G123">
        <v>1211.48</v>
      </c>
      <c r="H123" s="59">
        <v>35.56</v>
      </c>
      <c r="I123" s="27">
        <v>45486</v>
      </c>
      <c r="J123" s="53">
        <v>0.49622685185185184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 s="66">
        <f t="shared" si="114"/>
        <v>36.089600000000004</v>
      </c>
      <c r="Y123">
        <v>4</v>
      </c>
      <c r="Z123" t="s">
        <v>7</v>
      </c>
      <c r="AA123">
        <v>40128</v>
      </c>
      <c r="AB123">
        <v>96</v>
      </c>
      <c r="AC123">
        <v>2</v>
      </c>
      <c r="AD123">
        <v>8</v>
      </c>
      <c r="AE123">
        <v>959.4</v>
      </c>
      <c r="AF123" s="48">
        <v>44.902999999999999</v>
      </c>
      <c r="AG123" s="27">
        <v>45503</v>
      </c>
      <c r="AH123" s="53">
        <v>0.61378472222222225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 s="66">
        <f t="shared" si="107"/>
        <v>45.105199999999996</v>
      </c>
      <c r="AW123">
        <v>4</v>
      </c>
      <c r="AX123" t="s">
        <v>7</v>
      </c>
      <c r="AY123">
        <v>40128</v>
      </c>
      <c r="AZ123">
        <v>96</v>
      </c>
      <c r="BA123">
        <v>2</v>
      </c>
      <c r="BB123">
        <v>8</v>
      </c>
      <c r="BC123">
        <v>1298.83</v>
      </c>
      <c r="BD123" s="61">
        <v>33.167999999999999</v>
      </c>
      <c r="BE123" s="27">
        <v>45493</v>
      </c>
      <c r="BF123" s="53">
        <v>0.99297453703703709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 s="8">
        <f t="shared" si="116"/>
        <v>33.215800000000002</v>
      </c>
      <c r="BU123">
        <v>315</v>
      </c>
      <c r="BV123" t="s">
        <v>70</v>
      </c>
      <c r="BW123">
        <v>38144</v>
      </c>
      <c r="BX123">
        <v>96</v>
      </c>
      <c r="BY123">
        <v>1</v>
      </c>
      <c r="BZ123">
        <v>16</v>
      </c>
      <c r="CA123">
        <v>919.37</v>
      </c>
      <c r="CB123">
        <v>40.145000000000003</v>
      </c>
      <c r="CQ123" s="54">
        <f t="shared" si="117"/>
        <v>40.193333333333335</v>
      </c>
    </row>
    <row r="124" spans="1:95">
      <c r="A124">
        <v>0</v>
      </c>
      <c r="B124" t="s">
        <v>7</v>
      </c>
      <c r="C124">
        <v>36000</v>
      </c>
      <c r="D124">
        <v>96</v>
      </c>
      <c r="E124">
        <v>4</v>
      </c>
      <c r="F124">
        <v>4</v>
      </c>
      <c r="G124" s="1">
        <v>838.56</v>
      </c>
      <c r="H124" s="59">
        <v>37.094999999999999</v>
      </c>
      <c r="I124" s="27">
        <v>45482</v>
      </c>
      <c r="J124" s="53">
        <v>0.45811342592592591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 s="66">
        <f t="shared" ref="W124" si="180">AVERAGE(H124:H128)</f>
        <v>36.658200000000001</v>
      </c>
      <c r="Y124">
        <v>0</v>
      </c>
      <c r="Z124" t="s">
        <v>7</v>
      </c>
      <c r="AA124">
        <v>36000</v>
      </c>
      <c r="AB124">
        <v>96</v>
      </c>
      <c r="AC124">
        <v>4</v>
      </c>
      <c r="AD124">
        <v>4</v>
      </c>
      <c r="AE124">
        <v>745.59</v>
      </c>
      <c r="AF124" s="48">
        <v>41.72</v>
      </c>
      <c r="AG124" s="27">
        <v>45499</v>
      </c>
      <c r="AH124" s="53">
        <v>0.5989930555555556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 s="66">
        <f t="shared" ref="AU124" si="181">AVERAGE(AF124:AF128)</f>
        <v>41.680199999999999</v>
      </c>
      <c r="AW124">
        <v>0</v>
      </c>
      <c r="AX124" t="s">
        <v>7</v>
      </c>
      <c r="AY124">
        <v>36000</v>
      </c>
      <c r="AZ124">
        <v>96</v>
      </c>
      <c r="BA124">
        <v>4</v>
      </c>
      <c r="BB124">
        <v>4</v>
      </c>
      <c r="BC124">
        <v>1057.49</v>
      </c>
      <c r="BD124" s="61">
        <v>29.414999999999999</v>
      </c>
      <c r="BE124" s="27">
        <v>45488</v>
      </c>
      <c r="BF124" s="53">
        <v>0.64621527777777776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 s="8">
        <f t="shared" ref="BS124" si="182">AVERAGE(BD124:BD128)</f>
        <v>29.371799999999997</v>
      </c>
      <c r="BU124">
        <v>386</v>
      </c>
      <c r="BV124" t="s">
        <v>70</v>
      </c>
      <c r="BW124">
        <v>38144</v>
      </c>
      <c r="BX124">
        <v>96</v>
      </c>
      <c r="BY124">
        <v>1</v>
      </c>
      <c r="BZ124">
        <v>16</v>
      </c>
      <c r="CA124">
        <v>920.77</v>
      </c>
      <c r="CB124">
        <v>40.084000000000003</v>
      </c>
      <c r="CQ124" s="54">
        <f t="shared" si="117"/>
        <v>40.193333333333335</v>
      </c>
    </row>
    <row r="125" spans="1:95">
      <c r="A125">
        <v>1</v>
      </c>
      <c r="B125" t="s">
        <v>7</v>
      </c>
      <c r="C125">
        <v>36000</v>
      </c>
      <c r="D125">
        <v>96</v>
      </c>
      <c r="E125">
        <v>4</v>
      </c>
      <c r="F125">
        <v>4</v>
      </c>
      <c r="G125">
        <v>845.67</v>
      </c>
      <c r="H125" s="59">
        <v>36.783000000000001</v>
      </c>
      <c r="I125" s="27">
        <v>45483</v>
      </c>
      <c r="J125" s="53">
        <v>0.31870370370370371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s="66">
        <f t="shared" ref="W125" si="183">W124</f>
        <v>36.658200000000001</v>
      </c>
      <c r="Y125">
        <v>1</v>
      </c>
      <c r="Z125" t="s">
        <v>7</v>
      </c>
      <c r="AA125">
        <v>36000</v>
      </c>
      <c r="AB125">
        <v>96</v>
      </c>
      <c r="AC125">
        <v>4</v>
      </c>
      <c r="AD125">
        <v>4</v>
      </c>
      <c r="AE125" s="1">
        <v>748.23</v>
      </c>
      <c r="AF125" s="48">
        <v>41.573</v>
      </c>
      <c r="AG125" s="27">
        <v>45500</v>
      </c>
      <c r="AH125" s="53">
        <v>0.71965277777777781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 s="66">
        <f t="shared" ref="AU125" si="184">AU124</f>
        <v>41.680199999999999</v>
      </c>
      <c r="AW125">
        <v>1</v>
      </c>
      <c r="AX125" t="s">
        <v>7</v>
      </c>
      <c r="AY125">
        <v>36000</v>
      </c>
      <c r="AZ125">
        <v>96</v>
      </c>
      <c r="BA125">
        <v>4</v>
      </c>
      <c r="BB125">
        <v>4</v>
      </c>
      <c r="BC125">
        <v>1061.1199999999999</v>
      </c>
      <c r="BD125" s="61">
        <v>29.314</v>
      </c>
      <c r="BE125" s="27">
        <v>45490</v>
      </c>
      <c r="BF125" s="53">
        <v>4.0011574074074074E-2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 s="8">
        <f t="shared" ref="BS125" si="185">BS124</f>
        <v>29.371799999999997</v>
      </c>
      <c r="BU125">
        <v>55</v>
      </c>
      <c r="BV125" t="s">
        <v>70</v>
      </c>
      <c r="BW125">
        <v>40320</v>
      </c>
      <c r="BX125">
        <v>96</v>
      </c>
      <c r="BY125">
        <v>1</v>
      </c>
      <c r="BZ125">
        <v>16</v>
      </c>
      <c r="CA125">
        <v>1068.9000000000001</v>
      </c>
      <c r="CB125">
        <v>40.884</v>
      </c>
      <c r="CQ125" s="54">
        <f t="shared" ref="CQ125" si="186">AVERAGE(CB125:CB130)</f>
        <v>40.874333333333333</v>
      </c>
    </row>
    <row r="126" spans="1:95">
      <c r="A126">
        <v>2</v>
      </c>
      <c r="B126" t="s">
        <v>7</v>
      </c>
      <c r="C126">
        <v>36000</v>
      </c>
      <c r="D126">
        <v>96</v>
      </c>
      <c r="E126">
        <v>4</v>
      </c>
      <c r="F126">
        <v>4</v>
      </c>
      <c r="G126">
        <v>843.92</v>
      </c>
      <c r="H126" s="59">
        <v>36.859000000000002</v>
      </c>
      <c r="I126" s="27">
        <v>45484</v>
      </c>
      <c r="J126" s="53">
        <v>0.18359953703703705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s="66">
        <f t="shared" si="114"/>
        <v>36.658200000000001</v>
      </c>
      <c r="Y126">
        <v>2</v>
      </c>
      <c r="Z126" t="s">
        <v>7</v>
      </c>
      <c r="AA126">
        <v>36000</v>
      </c>
      <c r="AB126">
        <v>96</v>
      </c>
      <c r="AC126">
        <v>4</v>
      </c>
      <c r="AD126">
        <v>4</v>
      </c>
      <c r="AE126">
        <v>746.33</v>
      </c>
      <c r="AF126" s="48">
        <v>41.679000000000002</v>
      </c>
      <c r="AG126" s="27">
        <v>45501</v>
      </c>
      <c r="AH126" s="53">
        <v>0.51355324074074071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 s="66">
        <f t="shared" si="107"/>
        <v>41.680199999999999</v>
      </c>
      <c r="AW126">
        <v>2</v>
      </c>
      <c r="AX126" t="s">
        <v>7</v>
      </c>
      <c r="AY126">
        <v>36000</v>
      </c>
      <c r="AZ126">
        <v>96</v>
      </c>
      <c r="BA126">
        <v>4</v>
      </c>
      <c r="BB126">
        <v>4</v>
      </c>
      <c r="BC126">
        <v>1063.92</v>
      </c>
      <c r="BD126" s="61">
        <v>29.236999999999998</v>
      </c>
      <c r="BE126" s="27">
        <v>45491</v>
      </c>
      <c r="BF126" s="53">
        <v>0.1257175925925926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 s="8">
        <f t="shared" si="116"/>
        <v>29.371799999999997</v>
      </c>
      <c r="BU126">
        <v>126</v>
      </c>
      <c r="BV126" t="s">
        <v>70</v>
      </c>
      <c r="BW126">
        <v>40320</v>
      </c>
      <c r="BX126">
        <v>96</v>
      </c>
      <c r="BY126">
        <v>1</v>
      </c>
      <c r="BZ126">
        <v>16</v>
      </c>
      <c r="CA126">
        <v>1067.3399999999999</v>
      </c>
      <c r="CB126">
        <v>40.944000000000003</v>
      </c>
      <c r="CQ126" s="54">
        <f t="shared" ref="CQ126" si="187">CQ125</f>
        <v>40.874333333333333</v>
      </c>
    </row>
    <row r="127" spans="1:95">
      <c r="A127">
        <v>3</v>
      </c>
      <c r="B127" t="s">
        <v>7</v>
      </c>
      <c r="C127">
        <v>36000</v>
      </c>
      <c r="D127">
        <v>96</v>
      </c>
      <c r="E127">
        <v>4</v>
      </c>
      <c r="F127">
        <v>4</v>
      </c>
      <c r="G127">
        <v>842.97</v>
      </c>
      <c r="H127" s="59">
        <v>36.9</v>
      </c>
      <c r="I127" s="27">
        <v>45485</v>
      </c>
      <c r="J127" s="53">
        <v>4.614583333333333E-2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s="66">
        <f t="shared" si="114"/>
        <v>36.658200000000001</v>
      </c>
      <c r="Y127">
        <v>3</v>
      </c>
      <c r="Z127" t="s">
        <v>7</v>
      </c>
      <c r="AA127">
        <v>36000</v>
      </c>
      <c r="AB127">
        <v>96</v>
      </c>
      <c r="AC127">
        <v>4</v>
      </c>
      <c r="AD127">
        <v>4</v>
      </c>
      <c r="AE127">
        <v>747.26</v>
      </c>
      <c r="AF127" s="48">
        <v>41.627000000000002</v>
      </c>
      <c r="AG127" s="27">
        <v>45502</v>
      </c>
      <c r="AH127" s="53">
        <v>0.30857638888888889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 s="66">
        <f t="shared" si="107"/>
        <v>41.680199999999999</v>
      </c>
      <c r="AW127">
        <v>3</v>
      </c>
      <c r="AX127" t="s">
        <v>7</v>
      </c>
      <c r="AY127">
        <v>36000</v>
      </c>
      <c r="AZ127">
        <v>96</v>
      </c>
      <c r="BA127">
        <v>4</v>
      </c>
      <c r="BB127">
        <v>4</v>
      </c>
      <c r="BC127">
        <v>1061.01</v>
      </c>
      <c r="BD127" s="61">
        <v>29.317</v>
      </c>
      <c r="BE127" s="27">
        <v>45492</v>
      </c>
      <c r="BF127" s="53">
        <v>0.21054398148148148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 s="8">
        <f t="shared" si="116"/>
        <v>29.371799999999997</v>
      </c>
      <c r="BU127">
        <v>197</v>
      </c>
      <c r="BV127" t="s">
        <v>70</v>
      </c>
      <c r="BW127">
        <v>40320</v>
      </c>
      <c r="BX127">
        <v>96</v>
      </c>
      <c r="BY127">
        <v>1</v>
      </c>
      <c r="BZ127">
        <v>16</v>
      </c>
      <c r="CA127">
        <v>1067.18</v>
      </c>
      <c r="CB127">
        <v>40.950000000000003</v>
      </c>
      <c r="CQ127" s="54">
        <f t="shared" si="117"/>
        <v>40.874333333333333</v>
      </c>
    </row>
    <row r="128" spans="1:95">
      <c r="A128">
        <v>4</v>
      </c>
      <c r="B128" t="s">
        <v>7</v>
      </c>
      <c r="C128">
        <v>36000</v>
      </c>
      <c r="D128">
        <v>96</v>
      </c>
      <c r="E128">
        <v>4</v>
      </c>
      <c r="F128">
        <v>4</v>
      </c>
      <c r="G128">
        <v>872.44</v>
      </c>
      <c r="H128" s="59">
        <v>35.654000000000003</v>
      </c>
      <c r="I128" s="27">
        <v>45485</v>
      </c>
      <c r="J128" s="53">
        <v>0.92391203703703706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66">
        <f t="shared" si="114"/>
        <v>36.658200000000001</v>
      </c>
      <c r="Y128">
        <v>4</v>
      </c>
      <c r="Z128" t="s">
        <v>7</v>
      </c>
      <c r="AA128">
        <v>36000</v>
      </c>
      <c r="AB128">
        <v>96</v>
      </c>
      <c r="AC128">
        <v>4</v>
      </c>
      <c r="AD128">
        <v>4</v>
      </c>
      <c r="AE128">
        <v>744.13</v>
      </c>
      <c r="AF128" s="48">
        <v>41.802</v>
      </c>
      <c r="AG128" s="27">
        <v>45503</v>
      </c>
      <c r="AH128" s="53">
        <v>0.10336805555555556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 s="66">
        <f t="shared" si="107"/>
        <v>41.680199999999999</v>
      </c>
      <c r="AW128">
        <v>4</v>
      </c>
      <c r="AX128" t="s">
        <v>7</v>
      </c>
      <c r="AY128">
        <v>36000</v>
      </c>
      <c r="AZ128">
        <v>96</v>
      </c>
      <c r="BA128">
        <v>4</v>
      </c>
      <c r="BB128">
        <v>4</v>
      </c>
      <c r="BC128">
        <v>1051.72</v>
      </c>
      <c r="BD128" s="61">
        <v>29.576000000000001</v>
      </c>
      <c r="BE128" s="27">
        <v>45493</v>
      </c>
      <c r="BF128" s="53">
        <v>0.29592592592592593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 s="8">
        <f t="shared" si="116"/>
        <v>29.371799999999997</v>
      </c>
      <c r="BU128">
        <v>268</v>
      </c>
      <c r="BV128" t="s">
        <v>70</v>
      </c>
      <c r="BW128">
        <v>40320</v>
      </c>
      <c r="BX128">
        <v>96</v>
      </c>
      <c r="BY128">
        <v>1</v>
      </c>
      <c r="BZ128">
        <v>16</v>
      </c>
      <c r="CA128">
        <v>1068.25</v>
      </c>
      <c r="CB128">
        <v>40.908999999999999</v>
      </c>
      <c r="CQ128" s="54">
        <f t="shared" si="117"/>
        <v>40.874333333333333</v>
      </c>
    </row>
    <row r="129" spans="1:95">
      <c r="A129">
        <v>0</v>
      </c>
      <c r="B129" t="s">
        <v>7</v>
      </c>
      <c r="C129">
        <v>38016</v>
      </c>
      <c r="D129">
        <v>96</v>
      </c>
      <c r="E129">
        <v>4</v>
      </c>
      <c r="F129">
        <v>4</v>
      </c>
      <c r="G129" s="1">
        <v>985.85</v>
      </c>
      <c r="H129" s="59">
        <v>37.155000000000001</v>
      </c>
      <c r="I129" s="27">
        <v>45482</v>
      </c>
      <c r="J129" s="53">
        <v>0.72056712962962965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s="66">
        <f t="shared" ref="W129" si="188">AVERAGE(H129:H133)</f>
        <v>36.874200000000002</v>
      </c>
      <c r="Y129">
        <v>0</v>
      </c>
      <c r="Z129" t="s">
        <v>7</v>
      </c>
      <c r="AA129">
        <v>38016</v>
      </c>
      <c r="AB129">
        <v>96</v>
      </c>
      <c r="AC129">
        <v>4</v>
      </c>
      <c r="AD129">
        <v>4</v>
      </c>
      <c r="AE129">
        <v>868.46</v>
      </c>
      <c r="AF129" s="48">
        <v>42.177999999999997</v>
      </c>
      <c r="AG129" s="27">
        <v>45499</v>
      </c>
      <c r="AH129" s="53">
        <v>0.83930555555555553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 s="66">
        <f t="shared" ref="AU129" si="189">AVERAGE(AF129:AF133)</f>
        <v>42.063000000000002</v>
      </c>
      <c r="AW129">
        <v>0</v>
      </c>
      <c r="AX129" t="s">
        <v>7</v>
      </c>
      <c r="AY129">
        <v>38016</v>
      </c>
      <c r="AZ129">
        <v>96</v>
      </c>
      <c r="BA129">
        <v>4</v>
      </c>
      <c r="BB129">
        <v>4</v>
      </c>
      <c r="BC129">
        <v>1212.49</v>
      </c>
      <c r="BD129" s="61">
        <v>30.21</v>
      </c>
      <c r="BE129" s="27">
        <v>45488</v>
      </c>
      <c r="BF129" s="53">
        <v>0.97842592592592592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 s="8">
        <f t="shared" ref="BS129" si="190">AVERAGE(BD129:BD133)</f>
        <v>30.160200000000003</v>
      </c>
      <c r="BU129">
        <v>339</v>
      </c>
      <c r="BV129" t="s">
        <v>70</v>
      </c>
      <c r="BW129">
        <v>40320</v>
      </c>
      <c r="BX129">
        <v>96</v>
      </c>
      <c r="BY129">
        <v>1</v>
      </c>
      <c r="BZ129">
        <v>16</v>
      </c>
      <c r="CA129">
        <v>1065.95</v>
      </c>
      <c r="CB129">
        <v>40.997999999999998</v>
      </c>
      <c r="CQ129" s="54">
        <f t="shared" si="117"/>
        <v>40.874333333333333</v>
      </c>
    </row>
    <row r="130" spans="1:95">
      <c r="A130">
        <v>1</v>
      </c>
      <c r="B130" t="s">
        <v>7</v>
      </c>
      <c r="C130">
        <v>38016</v>
      </c>
      <c r="D130">
        <v>96</v>
      </c>
      <c r="E130">
        <v>4</v>
      </c>
      <c r="F130">
        <v>4</v>
      </c>
      <c r="G130">
        <v>990.74</v>
      </c>
      <c r="H130" s="59">
        <v>36.972000000000001</v>
      </c>
      <c r="I130" s="27">
        <v>45483</v>
      </c>
      <c r="J130" s="53">
        <v>0.58403935185185185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 s="66">
        <f t="shared" ref="W130" si="191">W129</f>
        <v>36.874200000000002</v>
      </c>
      <c r="Y130">
        <v>1</v>
      </c>
      <c r="Z130" t="s">
        <v>7</v>
      </c>
      <c r="AA130">
        <v>38016</v>
      </c>
      <c r="AB130">
        <v>96</v>
      </c>
      <c r="AC130">
        <v>4</v>
      </c>
      <c r="AD130">
        <v>4</v>
      </c>
      <c r="AE130">
        <v>870.94</v>
      </c>
      <c r="AF130" s="48">
        <v>42.058</v>
      </c>
      <c r="AG130" s="27">
        <v>45500</v>
      </c>
      <c r="AH130" s="53">
        <v>0.96083333333333332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 s="66">
        <f t="shared" ref="AU130" si="192">AU129</f>
        <v>42.063000000000002</v>
      </c>
      <c r="AW130">
        <v>1</v>
      </c>
      <c r="AX130" t="s">
        <v>7</v>
      </c>
      <c r="AY130">
        <v>38016</v>
      </c>
      <c r="AZ130">
        <v>96</v>
      </c>
      <c r="BA130">
        <v>4</v>
      </c>
      <c r="BB130">
        <v>4</v>
      </c>
      <c r="BC130">
        <v>1214.27</v>
      </c>
      <c r="BD130" s="61">
        <v>30.166</v>
      </c>
      <c r="BE130" s="27">
        <v>45490</v>
      </c>
      <c r="BF130" s="53">
        <v>0.37190972222222224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 s="8">
        <f t="shared" ref="BS130" si="193">BS129</f>
        <v>30.160200000000003</v>
      </c>
      <c r="BU130">
        <v>410</v>
      </c>
      <c r="BV130" t="s">
        <v>70</v>
      </c>
      <c r="BW130">
        <v>40320</v>
      </c>
      <c r="BX130">
        <v>96</v>
      </c>
      <c r="BY130">
        <v>1</v>
      </c>
      <c r="BZ130">
        <v>16</v>
      </c>
      <c r="CA130">
        <v>1077.42</v>
      </c>
      <c r="CB130">
        <v>40.561</v>
      </c>
      <c r="CQ130" s="54">
        <f t="shared" si="117"/>
        <v>40.874333333333333</v>
      </c>
    </row>
    <row r="131" spans="1:95">
      <c r="A131">
        <v>2</v>
      </c>
      <c r="B131" t="s">
        <v>7</v>
      </c>
      <c r="C131">
        <v>38016</v>
      </c>
      <c r="D131">
        <v>96</v>
      </c>
      <c r="E131">
        <v>4</v>
      </c>
      <c r="F131">
        <v>4</v>
      </c>
      <c r="G131">
        <v>1000.62</v>
      </c>
      <c r="H131" s="59">
        <v>36.606999999999999</v>
      </c>
      <c r="I131" s="27">
        <v>45484</v>
      </c>
      <c r="J131" s="53">
        <v>0.44668981481481479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s="66">
        <f t="shared" si="114"/>
        <v>36.874200000000002</v>
      </c>
      <c r="Y131">
        <v>2</v>
      </c>
      <c r="Z131" t="s">
        <v>7</v>
      </c>
      <c r="AA131">
        <v>38016</v>
      </c>
      <c r="AB131">
        <v>96</v>
      </c>
      <c r="AC131">
        <v>4</v>
      </c>
      <c r="AD131">
        <v>4</v>
      </c>
      <c r="AE131">
        <v>870.27</v>
      </c>
      <c r="AF131" s="48">
        <v>42.09</v>
      </c>
      <c r="AG131" s="27">
        <v>45501</v>
      </c>
      <c r="AH131" s="53">
        <v>0.75491898148148151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 s="66">
        <f t="shared" si="107"/>
        <v>42.063000000000002</v>
      </c>
      <c r="AW131">
        <v>2</v>
      </c>
      <c r="AX131" t="s">
        <v>7</v>
      </c>
      <c r="AY131">
        <v>38016</v>
      </c>
      <c r="AZ131">
        <v>96</v>
      </c>
      <c r="BA131">
        <v>4</v>
      </c>
      <c r="BB131">
        <v>4</v>
      </c>
      <c r="BC131">
        <v>1215.75</v>
      </c>
      <c r="BD131" s="61">
        <v>30.129000000000001</v>
      </c>
      <c r="BE131" s="27">
        <v>45491</v>
      </c>
      <c r="BF131" s="53">
        <v>0.45782407407407405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 s="8">
        <f t="shared" si="116"/>
        <v>30.160200000000003</v>
      </c>
      <c r="BU131">
        <v>8</v>
      </c>
      <c r="BV131" t="s">
        <v>70</v>
      </c>
      <c r="BW131">
        <v>35968</v>
      </c>
      <c r="BX131">
        <v>96</v>
      </c>
      <c r="BY131">
        <v>2</v>
      </c>
      <c r="BZ131">
        <v>8</v>
      </c>
      <c r="CA131">
        <v>762.56</v>
      </c>
      <c r="CB131">
        <v>40.790999999999997</v>
      </c>
      <c r="CQ131" s="54">
        <f t="shared" ref="CQ131" si="194">AVERAGE(CB131:CB136)</f>
        <v>40.8095</v>
      </c>
    </row>
    <row r="132" spans="1:95">
      <c r="A132">
        <v>3</v>
      </c>
      <c r="B132" t="s">
        <v>7</v>
      </c>
      <c r="C132">
        <v>38016</v>
      </c>
      <c r="D132">
        <v>96</v>
      </c>
      <c r="E132">
        <v>4</v>
      </c>
      <c r="F132">
        <v>4</v>
      </c>
      <c r="G132">
        <v>989.87</v>
      </c>
      <c r="H132" s="59">
        <v>37.005000000000003</v>
      </c>
      <c r="I132" s="27">
        <v>45485</v>
      </c>
      <c r="J132" s="53">
        <v>0.30928240740740742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s="66">
        <f t="shared" si="114"/>
        <v>36.874200000000002</v>
      </c>
      <c r="Y132">
        <v>3</v>
      </c>
      <c r="Z132" t="s">
        <v>7</v>
      </c>
      <c r="AA132">
        <v>38016</v>
      </c>
      <c r="AB132">
        <v>96</v>
      </c>
      <c r="AC132">
        <v>4</v>
      </c>
      <c r="AD132">
        <v>4</v>
      </c>
      <c r="AE132">
        <v>872.77</v>
      </c>
      <c r="AF132" s="48">
        <v>41.97</v>
      </c>
      <c r="AG132" s="27">
        <v>45502</v>
      </c>
      <c r="AH132" s="53">
        <v>0.54946759259259259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 s="66">
        <f t="shared" si="107"/>
        <v>42.063000000000002</v>
      </c>
      <c r="AW132">
        <v>3</v>
      </c>
      <c r="AX132" t="s">
        <v>7</v>
      </c>
      <c r="AY132">
        <v>38016</v>
      </c>
      <c r="AZ132">
        <v>96</v>
      </c>
      <c r="BA132">
        <v>4</v>
      </c>
      <c r="BB132">
        <v>4</v>
      </c>
      <c r="BC132">
        <v>1215.8699999999999</v>
      </c>
      <c r="BD132" s="61">
        <v>30.126000000000001</v>
      </c>
      <c r="BE132" s="27">
        <v>45492</v>
      </c>
      <c r="BF132" s="53">
        <v>0.54288194444444449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 s="8">
        <f t="shared" si="116"/>
        <v>30.160200000000003</v>
      </c>
      <c r="BU132">
        <v>79</v>
      </c>
      <c r="BV132" t="s">
        <v>70</v>
      </c>
      <c r="BW132">
        <v>35968</v>
      </c>
      <c r="BX132">
        <v>96</v>
      </c>
      <c r="BY132">
        <v>2</v>
      </c>
      <c r="BZ132">
        <v>8</v>
      </c>
      <c r="CA132">
        <v>762.39</v>
      </c>
      <c r="CB132">
        <v>40.801000000000002</v>
      </c>
      <c r="CQ132" s="54">
        <f t="shared" ref="CQ132" si="195">CQ131</f>
        <v>40.8095</v>
      </c>
    </row>
    <row r="133" spans="1:95">
      <c r="A133">
        <v>4</v>
      </c>
      <c r="B133" t="s">
        <v>7</v>
      </c>
      <c r="C133">
        <v>38016</v>
      </c>
      <c r="D133">
        <v>96</v>
      </c>
      <c r="E133">
        <v>4</v>
      </c>
      <c r="F133">
        <v>4</v>
      </c>
      <c r="G133">
        <v>999.95</v>
      </c>
      <c r="H133" s="59">
        <v>36.631999999999998</v>
      </c>
      <c r="I133" s="27">
        <v>45486</v>
      </c>
      <c r="J133" s="53">
        <v>0.19501157407407407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s="66">
        <f t="shared" si="114"/>
        <v>36.874200000000002</v>
      </c>
      <c r="Y133">
        <v>4</v>
      </c>
      <c r="Z133" t="s">
        <v>7</v>
      </c>
      <c r="AA133">
        <v>38016</v>
      </c>
      <c r="AB133">
        <v>96</v>
      </c>
      <c r="AC133">
        <v>4</v>
      </c>
      <c r="AD133">
        <v>4</v>
      </c>
      <c r="AE133" s="1">
        <v>871.73</v>
      </c>
      <c r="AF133" s="48">
        <v>42.018999999999998</v>
      </c>
      <c r="AG133" s="27">
        <v>45503</v>
      </c>
      <c r="AH133" s="53">
        <v>0.3440509259259259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 s="66">
        <f t="shared" si="107"/>
        <v>42.063000000000002</v>
      </c>
      <c r="AW133">
        <v>4</v>
      </c>
      <c r="AX133" t="s">
        <v>7</v>
      </c>
      <c r="AY133">
        <v>38016</v>
      </c>
      <c r="AZ133">
        <v>96</v>
      </c>
      <c r="BA133">
        <v>4</v>
      </c>
      <c r="BB133">
        <v>4</v>
      </c>
      <c r="BC133">
        <v>1214.0899999999999</v>
      </c>
      <c r="BD133" s="61">
        <v>30.17</v>
      </c>
      <c r="BE133" s="27">
        <v>45493</v>
      </c>
      <c r="BF133" s="53">
        <v>0.62842592592592594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 s="8">
        <f t="shared" si="116"/>
        <v>30.160200000000003</v>
      </c>
      <c r="BU133">
        <v>150</v>
      </c>
      <c r="BV133" t="s">
        <v>70</v>
      </c>
      <c r="BW133">
        <v>35968</v>
      </c>
      <c r="BX133">
        <v>96</v>
      </c>
      <c r="BY133">
        <v>2</v>
      </c>
      <c r="BZ133">
        <v>8</v>
      </c>
      <c r="CA133">
        <v>759.17</v>
      </c>
      <c r="CB133">
        <v>40.973999999999997</v>
      </c>
      <c r="CQ133" s="54">
        <f t="shared" si="117"/>
        <v>40.8095</v>
      </c>
    </row>
    <row r="134" spans="1:95">
      <c r="A134">
        <v>0</v>
      </c>
      <c r="B134" t="s">
        <v>7</v>
      </c>
      <c r="C134">
        <v>40128</v>
      </c>
      <c r="D134">
        <v>96</v>
      </c>
      <c r="E134">
        <v>4</v>
      </c>
      <c r="F134">
        <v>4</v>
      </c>
      <c r="G134" s="1">
        <v>1144.0899999999999</v>
      </c>
      <c r="H134" s="59">
        <v>37.654000000000003</v>
      </c>
      <c r="I134" s="27">
        <v>45483</v>
      </c>
      <c r="J134" s="53">
        <v>2.5069444444444443E-2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s="66">
        <f t="shared" ref="W134" si="196">AVERAGE(H134:H138)</f>
        <v>37.1494</v>
      </c>
      <c r="Y134">
        <v>0</v>
      </c>
      <c r="Z134" t="s">
        <v>7</v>
      </c>
      <c r="AA134">
        <v>40128</v>
      </c>
      <c r="AB134">
        <v>96</v>
      </c>
      <c r="AC134">
        <v>4</v>
      </c>
      <c r="AD134">
        <v>4</v>
      </c>
      <c r="AE134">
        <v>1013.92</v>
      </c>
      <c r="AF134" s="48">
        <v>42.488</v>
      </c>
      <c r="AG134" s="27">
        <v>45500</v>
      </c>
      <c r="AH134" s="53">
        <v>0.11981481481481482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 s="66">
        <f t="shared" ref="AU134" si="197">AVERAGE(AF134:AF138)</f>
        <v>42.409199999999998</v>
      </c>
      <c r="AW134">
        <v>0</v>
      </c>
      <c r="AX134" t="s">
        <v>7</v>
      </c>
      <c r="AY134">
        <v>40128</v>
      </c>
      <c r="AZ134">
        <v>96</v>
      </c>
      <c r="BA134">
        <v>4</v>
      </c>
      <c r="BB134">
        <v>4</v>
      </c>
      <c r="BC134">
        <v>1373.7</v>
      </c>
      <c r="BD134" s="61">
        <v>31.361000000000001</v>
      </c>
      <c r="BE134" s="27">
        <v>45489</v>
      </c>
      <c r="BF134" s="53">
        <v>0.35991898148148149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 s="8">
        <f t="shared" ref="BS134" si="198">AVERAGE(BD134:BD138)</f>
        <v>31.068199999999997</v>
      </c>
      <c r="BU134">
        <v>221</v>
      </c>
      <c r="BV134" t="s">
        <v>70</v>
      </c>
      <c r="BW134">
        <v>35968</v>
      </c>
      <c r="BX134">
        <v>96</v>
      </c>
      <c r="BY134">
        <v>2</v>
      </c>
      <c r="BZ134">
        <v>8</v>
      </c>
      <c r="CA134">
        <v>763.09</v>
      </c>
      <c r="CB134">
        <v>40.762999999999998</v>
      </c>
      <c r="CQ134" s="54">
        <f t="shared" si="117"/>
        <v>40.8095</v>
      </c>
    </row>
    <row r="135" spans="1:95">
      <c r="A135">
        <v>1</v>
      </c>
      <c r="B135" t="s">
        <v>7</v>
      </c>
      <c r="C135">
        <v>40128</v>
      </c>
      <c r="D135">
        <v>96</v>
      </c>
      <c r="E135">
        <v>4</v>
      </c>
      <c r="F135">
        <v>4</v>
      </c>
      <c r="G135">
        <v>1149.28</v>
      </c>
      <c r="H135" s="59">
        <v>37.484000000000002</v>
      </c>
      <c r="I135" s="27">
        <v>45483</v>
      </c>
      <c r="J135" s="53">
        <v>0.89018518518518519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 s="66">
        <f t="shared" ref="W135" si="199">W134</f>
        <v>37.1494</v>
      </c>
      <c r="Y135">
        <v>1</v>
      </c>
      <c r="Z135" t="s">
        <v>7</v>
      </c>
      <c r="AA135">
        <v>40128</v>
      </c>
      <c r="AB135">
        <v>96</v>
      </c>
      <c r="AC135">
        <v>4</v>
      </c>
      <c r="AD135">
        <v>4</v>
      </c>
      <c r="AE135">
        <v>1014.51</v>
      </c>
      <c r="AF135" s="48">
        <v>42.463999999999999</v>
      </c>
      <c r="AG135" s="27">
        <v>45501</v>
      </c>
      <c r="AH135" s="53">
        <v>0.24178240740740742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 s="66">
        <f t="shared" ref="AU135" si="200">AU134</f>
        <v>42.409199999999998</v>
      </c>
      <c r="AW135">
        <v>1</v>
      </c>
      <c r="AX135" t="s">
        <v>7</v>
      </c>
      <c r="AY135">
        <v>40128</v>
      </c>
      <c r="AZ135">
        <v>96</v>
      </c>
      <c r="BA135">
        <v>4</v>
      </c>
      <c r="BB135">
        <v>4</v>
      </c>
      <c r="BC135">
        <v>1386.05</v>
      </c>
      <c r="BD135" s="61">
        <v>31.081</v>
      </c>
      <c r="BE135" s="27">
        <v>45490</v>
      </c>
      <c r="BF135" s="53">
        <v>0.75334490740740745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 s="8">
        <f t="shared" ref="BS135" si="201">BS134</f>
        <v>31.068199999999997</v>
      </c>
      <c r="BU135">
        <v>292</v>
      </c>
      <c r="BV135" t="s">
        <v>70</v>
      </c>
      <c r="BW135">
        <v>35968</v>
      </c>
      <c r="BX135">
        <v>96</v>
      </c>
      <c r="BY135">
        <v>2</v>
      </c>
      <c r="BZ135">
        <v>8</v>
      </c>
      <c r="CA135">
        <v>762.79</v>
      </c>
      <c r="CB135">
        <v>40.779000000000003</v>
      </c>
      <c r="CQ135" s="54">
        <f t="shared" si="117"/>
        <v>40.8095</v>
      </c>
    </row>
    <row r="136" spans="1:95">
      <c r="A136">
        <v>2</v>
      </c>
      <c r="B136" t="s">
        <v>7</v>
      </c>
      <c r="C136">
        <v>40128</v>
      </c>
      <c r="D136">
        <v>96</v>
      </c>
      <c r="E136">
        <v>4</v>
      </c>
      <c r="F136">
        <v>4</v>
      </c>
      <c r="G136">
        <v>1148.54</v>
      </c>
      <c r="H136" s="59">
        <v>37.509</v>
      </c>
      <c r="I136" s="27">
        <v>45484</v>
      </c>
      <c r="J136" s="53">
        <v>0.7527314814814815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s="66">
        <f t="shared" si="114"/>
        <v>37.1494</v>
      </c>
      <c r="Y136">
        <v>2</v>
      </c>
      <c r="Z136" t="s">
        <v>7</v>
      </c>
      <c r="AA136">
        <v>40128</v>
      </c>
      <c r="AB136">
        <v>96</v>
      </c>
      <c r="AC136">
        <v>4</v>
      </c>
      <c r="AD136">
        <v>4</v>
      </c>
      <c r="AE136" s="1">
        <v>1015.69</v>
      </c>
      <c r="AF136" s="48">
        <v>42.414999999999999</v>
      </c>
      <c r="AG136" s="27">
        <v>45502</v>
      </c>
      <c r="AH136" s="53">
        <v>3.6469907407407409E-2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 s="66">
        <f t="shared" si="107"/>
        <v>42.409199999999998</v>
      </c>
      <c r="AW136">
        <v>2</v>
      </c>
      <c r="AX136" t="s">
        <v>7</v>
      </c>
      <c r="AY136">
        <v>40128</v>
      </c>
      <c r="AZ136">
        <v>96</v>
      </c>
      <c r="BA136">
        <v>4</v>
      </c>
      <c r="BB136">
        <v>4</v>
      </c>
      <c r="BC136">
        <v>1386.73</v>
      </c>
      <c r="BD136" s="61">
        <v>31.065999999999999</v>
      </c>
      <c r="BE136" s="27">
        <v>45491</v>
      </c>
      <c r="BF136" s="53">
        <v>0.83906250000000004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 s="8">
        <f t="shared" si="116"/>
        <v>31.068199999999997</v>
      </c>
      <c r="BU136">
        <v>363</v>
      </c>
      <c r="BV136" t="s">
        <v>70</v>
      </c>
      <c r="BW136">
        <v>35968</v>
      </c>
      <c r="BX136">
        <v>96</v>
      </c>
      <c r="BY136">
        <v>2</v>
      </c>
      <c r="BZ136">
        <v>8</v>
      </c>
      <c r="CA136">
        <v>763.35</v>
      </c>
      <c r="CB136">
        <v>40.749000000000002</v>
      </c>
      <c r="CQ136" s="54">
        <f t="shared" si="117"/>
        <v>40.8095</v>
      </c>
    </row>
    <row r="137" spans="1:95">
      <c r="A137">
        <v>3</v>
      </c>
      <c r="B137" t="s">
        <v>7</v>
      </c>
      <c r="C137">
        <v>40128</v>
      </c>
      <c r="D137">
        <v>96</v>
      </c>
      <c r="E137">
        <v>4</v>
      </c>
      <c r="F137">
        <v>4</v>
      </c>
      <c r="G137">
        <v>1179.6600000000001</v>
      </c>
      <c r="H137" s="59">
        <v>36.518999999999998</v>
      </c>
      <c r="I137" s="27">
        <v>45485</v>
      </c>
      <c r="J137" s="53">
        <v>0.6218055555555555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s="66">
        <f t="shared" si="114"/>
        <v>37.1494</v>
      </c>
      <c r="Y137">
        <v>3</v>
      </c>
      <c r="Z137" t="s">
        <v>7</v>
      </c>
      <c r="AA137">
        <v>40128</v>
      </c>
      <c r="AB137">
        <v>96</v>
      </c>
      <c r="AC137">
        <v>4</v>
      </c>
      <c r="AD137">
        <v>4</v>
      </c>
      <c r="AE137">
        <v>1017.54</v>
      </c>
      <c r="AF137" s="48">
        <v>42.337000000000003</v>
      </c>
      <c r="AG137" s="27">
        <v>45502</v>
      </c>
      <c r="AH137" s="53">
        <v>0.83099537037037041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 s="66">
        <f t="shared" si="107"/>
        <v>42.409199999999998</v>
      </c>
      <c r="AW137">
        <v>3</v>
      </c>
      <c r="AX137" t="s">
        <v>7</v>
      </c>
      <c r="AY137">
        <v>40128</v>
      </c>
      <c r="AZ137">
        <v>96</v>
      </c>
      <c r="BA137">
        <v>4</v>
      </c>
      <c r="BB137">
        <v>4</v>
      </c>
      <c r="BC137">
        <v>1390.41</v>
      </c>
      <c r="BD137" s="61">
        <v>30.984000000000002</v>
      </c>
      <c r="BE137" s="27">
        <v>45492</v>
      </c>
      <c r="BF137" s="53">
        <v>0.92454861111111108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 s="8">
        <f t="shared" si="116"/>
        <v>31.068199999999997</v>
      </c>
      <c r="BU137">
        <v>32</v>
      </c>
      <c r="BV137" t="s">
        <v>70</v>
      </c>
      <c r="BW137">
        <v>38144</v>
      </c>
      <c r="BX137">
        <v>96</v>
      </c>
      <c r="BY137">
        <v>2</v>
      </c>
      <c r="BZ137">
        <v>8</v>
      </c>
      <c r="CA137">
        <v>916.52</v>
      </c>
      <c r="CB137">
        <v>40.270000000000003</v>
      </c>
      <c r="CQ137" s="54">
        <f t="shared" ref="CQ137" si="202">AVERAGE(CB137:CB142)</f>
        <v>41.232833333333339</v>
      </c>
    </row>
    <row r="138" spans="1:95">
      <c r="A138">
        <v>4</v>
      </c>
      <c r="B138" t="s">
        <v>7</v>
      </c>
      <c r="C138">
        <v>40128</v>
      </c>
      <c r="D138">
        <v>96</v>
      </c>
      <c r="E138">
        <v>4</v>
      </c>
      <c r="F138">
        <v>4</v>
      </c>
      <c r="G138">
        <v>1177.67</v>
      </c>
      <c r="H138" s="59">
        <v>36.581000000000003</v>
      </c>
      <c r="I138" s="27">
        <v>45486</v>
      </c>
      <c r="J138" s="53">
        <v>0.51017361111111115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s="66">
        <f t="shared" si="114"/>
        <v>37.1494</v>
      </c>
      <c r="Y138">
        <v>4</v>
      </c>
      <c r="Z138" t="s">
        <v>7</v>
      </c>
      <c r="AA138">
        <v>40128</v>
      </c>
      <c r="AB138">
        <v>96</v>
      </c>
      <c r="AC138">
        <v>4</v>
      </c>
      <c r="AD138">
        <v>4</v>
      </c>
      <c r="AE138">
        <v>1017.43</v>
      </c>
      <c r="AF138" s="48">
        <v>42.341999999999999</v>
      </c>
      <c r="AG138" s="27">
        <v>45503</v>
      </c>
      <c r="AH138" s="53">
        <v>0.62586805555555558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 s="66">
        <f t="shared" si="107"/>
        <v>42.409199999999998</v>
      </c>
      <c r="AW138">
        <v>4</v>
      </c>
      <c r="AX138" t="s">
        <v>7</v>
      </c>
      <c r="AY138">
        <v>40128</v>
      </c>
      <c r="AZ138">
        <v>96</v>
      </c>
      <c r="BA138">
        <v>4</v>
      </c>
      <c r="BB138">
        <v>4</v>
      </c>
      <c r="BC138">
        <v>1396.46</v>
      </c>
      <c r="BD138" s="61">
        <v>30.849</v>
      </c>
      <c r="BE138" s="27">
        <v>45494</v>
      </c>
      <c r="BF138" s="53">
        <v>1.0115740740740741E-2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 s="8">
        <f t="shared" si="116"/>
        <v>31.068199999999997</v>
      </c>
      <c r="BU138">
        <v>103</v>
      </c>
      <c r="BV138" t="s">
        <v>70</v>
      </c>
      <c r="BW138">
        <v>38144</v>
      </c>
      <c r="BX138">
        <v>96</v>
      </c>
      <c r="BY138">
        <v>2</v>
      </c>
      <c r="BZ138">
        <v>8</v>
      </c>
      <c r="CA138">
        <v>894.52</v>
      </c>
      <c r="CB138">
        <v>41.26</v>
      </c>
      <c r="CQ138" s="54">
        <f t="shared" ref="CQ138" si="203">CQ137</f>
        <v>41.232833333333339</v>
      </c>
    </row>
    <row r="139" spans="1:95">
      <c r="A139">
        <v>0</v>
      </c>
      <c r="B139" t="s">
        <v>7</v>
      </c>
      <c r="C139">
        <v>35968</v>
      </c>
      <c r="D139">
        <v>128</v>
      </c>
      <c r="E139">
        <v>1</v>
      </c>
      <c r="F139">
        <v>16</v>
      </c>
      <c r="G139" s="1">
        <v>803.61</v>
      </c>
      <c r="H139" s="59">
        <v>38.603999999999999</v>
      </c>
      <c r="I139" s="27">
        <v>45482</v>
      </c>
      <c r="J139" s="53">
        <v>0.4676851851851852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s="66">
        <f t="shared" ref="W139" si="204">AVERAGE(H139:H143)</f>
        <v>38.288800000000002</v>
      </c>
      <c r="Y139">
        <v>0</v>
      </c>
      <c r="Z139" t="s">
        <v>7</v>
      </c>
      <c r="AA139">
        <v>35968</v>
      </c>
      <c r="AB139">
        <v>128</v>
      </c>
      <c r="AC139">
        <v>1</v>
      </c>
      <c r="AD139">
        <v>16</v>
      </c>
      <c r="AE139">
        <v>727.39</v>
      </c>
      <c r="AF139" s="48">
        <v>42.65</v>
      </c>
      <c r="AG139" s="27">
        <v>45499</v>
      </c>
      <c r="AH139" s="53">
        <v>0.60771990740740744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 s="66">
        <f t="shared" ref="AU139" si="205">AVERAGE(AF139:AF143)</f>
        <v>41.903399999999998</v>
      </c>
      <c r="AW139">
        <v>0</v>
      </c>
      <c r="AX139" t="s">
        <v>7</v>
      </c>
      <c r="AY139">
        <v>35968</v>
      </c>
      <c r="AZ139">
        <v>128</v>
      </c>
      <c r="BA139">
        <v>1</v>
      </c>
      <c r="BB139">
        <v>16</v>
      </c>
      <c r="BC139">
        <v>913.25</v>
      </c>
      <c r="BD139" s="61">
        <v>33.97</v>
      </c>
      <c r="BE139" s="27">
        <v>45488</v>
      </c>
      <c r="BF139" s="53">
        <v>0.65762731481481485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 s="8">
        <f t="shared" ref="BS139" si="206">AVERAGE(BD139:BD143)</f>
        <v>33.742399999999996</v>
      </c>
      <c r="BU139">
        <v>174</v>
      </c>
      <c r="BV139" t="s">
        <v>70</v>
      </c>
      <c r="BW139">
        <v>38144</v>
      </c>
      <c r="BX139">
        <v>96</v>
      </c>
      <c r="BY139">
        <v>2</v>
      </c>
      <c r="BZ139">
        <v>8</v>
      </c>
      <c r="CA139">
        <v>891.87</v>
      </c>
      <c r="CB139">
        <v>41.383000000000003</v>
      </c>
      <c r="CQ139" s="54">
        <f t="shared" si="117"/>
        <v>41.232833333333339</v>
      </c>
    </row>
    <row r="140" spans="1:95">
      <c r="A140">
        <v>1</v>
      </c>
      <c r="B140" t="s">
        <v>7</v>
      </c>
      <c r="C140">
        <v>35968</v>
      </c>
      <c r="D140">
        <v>128</v>
      </c>
      <c r="E140">
        <v>1</v>
      </c>
      <c r="F140">
        <v>16</v>
      </c>
      <c r="G140">
        <v>806.13</v>
      </c>
      <c r="H140" s="59">
        <v>38.484000000000002</v>
      </c>
      <c r="I140" s="27">
        <v>45483</v>
      </c>
      <c r="J140" s="53">
        <v>0.32831018518518518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s="66">
        <f t="shared" ref="W140" si="207">W139</f>
        <v>38.288800000000002</v>
      </c>
      <c r="Y140">
        <v>1</v>
      </c>
      <c r="Z140" t="s">
        <v>7</v>
      </c>
      <c r="AA140">
        <v>35968</v>
      </c>
      <c r="AB140">
        <v>128</v>
      </c>
      <c r="AC140">
        <v>1</v>
      </c>
      <c r="AD140">
        <v>16</v>
      </c>
      <c r="AE140">
        <v>730.44</v>
      </c>
      <c r="AF140" s="48">
        <v>42.472000000000001</v>
      </c>
      <c r="AG140" s="27">
        <v>45500</v>
      </c>
      <c r="AH140" s="53">
        <v>0.72841435185185188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 s="66">
        <f t="shared" ref="AU140:AU203" si="208">AU139</f>
        <v>41.903399999999998</v>
      </c>
      <c r="AW140">
        <v>1</v>
      </c>
      <c r="AX140" t="s">
        <v>7</v>
      </c>
      <c r="AY140">
        <v>35968</v>
      </c>
      <c r="AZ140">
        <v>128</v>
      </c>
      <c r="BA140">
        <v>1</v>
      </c>
      <c r="BB140">
        <v>16</v>
      </c>
      <c r="BC140">
        <v>914.93</v>
      </c>
      <c r="BD140" s="61">
        <v>33.906999999999996</v>
      </c>
      <c r="BE140" s="27">
        <v>45490</v>
      </c>
      <c r="BF140" s="53">
        <v>5.1423611111111114E-2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 s="8">
        <f t="shared" ref="BS140:BS203" si="209">BS139</f>
        <v>33.742399999999996</v>
      </c>
      <c r="BU140">
        <v>245</v>
      </c>
      <c r="BV140" t="s">
        <v>70</v>
      </c>
      <c r="BW140">
        <v>38144</v>
      </c>
      <c r="BX140">
        <v>96</v>
      </c>
      <c r="BY140">
        <v>2</v>
      </c>
      <c r="BZ140">
        <v>8</v>
      </c>
      <c r="CA140">
        <v>889.39</v>
      </c>
      <c r="CB140">
        <v>41.497999999999998</v>
      </c>
      <c r="CQ140" s="54">
        <f t="shared" si="117"/>
        <v>41.232833333333339</v>
      </c>
    </row>
    <row r="141" spans="1:95">
      <c r="A141">
        <v>2</v>
      </c>
      <c r="B141" t="s">
        <v>7</v>
      </c>
      <c r="C141">
        <v>35968</v>
      </c>
      <c r="D141">
        <v>128</v>
      </c>
      <c r="E141">
        <v>1</v>
      </c>
      <c r="F141">
        <v>16</v>
      </c>
      <c r="G141">
        <v>802.04</v>
      </c>
      <c r="H141" s="59">
        <v>38.68</v>
      </c>
      <c r="I141" s="27">
        <v>45484</v>
      </c>
      <c r="J141" s="53">
        <v>0.19314814814814815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s="66">
        <f t="shared" si="114"/>
        <v>38.288800000000002</v>
      </c>
      <c r="Y141">
        <v>2</v>
      </c>
      <c r="Z141" t="s">
        <v>7</v>
      </c>
      <c r="AA141">
        <v>35968</v>
      </c>
      <c r="AB141">
        <v>128</v>
      </c>
      <c r="AC141">
        <v>1</v>
      </c>
      <c r="AD141">
        <v>16</v>
      </c>
      <c r="AE141">
        <v>771.28</v>
      </c>
      <c r="AF141" s="48">
        <v>40.222999999999999</v>
      </c>
      <c r="AG141" s="27">
        <v>45501</v>
      </c>
      <c r="AH141" s="53">
        <v>0.52278935185185182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 s="66">
        <f t="shared" si="208"/>
        <v>41.903399999999998</v>
      </c>
      <c r="AW141">
        <v>2</v>
      </c>
      <c r="AX141" t="s">
        <v>7</v>
      </c>
      <c r="AY141">
        <v>35968</v>
      </c>
      <c r="AZ141">
        <v>128</v>
      </c>
      <c r="BA141">
        <v>1</v>
      </c>
      <c r="BB141">
        <v>16</v>
      </c>
      <c r="BC141">
        <v>922.04</v>
      </c>
      <c r="BD141" s="61">
        <v>33.646000000000001</v>
      </c>
      <c r="BE141" s="27">
        <v>45491</v>
      </c>
      <c r="BF141" s="53">
        <v>0.13719907407407408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 s="8">
        <f t="shared" si="209"/>
        <v>33.742399999999996</v>
      </c>
      <c r="BU141">
        <v>316</v>
      </c>
      <c r="BV141" t="s">
        <v>70</v>
      </c>
      <c r="BW141">
        <v>38144</v>
      </c>
      <c r="BX141">
        <v>96</v>
      </c>
      <c r="BY141">
        <v>2</v>
      </c>
      <c r="BZ141">
        <v>8</v>
      </c>
      <c r="CA141">
        <v>886.99</v>
      </c>
      <c r="CB141">
        <v>41.61</v>
      </c>
      <c r="CQ141" s="54">
        <f t="shared" si="117"/>
        <v>41.232833333333339</v>
      </c>
    </row>
    <row r="142" spans="1:95">
      <c r="A142">
        <v>3</v>
      </c>
      <c r="B142" t="s">
        <v>7</v>
      </c>
      <c r="C142">
        <v>35968</v>
      </c>
      <c r="D142">
        <v>128</v>
      </c>
      <c r="E142">
        <v>1</v>
      </c>
      <c r="F142">
        <v>16</v>
      </c>
      <c r="G142">
        <v>802.56</v>
      </c>
      <c r="H142" s="59">
        <v>38.655000000000001</v>
      </c>
      <c r="I142" s="27">
        <v>45485</v>
      </c>
      <c r="J142" s="53">
        <v>5.5706018518518516E-2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s="66">
        <f t="shared" si="114"/>
        <v>38.288800000000002</v>
      </c>
      <c r="Y142">
        <v>3</v>
      </c>
      <c r="Z142" t="s">
        <v>7</v>
      </c>
      <c r="AA142">
        <v>35968</v>
      </c>
      <c r="AB142">
        <v>128</v>
      </c>
      <c r="AC142">
        <v>1</v>
      </c>
      <c r="AD142">
        <v>16</v>
      </c>
      <c r="AE142" s="1">
        <v>733.53</v>
      </c>
      <c r="AF142" s="48">
        <v>42.292999999999999</v>
      </c>
      <c r="AG142" s="27">
        <v>45502</v>
      </c>
      <c r="AH142" s="53">
        <v>0.31736111111111109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 s="66">
        <f t="shared" si="208"/>
        <v>41.903399999999998</v>
      </c>
      <c r="AW142">
        <v>3</v>
      </c>
      <c r="AX142" t="s">
        <v>7</v>
      </c>
      <c r="AY142">
        <v>35968</v>
      </c>
      <c r="AZ142">
        <v>128</v>
      </c>
      <c r="BA142">
        <v>1</v>
      </c>
      <c r="BB142">
        <v>16</v>
      </c>
      <c r="BC142">
        <v>916.78</v>
      </c>
      <c r="BD142" s="61">
        <v>33.838999999999999</v>
      </c>
      <c r="BE142" s="27">
        <v>45492</v>
      </c>
      <c r="BF142" s="53">
        <v>0.22197916666666667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 s="8">
        <f t="shared" si="209"/>
        <v>33.742399999999996</v>
      </c>
      <c r="BU142">
        <v>387</v>
      </c>
      <c r="BV142" t="s">
        <v>70</v>
      </c>
      <c r="BW142">
        <v>38144</v>
      </c>
      <c r="BX142">
        <v>96</v>
      </c>
      <c r="BY142">
        <v>2</v>
      </c>
      <c r="BZ142">
        <v>8</v>
      </c>
      <c r="CA142">
        <v>892</v>
      </c>
      <c r="CB142">
        <v>41.375999999999998</v>
      </c>
      <c r="CQ142" s="54">
        <f t="shared" si="117"/>
        <v>41.232833333333339</v>
      </c>
    </row>
    <row r="143" spans="1:95">
      <c r="A143">
        <v>4</v>
      </c>
      <c r="B143" t="s">
        <v>7</v>
      </c>
      <c r="C143">
        <v>35968</v>
      </c>
      <c r="D143">
        <v>128</v>
      </c>
      <c r="E143">
        <v>1</v>
      </c>
      <c r="F143">
        <v>16</v>
      </c>
      <c r="G143">
        <v>838</v>
      </c>
      <c r="H143" s="59">
        <v>37.021000000000001</v>
      </c>
      <c r="I143" s="27">
        <v>45485</v>
      </c>
      <c r="J143" s="53">
        <v>0.93388888888888888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 s="66">
        <f t="shared" si="114"/>
        <v>38.288800000000002</v>
      </c>
      <c r="Y143">
        <v>4</v>
      </c>
      <c r="Z143" t="s">
        <v>7</v>
      </c>
      <c r="AA143">
        <v>35968</v>
      </c>
      <c r="AB143">
        <v>128</v>
      </c>
      <c r="AC143">
        <v>1</v>
      </c>
      <c r="AD143">
        <v>16</v>
      </c>
      <c r="AE143">
        <v>740.77</v>
      </c>
      <c r="AF143" s="48">
        <v>41.878999999999998</v>
      </c>
      <c r="AG143" s="27">
        <v>45503</v>
      </c>
      <c r="AH143" s="53">
        <v>0.11224537037037037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 s="66">
        <f t="shared" si="208"/>
        <v>41.903399999999998</v>
      </c>
      <c r="AW143">
        <v>4</v>
      </c>
      <c r="AX143" t="s">
        <v>7</v>
      </c>
      <c r="AY143">
        <v>35968</v>
      </c>
      <c r="AZ143">
        <v>128</v>
      </c>
      <c r="BA143">
        <v>1</v>
      </c>
      <c r="BB143">
        <v>16</v>
      </c>
      <c r="BC143">
        <v>930.23</v>
      </c>
      <c r="BD143" s="61">
        <v>33.35</v>
      </c>
      <c r="BE143" s="27">
        <v>45493</v>
      </c>
      <c r="BF143" s="53">
        <v>0.3075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 s="8">
        <f t="shared" si="209"/>
        <v>33.742399999999996</v>
      </c>
      <c r="BU143">
        <v>56</v>
      </c>
      <c r="BV143" t="s">
        <v>70</v>
      </c>
      <c r="BW143">
        <v>40320</v>
      </c>
      <c r="BX143">
        <v>96</v>
      </c>
      <c r="BY143">
        <v>2</v>
      </c>
      <c r="BZ143">
        <v>8</v>
      </c>
      <c r="CA143">
        <v>1042.48</v>
      </c>
      <c r="CB143">
        <v>41.920999999999999</v>
      </c>
      <c r="CQ143" s="54">
        <f t="shared" ref="CQ143" si="210">AVERAGE(CB143:CB148)</f>
        <v>41.907666666666664</v>
      </c>
    </row>
    <row r="144" spans="1:95">
      <c r="A144">
        <v>0</v>
      </c>
      <c r="B144" t="s">
        <v>7</v>
      </c>
      <c r="C144">
        <v>38016</v>
      </c>
      <c r="D144">
        <v>128</v>
      </c>
      <c r="E144">
        <v>1</v>
      </c>
      <c r="F144">
        <v>16</v>
      </c>
      <c r="G144" s="1">
        <v>940.65</v>
      </c>
      <c r="H144" s="59">
        <v>38.941000000000003</v>
      </c>
      <c r="I144" s="27">
        <v>45482</v>
      </c>
      <c r="J144" s="53">
        <v>0.73174768518518518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 s="66">
        <f t="shared" ref="W144" si="211">AVERAGE(H144:H148)</f>
        <v>38.615200000000002</v>
      </c>
      <c r="Y144">
        <v>0</v>
      </c>
      <c r="Z144" t="s">
        <v>7</v>
      </c>
      <c r="AA144">
        <v>38016</v>
      </c>
      <c r="AB144">
        <v>128</v>
      </c>
      <c r="AC144">
        <v>1</v>
      </c>
      <c r="AD144">
        <v>16</v>
      </c>
      <c r="AE144">
        <v>850.98</v>
      </c>
      <c r="AF144" s="48">
        <v>43.043999999999997</v>
      </c>
      <c r="AG144" s="27">
        <v>45499</v>
      </c>
      <c r="AH144" s="53">
        <v>0.84949074074074071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 s="66">
        <f t="shared" ref="AU144" si="212">AVERAGE(AF144:AF148)</f>
        <v>42.802199999999992</v>
      </c>
      <c r="AW144">
        <v>0</v>
      </c>
      <c r="AX144" t="s">
        <v>7</v>
      </c>
      <c r="AY144">
        <v>38016</v>
      </c>
      <c r="AZ144">
        <v>128</v>
      </c>
      <c r="BA144">
        <v>1</v>
      </c>
      <c r="BB144">
        <v>16</v>
      </c>
      <c r="BC144">
        <v>1052.97</v>
      </c>
      <c r="BD144" s="61">
        <v>34.786999999999999</v>
      </c>
      <c r="BE144" s="27">
        <v>45488</v>
      </c>
      <c r="BF144" s="53">
        <v>0.99155092592592597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 s="8">
        <f t="shared" ref="BS144" si="213">AVERAGE(BD144:BD148)</f>
        <v>34.620799999999996</v>
      </c>
      <c r="BU144">
        <v>127</v>
      </c>
      <c r="BV144" t="s">
        <v>70</v>
      </c>
      <c r="BW144">
        <v>40320</v>
      </c>
      <c r="BX144">
        <v>96</v>
      </c>
      <c r="BY144">
        <v>2</v>
      </c>
      <c r="BZ144">
        <v>8</v>
      </c>
      <c r="CA144">
        <v>1041.7</v>
      </c>
      <c r="CB144">
        <v>41.951999999999998</v>
      </c>
      <c r="CQ144" s="54">
        <f t="shared" ref="CQ144" si="214">CQ143</f>
        <v>41.907666666666664</v>
      </c>
    </row>
    <row r="145" spans="1:95">
      <c r="A145">
        <v>1</v>
      </c>
      <c r="B145" t="s">
        <v>7</v>
      </c>
      <c r="C145">
        <v>38016</v>
      </c>
      <c r="D145">
        <v>128</v>
      </c>
      <c r="E145">
        <v>1</v>
      </c>
      <c r="F145">
        <v>16</v>
      </c>
      <c r="G145">
        <v>946.38</v>
      </c>
      <c r="H145" s="59">
        <v>38.704999999999998</v>
      </c>
      <c r="I145" s="27">
        <v>45483</v>
      </c>
      <c r="J145" s="53">
        <v>0.59528935185185183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s="66">
        <f t="shared" ref="W145:W208" si="215">W144</f>
        <v>38.615200000000002</v>
      </c>
      <c r="Y145">
        <v>1</v>
      </c>
      <c r="Z145" t="s">
        <v>7</v>
      </c>
      <c r="AA145">
        <v>38016</v>
      </c>
      <c r="AB145">
        <v>128</v>
      </c>
      <c r="AC145">
        <v>1</v>
      </c>
      <c r="AD145">
        <v>16</v>
      </c>
      <c r="AE145" s="1">
        <v>858.85</v>
      </c>
      <c r="AF145" s="48">
        <v>42.65</v>
      </c>
      <c r="AG145" s="27">
        <v>45500</v>
      </c>
      <c r="AH145" s="53">
        <v>0.97111111111111115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 s="66">
        <f t="shared" ref="AU145" si="216">AU144</f>
        <v>42.802199999999992</v>
      </c>
      <c r="AW145">
        <v>1</v>
      </c>
      <c r="AX145" t="s">
        <v>7</v>
      </c>
      <c r="AY145">
        <v>38016</v>
      </c>
      <c r="AZ145">
        <v>128</v>
      </c>
      <c r="BA145">
        <v>1</v>
      </c>
      <c r="BB145">
        <v>16</v>
      </c>
      <c r="BC145">
        <v>1063.58</v>
      </c>
      <c r="BD145" s="61">
        <v>34.44</v>
      </c>
      <c r="BE145" s="27">
        <v>45490</v>
      </c>
      <c r="BF145" s="53">
        <v>0.38512731481481483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 s="8">
        <f t="shared" ref="BS145" si="217">BS144</f>
        <v>34.620799999999996</v>
      </c>
      <c r="BU145">
        <v>198</v>
      </c>
      <c r="BV145" t="s">
        <v>70</v>
      </c>
      <c r="BW145">
        <v>40320</v>
      </c>
      <c r="BX145">
        <v>96</v>
      </c>
      <c r="BY145">
        <v>2</v>
      </c>
      <c r="BZ145">
        <v>8</v>
      </c>
      <c r="CA145">
        <v>1042.72</v>
      </c>
      <c r="CB145">
        <v>41.911000000000001</v>
      </c>
      <c r="CQ145" s="54">
        <f t="shared" si="117"/>
        <v>41.907666666666664</v>
      </c>
    </row>
    <row r="146" spans="1:95">
      <c r="A146">
        <v>2</v>
      </c>
      <c r="B146" t="s">
        <v>7</v>
      </c>
      <c r="C146">
        <v>38016</v>
      </c>
      <c r="D146">
        <v>128</v>
      </c>
      <c r="E146">
        <v>1</v>
      </c>
      <c r="F146">
        <v>16</v>
      </c>
      <c r="G146">
        <v>945.11</v>
      </c>
      <c r="H146" s="59">
        <v>38.756999999999998</v>
      </c>
      <c r="I146" s="27">
        <v>45484</v>
      </c>
      <c r="J146" s="53">
        <v>0.45792824074074073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s="66">
        <f t="shared" si="215"/>
        <v>38.615200000000002</v>
      </c>
      <c r="Y146">
        <v>2</v>
      </c>
      <c r="Z146" t="s">
        <v>7</v>
      </c>
      <c r="AA146">
        <v>38016</v>
      </c>
      <c r="AB146">
        <v>128</v>
      </c>
      <c r="AC146">
        <v>1</v>
      </c>
      <c r="AD146">
        <v>16</v>
      </c>
      <c r="AE146">
        <v>852.77</v>
      </c>
      <c r="AF146" s="48">
        <v>42.954000000000001</v>
      </c>
      <c r="AG146" s="27">
        <v>45501</v>
      </c>
      <c r="AH146" s="53">
        <v>0.76511574074074074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 s="66">
        <f t="shared" si="208"/>
        <v>42.802199999999992</v>
      </c>
      <c r="AW146">
        <v>2</v>
      </c>
      <c r="AX146" t="s">
        <v>7</v>
      </c>
      <c r="AY146">
        <v>38016</v>
      </c>
      <c r="AZ146">
        <v>128</v>
      </c>
      <c r="BA146">
        <v>1</v>
      </c>
      <c r="BB146">
        <v>16</v>
      </c>
      <c r="BC146">
        <v>1063.1199999999999</v>
      </c>
      <c r="BD146" s="61">
        <v>34.454999999999998</v>
      </c>
      <c r="BE146" s="27">
        <v>45491</v>
      </c>
      <c r="BF146" s="53">
        <v>0.47104166666666669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 s="8">
        <f t="shared" si="209"/>
        <v>34.620799999999996</v>
      </c>
      <c r="BU146">
        <v>269</v>
      </c>
      <c r="BV146" t="s">
        <v>70</v>
      </c>
      <c r="BW146">
        <v>40320</v>
      </c>
      <c r="BX146">
        <v>96</v>
      </c>
      <c r="BY146">
        <v>2</v>
      </c>
      <c r="BZ146">
        <v>8</v>
      </c>
      <c r="CA146">
        <v>1038.55</v>
      </c>
      <c r="CB146">
        <v>42.079000000000001</v>
      </c>
      <c r="CQ146" s="54">
        <f t="shared" ref="CQ146:CQ208" si="218">CQ145</f>
        <v>41.907666666666664</v>
      </c>
    </row>
    <row r="147" spans="1:95">
      <c r="A147">
        <v>3</v>
      </c>
      <c r="B147" t="s">
        <v>7</v>
      </c>
      <c r="C147">
        <v>38016</v>
      </c>
      <c r="D147">
        <v>128</v>
      </c>
      <c r="E147">
        <v>1</v>
      </c>
      <c r="F147">
        <v>16</v>
      </c>
      <c r="G147">
        <v>941.43</v>
      </c>
      <c r="H147" s="59">
        <v>38.908999999999999</v>
      </c>
      <c r="I147" s="27">
        <v>45485</v>
      </c>
      <c r="J147" s="53">
        <v>0.32047453703703704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s="66">
        <f t="shared" si="215"/>
        <v>38.615200000000002</v>
      </c>
      <c r="Y147">
        <v>3</v>
      </c>
      <c r="Z147" t="s">
        <v>7</v>
      </c>
      <c r="AA147">
        <v>38016</v>
      </c>
      <c r="AB147">
        <v>128</v>
      </c>
      <c r="AC147">
        <v>1</v>
      </c>
      <c r="AD147">
        <v>16</v>
      </c>
      <c r="AE147">
        <v>855.93</v>
      </c>
      <c r="AF147" s="48">
        <v>42.795000000000002</v>
      </c>
      <c r="AG147" s="27">
        <v>45502</v>
      </c>
      <c r="AH147" s="53">
        <v>0.55971064814814819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 s="66">
        <f t="shared" si="208"/>
        <v>42.802199999999992</v>
      </c>
      <c r="AW147">
        <v>3</v>
      </c>
      <c r="AX147" t="s">
        <v>7</v>
      </c>
      <c r="AY147">
        <v>38016</v>
      </c>
      <c r="AZ147">
        <v>128</v>
      </c>
      <c r="BA147">
        <v>1</v>
      </c>
      <c r="BB147">
        <v>16</v>
      </c>
      <c r="BC147">
        <v>1058.96</v>
      </c>
      <c r="BD147" s="61">
        <v>34.590000000000003</v>
      </c>
      <c r="BE147" s="27">
        <v>45492</v>
      </c>
      <c r="BF147" s="53">
        <v>0.5560532407407407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 s="8">
        <f t="shared" si="209"/>
        <v>34.620799999999996</v>
      </c>
      <c r="BU147">
        <v>340</v>
      </c>
      <c r="BV147" t="s">
        <v>70</v>
      </c>
      <c r="BW147">
        <v>40320</v>
      </c>
      <c r="BX147">
        <v>96</v>
      </c>
      <c r="BY147">
        <v>2</v>
      </c>
      <c r="BZ147">
        <v>8</v>
      </c>
      <c r="CA147">
        <v>1046.78</v>
      </c>
      <c r="CB147">
        <v>41.749000000000002</v>
      </c>
      <c r="CQ147" s="54">
        <f t="shared" si="218"/>
        <v>41.907666666666664</v>
      </c>
    </row>
    <row r="148" spans="1:95">
      <c r="A148">
        <v>4</v>
      </c>
      <c r="B148" t="s">
        <v>7</v>
      </c>
      <c r="C148">
        <v>38016</v>
      </c>
      <c r="D148">
        <v>128</v>
      </c>
      <c r="E148">
        <v>1</v>
      </c>
      <c r="F148">
        <v>16</v>
      </c>
      <c r="G148">
        <v>969.96</v>
      </c>
      <c r="H148" s="59">
        <v>37.764000000000003</v>
      </c>
      <c r="I148" s="27">
        <v>45486</v>
      </c>
      <c r="J148" s="53">
        <v>0.20655092592592592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s="66">
        <f t="shared" si="215"/>
        <v>38.615200000000002</v>
      </c>
      <c r="Y148">
        <v>4</v>
      </c>
      <c r="Z148" t="s">
        <v>7</v>
      </c>
      <c r="AA148">
        <v>38016</v>
      </c>
      <c r="AB148">
        <v>128</v>
      </c>
      <c r="AC148">
        <v>1</v>
      </c>
      <c r="AD148">
        <v>16</v>
      </c>
      <c r="AE148">
        <v>860.5</v>
      </c>
      <c r="AF148" s="48">
        <v>42.567999999999998</v>
      </c>
      <c r="AG148" s="27">
        <v>45503</v>
      </c>
      <c r="AH148" s="53">
        <v>0.35434027777777777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 s="66">
        <f t="shared" si="208"/>
        <v>42.802199999999992</v>
      </c>
      <c r="AW148">
        <v>4</v>
      </c>
      <c r="AX148" t="s">
        <v>7</v>
      </c>
      <c r="AY148">
        <v>38016</v>
      </c>
      <c r="AZ148">
        <v>128</v>
      </c>
      <c r="BA148">
        <v>1</v>
      </c>
      <c r="BB148">
        <v>16</v>
      </c>
      <c r="BC148">
        <v>1051.6099999999999</v>
      </c>
      <c r="BD148" s="61">
        <v>34.832000000000001</v>
      </c>
      <c r="BE148" s="27">
        <v>45493</v>
      </c>
      <c r="BF148" s="53">
        <v>0.64151620370370366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 s="8">
        <f t="shared" si="209"/>
        <v>34.620799999999996</v>
      </c>
      <c r="BU148">
        <v>411</v>
      </c>
      <c r="BV148" t="s">
        <v>70</v>
      </c>
      <c r="BW148">
        <v>40320</v>
      </c>
      <c r="BX148">
        <v>96</v>
      </c>
      <c r="BY148">
        <v>2</v>
      </c>
      <c r="BZ148">
        <v>8</v>
      </c>
      <c r="CA148">
        <v>1044.6400000000001</v>
      </c>
      <c r="CB148">
        <v>41.834000000000003</v>
      </c>
      <c r="CQ148" s="54">
        <f t="shared" si="218"/>
        <v>41.907666666666664</v>
      </c>
    </row>
    <row r="149" spans="1:95">
      <c r="A149">
        <v>0</v>
      </c>
      <c r="B149" t="s">
        <v>7</v>
      </c>
      <c r="C149">
        <v>40064</v>
      </c>
      <c r="D149">
        <v>128</v>
      </c>
      <c r="E149">
        <v>1</v>
      </c>
      <c r="F149">
        <v>16</v>
      </c>
      <c r="G149" s="1">
        <v>1097.58</v>
      </c>
      <c r="H149" s="59">
        <v>39.063000000000002</v>
      </c>
      <c r="I149" s="27">
        <v>45483</v>
      </c>
      <c r="J149" s="53">
        <v>3.8113425925925926E-2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s="66">
        <f t="shared" ref="W149" si="219">AVERAGE(H149:H153)</f>
        <v>38.554200000000002</v>
      </c>
      <c r="Y149">
        <v>0</v>
      </c>
      <c r="Z149" t="s">
        <v>7</v>
      </c>
      <c r="AA149">
        <v>40064</v>
      </c>
      <c r="AB149">
        <v>128</v>
      </c>
      <c r="AC149">
        <v>1</v>
      </c>
      <c r="AD149">
        <v>16</v>
      </c>
      <c r="AE149">
        <v>1009.14</v>
      </c>
      <c r="AF149" s="48">
        <v>42.485999999999997</v>
      </c>
      <c r="AG149" s="27">
        <v>45500</v>
      </c>
      <c r="AH149" s="53">
        <v>0.13186342592592593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 s="66">
        <f t="shared" ref="AU149" si="220">AVERAGE(AF149:AF153)</f>
        <v>42.755399999999995</v>
      </c>
      <c r="AW149">
        <v>0</v>
      </c>
      <c r="AX149" t="s">
        <v>7</v>
      </c>
      <c r="AY149">
        <v>40064</v>
      </c>
      <c r="AZ149">
        <v>128</v>
      </c>
      <c r="BA149">
        <v>1</v>
      </c>
      <c r="BB149">
        <v>16</v>
      </c>
      <c r="BC149">
        <v>1224.04</v>
      </c>
      <c r="BD149" s="61">
        <v>35.027000000000001</v>
      </c>
      <c r="BE149" s="27">
        <v>45489</v>
      </c>
      <c r="BF149" s="53">
        <v>0.37511574074074072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 s="8">
        <f t="shared" ref="BS149" si="221">AVERAGE(BD149:BD153)</f>
        <v>35.224000000000004</v>
      </c>
      <c r="BU149">
        <v>9</v>
      </c>
      <c r="BV149" t="s">
        <v>70</v>
      </c>
      <c r="BW149">
        <v>35968</v>
      </c>
      <c r="BX149">
        <v>96</v>
      </c>
      <c r="BY149">
        <v>4</v>
      </c>
      <c r="BZ149">
        <v>4</v>
      </c>
      <c r="CA149">
        <v>798.76</v>
      </c>
      <c r="CB149">
        <v>38.942999999999998</v>
      </c>
      <c r="CQ149" s="54">
        <f t="shared" ref="CQ149" si="222">AVERAGE(CB149:CB154)</f>
        <v>38.926166666666667</v>
      </c>
    </row>
    <row r="150" spans="1:95">
      <c r="A150">
        <v>1</v>
      </c>
      <c r="B150" t="s">
        <v>7</v>
      </c>
      <c r="C150">
        <v>40064</v>
      </c>
      <c r="D150">
        <v>128</v>
      </c>
      <c r="E150">
        <v>1</v>
      </c>
      <c r="F150">
        <v>16</v>
      </c>
      <c r="G150">
        <v>1092.8399999999999</v>
      </c>
      <c r="H150" s="59">
        <v>39.231999999999999</v>
      </c>
      <c r="I150" s="27">
        <v>45483</v>
      </c>
      <c r="J150" s="53">
        <v>0.90317129629629633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s="66">
        <f t="shared" ref="W150" si="223">W149</f>
        <v>38.554200000000002</v>
      </c>
      <c r="Y150">
        <v>1</v>
      </c>
      <c r="Z150" t="s">
        <v>7</v>
      </c>
      <c r="AA150">
        <v>40064</v>
      </c>
      <c r="AB150">
        <v>128</v>
      </c>
      <c r="AC150">
        <v>1</v>
      </c>
      <c r="AD150">
        <v>16</v>
      </c>
      <c r="AE150">
        <v>990.5</v>
      </c>
      <c r="AF150" s="48">
        <v>43.284999999999997</v>
      </c>
      <c r="AG150" s="27">
        <v>45501</v>
      </c>
      <c r="AH150" s="53">
        <v>0.25361111111111112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 s="66">
        <f t="shared" ref="AU150" si="224">AU149</f>
        <v>42.755399999999995</v>
      </c>
      <c r="AW150">
        <v>1</v>
      </c>
      <c r="AX150" t="s">
        <v>7</v>
      </c>
      <c r="AY150">
        <v>40064</v>
      </c>
      <c r="AZ150">
        <v>128</v>
      </c>
      <c r="BA150">
        <v>1</v>
      </c>
      <c r="BB150">
        <v>16</v>
      </c>
      <c r="BC150">
        <v>1221.69</v>
      </c>
      <c r="BD150" s="61">
        <v>35.094000000000001</v>
      </c>
      <c r="BE150" s="27">
        <v>45490</v>
      </c>
      <c r="BF150" s="53">
        <v>0.76849537037037041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 s="8">
        <f t="shared" ref="BS150" si="225">BS149</f>
        <v>35.224000000000004</v>
      </c>
      <c r="BU150">
        <v>80</v>
      </c>
      <c r="BV150" t="s">
        <v>70</v>
      </c>
      <c r="BW150">
        <v>35968</v>
      </c>
      <c r="BX150">
        <v>96</v>
      </c>
      <c r="BY150">
        <v>4</v>
      </c>
      <c r="BZ150">
        <v>4</v>
      </c>
      <c r="CA150">
        <v>798.75</v>
      </c>
      <c r="CB150">
        <v>38.944000000000003</v>
      </c>
      <c r="CQ150" s="54">
        <f t="shared" ref="CQ150" si="226">CQ149</f>
        <v>38.926166666666667</v>
      </c>
    </row>
    <row r="151" spans="1:95">
      <c r="A151">
        <v>2</v>
      </c>
      <c r="B151" t="s">
        <v>7</v>
      </c>
      <c r="C151">
        <v>40064</v>
      </c>
      <c r="D151">
        <v>128</v>
      </c>
      <c r="E151">
        <v>1</v>
      </c>
      <c r="F151">
        <v>16</v>
      </c>
      <c r="G151">
        <v>1103.28</v>
      </c>
      <c r="H151" s="59">
        <v>38.860999999999997</v>
      </c>
      <c r="I151" s="27">
        <v>45484</v>
      </c>
      <c r="J151" s="53">
        <v>0.76583333333333337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s="66">
        <f t="shared" si="215"/>
        <v>38.554200000000002</v>
      </c>
      <c r="Y151">
        <v>2</v>
      </c>
      <c r="Z151" t="s">
        <v>7</v>
      </c>
      <c r="AA151">
        <v>40064</v>
      </c>
      <c r="AB151">
        <v>128</v>
      </c>
      <c r="AC151">
        <v>1</v>
      </c>
      <c r="AD151">
        <v>16</v>
      </c>
      <c r="AE151">
        <v>1018.06</v>
      </c>
      <c r="AF151" s="48">
        <v>42.113999999999997</v>
      </c>
      <c r="AG151" s="27">
        <v>45502</v>
      </c>
      <c r="AH151" s="53">
        <v>4.8622685185185185E-2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 s="66">
        <f t="shared" si="208"/>
        <v>42.755399999999995</v>
      </c>
      <c r="AW151">
        <v>2</v>
      </c>
      <c r="AX151" t="s">
        <v>7</v>
      </c>
      <c r="AY151">
        <v>40064</v>
      </c>
      <c r="AZ151">
        <v>128</v>
      </c>
      <c r="BA151">
        <v>1</v>
      </c>
      <c r="BB151">
        <v>16</v>
      </c>
      <c r="BC151">
        <v>1211.02</v>
      </c>
      <c r="BD151" s="61">
        <v>35.402999999999999</v>
      </c>
      <c r="BE151" s="27">
        <v>45491</v>
      </c>
      <c r="BF151" s="53">
        <v>0.85408564814814814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 s="8">
        <f t="shared" si="209"/>
        <v>35.224000000000004</v>
      </c>
      <c r="BU151">
        <v>151</v>
      </c>
      <c r="BV151" t="s">
        <v>70</v>
      </c>
      <c r="BW151">
        <v>35968</v>
      </c>
      <c r="BX151">
        <v>96</v>
      </c>
      <c r="BY151">
        <v>4</v>
      </c>
      <c r="BZ151">
        <v>4</v>
      </c>
      <c r="CA151">
        <v>798.52</v>
      </c>
      <c r="CB151">
        <v>38.954999999999998</v>
      </c>
      <c r="CQ151" s="54">
        <f t="shared" si="218"/>
        <v>38.926166666666667</v>
      </c>
    </row>
    <row r="152" spans="1:95">
      <c r="A152">
        <v>3</v>
      </c>
      <c r="B152" t="s">
        <v>7</v>
      </c>
      <c r="C152">
        <v>40064</v>
      </c>
      <c r="D152">
        <v>128</v>
      </c>
      <c r="E152">
        <v>1</v>
      </c>
      <c r="F152">
        <v>16</v>
      </c>
      <c r="G152">
        <v>1135.31</v>
      </c>
      <c r="H152" s="59">
        <v>37.764000000000003</v>
      </c>
      <c r="I152" s="27">
        <v>45485</v>
      </c>
      <c r="J152" s="53">
        <v>0.63527777777777783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s="66">
        <f t="shared" si="215"/>
        <v>38.554200000000002</v>
      </c>
      <c r="Y152">
        <v>3</v>
      </c>
      <c r="Z152" t="s">
        <v>7</v>
      </c>
      <c r="AA152">
        <v>40064</v>
      </c>
      <c r="AB152">
        <v>128</v>
      </c>
      <c r="AC152">
        <v>1</v>
      </c>
      <c r="AD152">
        <v>16</v>
      </c>
      <c r="AE152">
        <v>1011.98</v>
      </c>
      <c r="AF152" s="48">
        <v>42.366999999999997</v>
      </c>
      <c r="AG152" s="27">
        <v>45502</v>
      </c>
      <c r="AH152" s="53">
        <v>0.84307870370370375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 s="66">
        <f t="shared" si="208"/>
        <v>42.755399999999995</v>
      </c>
      <c r="AW152">
        <v>3</v>
      </c>
      <c r="AX152" t="s">
        <v>7</v>
      </c>
      <c r="AY152">
        <v>40064</v>
      </c>
      <c r="AZ152">
        <v>128</v>
      </c>
      <c r="BA152">
        <v>1</v>
      </c>
      <c r="BB152">
        <v>16</v>
      </c>
      <c r="BC152">
        <v>1210.68</v>
      </c>
      <c r="BD152" s="61">
        <v>35.412999999999997</v>
      </c>
      <c r="BE152" s="27">
        <v>45492</v>
      </c>
      <c r="BF152" s="53">
        <v>0.93957175925925929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 s="8">
        <f t="shared" si="209"/>
        <v>35.224000000000004</v>
      </c>
      <c r="BU152">
        <v>222</v>
      </c>
      <c r="BV152" t="s">
        <v>70</v>
      </c>
      <c r="BW152">
        <v>35968</v>
      </c>
      <c r="BX152">
        <v>96</v>
      </c>
      <c r="BY152">
        <v>4</v>
      </c>
      <c r="BZ152">
        <v>4</v>
      </c>
      <c r="CA152">
        <v>798.11</v>
      </c>
      <c r="CB152">
        <v>38.973999999999997</v>
      </c>
      <c r="CQ152" s="54">
        <f t="shared" si="218"/>
        <v>38.926166666666667</v>
      </c>
    </row>
    <row r="153" spans="1:95">
      <c r="A153">
        <v>4</v>
      </c>
      <c r="B153" t="s">
        <v>7</v>
      </c>
      <c r="C153">
        <v>40064</v>
      </c>
      <c r="D153">
        <v>128</v>
      </c>
      <c r="E153">
        <v>1</v>
      </c>
      <c r="F153">
        <v>16</v>
      </c>
      <c r="G153">
        <v>1132.71</v>
      </c>
      <c r="H153" s="59">
        <v>37.850999999999999</v>
      </c>
      <c r="I153" s="27">
        <v>45486</v>
      </c>
      <c r="J153" s="53">
        <v>0.52362268518518518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s="66">
        <f t="shared" si="215"/>
        <v>38.554200000000002</v>
      </c>
      <c r="Y153">
        <v>4</v>
      </c>
      <c r="Z153" t="s">
        <v>7</v>
      </c>
      <c r="AA153">
        <v>40064</v>
      </c>
      <c r="AB153">
        <v>128</v>
      </c>
      <c r="AC153">
        <v>1</v>
      </c>
      <c r="AD153">
        <v>16</v>
      </c>
      <c r="AE153" s="1">
        <v>985.05</v>
      </c>
      <c r="AF153" s="48">
        <v>43.524999999999999</v>
      </c>
      <c r="AG153" s="27">
        <v>45503</v>
      </c>
      <c r="AH153" s="53">
        <v>0.63763888888888887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 s="66">
        <f t="shared" si="208"/>
        <v>42.755399999999995</v>
      </c>
      <c r="AW153">
        <v>4</v>
      </c>
      <c r="AX153" t="s">
        <v>7</v>
      </c>
      <c r="AY153">
        <v>40064</v>
      </c>
      <c r="AZ153">
        <v>128</v>
      </c>
      <c r="BA153">
        <v>1</v>
      </c>
      <c r="BB153">
        <v>16</v>
      </c>
      <c r="BC153">
        <v>1218.5899999999999</v>
      </c>
      <c r="BD153" s="61">
        <v>35.183</v>
      </c>
      <c r="BE153" s="27">
        <v>45494</v>
      </c>
      <c r="BF153" s="53">
        <v>2.5219907407407406E-2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 s="8">
        <f t="shared" si="209"/>
        <v>35.224000000000004</v>
      </c>
      <c r="BU153">
        <v>293</v>
      </c>
      <c r="BV153" t="s">
        <v>70</v>
      </c>
      <c r="BW153">
        <v>35968</v>
      </c>
      <c r="BX153">
        <v>96</v>
      </c>
      <c r="BY153">
        <v>4</v>
      </c>
      <c r="BZ153">
        <v>4</v>
      </c>
      <c r="CA153">
        <v>799.03</v>
      </c>
      <c r="CB153">
        <v>38.929000000000002</v>
      </c>
      <c r="CQ153" s="54">
        <f t="shared" si="218"/>
        <v>38.926166666666667</v>
      </c>
    </row>
    <row r="154" spans="1:95">
      <c r="A154">
        <v>0</v>
      </c>
      <c r="B154" t="s">
        <v>7</v>
      </c>
      <c r="C154">
        <v>35968</v>
      </c>
      <c r="D154">
        <v>128</v>
      </c>
      <c r="E154">
        <v>2</v>
      </c>
      <c r="F154">
        <v>8</v>
      </c>
      <c r="G154" s="1">
        <v>873.56</v>
      </c>
      <c r="H154" s="59">
        <v>35.512999999999998</v>
      </c>
      <c r="I154" s="27">
        <v>45482</v>
      </c>
      <c r="J154" s="53">
        <v>0.47806712962962961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 s="66">
        <f t="shared" ref="W154" si="227">AVERAGE(H154:H158)</f>
        <v>35.421599999999998</v>
      </c>
      <c r="Y154">
        <v>0</v>
      </c>
      <c r="Z154" t="s">
        <v>7</v>
      </c>
      <c r="AA154">
        <v>35968</v>
      </c>
      <c r="AB154">
        <v>128</v>
      </c>
      <c r="AC154">
        <v>2</v>
      </c>
      <c r="AD154">
        <v>8</v>
      </c>
      <c r="AE154" s="1">
        <v>706.43</v>
      </c>
      <c r="AF154" s="48">
        <v>43.914999999999999</v>
      </c>
      <c r="AG154" s="27">
        <v>45499</v>
      </c>
      <c r="AH154" s="53">
        <v>0.61618055555555551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 s="66">
        <f t="shared" ref="AU154" si="228">AVERAGE(AF154:AF158)</f>
        <v>44.401599999999995</v>
      </c>
      <c r="AW154">
        <v>0</v>
      </c>
      <c r="AX154" t="s">
        <v>7</v>
      </c>
      <c r="AY154">
        <v>35968</v>
      </c>
      <c r="AZ154">
        <v>128</v>
      </c>
      <c r="BA154">
        <v>2</v>
      </c>
      <c r="BB154">
        <v>8</v>
      </c>
      <c r="BC154">
        <v>992.53</v>
      </c>
      <c r="BD154" s="61">
        <v>31.256</v>
      </c>
      <c r="BE154" s="27">
        <v>45488</v>
      </c>
      <c r="BF154" s="53">
        <v>0.66994212962962962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 s="8">
        <f t="shared" ref="BS154" si="229">AVERAGE(BD154:BD158)</f>
        <v>31.229800000000001</v>
      </c>
      <c r="BU154">
        <v>364</v>
      </c>
      <c r="BV154" t="s">
        <v>70</v>
      </c>
      <c r="BW154">
        <v>35968</v>
      </c>
      <c r="BX154">
        <v>96</v>
      </c>
      <c r="BY154">
        <v>4</v>
      </c>
      <c r="BZ154">
        <v>4</v>
      </c>
      <c r="CA154">
        <v>801.46</v>
      </c>
      <c r="CB154">
        <v>38.811999999999998</v>
      </c>
      <c r="CQ154" s="54">
        <f t="shared" si="218"/>
        <v>38.926166666666667</v>
      </c>
    </row>
    <row r="155" spans="1:95">
      <c r="A155">
        <v>1</v>
      </c>
      <c r="B155" t="s">
        <v>7</v>
      </c>
      <c r="C155">
        <v>35968</v>
      </c>
      <c r="D155">
        <v>128</v>
      </c>
      <c r="E155">
        <v>2</v>
      </c>
      <c r="F155">
        <v>8</v>
      </c>
      <c r="G155">
        <v>865.82</v>
      </c>
      <c r="H155" s="59">
        <v>35.831000000000003</v>
      </c>
      <c r="I155" s="27">
        <v>45483</v>
      </c>
      <c r="J155" s="53">
        <v>0.33859953703703705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s="66">
        <f t="shared" ref="W155" si="230">W154</f>
        <v>35.421599999999998</v>
      </c>
      <c r="Y155">
        <v>1</v>
      </c>
      <c r="Z155" t="s">
        <v>7</v>
      </c>
      <c r="AA155">
        <v>35968</v>
      </c>
      <c r="AB155">
        <v>128</v>
      </c>
      <c r="AC155">
        <v>2</v>
      </c>
      <c r="AD155">
        <v>8</v>
      </c>
      <c r="AE155">
        <v>693.14</v>
      </c>
      <c r="AF155" s="48">
        <v>44.756999999999998</v>
      </c>
      <c r="AG155" s="27">
        <v>45500</v>
      </c>
      <c r="AH155" s="53">
        <v>0.736724537037037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 s="66">
        <f t="shared" ref="AU155" si="231">AU154</f>
        <v>44.401599999999995</v>
      </c>
      <c r="AW155">
        <v>1</v>
      </c>
      <c r="AX155" t="s">
        <v>7</v>
      </c>
      <c r="AY155">
        <v>35968</v>
      </c>
      <c r="AZ155">
        <v>128</v>
      </c>
      <c r="BA155">
        <v>2</v>
      </c>
      <c r="BB155">
        <v>8</v>
      </c>
      <c r="BC155">
        <v>1000.42</v>
      </c>
      <c r="BD155" s="61">
        <v>31.01</v>
      </c>
      <c r="BE155" s="27">
        <v>45490</v>
      </c>
      <c r="BF155" s="53">
        <v>6.3807870370370376E-2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 s="8">
        <f t="shared" ref="BS155" si="232">BS154</f>
        <v>31.229800000000001</v>
      </c>
      <c r="BU155">
        <v>33</v>
      </c>
      <c r="BV155" t="s">
        <v>70</v>
      </c>
      <c r="BW155">
        <v>38144</v>
      </c>
      <c r="BX155">
        <v>96</v>
      </c>
      <c r="BY155">
        <v>4</v>
      </c>
      <c r="BZ155">
        <v>4</v>
      </c>
      <c r="CA155">
        <v>1061.83</v>
      </c>
      <c r="CB155">
        <v>34.759</v>
      </c>
      <c r="CQ155" s="54">
        <f t="shared" ref="CQ155" si="233">AVERAGE(CB155:CB160)</f>
        <v>38.69533333333333</v>
      </c>
    </row>
    <row r="156" spans="1:95">
      <c r="A156">
        <v>2</v>
      </c>
      <c r="B156" t="s">
        <v>7</v>
      </c>
      <c r="C156">
        <v>35968</v>
      </c>
      <c r="D156">
        <v>128</v>
      </c>
      <c r="E156">
        <v>2</v>
      </c>
      <c r="F156">
        <v>8</v>
      </c>
      <c r="G156">
        <v>864.56</v>
      </c>
      <c r="H156" s="59">
        <v>35.883000000000003</v>
      </c>
      <c r="I156" s="27">
        <v>45484</v>
      </c>
      <c r="J156" s="53">
        <v>0.20342592592592593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s="66">
        <f t="shared" si="215"/>
        <v>35.421599999999998</v>
      </c>
      <c r="Y156">
        <v>2</v>
      </c>
      <c r="Z156" t="s">
        <v>7</v>
      </c>
      <c r="AA156">
        <v>35968</v>
      </c>
      <c r="AB156">
        <v>128</v>
      </c>
      <c r="AC156">
        <v>2</v>
      </c>
      <c r="AD156">
        <v>8</v>
      </c>
      <c r="AE156">
        <v>700.75</v>
      </c>
      <c r="AF156" s="48">
        <v>44.271000000000001</v>
      </c>
      <c r="AG156" s="27">
        <v>45501</v>
      </c>
      <c r="AH156" s="53">
        <v>0.53119212962962958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 s="66">
        <f t="shared" si="208"/>
        <v>44.401599999999995</v>
      </c>
      <c r="AW156">
        <v>2</v>
      </c>
      <c r="AX156" t="s">
        <v>7</v>
      </c>
      <c r="AY156">
        <v>35968</v>
      </c>
      <c r="AZ156">
        <v>128</v>
      </c>
      <c r="BA156">
        <v>2</v>
      </c>
      <c r="BB156">
        <v>8</v>
      </c>
      <c r="BC156">
        <v>991.86</v>
      </c>
      <c r="BD156" s="61">
        <v>31.277999999999999</v>
      </c>
      <c r="BE156" s="27">
        <v>45491</v>
      </c>
      <c r="BF156" s="53">
        <v>0.14949074074074073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 s="8">
        <f t="shared" si="209"/>
        <v>31.229800000000001</v>
      </c>
      <c r="BU156">
        <v>104</v>
      </c>
      <c r="BV156" t="s">
        <v>70</v>
      </c>
      <c r="BW156">
        <v>38144</v>
      </c>
      <c r="BX156">
        <v>96</v>
      </c>
      <c r="BY156">
        <v>4</v>
      </c>
      <c r="BZ156">
        <v>4</v>
      </c>
      <c r="CA156">
        <v>934.46</v>
      </c>
      <c r="CB156">
        <v>39.497</v>
      </c>
      <c r="CQ156" s="54">
        <f t="shared" ref="CQ156" si="234">CQ155</f>
        <v>38.69533333333333</v>
      </c>
    </row>
    <row r="157" spans="1:95">
      <c r="A157">
        <v>3</v>
      </c>
      <c r="B157" t="s">
        <v>7</v>
      </c>
      <c r="C157">
        <v>35968</v>
      </c>
      <c r="D157">
        <v>128</v>
      </c>
      <c r="E157">
        <v>2</v>
      </c>
      <c r="F157">
        <v>8</v>
      </c>
      <c r="G157">
        <v>882.27</v>
      </c>
      <c r="H157" s="59">
        <v>35.162999999999997</v>
      </c>
      <c r="I157" s="27">
        <v>45485</v>
      </c>
      <c r="J157" s="53">
        <v>6.6180555555555562E-2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s="66">
        <f t="shared" si="215"/>
        <v>35.421599999999998</v>
      </c>
      <c r="Y157">
        <v>3</v>
      </c>
      <c r="Z157" t="s">
        <v>7</v>
      </c>
      <c r="AA157">
        <v>35968</v>
      </c>
      <c r="AB157">
        <v>128</v>
      </c>
      <c r="AC157">
        <v>2</v>
      </c>
      <c r="AD157">
        <v>8</v>
      </c>
      <c r="AE157">
        <v>697.9</v>
      </c>
      <c r="AF157" s="48">
        <v>44.451999999999998</v>
      </c>
      <c r="AG157" s="27">
        <v>45502</v>
      </c>
      <c r="AH157" s="53">
        <v>0.32572916666666668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 s="66">
        <f t="shared" si="208"/>
        <v>44.401599999999995</v>
      </c>
      <c r="AW157">
        <v>3</v>
      </c>
      <c r="AX157" t="s">
        <v>7</v>
      </c>
      <c r="AY157">
        <v>35968</v>
      </c>
      <c r="AZ157">
        <v>128</v>
      </c>
      <c r="BA157">
        <v>2</v>
      </c>
      <c r="BB157">
        <v>8</v>
      </c>
      <c r="BC157">
        <v>989.44</v>
      </c>
      <c r="BD157" s="61">
        <v>31.353999999999999</v>
      </c>
      <c r="BE157" s="27">
        <v>45492</v>
      </c>
      <c r="BF157" s="53">
        <v>0.23423611111111112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 s="8">
        <f t="shared" si="209"/>
        <v>31.229800000000001</v>
      </c>
      <c r="BU157">
        <v>175</v>
      </c>
      <c r="BV157" t="s">
        <v>70</v>
      </c>
      <c r="BW157">
        <v>38144</v>
      </c>
      <c r="BX157">
        <v>96</v>
      </c>
      <c r="BY157">
        <v>4</v>
      </c>
      <c r="BZ157">
        <v>4</v>
      </c>
      <c r="CA157">
        <v>933.37</v>
      </c>
      <c r="CB157">
        <v>39.542999999999999</v>
      </c>
      <c r="CQ157" s="54">
        <f t="shared" si="218"/>
        <v>38.69533333333333</v>
      </c>
    </row>
    <row r="158" spans="1:95">
      <c r="A158">
        <v>4</v>
      </c>
      <c r="B158" t="s">
        <v>7</v>
      </c>
      <c r="C158">
        <v>35968</v>
      </c>
      <c r="D158">
        <v>128</v>
      </c>
      <c r="E158">
        <v>2</v>
      </c>
      <c r="F158">
        <v>8</v>
      </c>
      <c r="G158">
        <v>893.58</v>
      </c>
      <c r="H158" s="59">
        <v>34.718000000000004</v>
      </c>
      <c r="I158" s="27">
        <v>45485</v>
      </c>
      <c r="J158" s="53">
        <v>0.94450231481481484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s="66">
        <f t="shared" si="215"/>
        <v>35.421599999999998</v>
      </c>
      <c r="Y158">
        <v>4</v>
      </c>
      <c r="Z158" t="s">
        <v>7</v>
      </c>
      <c r="AA158">
        <v>35968</v>
      </c>
      <c r="AB158">
        <v>128</v>
      </c>
      <c r="AC158">
        <v>2</v>
      </c>
      <c r="AD158">
        <v>8</v>
      </c>
      <c r="AE158">
        <v>695.38</v>
      </c>
      <c r="AF158" s="48">
        <v>44.613</v>
      </c>
      <c r="AG158" s="27">
        <v>45503</v>
      </c>
      <c r="AH158" s="53">
        <v>0.1205787037037037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 s="66">
        <f t="shared" si="208"/>
        <v>44.401599999999995</v>
      </c>
      <c r="AW158">
        <v>4</v>
      </c>
      <c r="AX158" t="s">
        <v>7</v>
      </c>
      <c r="AY158">
        <v>35968</v>
      </c>
      <c r="AZ158">
        <v>128</v>
      </c>
      <c r="BA158">
        <v>2</v>
      </c>
      <c r="BB158">
        <v>8</v>
      </c>
      <c r="BC158">
        <v>992.71</v>
      </c>
      <c r="BD158" s="61">
        <v>31.251000000000001</v>
      </c>
      <c r="BE158" s="27">
        <v>45493</v>
      </c>
      <c r="BF158" s="53">
        <v>0.31980324074074074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 s="8">
        <f t="shared" si="209"/>
        <v>31.229800000000001</v>
      </c>
      <c r="BU158">
        <v>246</v>
      </c>
      <c r="BV158" t="s">
        <v>70</v>
      </c>
      <c r="BW158">
        <v>38144</v>
      </c>
      <c r="BX158">
        <v>96</v>
      </c>
      <c r="BY158">
        <v>4</v>
      </c>
      <c r="BZ158">
        <v>4</v>
      </c>
      <c r="CA158">
        <v>936.81</v>
      </c>
      <c r="CB158">
        <v>39.396999999999998</v>
      </c>
      <c r="CQ158" s="54">
        <f t="shared" si="218"/>
        <v>38.69533333333333</v>
      </c>
    </row>
    <row r="159" spans="1:95">
      <c r="A159">
        <v>0</v>
      </c>
      <c r="B159" t="s">
        <v>7</v>
      </c>
      <c r="C159">
        <v>38016</v>
      </c>
      <c r="D159">
        <v>128</v>
      </c>
      <c r="E159">
        <v>2</v>
      </c>
      <c r="F159">
        <v>8</v>
      </c>
      <c r="G159" s="1">
        <v>978.18</v>
      </c>
      <c r="H159" s="59">
        <v>37.447000000000003</v>
      </c>
      <c r="I159" s="27">
        <v>45482</v>
      </c>
      <c r="J159" s="53">
        <v>0.74336805555555552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s="66">
        <f t="shared" ref="W159" si="235">AVERAGE(H159:H163)</f>
        <v>36.284599999999998</v>
      </c>
      <c r="Y159">
        <v>0</v>
      </c>
      <c r="Z159" t="s">
        <v>7</v>
      </c>
      <c r="AA159">
        <v>38016</v>
      </c>
      <c r="AB159">
        <v>128</v>
      </c>
      <c r="AC159">
        <v>2</v>
      </c>
      <c r="AD159">
        <v>8</v>
      </c>
      <c r="AE159">
        <v>808.31</v>
      </c>
      <c r="AF159" s="48">
        <v>45.317</v>
      </c>
      <c r="AG159" s="27">
        <v>45499</v>
      </c>
      <c r="AH159" s="53">
        <v>0.85916666666666663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 s="66">
        <f t="shared" ref="AU159" si="236">AVERAGE(AF159:AF163)</f>
        <v>45.131399999999999</v>
      </c>
      <c r="AW159">
        <v>0</v>
      </c>
      <c r="AX159" t="s">
        <v>7</v>
      </c>
      <c r="AY159">
        <v>38016</v>
      </c>
      <c r="AZ159">
        <v>128</v>
      </c>
      <c r="BA159">
        <v>2</v>
      </c>
      <c r="BB159">
        <v>8</v>
      </c>
      <c r="BC159">
        <v>1138.31</v>
      </c>
      <c r="BD159" s="61">
        <v>32.179000000000002</v>
      </c>
      <c r="BE159" s="27">
        <v>45489</v>
      </c>
      <c r="BF159" s="53">
        <v>5.6481481481481478E-3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 s="8">
        <f t="shared" ref="BS159" si="237">AVERAGE(BD159:BD163)</f>
        <v>32.1404</v>
      </c>
      <c r="BU159">
        <v>317</v>
      </c>
      <c r="BV159" t="s">
        <v>70</v>
      </c>
      <c r="BW159">
        <v>38144</v>
      </c>
      <c r="BX159">
        <v>96</v>
      </c>
      <c r="BY159">
        <v>4</v>
      </c>
      <c r="BZ159">
        <v>4</v>
      </c>
      <c r="CA159">
        <v>937.04</v>
      </c>
      <c r="CB159">
        <v>39.387999999999998</v>
      </c>
      <c r="CQ159" s="54">
        <f t="shared" si="218"/>
        <v>38.69533333333333</v>
      </c>
    </row>
    <row r="160" spans="1:95">
      <c r="A160">
        <v>1</v>
      </c>
      <c r="B160" t="s">
        <v>7</v>
      </c>
      <c r="C160">
        <v>38016</v>
      </c>
      <c r="D160">
        <v>128</v>
      </c>
      <c r="E160">
        <v>2</v>
      </c>
      <c r="F160">
        <v>8</v>
      </c>
      <c r="G160">
        <v>1020.02</v>
      </c>
      <c r="H160" s="59">
        <v>35.911000000000001</v>
      </c>
      <c r="I160" s="27">
        <v>45483</v>
      </c>
      <c r="J160" s="53">
        <v>0.60738425925925921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s="66">
        <f t="shared" ref="W160" si="238">W159</f>
        <v>36.284599999999998</v>
      </c>
      <c r="Y160">
        <v>1</v>
      </c>
      <c r="Z160" t="s">
        <v>7</v>
      </c>
      <c r="AA160">
        <v>38016</v>
      </c>
      <c r="AB160">
        <v>128</v>
      </c>
      <c r="AC160">
        <v>2</v>
      </c>
      <c r="AD160">
        <v>8</v>
      </c>
      <c r="AE160">
        <v>806.44</v>
      </c>
      <c r="AF160" s="48">
        <v>45.420999999999999</v>
      </c>
      <c r="AG160" s="27">
        <v>45500</v>
      </c>
      <c r="AH160" s="53">
        <v>0.98076388888888888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 s="66">
        <f t="shared" ref="AU160" si="239">AU159</f>
        <v>45.131399999999999</v>
      </c>
      <c r="AW160">
        <v>1</v>
      </c>
      <c r="AX160" t="s">
        <v>7</v>
      </c>
      <c r="AY160">
        <v>38016</v>
      </c>
      <c r="AZ160">
        <v>128</v>
      </c>
      <c r="BA160">
        <v>2</v>
      </c>
      <c r="BB160">
        <v>8</v>
      </c>
      <c r="BC160">
        <v>1133.6500000000001</v>
      </c>
      <c r="BD160" s="61">
        <v>32.311</v>
      </c>
      <c r="BE160" s="27">
        <v>45490</v>
      </c>
      <c r="BF160" s="53">
        <v>0.39914351851851854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 s="8">
        <f t="shared" ref="BS160" si="240">BS159</f>
        <v>32.1404</v>
      </c>
      <c r="BU160">
        <v>388</v>
      </c>
      <c r="BV160" t="s">
        <v>70</v>
      </c>
      <c r="BW160">
        <v>38144</v>
      </c>
      <c r="BX160">
        <v>96</v>
      </c>
      <c r="BY160">
        <v>4</v>
      </c>
      <c r="BZ160">
        <v>4</v>
      </c>
      <c r="CA160">
        <v>932.3</v>
      </c>
      <c r="CB160">
        <v>39.588000000000001</v>
      </c>
      <c r="CQ160" s="54">
        <f t="shared" si="218"/>
        <v>38.69533333333333</v>
      </c>
    </row>
    <row r="161" spans="1:95">
      <c r="A161">
        <v>2</v>
      </c>
      <c r="B161" t="s">
        <v>7</v>
      </c>
      <c r="C161">
        <v>38016</v>
      </c>
      <c r="D161">
        <v>128</v>
      </c>
      <c r="E161">
        <v>2</v>
      </c>
      <c r="F161">
        <v>8</v>
      </c>
      <c r="G161">
        <v>1035.97</v>
      </c>
      <c r="H161" s="59">
        <v>35.357999999999997</v>
      </c>
      <c r="I161" s="27">
        <v>45484</v>
      </c>
      <c r="J161" s="53">
        <v>0.47020833333333334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s="66">
        <f t="shared" si="215"/>
        <v>36.284599999999998</v>
      </c>
      <c r="Y161">
        <v>2</v>
      </c>
      <c r="Z161" t="s">
        <v>7</v>
      </c>
      <c r="AA161">
        <v>38016</v>
      </c>
      <c r="AB161">
        <v>128</v>
      </c>
      <c r="AC161">
        <v>2</v>
      </c>
      <c r="AD161">
        <v>8</v>
      </c>
      <c r="AE161">
        <v>810.16</v>
      </c>
      <c r="AF161" s="48">
        <v>45.213000000000001</v>
      </c>
      <c r="AG161" s="27">
        <v>45501</v>
      </c>
      <c r="AH161" s="53">
        <v>0.77481481481481485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 s="66">
        <f t="shared" si="208"/>
        <v>45.131399999999999</v>
      </c>
      <c r="AW161">
        <v>2</v>
      </c>
      <c r="AX161" t="s">
        <v>7</v>
      </c>
      <c r="AY161">
        <v>38016</v>
      </c>
      <c r="AZ161">
        <v>128</v>
      </c>
      <c r="BA161">
        <v>2</v>
      </c>
      <c r="BB161">
        <v>8</v>
      </c>
      <c r="BC161">
        <v>1132.33</v>
      </c>
      <c r="BD161" s="61">
        <v>32.348999999999997</v>
      </c>
      <c r="BE161" s="27">
        <v>45491</v>
      </c>
      <c r="BF161" s="53">
        <v>0.48504629629629631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 s="8">
        <f t="shared" si="209"/>
        <v>32.1404</v>
      </c>
      <c r="BU161">
        <v>57</v>
      </c>
      <c r="BV161" t="s">
        <v>70</v>
      </c>
      <c r="BW161">
        <v>40320</v>
      </c>
      <c r="BX161">
        <v>96</v>
      </c>
      <c r="BY161">
        <v>4</v>
      </c>
      <c r="BZ161">
        <v>4</v>
      </c>
      <c r="CA161">
        <v>1091.8399999999999</v>
      </c>
      <c r="CB161">
        <v>40.024999999999999</v>
      </c>
      <c r="CQ161" s="54">
        <f t="shared" ref="CQ161" si="241">AVERAGE(CB161:CB166)</f>
        <v>39.985333333333337</v>
      </c>
    </row>
    <row r="162" spans="1:95">
      <c r="A162">
        <v>3</v>
      </c>
      <c r="B162" t="s">
        <v>7</v>
      </c>
      <c r="C162">
        <v>38016</v>
      </c>
      <c r="D162">
        <v>128</v>
      </c>
      <c r="E162">
        <v>2</v>
      </c>
      <c r="F162">
        <v>8</v>
      </c>
      <c r="G162">
        <v>977.7</v>
      </c>
      <c r="H162" s="59">
        <v>37.465000000000003</v>
      </c>
      <c r="I162" s="27">
        <v>45485</v>
      </c>
      <c r="J162" s="53">
        <v>0.33208333333333334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 s="66">
        <f t="shared" si="215"/>
        <v>36.284599999999998</v>
      </c>
      <c r="Y162">
        <v>3</v>
      </c>
      <c r="Z162" t="s">
        <v>7</v>
      </c>
      <c r="AA162">
        <v>38016</v>
      </c>
      <c r="AB162">
        <v>128</v>
      </c>
      <c r="AC162">
        <v>2</v>
      </c>
      <c r="AD162">
        <v>8</v>
      </c>
      <c r="AE162" s="1">
        <v>817.38</v>
      </c>
      <c r="AF162" s="48">
        <v>44.814</v>
      </c>
      <c r="AG162" s="27">
        <v>45502</v>
      </c>
      <c r="AH162" s="53">
        <v>0.56949074074074069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 s="66">
        <f t="shared" si="208"/>
        <v>45.131399999999999</v>
      </c>
      <c r="AW162">
        <v>3</v>
      </c>
      <c r="AX162" t="s">
        <v>7</v>
      </c>
      <c r="AY162">
        <v>38016</v>
      </c>
      <c r="AZ162">
        <v>128</v>
      </c>
      <c r="BA162">
        <v>2</v>
      </c>
      <c r="BB162">
        <v>8</v>
      </c>
      <c r="BC162">
        <v>1152.83</v>
      </c>
      <c r="BD162" s="61">
        <v>31.774000000000001</v>
      </c>
      <c r="BE162" s="27">
        <v>45492</v>
      </c>
      <c r="BF162" s="53">
        <v>0.57030092592592596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 s="8">
        <f t="shared" si="209"/>
        <v>32.1404</v>
      </c>
      <c r="BU162">
        <v>128</v>
      </c>
      <c r="BV162" t="s">
        <v>70</v>
      </c>
      <c r="BW162">
        <v>40320</v>
      </c>
      <c r="BX162">
        <v>96</v>
      </c>
      <c r="BY162">
        <v>4</v>
      </c>
      <c r="BZ162">
        <v>4</v>
      </c>
      <c r="CA162">
        <v>1094.79</v>
      </c>
      <c r="CB162">
        <v>39.917999999999999</v>
      </c>
      <c r="CQ162" s="54">
        <f t="shared" ref="CQ162" si="242">CQ161</f>
        <v>39.985333333333337</v>
      </c>
    </row>
    <row r="163" spans="1:95">
      <c r="A163">
        <v>4</v>
      </c>
      <c r="B163" t="s">
        <v>7</v>
      </c>
      <c r="C163">
        <v>38016</v>
      </c>
      <c r="D163">
        <v>128</v>
      </c>
      <c r="E163">
        <v>2</v>
      </c>
      <c r="F163">
        <v>8</v>
      </c>
      <c r="G163">
        <v>1039.3699999999999</v>
      </c>
      <c r="H163" s="59">
        <v>35.241999999999997</v>
      </c>
      <c r="I163" s="27">
        <v>45486</v>
      </c>
      <c r="J163" s="53">
        <v>0.21887731481481482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s="66">
        <f t="shared" si="215"/>
        <v>36.284599999999998</v>
      </c>
      <c r="Y163">
        <v>4</v>
      </c>
      <c r="Z163" t="s">
        <v>7</v>
      </c>
      <c r="AA163">
        <v>38016</v>
      </c>
      <c r="AB163">
        <v>128</v>
      </c>
      <c r="AC163">
        <v>2</v>
      </c>
      <c r="AD163">
        <v>8</v>
      </c>
      <c r="AE163">
        <v>815.95</v>
      </c>
      <c r="AF163" s="48">
        <v>44.892000000000003</v>
      </c>
      <c r="AG163" s="27">
        <v>45503</v>
      </c>
      <c r="AH163" s="53">
        <v>0.36410879629629628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 s="66">
        <f t="shared" si="208"/>
        <v>45.131399999999999</v>
      </c>
      <c r="AW163">
        <v>4</v>
      </c>
      <c r="AX163" t="s">
        <v>7</v>
      </c>
      <c r="AY163">
        <v>38016</v>
      </c>
      <c r="AZ163">
        <v>128</v>
      </c>
      <c r="BA163">
        <v>2</v>
      </c>
      <c r="BB163">
        <v>8</v>
      </c>
      <c r="BC163">
        <v>1141.51</v>
      </c>
      <c r="BD163" s="61">
        <v>32.088999999999999</v>
      </c>
      <c r="BE163" s="27">
        <v>45493</v>
      </c>
      <c r="BF163" s="53">
        <v>0.65562500000000001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 s="8">
        <f t="shared" si="209"/>
        <v>32.1404</v>
      </c>
      <c r="BU163">
        <v>199</v>
      </c>
      <c r="BV163" t="s">
        <v>70</v>
      </c>
      <c r="BW163">
        <v>40320</v>
      </c>
      <c r="BX163">
        <v>96</v>
      </c>
      <c r="BY163">
        <v>4</v>
      </c>
      <c r="BZ163">
        <v>4</v>
      </c>
      <c r="CA163">
        <v>1096.1300000000001</v>
      </c>
      <c r="CB163">
        <v>39.869</v>
      </c>
      <c r="CQ163" s="54">
        <f t="shared" si="218"/>
        <v>39.985333333333337</v>
      </c>
    </row>
    <row r="164" spans="1:95">
      <c r="A164">
        <v>0</v>
      </c>
      <c r="B164" t="s">
        <v>7</v>
      </c>
      <c r="C164">
        <v>40064</v>
      </c>
      <c r="D164">
        <v>128</v>
      </c>
      <c r="E164">
        <v>2</v>
      </c>
      <c r="F164">
        <v>8</v>
      </c>
      <c r="G164" s="1">
        <v>1110.0999999999999</v>
      </c>
      <c r="H164" s="59">
        <v>38.622</v>
      </c>
      <c r="I164" s="27">
        <v>45483</v>
      </c>
      <c r="J164" s="53">
        <v>5.1284722222222225E-2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s="66">
        <f t="shared" ref="W164" si="243">AVERAGE(H164:H168)</f>
        <v>38.232600000000005</v>
      </c>
      <c r="Y164">
        <v>0</v>
      </c>
      <c r="Z164" t="s">
        <v>7</v>
      </c>
      <c r="AA164">
        <v>40064</v>
      </c>
      <c r="AB164">
        <v>128</v>
      </c>
      <c r="AC164">
        <v>2</v>
      </c>
      <c r="AD164">
        <v>8</v>
      </c>
      <c r="AE164">
        <v>937.3</v>
      </c>
      <c r="AF164" s="48">
        <v>45.741999999999997</v>
      </c>
      <c r="AG164" s="27">
        <v>45500</v>
      </c>
      <c r="AH164" s="53">
        <v>0.14306712962962964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 s="66">
        <f t="shared" ref="AU164" si="244">AVERAGE(AF164:AF168)</f>
        <v>45.218400000000003</v>
      </c>
      <c r="AW164">
        <v>0</v>
      </c>
      <c r="AX164" t="s">
        <v>7</v>
      </c>
      <c r="AY164">
        <v>40064</v>
      </c>
      <c r="AZ164">
        <v>128</v>
      </c>
      <c r="BA164">
        <v>2</v>
      </c>
      <c r="BB164">
        <v>8</v>
      </c>
      <c r="BC164">
        <v>1296.55</v>
      </c>
      <c r="BD164" s="61">
        <v>33.067999999999998</v>
      </c>
      <c r="BE164" s="27">
        <v>45489</v>
      </c>
      <c r="BF164" s="53">
        <v>0.3911574074074074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 s="8">
        <f t="shared" ref="BS164" si="245">AVERAGE(BD164:BD168)</f>
        <v>33.1004</v>
      </c>
      <c r="BU164">
        <v>270</v>
      </c>
      <c r="BV164" t="s">
        <v>70</v>
      </c>
      <c r="BW164">
        <v>40320</v>
      </c>
      <c r="BX164">
        <v>96</v>
      </c>
      <c r="BY164">
        <v>4</v>
      </c>
      <c r="BZ164">
        <v>4</v>
      </c>
      <c r="CA164">
        <v>1091.76</v>
      </c>
      <c r="CB164">
        <v>40.027999999999999</v>
      </c>
      <c r="CQ164" s="54">
        <f t="shared" si="218"/>
        <v>39.985333333333337</v>
      </c>
    </row>
    <row r="165" spans="1:95">
      <c r="A165">
        <v>1</v>
      </c>
      <c r="B165" t="s">
        <v>7</v>
      </c>
      <c r="C165">
        <v>40064</v>
      </c>
      <c r="D165">
        <v>128</v>
      </c>
      <c r="E165">
        <v>2</v>
      </c>
      <c r="F165">
        <v>8</v>
      </c>
      <c r="G165">
        <v>1117.02</v>
      </c>
      <c r="H165" s="59">
        <v>38.383000000000003</v>
      </c>
      <c r="I165" s="27">
        <v>45483</v>
      </c>
      <c r="J165" s="53">
        <v>0.91642361111111115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 s="66">
        <f t="shared" ref="W165" si="246">W164</f>
        <v>38.232600000000005</v>
      </c>
      <c r="Y165">
        <v>1</v>
      </c>
      <c r="Z165" t="s">
        <v>7</v>
      </c>
      <c r="AA165">
        <v>40064</v>
      </c>
      <c r="AB165">
        <v>128</v>
      </c>
      <c r="AC165">
        <v>2</v>
      </c>
      <c r="AD165">
        <v>8</v>
      </c>
      <c r="AE165" s="1">
        <v>931.01</v>
      </c>
      <c r="AF165" s="48">
        <v>46.051000000000002</v>
      </c>
      <c r="AG165" s="27">
        <v>45501</v>
      </c>
      <c r="AH165" s="53">
        <v>0.26474537037037038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 s="66">
        <f t="shared" ref="AU165" si="247">AU164</f>
        <v>45.218400000000003</v>
      </c>
      <c r="AW165">
        <v>1</v>
      </c>
      <c r="AX165" t="s">
        <v>7</v>
      </c>
      <c r="AY165">
        <v>40064</v>
      </c>
      <c r="AZ165">
        <v>128</v>
      </c>
      <c r="BA165">
        <v>2</v>
      </c>
      <c r="BB165">
        <v>8</v>
      </c>
      <c r="BC165">
        <v>1294.28</v>
      </c>
      <c r="BD165" s="61">
        <v>33.125999999999998</v>
      </c>
      <c r="BE165" s="27">
        <v>45490</v>
      </c>
      <c r="BF165" s="53">
        <v>0.78446759259259258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 s="8">
        <f t="shared" ref="BS165" si="248">BS164</f>
        <v>33.1004</v>
      </c>
      <c r="BU165">
        <v>341</v>
      </c>
      <c r="BV165" t="s">
        <v>70</v>
      </c>
      <c r="BW165">
        <v>40320</v>
      </c>
      <c r="BX165">
        <v>96</v>
      </c>
      <c r="BY165">
        <v>4</v>
      </c>
      <c r="BZ165">
        <v>4</v>
      </c>
      <c r="CA165">
        <v>1092.47</v>
      </c>
      <c r="CB165">
        <v>40.002000000000002</v>
      </c>
      <c r="CQ165" s="54">
        <f t="shared" si="218"/>
        <v>39.985333333333337</v>
      </c>
    </row>
    <row r="166" spans="1:95">
      <c r="A166">
        <v>2</v>
      </c>
      <c r="B166" t="s">
        <v>7</v>
      </c>
      <c r="C166">
        <v>40064</v>
      </c>
      <c r="D166">
        <v>128</v>
      </c>
      <c r="E166">
        <v>2</v>
      </c>
      <c r="F166">
        <v>8</v>
      </c>
      <c r="G166">
        <v>1104.6300000000001</v>
      </c>
      <c r="H166" s="59">
        <v>38.813000000000002</v>
      </c>
      <c r="I166" s="27">
        <v>45484</v>
      </c>
      <c r="J166" s="53">
        <v>0.77893518518518523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 s="66">
        <f t="shared" si="215"/>
        <v>38.232600000000005</v>
      </c>
      <c r="Y166">
        <v>2</v>
      </c>
      <c r="Z166" t="s">
        <v>7</v>
      </c>
      <c r="AA166">
        <v>40064</v>
      </c>
      <c r="AB166">
        <v>128</v>
      </c>
      <c r="AC166">
        <v>2</v>
      </c>
      <c r="AD166">
        <v>8</v>
      </c>
      <c r="AE166">
        <v>951.37</v>
      </c>
      <c r="AF166" s="48">
        <v>45.066000000000003</v>
      </c>
      <c r="AG166" s="27">
        <v>45502</v>
      </c>
      <c r="AH166" s="53">
        <v>5.9988425925925924E-2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 s="66">
        <f t="shared" si="208"/>
        <v>45.218400000000003</v>
      </c>
      <c r="AW166">
        <v>2</v>
      </c>
      <c r="AX166" t="s">
        <v>7</v>
      </c>
      <c r="AY166">
        <v>40064</v>
      </c>
      <c r="AZ166">
        <v>128</v>
      </c>
      <c r="BA166">
        <v>2</v>
      </c>
      <c r="BB166">
        <v>8</v>
      </c>
      <c r="BC166">
        <v>1296.73</v>
      </c>
      <c r="BD166" s="61">
        <v>33.063000000000002</v>
      </c>
      <c r="BE166" s="27">
        <v>45491</v>
      </c>
      <c r="BF166" s="53">
        <v>0.87009259259259264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 s="8">
        <f t="shared" si="209"/>
        <v>33.1004</v>
      </c>
      <c r="BU166">
        <v>412</v>
      </c>
      <c r="BV166" t="s">
        <v>70</v>
      </c>
      <c r="BW166">
        <v>40320</v>
      </c>
      <c r="BX166">
        <v>96</v>
      </c>
      <c r="BY166">
        <v>4</v>
      </c>
      <c r="BZ166">
        <v>4</v>
      </c>
      <c r="CA166">
        <v>1090.6199999999999</v>
      </c>
      <c r="CB166">
        <v>40.07</v>
      </c>
      <c r="CQ166" s="54">
        <f t="shared" si="218"/>
        <v>39.985333333333337</v>
      </c>
    </row>
    <row r="167" spans="1:95">
      <c r="A167">
        <v>3</v>
      </c>
      <c r="B167" t="s">
        <v>7</v>
      </c>
      <c r="C167">
        <v>40064</v>
      </c>
      <c r="D167">
        <v>128</v>
      </c>
      <c r="E167">
        <v>2</v>
      </c>
      <c r="F167">
        <v>8</v>
      </c>
      <c r="G167">
        <v>1140.06</v>
      </c>
      <c r="H167" s="59">
        <v>37.606999999999999</v>
      </c>
      <c r="I167" s="27">
        <v>45485</v>
      </c>
      <c r="J167" s="53">
        <v>0.64880787037037035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s="66">
        <f t="shared" si="215"/>
        <v>38.232600000000005</v>
      </c>
      <c r="Y167">
        <v>3</v>
      </c>
      <c r="Z167" t="s">
        <v>7</v>
      </c>
      <c r="AA167">
        <v>40064</v>
      </c>
      <c r="AB167">
        <v>128</v>
      </c>
      <c r="AC167">
        <v>2</v>
      </c>
      <c r="AD167">
        <v>8</v>
      </c>
      <c r="AE167">
        <v>944.72</v>
      </c>
      <c r="AF167" s="48">
        <v>45.383000000000003</v>
      </c>
      <c r="AG167" s="27">
        <v>45502</v>
      </c>
      <c r="AH167" s="53">
        <v>0.85436342592592596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 s="66">
        <f t="shared" si="208"/>
        <v>45.218400000000003</v>
      </c>
      <c r="AW167">
        <v>3</v>
      </c>
      <c r="AX167" t="s">
        <v>7</v>
      </c>
      <c r="AY167">
        <v>40064</v>
      </c>
      <c r="AZ167">
        <v>128</v>
      </c>
      <c r="BA167">
        <v>2</v>
      </c>
      <c r="BB167">
        <v>8</v>
      </c>
      <c r="BC167">
        <v>1291.1199999999999</v>
      </c>
      <c r="BD167" s="61">
        <v>33.207000000000001</v>
      </c>
      <c r="BE167" s="27">
        <v>45492</v>
      </c>
      <c r="BF167" s="53">
        <v>0.95550925925925922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 s="8">
        <f t="shared" si="209"/>
        <v>33.1004</v>
      </c>
      <c r="BU167">
        <v>10</v>
      </c>
      <c r="BV167" t="s">
        <v>70</v>
      </c>
      <c r="BW167">
        <v>35968</v>
      </c>
      <c r="BX167">
        <v>128</v>
      </c>
      <c r="BY167">
        <v>1</v>
      </c>
      <c r="BZ167">
        <v>16</v>
      </c>
      <c r="CA167">
        <v>767.79</v>
      </c>
      <c r="CB167">
        <v>40.405999999999999</v>
      </c>
      <c r="CQ167" s="54">
        <f t="shared" ref="CQ167" si="249">AVERAGE(CB167:CB172)</f>
        <v>40.006666666666668</v>
      </c>
    </row>
    <row r="168" spans="1:95">
      <c r="A168">
        <v>4</v>
      </c>
      <c r="B168" t="s">
        <v>7</v>
      </c>
      <c r="C168">
        <v>40064</v>
      </c>
      <c r="D168">
        <v>128</v>
      </c>
      <c r="E168">
        <v>2</v>
      </c>
      <c r="F168">
        <v>8</v>
      </c>
      <c r="G168">
        <v>1136.1199999999999</v>
      </c>
      <c r="H168" s="59">
        <v>37.738</v>
      </c>
      <c r="I168" s="27">
        <v>45486</v>
      </c>
      <c r="J168" s="53">
        <v>0.53710648148148143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 s="66">
        <f t="shared" si="215"/>
        <v>38.232600000000005</v>
      </c>
      <c r="Y168">
        <v>4</v>
      </c>
      <c r="Z168" t="s">
        <v>7</v>
      </c>
      <c r="AA168">
        <v>40064</v>
      </c>
      <c r="AB168">
        <v>128</v>
      </c>
      <c r="AC168">
        <v>2</v>
      </c>
      <c r="AD168">
        <v>8</v>
      </c>
      <c r="AE168">
        <v>977.74</v>
      </c>
      <c r="AF168" s="48">
        <v>43.85</v>
      </c>
      <c r="AG168" s="27">
        <v>45503</v>
      </c>
      <c r="AH168" s="53">
        <v>0.64931712962962962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 s="66">
        <f t="shared" si="208"/>
        <v>45.218400000000003</v>
      </c>
      <c r="AW168">
        <v>4</v>
      </c>
      <c r="AX168" t="s">
        <v>7</v>
      </c>
      <c r="AY168">
        <v>40064</v>
      </c>
      <c r="AZ168">
        <v>128</v>
      </c>
      <c r="BA168">
        <v>2</v>
      </c>
      <c r="BB168">
        <v>8</v>
      </c>
      <c r="BC168">
        <v>1297.74</v>
      </c>
      <c r="BD168" s="61">
        <v>33.037999999999997</v>
      </c>
      <c r="BE168" s="27">
        <v>45494</v>
      </c>
      <c r="BF168" s="53">
        <v>4.1238425925925928E-2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 s="8">
        <f t="shared" si="209"/>
        <v>33.1004</v>
      </c>
      <c r="BU168">
        <v>81</v>
      </c>
      <c r="BV168" t="s">
        <v>70</v>
      </c>
      <c r="BW168">
        <v>35968</v>
      </c>
      <c r="BX168">
        <v>128</v>
      </c>
      <c r="BY168">
        <v>1</v>
      </c>
      <c r="BZ168">
        <v>16</v>
      </c>
      <c r="CA168">
        <v>776.56</v>
      </c>
      <c r="CB168">
        <v>39.950000000000003</v>
      </c>
      <c r="CQ168" s="54">
        <f t="shared" ref="CQ168" si="250">CQ167</f>
        <v>40.006666666666668</v>
      </c>
    </row>
    <row r="169" spans="1:95">
      <c r="A169">
        <v>0</v>
      </c>
      <c r="B169" t="s">
        <v>7</v>
      </c>
      <c r="C169">
        <v>35968</v>
      </c>
      <c r="D169">
        <v>128</v>
      </c>
      <c r="E169">
        <v>4</v>
      </c>
      <c r="F169">
        <v>4</v>
      </c>
      <c r="G169" s="1">
        <v>843.16</v>
      </c>
      <c r="H169" s="59">
        <v>36.793999999999997</v>
      </c>
      <c r="I169" s="27">
        <v>45482</v>
      </c>
      <c r="J169" s="53">
        <v>0.48806712962962961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 s="66">
        <f t="shared" ref="W169" si="251">AVERAGE(H169:H173)</f>
        <v>37.413799999999995</v>
      </c>
      <c r="Y169">
        <v>0</v>
      </c>
      <c r="Z169" t="s">
        <v>7</v>
      </c>
      <c r="AA169">
        <v>35968</v>
      </c>
      <c r="AB169">
        <v>128</v>
      </c>
      <c r="AC169">
        <v>4</v>
      </c>
      <c r="AD169">
        <v>4</v>
      </c>
      <c r="AE169">
        <v>737.76</v>
      </c>
      <c r="AF169" s="48">
        <v>42.051000000000002</v>
      </c>
      <c r="AG169" s="27">
        <v>45499</v>
      </c>
      <c r="AH169" s="53">
        <v>0.62497685185185181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 s="66">
        <f t="shared" ref="AU169" si="252">AVERAGE(AF169:AF173)</f>
        <v>41.830400000000004</v>
      </c>
      <c r="AW169">
        <v>0</v>
      </c>
      <c r="AX169" t="s">
        <v>7</v>
      </c>
      <c r="AY169">
        <v>35968</v>
      </c>
      <c r="AZ169">
        <v>128</v>
      </c>
      <c r="BA169">
        <v>4</v>
      </c>
      <c r="BB169">
        <v>4</v>
      </c>
      <c r="BC169">
        <v>1042.43</v>
      </c>
      <c r="BD169" s="61">
        <v>29.76</v>
      </c>
      <c r="BE169" s="27">
        <v>45488</v>
      </c>
      <c r="BF169" s="53">
        <v>0.68283564814814812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 s="8">
        <f t="shared" ref="BS169" si="253">AVERAGE(BD169:BD173)</f>
        <v>29.500999999999998</v>
      </c>
      <c r="BU169">
        <v>152</v>
      </c>
      <c r="BV169" t="s">
        <v>70</v>
      </c>
      <c r="BW169">
        <v>35968</v>
      </c>
      <c r="BX169">
        <v>128</v>
      </c>
      <c r="BY169">
        <v>1</v>
      </c>
      <c r="BZ169">
        <v>16</v>
      </c>
      <c r="CA169">
        <v>766.6</v>
      </c>
      <c r="CB169">
        <v>40.469000000000001</v>
      </c>
      <c r="CQ169" s="54">
        <f t="shared" si="218"/>
        <v>40.006666666666668</v>
      </c>
    </row>
    <row r="170" spans="1:95">
      <c r="A170">
        <v>1</v>
      </c>
      <c r="B170" t="s">
        <v>7</v>
      </c>
      <c r="C170">
        <v>35968</v>
      </c>
      <c r="D170">
        <v>128</v>
      </c>
      <c r="E170">
        <v>4</v>
      </c>
      <c r="F170">
        <v>4</v>
      </c>
      <c r="G170">
        <v>821.15</v>
      </c>
      <c r="H170" s="59">
        <v>37.78</v>
      </c>
      <c r="I170" s="27">
        <v>45483</v>
      </c>
      <c r="J170" s="53">
        <v>0.34834490740740742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 s="66">
        <f t="shared" ref="W170" si="254">W169</f>
        <v>37.413799999999995</v>
      </c>
      <c r="Y170">
        <v>1</v>
      </c>
      <c r="Z170" t="s">
        <v>7</v>
      </c>
      <c r="AA170">
        <v>35968</v>
      </c>
      <c r="AB170">
        <v>128</v>
      </c>
      <c r="AC170">
        <v>4</v>
      </c>
      <c r="AD170">
        <v>4</v>
      </c>
      <c r="AE170">
        <v>755.36</v>
      </c>
      <c r="AF170" s="48">
        <v>41.070999999999998</v>
      </c>
      <c r="AG170" s="27">
        <v>45500</v>
      </c>
      <c r="AH170" s="53">
        <v>0.74572916666666667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 s="66">
        <f t="shared" ref="AU170" si="255">AU169</f>
        <v>41.830400000000004</v>
      </c>
      <c r="AW170">
        <v>1</v>
      </c>
      <c r="AX170" t="s">
        <v>7</v>
      </c>
      <c r="AY170">
        <v>35968</v>
      </c>
      <c r="AZ170">
        <v>128</v>
      </c>
      <c r="BA170">
        <v>4</v>
      </c>
      <c r="BB170">
        <v>4</v>
      </c>
      <c r="BC170">
        <v>1054.5899999999999</v>
      </c>
      <c r="BD170" s="61">
        <v>29.417000000000002</v>
      </c>
      <c r="BE170" s="27">
        <v>45490</v>
      </c>
      <c r="BF170" s="53">
        <v>7.6805555555555557E-2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 s="8">
        <f t="shared" ref="BS170" si="256">BS169</f>
        <v>29.500999999999998</v>
      </c>
      <c r="BU170">
        <v>223</v>
      </c>
      <c r="BV170" t="s">
        <v>70</v>
      </c>
      <c r="BW170">
        <v>35968</v>
      </c>
      <c r="BX170">
        <v>128</v>
      </c>
      <c r="BY170">
        <v>1</v>
      </c>
      <c r="BZ170">
        <v>16</v>
      </c>
      <c r="CA170">
        <v>780.23</v>
      </c>
      <c r="CB170">
        <v>39.761000000000003</v>
      </c>
      <c r="CQ170" s="54">
        <f t="shared" si="218"/>
        <v>40.006666666666668</v>
      </c>
    </row>
    <row r="171" spans="1:95">
      <c r="A171">
        <v>2</v>
      </c>
      <c r="B171" t="s">
        <v>7</v>
      </c>
      <c r="C171">
        <v>35968</v>
      </c>
      <c r="D171">
        <v>128</v>
      </c>
      <c r="E171">
        <v>4</v>
      </c>
      <c r="F171">
        <v>4</v>
      </c>
      <c r="G171">
        <v>816.4</v>
      </c>
      <c r="H171" s="59">
        <v>38</v>
      </c>
      <c r="I171" s="27">
        <v>45484</v>
      </c>
      <c r="J171" s="53">
        <v>0.21312500000000001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s="66">
        <f t="shared" si="215"/>
        <v>37.413799999999995</v>
      </c>
      <c r="Y171">
        <v>2</v>
      </c>
      <c r="Z171" t="s">
        <v>7</v>
      </c>
      <c r="AA171">
        <v>35968</v>
      </c>
      <c r="AB171">
        <v>128</v>
      </c>
      <c r="AC171">
        <v>4</v>
      </c>
      <c r="AD171">
        <v>4</v>
      </c>
      <c r="AE171" s="1">
        <v>736.4</v>
      </c>
      <c r="AF171" s="48">
        <v>42.128</v>
      </c>
      <c r="AG171" s="27">
        <v>45501</v>
      </c>
      <c r="AH171" s="53">
        <v>0.53996527777777781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 s="66">
        <f t="shared" si="208"/>
        <v>41.830400000000004</v>
      </c>
      <c r="AW171">
        <v>2</v>
      </c>
      <c r="AX171" t="s">
        <v>7</v>
      </c>
      <c r="AY171">
        <v>35968</v>
      </c>
      <c r="AZ171">
        <v>128</v>
      </c>
      <c r="BA171">
        <v>4</v>
      </c>
      <c r="BB171">
        <v>4</v>
      </c>
      <c r="BC171">
        <v>1055.8800000000001</v>
      </c>
      <c r="BD171" s="61">
        <v>29.381</v>
      </c>
      <c r="BE171" s="27">
        <v>45491</v>
      </c>
      <c r="BF171" s="53">
        <v>0.16250000000000001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 s="8">
        <f t="shared" si="209"/>
        <v>29.500999999999998</v>
      </c>
      <c r="BU171">
        <v>294</v>
      </c>
      <c r="BV171" t="s">
        <v>70</v>
      </c>
      <c r="BW171">
        <v>35968</v>
      </c>
      <c r="BX171">
        <v>128</v>
      </c>
      <c r="BY171">
        <v>1</v>
      </c>
      <c r="BZ171">
        <v>16</v>
      </c>
      <c r="CA171">
        <v>776.14</v>
      </c>
      <c r="CB171">
        <v>39.970999999999997</v>
      </c>
      <c r="CQ171" s="54">
        <f t="shared" si="218"/>
        <v>40.006666666666668</v>
      </c>
    </row>
    <row r="172" spans="1:95">
      <c r="A172">
        <v>3</v>
      </c>
      <c r="B172" t="s">
        <v>7</v>
      </c>
      <c r="C172">
        <v>35968</v>
      </c>
      <c r="D172">
        <v>128</v>
      </c>
      <c r="E172">
        <v>4</v>
      </c>
      <c r="F172">
        <v>4</v>
      </c>
      <c r="G172">
        <v>825.8</v>
      </c>
      <c r="H172" s="59">
        <v>37.567999999999998</v>
      </c>
      <c r="I172" s="27">
        <v>45485</v>
      </c>
      <c r="J172" s="53">
        <v>7.5995370370370366E-2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s="66">
        <f t="shared" si="215"/>
        <v>37.413799999999995</v>
      </c>
      <c r="Y172">
        <v>3</v>
      </c>
      <c r="Z172" t="s">
        <v>7</v>
      </c>
      <c r="AA172">
        <v>35968</v>
      </c>
      <c r="AB172">
        <v>128</v>
      </c>
      <c r="AC172">
        <v>4</v>
      </c>
      <c r="AD172">
        <v>4</v>
      </c>
      <c r="AE172">
        <v>740.68</v>
      </c>
      <c r="AF172" s="48">
        <v>41.884</v>
      </c>
      <c r="AG172" s="27">
        <v>45502</v>
      </c>
      <c r="AH172" s="53">
        <v>0.33456018518518521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 s="66">
        <f t="shared" si="208"/>
        <v>41.830400000000004</v>
      </c>
      <c r="AW172">
        <v>3</v>
      </c>
      <c r="AX172" t="s">
        <v>7</v>
      </c>
      <c r="AY172">
        <v>35968</v>
      </c>
      <c r="AZ172">
        <v>128</v>
      </c>
      <c r="BA172">
        <v>4</v>
      </c>
      <c r="BB172">
        <v>4</v>
      </c>
      <c r="BC172">
        <v>1050.1300000000001</v>
      </c>
      <c r="BD172" s="61">
        <v>29.542000000000002</v>
      </c>
      <c r="BE172" s="27">
        <v>45492</v>
      </c>
      <c r="BF172" s="53">
        <v>0.24717592592592594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 s="8">
        <f t="shared" si="209"/>
        <v>29.500999999999998</v>
      </c>
      <c r="BU172">
        <v>365</v>
      </c>
      <c r="BV172" t="s">
        <v>70</v>
      </c>
      <c r="BW172">
        <v>35968</v>
      </c>
      <c r="BX172">
        <v>128</v>
      </c>
      <c r="BY172">
        <v>1</v>
      </c>
      <c r="BZ172">
        <v>16</v>
      </c>
      <c r="CA172">
        <v>785.73</v>
      </c>
      <c r="CB172">
        <v>39.482999999999997</v>
      </c>
      <c r="CQ172" s="54">
        <f t="shared" si="218"/>
        <v>40.006666666666668</v>
      </c>
    </row>
    <row r="173" spans="1:95">
      <c r="A173">
        <v>4</v>
      </c>
      <c r="B173" t="s">
        <v>7</v>
      </c>
      <c r="C173">
        <v>35968</v>
      </c>
      <c r="D173">
        <v>128</v>
      </c>
      <c r="E173">
        <v>4</v>
      </c>
      <c r="F173">
        <v>4</v>
      </c>
      <c r="G173">
        <v>840.12</v>
      </c>
      <c r="H173" s="59">
        <v>36.927</v>
      </c>
      <c r="I173" s="27">
        <v>45485</v>
      </c>
      <c r="J173" s="53">
        <v>0.95447916666666666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 s="66">
        <f t="shared" si="215"/>
        <v>37.413799999999995</v>
      </c>
      <c r="Y173">
        <v>4</v>
      </c>
      <c r="Z173" t="s">
        <v>7</v>
      </c>
      <c r="AA173">
        <v>35968</v>
      </c>
      <c r="AB173">
        <v>128</v>
      </c>
      <c r="AC173">
        <v>4</v>
      </c>
      <c r="AD173">
        <v>4</v>
      </c>
      <c r="AE173">
        <v>738.33</v>
      </c>
      <c r="AF173" s="48">
        <v>42.018000000000001</v>
      </c>
      <c r="AG173" s="27">
        <v>45503</v>
      </c>
      <c r="AH173" s="53">
        <v>0.12937499999999999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 s="66">
        <f t="shared" si="208"/>
        <v>41.830400000000004</v>
      </c>
      <c r="AW173">
        <v>4</v>
      </c>
      <c r="AX173" t="s">
        <v>7</v>
      </c>
      <c r="AY173">
        <v>35968</v>
      </c>
      <c r="AZ173">
        <v>128</v>
      </c>
      <c r="BA173">
        <v>4</v>
      </c>
      <c r="BB173">
        <v>4</v>
      </c>
      <c r="BC173">
        <v>1055.04</v>
      </c>
      <c r="BD173" s="61">
        <v>29.405000000000001</v>
      </c>
      <c r="BE173" s="27">
        <v>45493</v>
      </c>
      <c r="BF173" s="53">
        <v>0.33280092592592592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 s="8">
        <f t="shared" si="209"/>
        <v>29.500999999999998</v>
      </c>
      <c r="BU173">
        <v>34</v>
      </c>
      <c r="BV173" t="s">
        <v>70</v>
      </c>
      <c r="BW173">
        <v>38144</v>
      </c>
      <c r="BX173">
        <v>128</v>
      </c>
      <c r="BY173">
        <v>1</v>
      </c>
      <c r="BZ173">
        <v>16</v>
      </c>
      <c r="CA173">
        <v>971.46</v>
      </c>
      <c r="CB173">
        <v>38.088000000000001</v>
      </c>
      <c r="CQ173" s="54">
        <f t="shared" ref="CQ173" si="257">AVERAGE(CB173:CB178)</f>
        <v>39.55383333333333</v>
      </c>
    </row>
    <row r="174" spans="1:95">
      <c r="A174">
        <v>0</v>
      </c>
      <c r="B174" t="s">
        <v>7</v>
      </c>
      <c r="C174">
        <v>38016</v>
      </c>
      <c r="D174">
        <v>128</v>
      </c>
      <c r="E174">
        <v>4</v>
      </c>
      <c r="F174">
        <v>4</v>
      </c>
      <c r="G174" s="1">
        <v>955.14</v>
      </c>
      <c r="H174" s="59">
        <v>38.35</v>
      </c>
      <c r="I174" s="27">
        <v>45482</v>
      </c>
      <c r="J174" s="53">
        <v>0.75469907407407411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 s="66">
        <f t="shared" ref="W174" si="258">AVERAGE(H174:H178)</f>
        <v>37.741200000000006</v>
      </c>
      <c r="Y174">
        <v>0</v>
      </c>
      <c r="Z174" t="s">
        <v>7</v>
      </c>
      <c r="AA174">
        <v>38016</v>
      </c>
      <c r="AB174">
        <v>128</v>
      </c>
      <c r="AC174">
        <v>4</v>
      </c>
      <c r="AD174">
        <v>4</v>
      </c>
      <c r="AE174" s="1">
        <v>850.85</v>
      </c>
      <c r="AF174" s="48">
        <v>43.051000000000002</v>
      </c>
      <c r="AG174" s="27">
        <v>45499</v>
      </c>
      <c r="AH174" s="53">
        <v>0.86930555555555555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 s="66">
        <f t="shared" ref="AU174" si="259">AVERAGE(AF174:AF178)</f>
        <v>42.014399999999995</v>
      </c>
      <c r="AW174">
        <v>0</v>
      </c>
      <c r="AX174" t="s">
        <v>7</v>
      </c>
      <c r="AY174">
        <v>38016</v>
      </c>
      <c r="AZ174">
        <v>128</v>
      </c>
      <c r="BA174">
        <v>4</v>
      </c>
      <c r="BB174">
        <v>4</v>
      </c>
      <c r="BC174">
        <v>1199.8399999999999</v>
      </c>
      <c r="BD174" s="61">
        <v>30.529</v>
      </c>
      <c r="BE174" s="27">
        <v>45489</v>
      </c>
      <c r="BF174" s="53">
        <v>2.045138888888889E-2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 s="8">
        <f t="shared" ref="BS174" si="260">AVERAGE(BD174:BD178)</f>
        <v>30.378399999999999</v>
      </c>
      <c r="BU174">
        <v>105</v>
      </c>
      <c r="BV174" t="s">
        <v>70</v>
      </c>
      <c r="BW174">
        <v>38144</v>
      </c>
      <c r="BX174">
        <v>128</v>
      </c>
      <c r="BY174">
        <v>1</v>
      </c>
      <c r="BZ174">
        <v>16</v>
      </c>
      <c r="CA174">
        <v>900.7</v>
      </c>
      <c r="CB174">
        <v>41.08</v>
      </c>
      <c r="CQ174" s="54">
        <f t="shared" ref="CQ174" si="261">CQ173</f>
        <v>39.55383333333333</v>
      </c>
    </row>
    <row r="175" spans="1:95">
      <c r="A175">
        <v>1</v>
      </c>
      <c r="B175" t="s">
        <v>7</v>
      </c>
      <c r="C175">
        <v>38016</v>
      </c>
      <c r="D175">
        <v>128</v>
      </c>
      <c r="E175">
        <v>4</v>
      </c>
      <c r="F175">
        <v>4</v>
      </c>
      <c r="G175">
        <v>969.76</v>
      </c>
      <c r="H175" s="59">
        <v>37.771999999999998</v>
      </c>
      <c r="I175" s="27">
        <v>45483</v>
      </c>
      <c r="J175" s="53">
        <v>0.61888888888888893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s="66">
        <f t="shared" ref="W175" si="262">W174</f>
        <v>37.741200000000006</v>
      </c>
      <c r="Y175">
        <v>1</v>
      </c>
      <c r="Z175" t="s">
        <v>7</v>
      </c>
      <c r="AA175">
        <v>38016</v>
      </c>
      <c r="AB175">
        <v>128</v>
      </c>
      <c r="AC175">
        <v>4</v>
      </c>
      <c r="AD175">
        <v>4</v>
      </c>
      <c r="AE175">
        <v>856.82</v>
      </c>
      <c r="AF175" s="48">
        <v>42.750999999999998</v>
      </c>
      <c r="AG175" s="27">
        <v>45500</v>
      </c>
      <c r="AH175" s="53">
        <v>0.9909606481481481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 s="66">
        <f t="shared" ref="AU175" si="263">AU174</f>
        <v>42.014399999999995</v>
      </c>
      <c r="AW175">
        <v>1</v>
      </c>
      <c r="AX175" t="s">
        <v>7</v>
      </c>
      <c r="AY175">
        <v>38016</v>
      </c>
      <c r="AZ175">
        <v>128</v>
      </c>
      <c r="BA175">
        <v>4</v>
      </c>
      <c r="BB175">
        <v>4</v>
      </c>
      <c r="BC175">
        <v>1212.5</v>
      </c>
      <c r="BD175" s="61">
        <v>30.21</v>
      </c>
      <c r="BE175" s="27">
        <v>45490</v>
      </c>
      <c r="BF175" s="53">
        <v>0.4140625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 s="8">
        <f t="shared" ref="BS175" si="264">BS174</f>
        <v>30.378399999999999</v>
      </c>
      <c r="BU175">
        <v>176</v>
      </c>
      <c r="BV175" t="s">
        <v>70</v>
      </c>
      <c r="BW175">
        <v>38144</v>
      </c>
      <c r="BX175">
        <v>128</v>
      </c>
      <c r="BY175">
        <v>1</v>
      </c>
      <c r="BZ175">
        <v>16</v>
      </c>
      <c r="CA175">
        <v>905.24</v>
      </c>
      <c r="CB175">
        <v>40.874000000000002</v>
      </c>
      <c r="CQ175" s="54">
        <f t="shared" si="218"/>
        <v>39.55383333333333</v>
      </c>
    </row>
    <row r="176" spans="1:95">
      <c r="A176">
        <v>2</v>
      </c>
      <c r="B176" t="s">
        <v>7</v>
      </c>
      <c r="C176">
        <v>38016</v>
      </c>
      <c r="D176">
        <v>128</v>
      </c>
      <c r="E176">
        <v>4</v>
      </c>
      <c r="F176">
        <v>4</v>
      </c>
      <c r="G176">
        <v>959.92</v>
      </c>
      <c r="H176" s="59">
        <v>38.158999999999999</v>
      </c>
      <c r="I176" s="27">
        <v>45484</v>
      </c>
      <c r="J176" s="53">
        <v>0.48159722222222223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s="66">
        <f t="shared" si="215"/>
        <v>37.741200000000006</v>
      </c>
      <c r="Y176">
        <v>2</v>
      </c>
      <c r="Z176" t="s">
        <v>7</v>
      </c>
      <c r="AA176">
        <v>38016</v>
      </c>
      <c r="AB176">
        <v>128</v>
      </c>
      <c r="AC176">
        <v>4</v>
      </c>
      <c r="AD176">
        <v>4</v>
      </c>
      <c r="AE176">
        <v>860.56</v>
      </c>
      <c r="AF176" s="48">
        <v>42.564999999999998</v>
      </c>
      <c r="AG176" s="27">
        <v>45501</v>
      </c>
      <c r="AH176" s="53">
        <v>0.78505787037037034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 s="66">
        <f t="shared" si="208"/>
        <v>42.014399999999995</v>
      </c>
      <c r="AW176">
        <v>2</v>
      </c>
      <c r="AX176" t="s">
        <v>7</v>
      </c>
      <c r="AY176">
        <v>38016</v>
      </c>
      <c r="AZ176">
        <v>128</v>
      </c>
      <c r="BA176">
        <v>4</v>
      </c>
      <c r="BB176">
        <v>4</v>
      </c>
      <c r="BC176">
        <v>1215.57</v>
      </c>
      <c r="BD176" s="61">
        <v>30.134</v>
      </c>
      <c r="BE176" s="27">
        <v>45491</v>
      </c>
      <c r="BF176" s="53">
        <v>0.5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 s="8">
        <f t="shared" si="209"/>
        <v>30.378399999999999</v>
      </c>
      <c r="BU176">
        <v>247</v>
      </c>
      <c r="BV176" t="s">
        <v>70</v>
      </c>
      <c r="BW176">
        <v>38144</v>
      </c>
      <c r="BX176">
        <v>128</v>
      </c>
      <c r="BY176">
        <v>1</v>
      </c>
      <c r="BZ176">
        <v>16</v>
      </c>
      <c r="CA176">
        <v>912.02</v>
      </c>
      <c r="CB176">
        <v>40.570999999999998</v>
      </c>
      <c r="CQ176" s="54">
        <f t="shared" si="218"/>
        <v>39.55383333333333</v>
      </c>
    </row>
    <row r="177" spans="1:95">
      <c r="A177">
        <v>3</v>
      </c>
      <c r="B177" t="s">
        <v>7</v>
      </c>
      <c r="C177">
        <v>38016</v>
      </c>
      <c r="D177">
        <v>128</v>
      </c>
      <c r="E177">
        <v>4</v>
      </c>
      <c r="F177">
        <v>4</v>
      </c>
      <c r="G177">
        <v>960.14</v>
      </c>
      <c r="H177" s="59">
        <v>38.15</v>
      </c>
      <c r="I177" s="27">
        <v>45485</v>
      </c>
      <c r="J177" s="53">
        <v>0.34347222222222223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s="66">
        <f t="shared" si="215"/>
        <v>37.741200000000006</v>
      </c>
      <c r="Y177">
        <v>3</v>
      </c>
      <c r="Z177" t="s">
        <v>7</v>
      </c>
      <c r="AA177">
        <v>38016</v>
      </c>
      <c r="AB177">
        <v>128</v>
      </c>
      <c r="AC177">
        <v>4</v>
      </c>
      <c r="AD177">
        <v>4</v>
      </c>
      <c r="AE177">
        <v>850.11</v>
      </c>
      <c r="AF177" s="48">
        <v>43.088000000000001</v>
      </c>
      <c r="AG177" s="27">
        <v>45502</v>
      </c>
      <c r="AH177" s="53">
        <v>0.57961805555555557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 s="66">
        <f t="shared" si="208"/>
        <v>42.014399999999995</v>
      </c>
      <c r="AW177">
        <v>3</v>
      </c>
      <c r="AX177" t="s">
        <v>7</v>
      </c>
      <c r="AY177">
        <v>38016</v>
      </c>
      <c r="AZ177">
        <v>128</v>
      </c>
      <c r="BA177">
        <v>4</v>
      </c>
      <c r="BB177">
        <v>4</v>
      </c>
      <c r="BC177">
        <v>1196.46</v>
      </c>
      <c r="BD177" s="61">
        <v>30.614999999999998</v>
      </c>
      <c r="BE177" s="27">
        <v>45492</v>
      </c>
      <c r="BF177" s="53">
        <v>0.58503472222222219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 s="8">
        <f t="shared" si="209"/>
        <v>30.378399999999999</v>
      </c>
      <c r="BU177">
        <v>318</v>
      </c>
      <c r="BV177" t="s">
        <v>70</v>
      </c>
      <c r="BW177">
        <v>38144</v>
      </c>
      <c r="BX177">
        <v>128</v>
      </c>
      <c r="BY177">
        <v>1</v>
      </c>
      <c r="BZ177">
        <v>16</v>
      </c>
      <c r="CA177">
        <v>909.81</v>
      </c>
      <c r="CB177">
        <v>40.668999999999997</v>
      </c>
      <c r="CQ177" s="54">
        <f t="shared" si="218"/>
        <v>39.55383333333333</v>
      </c>
    </row>
    <row r="178" spans="1:95">
      <c r="A178">
        <v>4</v>
      </c>
      <c r="B178" t="s">
        <v>7</v>
      </c>
      <c r="C178">
        <v>38016</v>
      </c>
      <c r="D178">
        <v>128</v>
      </c>
      <c r="E178">
        <v>4</v>
      </c>
      <c r="F178">
        <v>4</v>
      </c>
      <c r="G178">
        <v>1009.79</v>
      </c>
      <c r="H178" s="59">
        <v>36.274999999999999</v>
      </c>
      <c r="I178" s="27">
        <v>45486</v>
      </c>
      <c r="J178" s="53">
        <v>0.2308449074074074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s="66">
        <f t="shared" si="215"/>
        <v>37.741200000000006</v>
      </c>
      <c r="Y178">
        <v>4</v>
      </c>
      <c r="Z178" t="s">
        <v>7</v>
      </c>
      <c r="AA178">
        <v>38016</v>
      </c>
      <c r="AB178">
        <v>128</v>
      </c>
      <c r="AC178">
        <v>4</v>
      </c>
      <c r="AD178">
        <v>4</v>
      </c>
      <c r="AE178">
        <v>948.53</v>
      </c>
      <c r="AF178" s="48">
        <v>38.616999999999997</v>
      </c>
      <c r="AG178" s="27">
        <v>45503</v>
      </c>
      <c r="AH178" s="53">
        <v>0.37537037037037035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 s="66">
        <f t="shared" si="208"/>
        <v>42.014399999999995</v>
      </c>
      <c r="AW178">
        <v>4</v>
      </c>
      <c r="AX178" t="s">
        <v>7</v>
      </c>
      <c r="AY178">
        <v>38016</v>
      </c>
      <c r="AZ178">
        <v>128</v>
      </c>
      <c r="BA178">
        <v>4</v>
      </c>
      <c r="BB178">
        <v>4</v>
      </c>
      <c r="BC178">
        <v>1204.77</v>
      </c>
      <c r="BD178" s="61">
        <v>30.404</v>
      </c>
      <c r="BE178" s="27">
        <v>45493</v>
      </c>
      <c r="BF178" s="53">
        <v>0.67045138888888889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 s="8">
        <f t="shared" si="209"/>
        <v>30.378399999999999</v>
      </c>
      <c r="BU178">
        <v>389</v>
      </c>
      <c r="BV178" t="s">
        <v>70</v>
      </c>
      <c r="BW178">
        <v>38144</v>
      </c>
      <c r="BX178">
        <v>128</v>
      </c>
      <c r="BY178">
        <v>1</v>
      </c>
      <c r="BZ178">
        <v>16</v>
      </c>
      <c r="CA178">
        <v>1026.6400000000001</v>
      </c>
      <c r="CB178">
        <v>36.040999999999997</v>
      </c>
      <c r="CQ178" s="54">
        <f t="shared" si="218"/>
        <v>39.55383333333333</v>
      </c>
    </row>
    <row r="179" spans="1:95">
      <c r="A179">
        <v>0</v>
      </c>
      <c r="B179" t="s">
        <v>7</v>
      </c>
      <c r="C179">
        <v>40064</v>
      </c>
      <c r="D179">
        <v>128</v>
      </c>
      <c r="E179">
        <v>4</v>
      </c>
      <c r="F179">
        <v>4</v>
      </c>
      <c r="G179" s="1">
        <v>1089.81</v>
      </c>
      <c r="H179" s="59">
        <v>39.341000000000001</v>
      </c>
      <c r="I179" s="27">
        <v>45483</v>
      </c>
      <c r="J179" s="53">
        <v>6.4201388888888891E-2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s="66">
        <f t="shared" ref="W179" si="265">AVERAGE(H179:H183)</f>
        <v>38.856399999999994</v>
      </c>
      <c r="Y179">
        <v>0</v>
      </c>
      <c r="Z179" t="s">
        <v>7</v>
      </c>
      <c r="AA179">
        <v>40064</v>
      </c>
      <c r="AB179">
        <v>128</v>
      </c>
      <c r="AC179">
        <v>4</v>
      </c>
      <c r="AD179">
        <v>4</v>
      </c>
      <c r="AE179">
        <v>992.5</v>
      </c>
      <c r="AF179" s="48">
        <v>43.198</v>
      </c>
      <c r="AG179" s="27">
        <v>45500</v>
      </c>
      <c r="AH179" s="53">
        <v>0.15487268518518518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 s="66">
        <f t="shared" ref="AU179" si="266">AVERAGE(AF179:AF183)</f>
        <v>43.093000000000004</v>
      </c>
      <c r="AW179">
        <v>0</v>
      </c>
      <c r="AX179" t="s">
        <v>7</v>
      </c>
      <c r="AY179">
        <v>40064</v>
      </c>
      <c r="AZ179">
        <v>128</v>
      </c>
      <c r="BA179">
        <v>4</v>
      </c>
      <c r="BB179">
        <v>4</v>
      </c>
      <c r="BC179">
        <v>1368.18</v>
      </c>
      <c r="BD179" s="61">
        <v>31.337</v>
      </c>
      <c r="BE179" s="27">
        <v>45489</v>
      </c>
      <c r="BF179" s="53">
        <v>0.4079976851851852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 s="8">
        <f t="shared" ref="BS179" si="267">AVERAGE(BD179:BD183)</f>
        <v>31.154200000000003</v>
      </c>
      <c r="BU179">
        <v>58</v>
      </c>
      <c r="BV179" t="s">
        <v>70</v>
      </c>
      <c r="BW179">
        <v>40320</v>
      </c>
      <c r="BX179">
        <v>128</v>
      </c>
      <c r="BY179">
        <v>1</v>
      </c>
      <c r="BZ179">
        <v>16</v>
      </c>
      <c r="CA179">
        <v>1057.24</v>
      </c>
      <c r="CB179">
        <v>41.335000000000001</v>
      </c>
      <c r="CQ179" s="54">
        <f t="shared" ref="CQ179" si="268">AVERAGE(CB179:CB184)</f>
        <v>41.100333333333332</v>
      </c>
    </row>
    <row r="180" spans="1:95">
      <c r="A180">
        <v>1</v>
      </c>
      <c r="B180" t="s">
        <v>7</v>
      </c>
      <c r="C180">
        <v>40064</v>
      </c>
      <c r="D180">
        <v>128</v>
      </c>
      <c r="E180">
        <v>4</v>
      </c>
      <c r="F180">
        <v>4</v>
      </c>
      <c r="G180">
        <v>1092.4100000000001</v>
      </c>
      <c r="H180" s="59">
        <v>39.247999999999998</v>
      </c>
      <c r="I180" s="27">
        <v>45483</v>
      </c>
      <c r="J180" s="53">
        <v>0.92937499999999995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s="66">
        <f t="shared" ref="W180" si="269">W179</f>
        <v>38.856399999999994</v>
      </c>
      <c r="Y180">
        <v>1</v>
      </c>
      <c r="Z180" t="s">
        <v>7</v>
      </c>
      <c r="AA180">
        <v>40064</v>
      </c>
      <c r="AB180">
        <v>128</v>
      </c>
      <c r="AC180">
        <v>4</v>
      </c>
      <c r="AD180">
        <v>4</v>
      </c>
      <c r="AE180">
        <v>995.74</v>
      </c>
      <c r="AF180" s="48">
        <v>43.057000000000002</v>
      </c>
      <c r="AG180" s="27">
        <v>45501</v>
      </c>
      <c r="AH180" s="53">
        <v>0.27658564814814812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 s="66">
        <f t="shared" ref="AU180" si="270">AU179</f>
        <v>43.093000000000004</v>
      </c>
      <c r="AW180">
        <v>1</v>
      </c>
      <c r="AX180" t="s">
        <v>7</v>
      </c>
      <c r="AY180">
        <v>40064</v>
      </c>
      <c r="AZ180">
        <v>128</v>
      </c>
      <c r="BA180">
        <v>4</v>
      </c>
      <c r="BB180">
        <v>4</v>
      </c>
      <c r="BC180">
        <v>1374.42</v>
      </c>
      <c r="BD180" s="61">
        <v>31.193999999999999</v>
      </c>
      <c r="BE180" s="27">
        <v>45490</v>
      </c>
      <c r="BF180" s="53">
        <v>0.8013541666666667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 s="8">
        <f t="shared" ref="BS180" si="271">BS179</f>
        <v>31.154200000000003</v>
      </c>
      <c r="BU180">
        <v>129</v>
      </c>
      <c r="BV180" t="s">
        <v>70</v>
      </c>
      <c r="BW180">
        <v>40320</v>
      </c>
      <c r="BX180">
        <v>128</v>
      </c>
      <c r="BY180">
        <v>1</v>
      </c>
      <c r="BZ180">
        <v>16</v>
      </c>
      <c r="CA180">
        <v>1062.1199999999999</v>
      </c>
      <c r="CB180">
        <v>41.145000000000003</v>
      </c>
      <c r="CQ180" s="54">
        <f t="shared" ref="CQ180" si="272">CQ179</f>
        <v>41.100333333333332</v>
      </c>
    </row>
    <row r="181" spans="1:95">
      <c r="A181">
        <v>2</v>
      </c>
      <c r="B181" t="s">
        <v>7</v>
      </c>
      <c r="C181">
        <v>40064</v>
      </c>
      <c r="D181">
        <v>128</v>
      </c>
      <c r="E181">
        <v>4</v>
      </c>
      <c r="F181">
        <v>4</v>
      </c>
      <c r="G181">
        <v>1095.52</v>
      </c>
      <c r="H181" s="59">
        <v>39.136000000000003</v>
      </c>
      <c r="I181" s="27">
        <v>45484</v>
      </c>
      <c r="J181" s="53">
        <v>0.79192129629629626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s="66">
        <f t="shared" si="215"/>
        <v>38.856399999999994</v>
      </c>
      <c r="Y181">
        <v>2</v>
      </c>
      <c r="Z181" t="s">
        <v>7</v>
      </c>
      <c r="AA181">
        <v>40064</v>
      </c>
      <c r="AB181">
        <v>128</v>
      </c>
      <c r="AC181">
        <v>4</v>
      </c>
      <c r="AD181">
        <v>4</v>
      </c>
      <c r="AE181">
        <v>991.15</v>
      </c>
      <c r="AF181" s="48">
        <v>43.256999999999998</v>
      </c>
      <c r="AG181" s="27">
        <v>45502</v>
      </c>
      <c r="AH181" s="53">
        <v>7.1782407407407406E-2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 s="66">
        <f t="shared" si="208"/>
        <v>43.093000000000004</v>
      </c>
      <c r="AW181">
        <v>2</v>
      </c>
      <c r="AX181" t="s">
        <v>7</v>
      </c>
      <c r="AY181">
        <v>40064</v>
      </c>
      <c r="AZ181">
        <v>128</v>
      </c>
      <c r="BA181">
        <v>4</v>
      </c>
      <c r="BB181">
        <v>4</v>
      </c>
      <c r="BC181">
        <v>1375.66</v>
      </c>
      <c r="BD181" s="61">
        <v>31.166</v>
      </c>
      <c r="BE181" s="27">
        <v>45491</v>
      </c>
      <c r="BF181" s="53">
        <v>0.88699074074074069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 s="8">
        <f t="shared" si="209"/>
        <v>31.154200000000003</v>
      </c>
      <c r="BU181">
        <v>200</v>
      </c>
      <c r="BV181" t="s">
        <v>70</v>
      </c>
      <c r="BW181">
        <v>40320</v>
      </c>
      <c r="BX181">
        <v>128</v>
      </c>
      <c r="BY181">
        <v>1</v>
      </c>
      <c r="BZ181">
        <v>16</v>
      </c>
      <c r="CA181">
        <v>1071.92</v>
      </c>
      <c r="CB181">
        <v>40.768999999999998</v>
      </c>
      <c r="CQ181" s="54">
        <f t="shared" si="218"/>
        <v>41.100333333333332</v>
      </c>
    </row>
    <row r="182" spans="1:95">
      <c r="A182">
        <v>3</v>
      </c>
      <c r="B182" t="s">
        <v>7</v>
      </c>
      <c r="C182">
        <v>40064</v>
      </c>
      <c r="D182">
        <v>128</v>
      </c>
      <c r="E182">
        <v>4</v>
      </c>
      <c r="F182">
        <v>4</v>
      </c>
      <c r="G182">
        <v>1122.04</v>
      </c>
      <c r="H182" s="59">
        <v>38.210999999999999</v>
      </c>
      <c r="I182" s="27">
        <v>45485</v>
      </c>
      <c r="J182" s="53">
        <v>0.66211805555555558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s="66">
        <f t="shared" si="215"/>
        <v>38.856399999999994</v>
      </c>
      <c r="Y182">
        <v>3</v>
      </c>
      <c r="Z182" t="s">
        <v>7</v>
      </c>
      <c r="AA182">
        <v>40064</v>
      </c>
      <c r="AB182">
        <v>128</v>
      </c>
      <c r="AC182">
        <v>4</v>
      </c>
      <c r="AD182">
        <v>4</v>
      </c>
      <c r="AE182" s="1">
        <v>1002</v>
      </c>
      <c r="AF182" s="48">
        <v>42.787999999999997</v>
      </c>
      <c r="AG182" s="27">
        <v>45502</v>
      </c>
      <c r="AH182" s="53">
        <v>0.86627314814814815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 s="66">
        <f t="shared" si="208"/>
        <v>43.093000000000004</v>
      </c>
      <c r="AW182">
        <v>3</v>
      </c>
      <c r="AX182" t="s">
        <v>7</v>
      </c>
      <c r="AY182">
        <v>40064</v>
      </c>
      <c r="AZ182">
        <v>128</v>
      </c>
      <c r="BA182">
        <v>4</v>
      </c>
      <c r="BB182">
        <v>4</v>
      </c>
      <c r="BC182">
        <v>1370.71</v>
      </c>
      <c r="BD182" s="61">
        <v>31.279</v>
      </c>
      <c r="BE182" s="27">
        <v>45492</v>
      </c>
      <c r="BF182" s="53">
        <v>0.97234953703703708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 s="8">
        <f t="shared" si="209"/>
        <v>31.154200000000003</v>
      </c>
      <c r="BU182">
        <v>271</v>
      </c>
      <c r="BV182" t="s">
        <v>70</v>
      </c>
      <c r="BW182">
        <v>40320</v>
      </c>
      <c r="BX182">
        <v>128</v>
      </c>
      <c r="BY182">
        <v>1</v>
      </c>
      <c r="BZ182">
        <v>16</v>
      </c>
      <c r="CA182">
        <v>1070.24</v>
      </c>
      <c r="CB182">
        <v>40.832999999999998</v>
      </c>
      <c r="CQ182" s="54">
        <f t="shared" si="218"/>
        <v>41.100333333333332</v>
      </c>
    </row>
    <row r="183" spans="1:95">
      <c r="A183">
        <v>4</v>
      </c>
      <c r="B183" t="s">
        <v>7</v>
      </c>
      <c r="C183">
        <v>40064</v>
      </c>
      <c r="D183">
        <v>128</v>
      </c>
      <c r="E183">
        <v>4</v>
      </c>
      <c r="F183">
        <v>4</v>
      </c>
      <c r="G183">
        <v>1118.0999999999999</v>
      </c>
      <c r="H183" s="59">
        <v>38.345999999999997</v>
      </c>
      <c r="I183" s="27">
        <v>45486</v>
      </c>
      <c r="J183" s="53">
        <v>0.55035879629629625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s="66">
        <f t="shared" si="215"/>
        <v>38.856399999999994</v>
      </c>
      <c r="Y183">
        <v>4</v>
      </c>
      <c r="Z183" t="s">
        <v>7</v>
      </c>
      <c r="AA183">
        <v>40064</v>
      </c>
      <c r="AB183">
        <v>128</v>
      </c>
      <c r="AC183">
        <v>4</v>
      </c>
      <c r="AD183">
        <v>4</v>
      </c>
      <c r="AE183">
        <v>993.27</v>
      </c>
      <c r="AF183" s="48">
        <v>43.164999999999999</v>
      </c>
      <c r="AG183" s="27">
        <v>45503</v>
      </c>
      <c r="AH183" s="53">
        <v>0.66112268518518513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 s="66">
        <f t="shared" si="208"/>
        <v>43.093000000000004</v>
      </c>
      <c r="AW183">
        <v>4</v>
      </c>
      <c r="AX183" t="s">
        <v>7</v>
      </c>
      <c r="AY183">
        <v>40064</v>
      </c>
      <c r="AZ183">
        <v>128</v>
      </c>
      <c r="BA183">
        <v>4</v>
      </c>
      <c r="BB183">
        <v>4</v>
      </c>
      <c r="BC183">
        <v>1392.26</v>
      </c>
      <c r="BD183" s="61">
        <v>30.795000000000002</v>
      </c>
      <c r="BE183" s="27">
        <v>45494</v>
      </c>
      <c r="BF183" s="53">
        <v>5.8333333333333334E-2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 s="8">
        <f t="shared" si="209"/>
        <v>31.154200000000003</v>
      </c>
      <c r="BU183">
        <v>342</v>
      </c>
      <c r="BV183" t="s">
        <v>70</v>
      </c>
      <c r="BW183">
        <v>40320</v>
      </c>
      <c r="BX183">
        <v>128</v>
      </c>
      <c r="BY183">
        <v>1</v>
      </c>
      <c r="BZ183">
        <v>16</v>
      </c>
      <c r="CA183">
        <v>1061.5</v>
      </c>
      <c r="CB183">
        <v>41.17</v>
      </c>
      <c r="CQ183" s="54">
        <f t="shared" si="218"/>
        <v>41.100333333333332</v>
      </c>
    </row>
    <row r="184" spans="1:95">
      <c r="A184">
        <v>0</v>
      </c>
      <c r="B184" t="s">
        <v>7</v>
      </c>
      <c r="C184">
        <v>36000</v>
      </c>
      <c r="D184">
        <v>160</v>
      </c>
      <c r="E184">
        <v>1</v>
      </c>
      <c r="F184">
        <v>16</v>
      </c>
      <c r="G184" s="1">
        <v>760.58</v>
      </c>
      <c r="H184" s="59">
        <v>40.898000000000003</v>
      </c>
      <c r="I184" s="27">
        <v>45482</v>
      </c>
      <c r="J184" s="53">
        <v>0.49715277777777778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s="66">
        <f t="shared" ref="W184" si="273">AVERAGE(H184:H188)</f>
        <v>40.327799999999996</v>
      </c>
      <c r="Y184">
        <v>0</v>
      </c>
      <c r="Z184" t="s">
        <v>7</v>
      </c>
      <c r="AA184">
        <v>36000</v>
      </c>
      <c r="AB184">
        <v>160</v>
      </c>
      <c r="AC184">
        <v>1</v>
      </c>
      <c r="AD184">
        <v>16</v>
      </c>
      <c r="AE184">
        <v>769.59</v>
      </c>
      <c r="AF184" s="48">
        <v>40.418999999999997</v>
      </c>
      <c r="AG184" s="27">
        <v>45499</v>
      </c>
      <c r="AH184" s="53">
        <v>0.63418981481481485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 s="66">
        <f t="shared" ref="AU184" si="274">AVERAGE(AF184:AF188)</f>
        <v>40.647800000000004</v>
      </c>
      <c r="AW184">
        <v>0</v>
      </c>
      <c r="AX184" t="s">
        <v>7</v>
      </c>
      <c r="AY184">
        <v>36000</v>
      </c>
      <c r="AZ184">
        <v>160</v>
      </c>
      <c r="BA184">
        <v>1</v>
      </c>
      <c r="BB184">
        <v>16</v>
      </c>
      <c r="BC184">
        <v>973.79</v>
      </c>
      <c r="BD184" s="61">
        <v>31.943000000000001</v>
      </c>
      <c r="BE184" s="27">
        <v>45488</v>
      </c>
      <c r="BF184" s="53">
        <v>0.69497685185185187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 s="8">
        <f t="shared" ref="BS184" si="275">AVERAGE(BD184:BD188)</f>
        <v>31.865400000000001</v>
      </c>
      <c r="BU184">
        <v>413</v>
      </c>
      <c r="BV184" t="s">
        <v>70</v>
      </c>
      <c r="BW184">
        <v>40320</v>
      </c>
      <c r="BX184">
        <v>128</v>
      </c>
      <c r="BY184">
        <v>1</v>
      </c>
      <c r="BZ184">
        <v>16</v>
      </c>
      <c r="CA184">
        <v>1056.8599999999999</v>
      </c>
      <c r="CB184">
        <v>41.35</v>
      </c>
      <c r="CQ184" s="54">
        <f t="shared" si="218"/>
        <v>41.100333333333332</v>
      </c>
    </row>
    <row r="185" spans="1:95">
      <c r="A185">
        <v>1</v>
      </c>
      <c r="B185" t="s">
        <v>7</v>
      </c>
      <c r="C185">
        <v>36000</v>
      </c>
      <c r="D185">
        <v>160</v>
      </c>
      <c r="E185">
        <v>1</v>
      </c>
      <c r="F185">
        <v>16</v>
      </c>
      <c r="G185">
        <v>762.58</v>
      </c>
      <c r="H185" s="59">
        <v>40.790999999999997</v>
      </c>
      <c r="I185" s="27">
        <v>45483</v>
      </c>
      <c r="J185" s="53">
        <v>0.35745370370370372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s="66">
        <f t="shared" ref="W185" si="276">W184</f>
        <v>40.327799999999996</v>
      </c>
      <c r="Y185">
        <v>1</v>
      </c>
      <c r="Z185" t="s">
        <v>7</v>
      </c>
      <c r="AA185">
        <v>36000</v>
      </c>
      <c r="AB185">
        <v>160</v>
      </c>
      <c r="AC185">
        <v>1</v>
      </c>
      <c r="AD185">
        <v>16</v>
      </c>
      <c r="AE185">
        <v>763.56</v>
      </c>
      <c r="AF185" s="48">
        <v>40.738</v>
      </c>
      <c r="AG185" s="27">
        <v>45500</v>
      </c>
      <c r="AH185" s="53">
        <v>0.75488425925925928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 s="66">
        <f t="shared" ref="AU185" si="277">AU184</f>
        <v>40.647800000000004</v>
      </c>
      <c r="AW185">
        <v>1</v>
      </c>
      <c r="AX185" t="s">
        <v>7</v>
      </c>
      <c r="AY185">
        <v>36000</v>
      </c>
      <c r="AZ185">
        <v>160</v>
      </c>
      <c r="BA185">
        <v>1</v>
      </c>
      <c r="BB185">
        <v>16</v>
      </c>
      <c r="BC185">
        <v>970.76</v>
      </c>
      <c r="BD185" s="61">
        <v>32.042999999999999</v>
      </c>
      <c r="BE185" s="27">
        <v>45490</v>
      </c>
      <c r="BF185" s="53">
        <v>8.8865740740740745E-2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 s="8">
        <f t="shared" ref="BS185" si="278">BS184</f>
        <v>31.865400000000001</v>
      </c>
      <c r="BU185">
        <v>11</v>
      </c>
      <c r="BV185" t="s">
        <v>70</v>
      </c>
      <c r="BW185">
        <v>35968</v>
      </c>
      <c r="BX185">
        <v>128</v>
      </c>
      <c r="BY185">
        <v>2</v>
      </c>
      <c r="BZ185">
        <v>8</v>
      </c>
      <c r="CA185">
        <v>776.08</v>
      </c>
      <c r="CB185">
        <v>39.973999999999997</v>
      </c>
      <c r="CQ185" s="54">
        <f t="shared" ref="CQ185" si="279">AVERAGE(CB185:CB190)</f>
        <v>40.198</v>
      </c>
    </row>
    <row r="186" spans="1:95">
      <c r="A186">
        <v>2</v>
      </c>
      <c r="B186" t="s">
        <v>7</v>
      </c>
      <c r="C186">
        <v>36000</v>
      </c>
      <c r="D186">
        <v>160</v>
      </c>
      <c r="E186">
        <v>1</v>
      </c>
      <c r="F186">
        <v>16</v>
      </c>
      <c r="G186">
        <v>763.61</v>
      </c>
      <c r="H186" s="59">
        <v>40.734999999999999</v>
      </c>
      <c r="I186" s="27">
        <v>45484</v>
      </c>
      <c r="J186" s="53">
        <v>0.22224537037037037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s="66">
        <f t="shared" si="215"/>
        <v>40.327799999999996</v>
      </c>
      <c r="Y186">
        <v>2</v>
      </c>
      <c r="Z186" t="s">
        <v>7</v>
      </c>
      <c r="AA186">
        <v>36000</v>
      </c>
      <c r="AB186">
        <v>160</v>
      </c>
      <c r="AC186">
        <v>1</v>
      </c>
      <c r="AD186">
        <v>16</v>
      </c>
      <c r="AE186">
        <v>764.31</v>
      </c>
      <c r="AF186" s="48">
        <v>40.698</v>
      </c>
      <c r="AG186" s="27">
        <v>45501</v>
      </c>
      <c r="AH186" s="53">
        <v>0.54913194444444446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 s="66">
        <f t="shared" si="208"/>
        <v>40.647800000000004</v>
      </c>
      <c r="AW186">
        <v>2</v>
      </c>
      <c r="AX186" t="s">
        <v>7</v>
      </c>
      <c r="AY186">
        <v>36000</v>
      </c>
      <c r="AZ186">
        <v>160</v>
      </c>
      <c r="BA186">
        <v>1</v>
      </c>
      <c r="BB186">
        <v>16</v>
      </c>
      <c r="BC186">
        <v>977.66</v>
      </c>
      <c r="BD186" s="61">
        <v>31.817</v>
      </c>
      <c r="BE186" s="27">
        <v>45491</v>
      </c>
      <c r="BF186" s="53">
        <v>0.1746412037037037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 s="8">
        <f t="shared" si="209"/>
        <v>31.865400000000001</v>
      </c>
      <c r="BU186">
        <v>82</v>
      </c>
      <c r="BV186" t="s">
        <v>70</v>
      </c>
      <c r="BW186">
        <v>35968</v>
      </c>
      <c r="BX186">
        <v>128</v>
      </c>
      <c r="BY186">
        <v>2</v>
      </c>
      <c r="BZ186">
        <v>8</v>
      </c>
      <c r="CA186">
        <v>774</v>
      </c>
      <c r="CB186">
        <v>40.082000000000001</v>
      </c>
      <c r="CQ186" s="54">
        <f t="shared" ref="CQ186" si="280">CQ185</f>
        <v>40.198</v>
      </c>
    </row>
    <row r="187" spans="1:95">
      <c r="A187">
        <v>3</v>
      </c>
      <c r="B187" t="s">
        <v>7</v>
      </c>
      <c r="C187">
        <v>36000</v>
      </c>
      <c r="D187">
        <v>160</v>
      </c>
      <c r="E187">
        <v>1</v>
      </c>
      <c r="F187">
        <v>16</v>
      </c>
      <c r="G187">
        <v>764.88</v>
      </c>
      <c r="H187" s="59">
        <v>40.667999999999999</v>
      </c>
      <c r="I187" s="27">
        <v>45485</v>
      </c>
      <c r="J187" s="53">
        <v>8.5127314814814808E-2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 s="66">
        <f t="shared" si="215"/>
        <v>40.327799999999996</v>
      </c>
      <c r="Y187">
        <v>3</v>
      </c>
      <c r="Z187" t="s">
        <v>7</v>
      </c>
      <c r="AA187">
        <v>36000</v>
      </c>
      <c r="AB187">
        <v>160</v>
      </c>
      <c r="AC187">
        <v>1</v>
      </c>
      <c r="AD187">
        <v>16</v>
      </c>
      <c r="AE187">
        <v>766.08</v>
      </c>
      <c r="AF187" s="48">
        <v>40.603999999999999</v>
      </c>
      <c r="AG187" s="27">
        <v>45502</v>
      </c>
      <c r="AH187" s="53">
        <v>0.34372685185185187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 s="66">
        <f t="shared" si="208"/>
        <v>40.647800000000004</v>
      </c>
      <c r="AW187">
        <v>3</v>
      </c>
      <c r="AX187" t="s">
        <v>7</v>
      </c>
      <c r="AY187">
        <v>36000</v>
      </c>
      <c r="AZ187">
        <v>160</v>
      </c>
      <c r="BA187">
        <v>1</v>
      </c>
      <c r="BB187">
        <v>16</v>
      </c>
      <c r="BC187">
        <v>975.94</v>
      </c>
      <c r="BD187" s="61">
        <v>31.873000000000001</v>
      </c>
      <c r="BE187" s="27">
        <v>45492</v>
      </c>
      <c r="BF187" s="53">
        <v>0.25929398148148147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 s="8">
        <f t="shared" si="209"/>
        <v>31.865400000000001</v>
      </c>
      <c r="BU187">
        <v>153</v>
      </c>
      <c r="BV187" t="s">
        <v>70</v>
      </c>
      <c r="BW187">
        <v>35968</v>
      </c>
      <c r="BX187">
        <v>128</v>
      </c>
      <c r="BY187">
        <v>2</v>
      </c>
      <c r="BZ187">
        <v>8</v>
      </c>
      <c r="CA187">
        <v>771.57</v>
      </c>
      <c r="CB187">
        <v>40.207999999999998</v>
      </c>
      <c r="CQ187" s="54">
        <f t="shared" si="218"/>
        <v>40.198</v>
      </c>
    </row>
    <row r="188" spans="1:95">
      <c r="A188">
        <v>4</v>
      </c>
      <c r="B188" t="s">
        <v>7</v>
      </c>
      <c r="C188">
        <v>36000</v>
      </c>
      <c r="D188">
        <v>160</v>
      </c>
      <c r="E188">
        <v>1</v>
      </c>
      <c r="F188">
        <v>16</v>
      </c>
      <c r="G188">
        <v>806.97</v>
      </c>
      <c r="H188" s="59">
        <v>38.546999999999997</v>
      </c>
      <c r="I188" s="27">
        <v>45485</v>
      </c>
      <c r="J188" s="53">
        <v>0.96410879629629631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s="66">
        <f t="shared" si="215"/>
        <v>40.327799999999996</v>
      </c>
      <c r="Y188">
        <v>4</v>
      </c>
      <c r="Z188" t="s">
        <v>7</v>
      </c>
      <c r="AA188">
        <v>36000</v>
      </c>
      <c r="AB188">
        <v>160</v>
      </c>
      <c r="AC188">
        <v>1</v>
      </c>
      <c r="AD188">
        <v>16</v>
      </c>
      <c r="AE188" s="1">
        <v>762.77</v>
      </c>
      <c r="AF188" s="48">
        <v>40.78</v>
      </c>
      <c r="AG188" s="27">
        <v>45503</v>
      </c>
      <c r="AH188" s="53">
        <v>0.13851851851851851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 s="66">
        <f t="shared" si="208"/>
        <v>40.647800000000004</v>
      </c>
      <c r="AW188">
        <v>4</v>
      </c>
      <c r="AX188" t="s">
        <v>7</v>
      </c>
      <c r="AY188">
        <v>36000</v>
      </c>
      <c r="AZ188">
        <v>160</v>
      </c>
      <c r="BA188">
        <v>1</v>
      </c>
      <c r="BB188">
        <v>16</v>
      </c>
      <c r="BC188">
        <v>982.77</v>
      </c>
      <c r="BD188" s="61">
        <v>31.651</v>
      </c>
      <c r="BE188" s="27">
        <v>45493</v>
      </c>
      <c r="BF188" s="53">
        <v>0.34499999999999997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 s="8">
        <f t="shared" si="209"/>
        <v>31.865400000000001</v>
      </c>
      <c r="BU188">
        <v>224</v>
      </c>
      <c r="BV188" t="s">
        <v>70</v>
      </c>
      <c r="BW188">
        <v>35968</v>
      </c>
      <c r="BX188">
        <v>128</v>
      </c>
      <c r="BY188">
        <v>2</v>
      </c>
      <c r="BZ188">
        <v>8</v>
      </c>
      <c r="CA188">
        <v>788.27</v>
      </c>
      <c r="CB188">
        <v>39.356000000000002</v>
      </c>
      <c r="CQ188" s="54">
        <f t="shared" si="218"/>
        <v>40.198</v>
      </c>
    </row>
    <row r="189" spans="1:95">
      <c r="A189">
        <v>0</v>
      </c>
      <c r="B189" t="s">
        <v>7</v>
      </c>
      <c r="C189">
        <v>38080</v>
      </c>
      <c r="D189">
        <v>160</v>
      </c>
      <c r="E189">
        <v>1</v>
      </c>
      <c r="F189">
        <v>16</v>
      </c>
      <c r="G189" s="1">
        <v>892.94</v>
      </c>
      <c r="H189" s="59">
        <v>41.228999999999999</v>
      </c>
      <c r="I189" s="27">
        <v>45482</v>
      </c>
      <c r="J189" s="53">
        <v>0.76533564814814814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s="66">
        <f t="shared" ref="W189" si="281">AVERAGE(H189:H193)</f>
        <v>40.86</v>
      </c>
      <c r="Y189">
        <v>0</v>
      </c>
      <c r="Z189" t="s">
        <v>7</v>
      </c>
      <c r="AA189">
        <v>38080</v>
      </c>
      <c r="AB189">
        <v>160</v>
      </c>
      <c r="AC189">
        <v>1</v>
      </c>
      <c r="AD189">
        <v>16</v>
      </c>
      <c r="AE189">
        <v>888.67</v>
      </c>
      <c r="AF189" s="48">
        <v>41.427</v>
      </c>
      <c r="AG189" s="27">
        <v>45499</v>
      </c>
      <c r="AH189" s="53">
        <v>0.87991898148148151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 s="66">
        <f t="shared" ref="AU189" si="282">AVERAGE(AF189:AF193)</f>
        <v>41.413799999999995</v>
      </c>
      <c r="AW189">
        <v>0</v>
      </c>
      <c r="AX189" t="s">
        <v>7</v>
      </c>
      <c r="AY189">
        <v>38080</v>
      </c>
      <c r="AZ189">
        <v>160</v>
      </c>
      <c r="BA189">
        <v>1</v>
      </c>
      <c r="BB189">
        <v>16</v>
      </c>
      <c r="BC189">
        <v>1124.5</v>
      </c>
      <c r="BD189" s="61">
        <v>32.738999999999997</v>
      </c>
      <c r="BE189" s="27">
        <v>45489</v>
      </c>
      <c r="BF189" s="53">
        <v>3.439814814814815E-2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 s="8">
        <f t="shared" ref="BS189" si="283">AVERAGE(BD189:BD193)</f>
        <v>32.728999999999999</v>
      </c>
      <c r="BU189">
        <v>295</v>
      </c>
      <c r="BV189" t="s">
        <v>70</v>
      </c>
      <c r="BW189">
        <v>35968</v>
      </c>
      <c r="BX189">
        <v>128</v>
      </c>
      <c r="BY189">
        <v>2</v>
      </c>
      <c r="BZ189">
        <v>8</v>
      </c>
      <c r="CA189">
        <v>760.2</v>
      </c>
      <c r="CB189">
        <v>40.808999999999997</v>
      </c>
      <c r="CQ189" s="54">
        <f t="shared" si="218"/>
        <v>40.198</v>
      </c>
    </row>
    <row r="190" spans="1:95">
      <c r="A190">
        <v>1</v>
      </c>
      <c r="B190" t="s">
        <v>7</v>
      </c>
      <c r="C190">
        <v>38080</v>
      </c>
      <c r="D190">
        <v>160</v>
      </c>
      <c r="E190">
        <v>1</v>
      </c>
      <c r="F190">
        <v>16</v>
      </c>
      <c r="G190">
        <v>890.54</v>
      </c>
      <c r="H190" s="59">
        <v>41.34</v>
      </c>
      <c r="I190" s="27">
        <v>45483</v>
      </c>
      <c r="J190" s="53">
        <v>0.62949074074074074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s="66">
        <f t="shared" ref="W190" si="284">W189</f>
        <v>40.86</v>
      </c>
      <c r="Y190">
        <v>1</v>
      </c>
      <c r="Z190" t="s">
        <v>7</v>
      </c>
      <c r="AA190">
        <v>38080</v>
      </c>
      <c r="AB190">
        <v>160</v>
      </c>
      <c r="AC190">
        <v>1</v>
      </c>
      <c r="AD190">
        <v>16</v>
      </c>
      <c r="AE190">
        <v>891.5</v>
      </c>
      <c r="AF190" s="48">
        <v>41.295999999999999</v>
      </c>
      <c r="AG190" s="27">
        <v>45501</v>
      </c>
      <c r="AH190" s="53">
        <v>1.6087962962962963E-3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 s="66">
        <f t="shared" ref="AU190" si="285">AU189</f>
        <v>41.413799999999995</v>
      </c>
      <c r="AW190">
        <v>1</v>
      </c>
      <c r="AX190" t="s">
        <v>7</v>
      </c>
      <c r="AY190">
        <v>38080</v>
      </c>
      <c r="AZ190">
        <v>160</v>
      </c>
      <c r="BA190">
        <v>1</v>
      </c>
      <c r="BB190">
        <v>16</v>
      </c>
      <c r="BC190">
        <v>1125.3499999999999</v>
      </c>
      <c r="BD190" s="61">
        <v>32.713999999999999</v>
      </c>
      <c r="BE190" s="27">
        <v>45490</v>
      </c>
      <c r="BF190" s="53">
        <v>0.42798611111111112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 s="8">
        <f t="shared" ref="BS190" si="286">BS189</f>
        <v>32.728999999999999</v>
      </c>
      <c r="BU190">
        <v>366</v>
      </c>
      <c r="BV190" t="s">
        <v>70</v>
      </c>
      <c r="BW190">
        <v>35968</v>
      </c>
      <c r="BX190">
        <v>128</v>
      </c>
      <c r="BY190">
        <v>2</v>
      </c>
      <c r="BZ190">
        <v>8</v>
      </c>
      <c r="CA190">
        <v>761.14</v>
      </c>
      <c r="CB190">
        <v>40.759</v>
      </c>
      <c r="CQ190" s="54">
        <f t="shared" si="218"/>
        <v>40.198</v>
      </c>
    </row>
    <row r="191" spans="1:95">
      <c r="A191">
        <v>2</v>
      </c>
      <c r="B191" t="s">
        <v>7</v>
      </c>
      <c r="C191">
        <v>38080</v>
      </c>
      <c r="D191">
        <v>160</v>
      </c>
      <c r="E191">
        <v>1</v>
      </c>
      <c r="F191">
        <v>16</v>
      </c>
      <c r="G191">
        <v>887.66</v>
      </c>
      <c r="H191" s="59">
        <v>41.473999999999997</v>
      </c>
      <c r="I191" s="27">
        <v>45484</v>
      </c>
      <c r="J191" s="53">
        <v>0.49216435185185187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 s="66">
        <f t="shared" si="215"/>
        <v>40.86</v>
      </c>
      <c r="Y191">
        <v>2</v>
      </c>
      <c r="Z191" t="s">
        <v>7</v>
      </c>
      <c r="AA191">
        <v>38080</v>
      </c>
      <c r="AB191">
        <v>160</v>
      </c>
      <c r="AC191">
        <v>1</v>
      </c>
      <c r="AD191">
        <v>16</v>
      </c>
      <c r="AE191" s="1">
        <v>889.73</v>
      </c>
      <c r="AF191" s="48">
        <v>41.378</v>
      </c>
      <c r="AG191" s="27">
        <v>45501</v>
      </c>
      <c r="AH191" s="53">
        <v>0.79569444444444448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 s="66">
        <f t="shared" si="208"/>
        <v>41.413799999999995</v>
      </c>
      <c r="AW191">
        <v>2</v>
      </c>
      <c r="AX191" t="s">
        <v>7</v>
      </c>
      <c r="AY191">
        <v>38080</v>
      </c>
      <c r="AZ191">
        <v>160</v>
      </c>
      <c r="BA191">
        <v>1</v>
      </c>
      <c r="BB191">
        <v>16</v>
      </c>
      <c r="BC191">
        <v>1126.3399999999999</v>
      </c>
      <c r="BD191" s="61">
        <v>32.686</v>
      </c>
      <c r="BE191" s="27">
        <v>45491</v>
      </c>
      <c r="BF191" s="53">
        <v>0.51393518518518522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 s="8">
        <f t="shared" si="209"/>
        <v>32.728999999999999</v>
      </c>
      <c r="BU191">
        <v>35</v>
      </c>
      <c r="BV191" t="s">
        <v>70</v>
      </c>
      <c r="BW191">
        <v>38144</v>
      </c>
      <c r="BX191">
        <v>128</v>
      </c>
      <c r="BY191">
        <v>2</v>
      </c>
      <c r="BZ191">
        <v>8</v>
      </c>
      <c r="CA191">
        <v>989.1</v>
      </c>
      <c r="CB191">
        <v>37.408999999999999</v>
      </c>
      <c r="CQ191" s="54">
        <f t="shared" ref="CQ191" si="287">AVERAGE(CB191:CB196)</f>
        <v>40.899333333333338</v>
      </c>
    </row>
    <row r="192" spans="1:95">
      <c r="A192">
        <v>3</v>
      </c>
      <c r="B192" t="s">
        <v>7</v>
      </c>
      <c r="C192">
        <v>38080</v>
      </c>
      <c r="D192">
        <v>160</v>
      </c>
      <c r="E192">
        <v>1</v>
      </c>
      <c r="F192">
        <v>16</v>
      </c>
      <c r="G192">
        <v>921.02</v>
      </c>
      <c r="H192" s="59">
        <v>39.972000000000001</v>
      </c>
      <c r="I192" s="27">
        <v>45485</v>
      </c>
      <c r="J192" s="53">
        <v>0.35444444444444445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 s="66">
        <f t="shared" si="215"/>
        <v>40.86</v>
      </c>
      <c r="Y192">
        <v>3</v>
      </c>
      <c r="Z192" t="s">
        <v>7</v>
      </c>
      <c r="AA192">
        <v>38080</v>
      </c>
      <c r="AB192">
        <v>160</v>
      </c>
      <c r="AC192">
        <v>1</v>
      </c>
      <c r="AD192">
        <v>16</v>
      </c>
      <c r="AE192">
        <v>888.07</v>
      </c>
      <c r="AF192" s="48">
        <v>41.454999999999998</v>
      </c>
      <c r="AG192" s="27">
        <v>45502</v>
      </c>
      <c r="AH192" s="53">
        <v>0.59023148148148152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 s="66">
        <f t="shared" si="208"/>
        <v>41.413799999999995</v>
      </c>
      <c r="AW192">
        <v>3</v>
      </c>
      <c r="AX192" t="s">
        <v>7</v>
      </c>
      <c r="AY192">
        <v>38080</v>
      </c>
      <c r="AZ192">
        <v>160</v>
      </c>
      <c r="BA192">
        <v>1</v>
      </c>
      <c r="BB192">
        <v>16</v>
      </c>
      <c r="BC192">
        <v>1124.45</v>
      </c>
      <c r="BD192" s="61">
        <v>32.741</v>
      </c>
      <c r="BE192" s="27">
        <v>45492</v>
      </c>
      <c r="BF192" s="53">
        <v>0.59894675925925922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 s="8">
        <f t="shared" si="209"/>
        <v>32.728999999999999</v>
      </c>
      <c r="BU192">
        <v>106</v>
      </c>
      <c r="BV192" t="s">
        <v>70</v>
      </c>
      <c r="BW192">
        <v>38144</v>
      </c>
      <c r="BX192">
        <v>128</v>
      </c>
      <c r="BY192">
        <v>2</v>
      </c>
      <c r="BZ192">
        <v>8</v>
      </c>
      <c r="CA192">
        <v>879.39</v>
      </c>
      <c r="CB192">
        <v>42.076000000000001</v>
      </c>
      <c r="CQ192" s="54">
        <f t="shared" ref="CQ192" si="288">CQ191</f>
        <v>40.899333333333338</v>
      </c>
    </row>
    <row r="193" spans="1:95">
      <c r="A193">
        <v>4</v>
      </c>
      <c r="B193" t="s">
        <v>7</v>
      </c>
      <c r="C193">
        <v>38080</v>
      </c>
      <c r="D193">
        <v>160</v>
      </c>
      <c r="E193">
        <v>1</v>
      </c>
      <c r="F193">
        <v>16</v>
      </c>
      <c r="G193">
        <v>913.86</v>
      </c>
      <c r="H193" s="59">
        <v>40.284999999999997</v>
      </c>
      <c r="I193" s="27">
        <v>45486</v>
      </c>
      <c r="J193" s="53">
        <v>0.24173611111111112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s="66">
        <f t="shared" si="215"/>
        <v>40.86</v>
      </c>
      <c r="Y193">
        <v>4</v>
      </c>
      <c r="Z193" t="s">
        <v>7</v>
      </c>
      <c r="AA193">
        <v>38080</v>
      </c>
      <c r="AB193">
        <v>160</v>
      </c>
      <c r="AC193">
        <v>1</v>
      </c>
      <c r="AD193">
        <v>16</v>
      </c>
      <c r="AE193">
        <v>886.83</v>
      </c>
      <c r="AF193" s="48">
        <v>41.512999999999998</v>
      </c>
      <c r="AG193" s="27">
        <v>45503</v>
      </c>
      <c r="AH193" s="53">
        <v>0.38596064814814812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 s="66">
        <f t="shared" si="208"/>
        <v>41.413799999999995</v>
      </c>
      <c r="AW193">
        <v>4</v>
      </c>
      <c r="AX193" t="s">
        <v>7</v>
      </c>
      <c r="AY193">
        <v>38080</v>
      </c>
      <c r="AZ193">
        <v>160</v>
      </c>
      <c r="BA193">
        <v>1</v>
      </c>
      <c r="BB193">
        <v>16</v>
      </c>
      <c r="BC193">
        <v>1123.5999999999999</v>
      </c>
      <c r="BD193" s="61">
        <v>32.765000000000001</v>
      </c>
      <c r="BE193" s="27">
        <v>45493</v>
      </c>
      <c r="BF193" s="53">
        <v>0.68435185185185188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 s="8">
        <f t="shared" si="209"/>
        <v>32.728999999999999</v>
      </c>
      <c r="BU193">
        <v>177</v>
      </c>
      <c r="BV193" t="s">
        <v>70</v>
      </c>
      <c r="BW193">
        <v>38144</v>
      </c>
      <c r="BX193">
        <v>128</v>
      </c>
      <c r="BY193">
        <v>2</v>
      </c>
      <c r="BZ193">
        <v>8</v>
      </c>
      <c r="CA193">
        <v>891</v>
      </c>
      <c r="CB193">
        <v>41.527000000000001</v>
      </c>
      <c r="CQ193" s="54">
        <f t="shared" si="218"/>
        <v>40.899333333333338</v>
      </c>
    </row>
    <row r="194" spans="1:95">
      <c r="A194">
        <v>0</v>
      </c>
      <c r="B194" t="s">
        <v>7</v>
      </c>
      <c r="C194">
        <v>40160</v>
      </c>
      <c r="D194">
        <v>160</v>
      </c>
      <c r="E194">
        <v>1</v>
      </c>
      <c r="F194">
        <v>16</v>
      </c>
      <c r="G194" s="1">
        <v>1031.8900000000001</v>
      </c>
      <c r="H194" s="59">
        <v>41.847999999999999</v>
      </c>
      <c r="I194" s="27">
        <v>45483</v>
      </c>
      <c r="J194" s="53">
        <v>7.6481481481481484E-2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 s="66">
        <f t="shared" ref="W194" si="289">AVERAGE(H194:H198)</f>
        <v>41.294400000000003</v>
      </c>
      <c r="Y194">
        <v>0</v>
      </c>
      <c r="Z194" t="s">
        <v>7</v>
      </c>
      <c r="AA194">
        <v>40160</v>
      </c>
      <c r="AB194">
        <v>160</v>
      </c>
      <c r="AC194">
        <v>1</v>
      </c>
      <c r="AD194">
        <v>16</v>
      </c>
      <c r="AE194" s="1">
        <v>1034.0899999999999</v>
      </c>
      <c r="AF194" s="48">
        <v>41.76</v>
      </c>
      <c r="AG194" s="27">
        <v>45500</v>
      </c>
      <c r="AH194" s="53">
        <v>0.16721064814814815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 s="66">
        <f t="shared" ref="AU194" si="290">AVERAGE(AF194:AF198)</f>
        <v>41.924599999999998</v>
      </c>
      <c r="AW194">
        <v>0</v>
      </c>
      <c r="AX194" t="s">
        <v>7</v>
      </c>
      <c r="AY194">
        <v>40160</v>
      </c>
      <c r="AZ194">
        <v>160</v>
      </c>
      <c r="BA194">
        <v>1</v>
      </c>
      <c r="BB194">
        <v>16</v>
      </c>
      <c r="BC194">
        <v>1292.96</v>
      </c>
      <c r="BD194" s="61">
        <v>33.399000000000001</v>
      </c>
      <c r="BE194" s="27">
        <v>45489</v>
      </c>
      <c r="BF194" s="53">
        <v>0.42400462962962965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 s="8">
        <f t="shared" ref="BS194" si="291">AVERAGE(BD194:BD198)</f>
        <v>33.511800000000008</v>
      </c>
      <c r="BU194">
        <v>248</v>
      </c>
      <c r="BV194" t="s">
        <v>70</v>
      </c>
      <c r="BW194">
        <v>38144</v>
      </c>
      <c r="BX194">
        <v>128</v>
      </c>
      <c r="BY194">
        <v>2</v>
      </c>
      <c r="BZ194">
        <v>8</v>
      </c>
      <c r="CA194">
        <v>889.15</v>
      </c>
      <c r="CB194">
        <v>41.613999999999997</v>
      </c>
      <c r="CQ194" s="54">
        <f t="shared" si="218"/>
        <v>40.899333333333338</v>
      </c>
    </row>
    <row r="195" spans="1:95">
      <c r="A195">
        <v>1</v>
      </c>
      <c r="B195" t="s">
        <v>7</v>
      </c>
      <c r="C195">
        <v>40160</v>
      </c>
      <c r="D195">
        <v>160</v>
      </c>
      <c r="E195">
        <v>1</v>
      </c>
      <c r="F195">
        <v>16</v>
      </c>
      <c r="G195">
        <v>1029.8800000000001</v>
      </c>
      <c r="H195" s="59">
        <v>41.93</v>
      </c>
      <c r="I195" s="27">
        <v>45483</v>
      </c>
      <c r="J195" s="53">
        <v>0.94162037037037039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s="66">
        <f t="shared" ref="W195" si="292">W194</f>
        <v>41.294400000000003</v>
      </c>
      <c r="Y195">
        <v>1</v>
      </c>
      <c r="Z195" t="s">
        <v>7</v>
      </c>
      <c r="AA195">
        <v>40160</v>
      </c>
      <c r="AB195">
        <v>160</v>
      </c>
      <c r="AC195">
        <v>1</v>
      </c>
      <c r="AD195">
        <v>16</v>
      </c>
      <c r="AE195">
        <v>1035.74</v>
      </c>
      <c r="AF195" s="48">
        <v>41.692999999999998</v>
      </c>
      <c r="AG195" s="27">
        <v>45501</v>
      </c>
      <c r="AH195" s="53">
        <v>0.28894675925925928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 s="66">
        <f t="shared" ref="AU195" si="293">AU194</f>
        <v>41.924599999999998</v>
      </c>
      <c r="AW195">
        <v>1</v>
      </c>
      <c r="AX195" t="s">
        <v>7</v>
      </c>
      <c r="AY195">
        <v>40160</v>
      </c>
      <c r="AZ195">
        <v>160</v>
      </c>
      <c r="BA195">
        <v>1</v>
      </c>
      <c r="BB195">
        <v>16</v>
      </c>
      <c r="BC195">
        <v>1292.45</v>
      </c>
      <c r="BD195" s="61">
        <v>33.411999999999999</v>
      </c>
      <c r="BE195" s="27">
        <v>45490</v>
      </c>
      <c r="BF195" s="53">
        <v>0.81732638888888887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 s="8">
        <f t="shared" ref="BS195" si="294">BS194</f>
        <v>33.511800000000008</v>
      </c>
      <c r="BU195">
        <v>319</v>
      </c>
      <c r="BV195" t="s">
        <v>70</v>
      </c>
      <c r="BW195">
        <v>38144</v>
      </c>
      <c r="BX195">
        <v>128</v>
      </c>
      <c r="BY195">
        <v>2</v>
      </c>
      <c r="BZ195">
        <v>8</v>
      </c>
      <c r="CA195">
        <v>897.22</v>
      </c>
      <c r="CB195">
        <v>41.238999999999997</v>
      </c>
      <c r="CQ195" s="54">
        <f t="shared" si="218"/>
        <v>40.899333333333338</v>
      </c>
    </row>
    <row r="196" spans="1:95">
      <c r="A196">
        <v>2</v>
      </c>
      <c r="B196" t="s">
        <v>7</v>
      </c>
      <c r="C196">
        <v>40160</v>
      </c>
      <c r="D196">
        <v>160</v>
      </c>
      <c r="E196">
        <v>1</v>
      </c>
      <c r="F196">
        <v>16</v>
      </c>
      <c r="G196">
        <v>1038.56</v>
      </c>
      <c r="H196" s="59">
        <v>41.58</v>
      </c>
      <c r="I196" s="27">
        <v>45484</v>
      </c>
      <c r="J196" s="53">
        <v>0.80427083333333338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 s="66">
        <f t="shared" si="215"/>
        <v>41.294400000000003</v>
      </c>
      <c r="Y196">
        <v>2</v>
      </c>
      <c r="Z196" t="s">
        <v>7</v>
      </c>
      <c r="AA196">
        <v>40160</v>
      </c>
      <c r="AB196">
        <v>160</v>
      </c>
      <c r="AC196">
        <v>1</v>
      </c>
      <c r="AD196">
        <v>16</v>
      </c>
      <c r="AE196">
        <v>1023.65</v>
      </c>
      <c r="AF196" s="48">
        <v>42.185000000000002</v>
      </c>
      <c r="AG196" s="27">
        <v>45502</v>
      </c>
      <c r="AH196" s="53">
        <v>8.4004629629629624E-2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 s="66">
        <f t="shared" si="208"/>
        <v>41.924599999999998</v>
      </c>
      <c r="AW196">
        <v>2</v>
      </c>
      <c r="AX196" t="s">
        <v>7</v>
      </c>
      <c r="AY196">
        <v>40160</v>
      </c>
      <c r="AZ196">
        <v>160</v>
      </c>
      <c r="BA196">
        <v>1</v>
      </c>
      <c r="BB196">
        <v>16</v>
      </c>
      <c r="BC196">
        <v>1282.78</v>
      </c>
      <c r="BD196" s="61">
        <v>33.664000000000001</v>
      </c>
      <c r="BE196" s="27">
        <v>45491</v>
      </c>
      <c r="BF196" s="53">
        <v>0.90284722222222225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 s="8">
        <f t="shared" si="209"/>
        <v>33.511800000000008</v>
      </c>
      <c r="BU196">
        <v>390</v>
      </c>
      <c r="BV196" t="s">
        <v>70</v>
      </c>
      <c r="BW196">
        <v>38144</v>
      </c>
      <c r="BX196">
        <v>128</v>
      </c>
      <c r="BY196">
        <v>2</v>
      </c>
      <c r="BZ196">
        <v>8</v>
      </c>
      <c r="CA196">
        <v>890.93</v>
      </c>
      <c r="CB196">
        <v>41.530999999999999</v>
      </c>
      <c r="CQ196" s="54">
        <f t="shared" si="218"/>
        <v>40.899333333333338</v>
      </c>
    </row>
    <row r="197" spans="1:95">
      <c r="A197">
        <v>3</v>
      </c>
      <c r="B197" t="s">
        <v>7</v>
      </c>
      <c r="C197">
        <v>40160</v>
      </c>
      <c r="D197">
        <v>160</v>
      </c>
      <c r="E197">
        <v>1</v>
      </c>
      <c r="F197">
        <v>16</v>
      </c>
      <c r="G197">
        <v>1063.6199999999999</v>
      </c>
      <c r="H197" s="59">
        <v>40.6</v>
      </c>
      <c r="I197" s="27">
        <v>45485</v>
      </c>
      <c r="J197" s="53">
        <v>0.67476851851851849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s="66">
        <f t="shared" si="215"/>
        <v>41.294400000000003</v>
      </c>
      <c r="Y197">
        <v>3</v>
      </c>
      <c r="Z197" t="s">
        <v>7</v>
      </c>
      <c r="AA197">
        <v>40160</v>
      </c>
      <c r="AB197">
        <v>160</v>
      </c>
      <c r="AC197">
        <v>1</v>
      </c>
      <c r="AD197">
        <v>16</v>
      </c>
      <c r="AE197">
        <v>1024.28</v>
      </c>
      <c r="AF197" s="48">
        <v>42.158999999999999</v>
      </c>
      <c r="AG197" s="27">
        <v>45502</v>
      </c>
      <c r="AH197" s="53">
        <v>0.87850694444444444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 s="66">
        <f t="shared" si="208"/>
        <v>41.924599999999998</v>
      </c>
      <c r="AW197">
        <v>3</v>
      </c>
      <c r="AX197" t="s">
        <v>7</v>
      </c>
      <c r="AY197">
        <v>40160</v>
      </c>
      <c r="AZ197">
        <v>160</v>
      </c>
      <c r="BA197">
        <v>1</v>
      </c>
      <c r="BB197">
        <v>16</v>
      </c>
      <c r="BC197">
        <v>1284.56</v>
      </c>
      <c r="BD197" s="61">
        <v>33.616999999999997</v>
      </c>
      <c r="BE197" s="27">
        <v>45492</v>
      </c>
      <c r="BF197" s="53">
        <v>0.98822916666666671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 s="8">
        <f t="shared" si="209"/>
        <v>33.511800000000008</v>
      </c>
      <c r="BU197">
        <v>59</v>
      </c>
      <c r="BV197" t="s">
        <v>70</v>
      </c>
      <c r="BW197">
        <v>40320</v>
      </c>
      <c r="BX197">
        <v>128</v>
      </c>
      <c r="BY197">
        <v>2</v>
      </c>
      <c r="BZ197">
        <v>8</v>
      </c>
      <c r="CA197">
        <v>1056.29</v>
      </c>
      <c r="CB197">
        <v>41.372</v>
      </c>
      <c r="CQ197" s="54">
        <f t="shared" ref="CQ197" si="295">AVERAGE(CB197:CB202)</f>
        <v>41.687666666666665</v>
      </c>
    </row>
    <row r="198" spans="1:95">
      <c r="A198">
        <v>4</v>
      </c>
      <c r="B198" t="s">
        <v>7</v>
      </c>
      <c r="C198">
        <v>40160</v>
      </c>
      <c r="D198">
        <v>160</v>
      </c>
      <c r="E198">
        <v>1</v>
      </c>
      <c r="F198">
        <v>16</v>
      </c>
      <c r="G198">
        <v>1065.8900000000001</v>
      </c>
      <c r="H198" s="59">
        <v>40.514000000000003</v>
      </c>
      <c r="I198" s="27">
        <v>45486</v>
      </c>
      <c r="J198" s="53">
        <v>0.56304398148148149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s="66">
        <f t="shared" si="215"/>
        <v>41.294400000000003</v>
      </c>
      <c r="Y198">
        <v>4</v>
      </c>
      <c r="Z198" t="s">
        <v>7</v>
      </c>
      <c r="AA198">
        <v>40160</v>
      </c>
      <c r="AB198">
        <v>160</v>
      </c>
      <c r="AC198">
        <v>1</v>
      </c>
      <c r="AD198">
        <v>16</v>
      </c>
      <c r="AE198">
        <v>1032.45</v>
      </c>
      <c r="AF198" s="48">
        <v>41.826000000000001</v>
      </c>
      <c r="AG198" s="27">
        <v>45503</v>
      </c>
      <c r="AH198" s="53">
        <v>0.67344907407407406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 s="66">
        <f t="shared" si="208"/>
        <v>41.924599999999998</v>
      </c>
      <c r="AW198">
        <v>4</v>
      </c>
      <c r="AX198" t="s">
        <v>7</v>
      </c>
      <c r="AY198">
        <v>40160</v>
      </c>
      <c r="AZ198">
        <v>160</v>
      </c>
      <c r="BA198">
        <v>1</v>
      </c>
      <c r="BB198">
        <v>16</v>
      </c>
      <c r="BC198">
        <v>1290.33</v>
      </c>
      <c r="BD198" s="61">
        <v>33.466999999999999</v>
      </c>
      <c r="BE198" s="27">
        <v>45494</v>
      </c>
      <c r="BF198" s="53">
        <v>7.4270833333333328E-2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 s="8">
        <f t="shared" si="209"/>
        <v>33.511800000000008</v>
      </c>
      <c r="BU198">
        <v>130</v>
      </c>
      <c r="BV198" t="s">
        <v>70</v>
      </c>
      <c r="BW198">
        <v>40320</v>
      </c>
      <c r="BX198">
        <v>128</v>
      </c>
      <c r="BY198">
        <v>2</v>
      </c>
      <c r="BZ198">
        <v>8</v>
      </c>
      <c r="CA198">
        <v>1026.97</v>
      </c>
      <c r="CB198">
        <v>42.554000000000002</v>
      </c>
      <c r="CQ198" s="54">
        <f t="shared" ref="CQ198" si="296">CQ197</f>
        <v>41.687666666666665</v>
      </c>
    </row>
    <row r="199" spans="1:95">
      <c r="A199">
        <v>0</v>
      </c>
      <c r="B199" t="s">
        <v>7</v>
      </c>
      <c r="C199">
        <v>36000</v>
      </c>
      <c r="D199">
        <v>160</v>
      </c>
      <c r="E199">
        <v>2</v>
      </c>
      <c r="F199">
        <v>8</v>
      </c>
      <c r="G199" s="1">
        <v>823.93</v>
      </c>
      <c r="H199" s="59">
        <v>37.753</v>
      </c>
      <c r="I199" s="27">
        <v>45482</v>
      </c>
      <c r="J199" s="53">
        <v>0.50695601851851857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s="66">
        <f t="shared" ref="W199" si="297">AVERAGE(H199:H203)</f>
        <v>38.506399999999999</v>
      </c>
      <c r="Y199">
        <v>0</v>
      </c>
      <c r="Z199" t="s">
        <v>7</v>
      </c>
      <c r="AA199">
        <v>36000</v>
      </c>
      <c r="AB199">
        <v>160</v>
      </c>
      <c r="AC199">
        <v>2</v>
      </c>
      <c r="AD199">
        <v>8</v>
      </c>
      <c r="AE199">
        <v>726.12</v>
      </c>
      <c r="AF199" s="48">
        <v>42.838000000000001</v>
      </c>
      <c r="AG199" s="27">
        <v>45499</v>
      </c>
      <c r="AH199" s="53">
        <v>0.64290509259259254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 s="66">
        <f t="shared" ref="AU199" si="298">AVERAGE(AF199:AF203)</f>
        <v>42.823399999999999</v>
      </c>
      <c r="AW199">
        <v>0</v>
      </c>
      <c r="AX199" t="s">
        <v>7</v>
      </c>
      <c r="AY199">
        <v>36000</v>
      </c>
      <c r="AZ199">
        <v>160</v>
      </c>
      <c r="BA199">
        <v>2</v>
      </c>
      <c r="BB199">
        <v>8</v>
      </c>
      <c r="BC199">
        <v>1030.08</v>
      </c>
      <c r="BD199" s="61">
        <v>30.198</v>
      </c>
      <c r="BE199" s="27">
        <v>45488</v>
      </c>
      <c r="BF199" s="53">
        <v>0.7077430555555555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 s="8">
        <f t="shared" ref="BS199" si="299">AVERAGE(BD199:BD203)</f>
        <v>30.26</v>
      </c>
      <c r="BU199">
        <v>201</v>
      </c>
      <c r="BV199" t="s">
        <v>70</v>
      </c>
      <c r="BW199">
        <v>40320</v>
      </c>
      <c r="BX199">
        <v>128</v>
      </c>
      <c r="BY199">
        <v>2</v>
      </c>
      <c r="BZ199">
        <v>8</v>
      </c>
      <c r="CA199">
        <v>1079.1600000000001</v>
      </c>
      <c r="CB199">
        <v>40.496000000000002</v>
      </c>
      <c r="CQ199" s="54">
        <f t="shared" si="218"/>
        <v>41.687666666666665</v>
      </c>
    </row>
    <row r="200" spans="1:95">
      <c r="A200">
        <v>1</v>
      </c>
      <c r="B200" t="s">
        <v>7</v>
      </c>
      <c r="C200">
        <v>36000</v>
      </c>
      <c r="D200">
        <v>160</v>
      </c>
      <c r="E200">
        <v>2</v>
      </c>
      <c r="F200">
        <v>8</v>
      </c>
      <c r="G200">
        <v>771.36</v>
      </c>
      <c r="H200" s="59">
        <v>40.326000000000001</v>
      </c>
      <c r="I200" s="27">
        <v>45483</v>
      </c>
      <c r="J200" s="53">
        <v>0.36664351851851851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s="66">
        <f t="shared" ref="W200" si="300">W199</f>
        <v>38.506399999999999</v>
      </c>
      <c r="Y200">
        <v>1</v>
      </c>
      <c r="Z200" t="s">
        <v>7</v>
      </c>
      <c r="AA200">
        <v>36000</v>
      </c>
      <c r="AB200">
        <v>160</v>
      </c>
      <c r="AC200">
        <v>2</v>
      </c>
      <c r="AD200">
        <v>8</v>
      </c>
      <c r="AE200" s="1">
        <v>730.05</v>
      </c>
      <c r="AF200" s="48">
        <v>42.607999999999997</v>
      </c>
      <c r="AG200" s="27">
        <v>45500</v>
      </c>
      <c r="AH200" s="53">
        <v>0.76362268518518517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 s="66">
        <f t="shared" ref="AU200" si="301">AU199</f>
        <v>42.823399999999999</v>
      </c>
      <c r="AW200">
        <v>1</v>
      </c>
      <c r="AX200" t="s">
        <v>7</v>
      </c>
      <c r="AY200">
        <v>36000</v>
      </c>
      <c r="AZ200">
        <v>160</v>
      </c>
      <c r="BA200">
        <v>2</v>
      </c>
      <c r="BB200">
        <v>8</v>
      </c>
      <c r="BC200">
        <v>1025.51</v>
      </c>
      <c r="BD200" s="61">
        <v>30.332000000000001</v>
      </c>
      <c r="BE200" s="27">
        <v>45490</v>
      </c>
      <c r="BF200" s="53">
        <v>0.10153935185185185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 s="8">
        <f t="shared" ref="BS200" si="302">BS199</f>
        <v>30.26</v>
      </c>
      <c r="BU200">
        <v>272</v>
      </c>
      <c r="BV200" t="s">
        <v>70</v>
      </c>
      <c r="BW200">
        <v>40320</v>
      </c>
      <c r="BX200">
        <v>128</v>
      </c>
      <c r="BY200">
        <v>2</v>
      </c>
      <c r="BZ200">
        <v>8</v>
      </c>
      <c r="CA200">
        <v>1035.6600000000001</v>
      </c>
      <c r="CB200">
        <v>42.197000000000003</v>
      </c>
      <c r="CQ200" s="54">
        <f t="shared" si="218"/>
        <v>41.687666666666665</v>
      </c>
    </row>
    <row r="201" spans="1:95">
      <c r="A201">
        <v>2</v>
      </c>
      <c r="B201" t="s">
        <v>7</v>
      </c>
      <c r="C201">
        <v>36000</v>
      </c>
      <c r="D201">
        <v>160</v>
      </c>
      <c r="E201">
        <v>2</v>
      </c>
      <c r="F201">
        <v>8</v>
      </c>
      <c r="G201">
        <v>810.35</v>
      </c>
      <c r="H201" s="59">
        <v>38.386000000000003</v>
      </c>
      <c r="I201" s="27">
        <v>45484</v>
      </c>
      <c r="J201" s="53">
        <v>0.23188657407407406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s="66">
        <f t="shared" si="215"/>
        <v>38.506399999999999</v>
      </c>
      <c r="Y201">
        <v>2</v>
      </c>
      <c r="Z201" t="s">
        <v>7</v>
      </c>
      <c r="AA201">
        <v>36000</v>
      </c>
      <c r="AB201">
        <v>160</v>
      </c>
      <c r="AC201">
        <v>2</v>
      </c>
      <c r="AD201">
        <v>8</v>
      </c>
      <c r="AE201">
        <v>726.73</v>
      </c>
      <c r="AF201" s="48">
        <v>42.802999999999997</v>
      </c>
      <c r="AG201" s="27">
        <v>45501</v>
      </c>
      <c r="AH201" s="53">
        <v>0.55782407407407408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 s="66">
        <f t="shared" si="208"/>
        <v>42.823399999999999</v>
      </c>
      <c r="AW201">
        <v>2</v>
      </c>
      <c r="AX201" t="s">
        <v>7</v>
      </c>
      <c r="AY201">
        <v>36000</v>
      </c>
      <c r="AZ201">
        <v>160</v>
      </c>
      <c r="BA201">
        <v>2</v>
      </c>
      <c r="BB201">
        <v>8</v>
      </c>
      <c r="BC201">
        <v>1027.43</v>
      </c>
      <c r="BD201" s="61">
        <v>30.274999999999999</v>
      </c>
      <c r="BE201" s="27">
        <v>45491</v>
      </c>
      <c r="BF201" s="53">
        <v>0.18734953703703705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 s="8">
        <f t="shared" si="209"/>
        <v>30.26</v>
      </c>
      <c r="BU201">
        <v>343</v>
      </c>
      <c r="BV201" t="s">
        <v>70</v>
      </c>
      <c r="BW201">
        <v>40320</v>
      </c>
      <c r="BX201">
        <v>128</v>
      </c>
      <c r="BY201">
        <v>2</v>
      </c>
      <c r="BZ201">
        <v>8</v>
      </c>
      <c r="CA201">
        <v>1045.3499999999999</v>
      </c>
      <c r="CB201">
        <v>41.805999999999997</v>
      </c>
      <c r="CQ201" s="54">
        <f t="shared" si="218"/>
        <v>41.687666666666665</v>
      </c>
    </row>
    <row r="202" spans="1:95">
      <c r="A202">
        <v>3</v>
      </c>
      <c r="B202" t="s">
        <v>7</v>
      </c>
      <c r="C202">
        <v>36000</v>
      </c>
      <c r="D202">
        <v>160</v>
      </c>
      <c r="E202">
        <v>2</v>
      </c>
      <c r="F202">
        <v>8</v>
      </c>
      <c r="G202">
        <v>802.95</v>
      </c>
      <c r="H202" s="59">
        <v>38.738999999999997</v>
      </c>
      <c r="I202" s="27">
        <v>45485</v>
      </c>
      <c r="J202" s="53">
        <v>9.4687499999999994E-2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 s="66">
        <f t="shared" si="215"/>
        <v>38.506399999999999</v>
      </c>
      <c r="Y202">
        <v>3</v>
      </c>
      <c r="Z202" t="s">
        <v>7</v>
      </c>
      <c r="AA202">
        <v>36000</v>
      </c>
      <c r="AB202">
        <v>160</v>
      </c>
      <c r="AC202">
        <v>2</v>
      </c>
      <c r="AD202">
        <v>8</v>
      </c>
      <c r="AE202">
        <v>723.23</v>
      </c>
      <c r="AF202" s="48">
        <v>43.01</v>
      </c>
      <c r="AG202" s="27">
        <v>45502</v>
      </c>
      <c r="AH202" s="53">
        <v>0.35239583333333335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 s="66">
        <f t="shared" si="208"/>
        <v>42.823399999999999</v>
      </c>
      <c r="AW202">
        <v>3</v>
      </c>
      <c r="AX202" t="s">
        <v>7</v>
      </c>
      <c r="AY202">
        <v>36000</v>
      </c>
      <c r="AZ202">
        <v>160</v>
      </c>
      <c r="BA202">
        <v>2</v>
      </c>
      <c r="BB202">
        <v>8</v>
      </c>
      <c r="BC202">
        <v>1032.28</v>
      </c>
      <c r="BD202" s="61">
        <v>30.132999999999999</v>
      </c>
      <c r="BE202" s="27">
        <v>45492</v>
      </c>
      <c r="BF202" s="53">
        <v>0.27206018518518521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 s="8">
        <f t="shared" si="209"/>
        <v>30.26</v>
      </c>
      <c r="BU202">
        <v>414</v>
      </c>
      <c r="BV202" t="s">
        <v>70</v>
      </c>
      <c r="BW202">
        <v>40320</v>
      </c>
      <c r="BX202">
        <v>128</v>
      </c>
      <c r="BY202">
        <v>2</v>
      </c>
      <c r="BZ202">
        <v>8</v>
      </c>
      <c r="CA202">
        <v>1047.97</v>
      </c>
      <c r="CB202">
        <v>41.701000000000001</v>
      </c>
      <c r="CQ202" s="54">
        <f t="shared" si="218"/>
        <v>41.687666666666665</v>
      </c>
    </row>
    <row r="203" spans="1:95">
      <c r="A203">
        <v>4</v>
      </c>
      <c r="B203" t="s">
        <v>7</v>
      </c>
      <c r="C203">
        <v>36000</v>
      </c>
      <c r="D203">
        <v>160</v>
      </c>
      <c r="E203">
        <v>2</v>
      </c>
      <c r="F203">
        <v>8</v>
      </c>
      <c r="G203">
        <v>833.32</v>
      </c>
      <c r="H203" s="59">
        <v>37.328000000000003</v>
      </c>
      <c r="I203" s="27">
        <v>45485</v>
      </c>
      <c r="J203" s="53">
        <v>0.97402777777777783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 s="66">
        <f t="shared" si="215"/>
        <v>38.506399999999999</v>
      </c>
      <c r="Y203">
        <v>4</v>
      </c>
      <c r="Z203" t="s">
        <v>7</v>
      </c>
      <c r="AA203">
        <v>36000</v>
      </c>
      <c r="AB203">
        <v>160</v>
      </c>
      <c r="AC203">
        <v>2</v>
      </c>
      <c r="AD203">
        <v>8</v>
      </c>
      <c r="AE203">
        <v>725.79</v>
      </c>
      <c r="AF203" s="48">
        <v>42.857999999999997</v>
      </c>
      <c r="AG203" s="27">
        <v>45503</v>
      </c>
      <c r="AH203" s="53">
        <v>0.14721064814814816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s="66">
        <f t="shared" si="208"/>
        <v>42.823399999999999</v>
      </c>
      <c r="AW203">
        <v>4</v>
      </c>
      <c r="AX203" t="s">
        <v>7</v>
      </c>
      <c r="AY203">
        <v>36000</v>
      </c>
      <c r="AZ203">
        <v>160</v>
      </c>
      <c r="BA203">
        <v>2</v>
      </c>
      <c r="BB203">
        <v>8</v>
      </c>
      <c r="BC203">
        <v>1024.49</v>
      </c>
      <c r="BD203" s="61">
        <v>30.361999999999998</v>
      </c>
      <c r="BE203" s="27">
        <v>45493</v>
      </c>
      <c r="BF203" s="53">
        <v>0.35767361111111112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s="8">
        <f t="shared" si="209"/>
        <v>30.26</v>
      </c>
      <c r="BU203">
        <v>12</v>
      </c>
      <c r="BV203" t="s">
        <v>70</v>
      </c>
      <c r="BW203">
        <v>35968</v>
      </c>
      <c r="BX203">
        <v>128</v>
      </c>
      <c r="BY203">
        <v>4</v>
      </c>
      <c r="BZ203">
        <v>4</v>
      </c>
      <c r="CA203">
        <v>795</v>
      </c>
      <c r="CB203">
        <v>39.023000000000003</v>
      </c>
      <c r="CQ203" s="54">
        <f t="shared" ref="CQ203" si="303">AVERAGE(CB203:CB208)</f>
        <v>38.794833333333337</v>
      </c>
    </row>
    <row r="204" spans="1:95">
      <c r="A204">
        <v>0</v>
      </c>
      <c r="B204" t="s">
        <v>7</v>
      </c>
      <c r="C204">
        <v>38080</v>
      </c>
      <c r="D204">
        <v>160</v>
      </c>
      <c r="E204">
        <v>2</v>
      </c>
      <c r="F204">
        <v>8</v>
      </c>
      <c r="G204" s="1">
        <v>878.1</v>
      </c>
      <c r="H204" s="59">
        <v>41.926000000000002</v>
      </c>
      <c r="I204" s="27">
        <v>45482</v>
      </c>
      <c r="J204" s="53">
        <v>0.775787037037037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 s="66">
        <f t="shared" ref="W204" si="304">AVERAGE(H204:H208)</f>
        <v>40.238000000000007</v>
      </c>
      <c r="Y204">
        <v>0</v>
      </c>
      <c r="Z204" t="s">
        <v>7</v>
      </c>
      <c r="AA204">
        <v>38080</v>
      </c>
      <c r="AB204">
        <v>160</v>
      </c>
      <c r="AC204">
        <v>2</v>
      </c>
      <c r="AD204">
        <v>8</v>
      </c>
      <c r="AE204">
        <v>844.92</v>
      </c>
      <c r="AF204" s="48">
        <v>43.572000000000003</v>
      </c>
      <c r="AG204" s="27">
        <v>45499</v>
      </c>
      <c r="AH204" s="53">
        <v>0.89001157407407405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 s="66">
        <f t="shared" ref="AU204" si="305">AVERAGE(AF204:AF208)</f>
        <v>43.703199999999995</v>
      </c>
      <c r="AW204">
        <v>0</v>
      </c>
      <c r="AX204" t="s">
        <v>7</v>
      </c>
      <c r="AY204">
        <v>38080</v>
      </c>
      <c r="AZ204">
        <v>160</v>
      </c>
      <c r="BA204">
        <v>2</v>
      </c>
      <c r="BB204">
        <v>8</v>
      </c>
      <c r="BC204">
        <v>1171.31</v>
      </c>
      <c r="BD204" s="61">
        <v>31.431000000000001</v>
      </c>
      <c r="BE204" s="27">
        <v>45489</v>
      </c>
      <c r="BF204" s="53">
        <v>4.8877314814814818E-2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 s="8">
        <f t="shared" ref="BS204" si="306">AVERAGE(BD204:BD208)</f>
        <v>31.2788</v>
      </c>
      <c r="BU204">
        <v>83</v>
      </c>
      <c r="BV204" t="s">
        <v>70</v>
      </c>
      <c r="BW204">
        <v>35968</v>
      </c>
      <c r="BX204">
        <v>128</v>
      </c>
      <c r="BY204">
        <v>4</v>
      </c>
      <c r="BZ204">
        <v>4</v>
      </c>
      <c r="CA204">
        <v>821.1</v>
      </c>
      <c r="CB204">
        <v>37.781999999999996</v>
      </c>
      <c r="CQ204" s="54">
        <f t="shared" ref="CQ204" si="307">CQ203</f>
        <v>38.794833333333337</v>
      </c>
    </row>
    <row r="205" spans="1:95">
      <c r="A205">
        <v>1</v>
      </c>
      <c r="B205" t="s">
        <v>7</v>
      </c>
      <c r="C205">
        <v>38080</v>
      </c>
      <c r="D205">
        <v>160</v>
      </c>
      <c r="E205">
        <v>2</v>
      </c>
      <c r="F205">
        <v>8</v>
      </c>
      <c r="G205">
        <v>908.24</v>
      </c>
      <c r="H205" s="59">
        <v>40.533999999999999</v>
      </c>
      <c r="I205" s="27">
        <v>45483</v>
      </c>
      <c r="J205" s="53">
        <v>0.64030092592592591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 s="66">
        <f t="shared" ref="W205" si="308">W204</f>
        <v>40.238000000000007</v>
      </c>
      <c r="Y205">
        <v>1</v>
      </c>
      <c r="Z205" t="s">
        <v>7</v>
      </c>
      <c r="AA205">
        <v>38080</v>
      </c>
      <c r="AB205">
        <v>160</v>
      </c>
      <c r="AC205">
        <v>2</v>
      </c>
      <c r="AD205">
        <v>8</v>
      </c>
      <c r="AE205">
        <v>843.19</v>
      </c>
      <c r="AF205" s="48">
        <v>43.661000000000001</v>
      </c>
      <c r="AG205" s="27">
        <v>45501</v>
      </c>
      <c r="AH205" s="53">
        <v>1.1689814814814814E-2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 s="66">
        <f t="shared" ref="AU205:AU268" si="309">AU204</f>
        <v>43.703199999999995</v>
      </c>
      <c r="AW205">
        <v>1</v>
      </c>
      <c r="AX205" t="s">
        <v>7</v>
      </c>
      <c r="AY205">
        <v>38080</v>
      </c>
      <c r="AZ205">
        <v>160</v>
      </c>
      <c r="BA205">
        <v>2</v>
      </c>
      <c r="BB205">
        <v>8</v>
      </c>
      <c r="BC205">
        <v>1174.05</v>
      </c>
      <c r="BD205" s="61">
        <v>31.356999999999999</v>
      </c>
      <c r="BE205" s="27">
        <v>45490</v>
      </c>
      <c r="BF205" s="53">
        <v>0.44247685185185187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 s="8">
        <f t="shared" ref="BS205:BS268" si="310">BS204</f>
        <v>31.2788</v>
      </c>
      <c r="BU205">
        <v>154</v>
      </c>
      <c r="BV205" t="s">
        <v>70</v>
      </c>
      <c r="BW205">
        <v>35968</v>
      </c>
      <c r="BX205">
        <v>128</v>
      </c>
      <c r="BY205">
        <v>4</v>
      </c>
      <c r="BZ205">
        <v>4</v>
      </c>
      <c r="CA205">
        <v>798.96</v>
      </c>
      <c r="CB205">
        <v>38.83</v>
      </c>
      <c r="CQ205" s="54">
        <f t="shared" si="218"/>
        <v>38.794833333333337</v>
      </c>
    </row>
    <row r="206" spans="1:95">
      <c r="A206">
        <v>2</v>
      </c>
      <c r="B206" t="s">
        <v>7</v>
      </c>
      <c r="C206">
        <v>38080</v>
      </c>
      <c r="D206">
        <v>160</v>
      </c>
      <c r="E206">
        <v>2</v>
      </c>
      <c r="F206">
        <v>8</v>
      </c>
      <c r="G206">
        <v>927.54</v>
      </c>
      <c r="H206" s="59">
        <v>39.691000000000003</v>
      </c>
      <c r="I206" s="27">
        <v>45484</v>
      </c>
      <c r="J206" s="53">
        <v>0.5031944444444445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 s="66">
        <f t="shared" si="215"/>
        <v>40.238000000000007</v>
      </c>
      <c r="Y206">
        <v>2</v>
      </c>
      <c r="Z206" t="s">
        <v>7</v>
      </c>
      <c r="AA206">
        <v>38080</v>
      </c>
      <c r="AB206">
        <v>160</v>
      </c>
      <c r="AC206">
        <v>2</v>
      </c>
      <c r="AD206">
        <v>8</v>
      </c>
      <c r="AE206">
        <v>845.27</v>
      </c>
      <c r="AF206" s="48">
        <v>43.554000000000002</v>
      </c>
      <c r="AG206" s="27">
        <v>45501</v>
      </c>
      <c r="AH206" s="53">
        <v>0.80578703703703702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 s="66">
        <f t="shared" si="309"/>
        <v>43.703199999999995</v>
      </c>
      <c r="AW206">
        <v>2</v>
      </c>
      <c r="AX206" t="s">
        <v>7</v>
      </c>
      <c r="AY206">
        <v>38080</v>
      </c>
      <c r="AZ206">
        <v>160</v>
      </c>
      <c r="BA206">
        <v>2</v>
      </c>
      <c r="BB206">
        <v>8</v>
      </c>
      <c r="BC206">
        <v>1174.78</v>
      </c>
      <c r="BD206" s="61">
        <v>31.338000000000001</v>
      </c>
      <c r="BE206" s="27">
        <v>45491</v>
      </c>
      <c r="BF206" s="53">
        <v>0.52842592592592597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 s="8">
        <f t="shared" si="310"/>
        <v>31.2788</v>
      </c>
      <c r="BU206">
        <v>225</v>
      </c>
      <c r="BV206" t="s">
        <v>70</v>
      </c>
      <c r="BW206">
        <v>35968</v>
      </c>
      <c r="BX206">
        <v>128</v>
      </c>
      <c r="BY206">
        <v>4</v>
      </c>
      <c r="BZ206">
        <v>4</v>
      </c>
      <c r="CA206">
        <v>793.87</v>
      </c>
      <c r="CB206">
        <v>39.079000000000001</v>
      </c>
      <c r="CQ206" s="54">
        <f t="shared" si="218"/>
        <v>38.794833333333337</v>
      </c>
    </row>
    <row r="207" spans="1:95">
      <c r="A207">
        <v>3</v>
      </c>
      <c r="B207" t="s">
        <v>7</v>
      </c>
      <c r="C207">
        <v>38080</v>
      </c>
      <c r="D207">
        <v>160</v>
      </c>
      <c r="E207">
        <v>2</v>
      </c>
      <c r="F207">
        <v>8</v>
      </c>
      <c r="G207">
        <v>912.17</v>
      </c>
      <c r="H207" s="59">
        <v>40.36</v>
      </c>
      <c r="I207" s="27">
        <v>45485</v>
      </c>
      <c r="J207" s="53">
        <v>0.36530092592592595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 s="66">
        <f t="shared" si="215"/>
        <v>40.238000000000007</v>
      </c>
      <c r="Y207">
        <v>3</v>
      </c>
      <c r="Z207" t="s">
        <v>7</v>
      </c>
      <c r="AA207">
        <v>38080</v>
      </c>
      <c r="AB207">
        <v>160</v>
      </c>
      <c r="AC207">
        <v>2</v>
      </c>
      <c r="AD207">
        <v>8</v>
      </c>
      <c r="AE207">
        <v>836.08</v>
      </c>
      <c r="AF207" s="48">
        <v>44.033000000000001</v>
      </c>
      <c r="AG207" s="27">
        <v>45502</v>
      </c>
      <c r="AH207" s="53">
        <v>0.60021990740740738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 s="66">
        <f t="shared" si="309"/>
        <v>43.703199999999995</v>
      </c>
      <c r="AW207">
        <v>3</v>
      </c>
      <c r="AX207" t="s">
        <v>7</v>
      </c>
      <c r="AY207">
        <v>38080</v>
      </c>
      <c r="AZ207">
        <v>160</v>
      </c>
      <c r="BA207">
        <v>2</v>
      </c>
      <c r="BB207">
        <v>8</v>
      </c>
      <c r="BC207">
        <v>1186.05</v>
      </c>
      <c r="BD207" s="61">
        <v>31.04</v>
      </c>
      <c r="BE207" s="27">
        <v>45492</v>
      </c>
      <c r="BF207" s="53">
        <v>0.61356481481481484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 s="8">
        <f t="shared" si="310"/>
        <v>31.2788</v>
      </c>
      <c r="BU207">
        <v>296</v>
      </c>
      <c r="BV207" t="s">
        <v>70</v>
      </c>
      <c r="BW207">
        <v>35968</v>
      </c>
      <c r="BX207">
        <v>128</v>
      </c>
      <c r="BY207">
        <v>4</v>
      </c>
      <c r="BZ207">
        <v>4</v>
      </c>
      <c r="CA207">
        <v>796.31</v>
      </c>
      <c r="CB207">
        <v>38.957999999999998</v>
      </c>
      <c r="CQ207" s="54">
        <f t="shared" si="218"/>
        <v>38.794833333333337</v>
      </c>
    </row>
    <row r="208" spans="1:95">
      <c r="A208">
        <v>4</v>
      </c>
      <c r="B208" t="s">
        <v>7</v>
      </c>
      <c r="C208">
        <v>38080</v>
      </c>
      <c r="D208">
        <v>160</v>
      </c>
      <c r="E208">
        <v>2</v>
      </c>
      <c r="F208">
        <v>8</v>
      </c>
      <c r="G208">
        <v>951.82</v>
      </c>
      <c r="H208" s="59">
        <v>38.679000000000002</v>
      </c>
      <c r="I208" s="27">
        <v>45486</v>
      </c>
      <c r="J208" s="53">
        <v>0.25304398148148149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 s="66">
        <f t="shared" si="215"/>
        <v>40.238000000000007</v>
      </c>
      <c r="Y208">
        <v>4</v>
      </c>
      <c r="Z208" t="s">
        <v>7</v>
      </c>
      <c r="AA208">
        <v>38080</v>
      </c>
      <c r="AB208">
        <v>160</v>
      </c>
      <c r="AC208">
        <v>2</v>
      </c>
      <c r="AD208">
        <v>8</v>
      </c>
      <c r="AE208" s="1">
        <v>842.52</v>
      </c>
      <c r="AF208" s="48">
        <v>43.695999999999998</v>
      </c>
      <c r="AG208" s="27">
        <v>45503</v>
      </c>
      <c r="AH208" s="53">
        <v>0.39603009259259259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 s="66">
        <f t="shared" si="309"/>
        <v>43.703199999999995</v>
      </c>
      <c r="AW208">
        <v>4</v>
      </c>
      <c r="AX208" t="s">
        <v>7</v>
      </c>
      <c r="AY208">
        <v>38080</v>
      </c>
      <c r="AZ208">
        <v>160</v>
      </c>
      <c r="BA208">
        <v>2</v>
      </c>
      <c r="BB208">
        <v>8</v>
      </c>
      <c r="BC208">
        <v>1178.93</v>
      </c>
      <c r="BD208" s="61">
        <v>31.228000000000002</v>
      </c>
      <c r="BE208" s="27">
        <v>45493</v>
      </c>
      <c r="BF208" s="53">
        <v>0.69888888888888889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 s="8">
        <f t="shared" si="310"/>
        <v>31.2788</v>
      </c>
      <c r="BU208">
        <v>367</v>
      </c>
      <c r="BV208" t="s">
        <v>70</v>
      </c>
      <c r="BW208">
        <v>35968</v>
      </c>
      <c r="BX208">
        <v>128</v>
      </c>
      <c r="BY208">
        <v>4</v>
      </c>
      <c r="BZ208">
        <v>4</v>
      </c>
      <c r="CA208">
        <v>793.5</v>
      </c>
      <c r="CB208">
        <v>39.097000000000001</v>
      </c>
      <c r="CQ208" s="54">
        <f t="shared" si="218"/>
        <v>38.794833333333337</v>
      </c>
    </row>
    <row r="209" spans="1:95">
      <c r="A209">
        <v>0</v>
      </c>
      <c r="B209" t="s">
        <v>7</v>
      </c>
      <c r="C209">
        <v>40160</v>
      </c>
      <c r="D209">
        <v>160</v>
      </c>
      <c r="E209">
        <v>2</v>
      </c>
      <c r="F209">
        <v>8</v>
      </c>
      <c r="G209" s="1">
        <v>1029.3</v>
      </c>
      <c r="H209" s="59">
        <v>41.954000000000001</v>
      </c>
      <c r="I209" s="27">
        <v>45483</v>
      </c>
      <c r="J209" s="53">
        <v>8.8715277777777782E-2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 s="66">
        <f t="shared" ref="W209" si="311">AVERAGE(H209:H213)</f>
        <v>41.387599999999999</v>
      </c>
      <c r="Y209">
        <v>0</v>
      </c>
      <c r="Z209" t="s">
        <v>7</v>
      </c>
      <c r="AA209">
        <v>40160</v>
      </c>
      <c r="AB209">
        <v>160</v>
      </c>
      <c r="AC209">
        <v>2</v>
      </c>
      <c r="AD209">
        <v>8</v>
      </c>
      <c r="AE209">
        <v>988.47</v>
      </c>
      <c r="AF209" s="48">
        <v>43.686999999999998</v>
      </c>
      <c r="AG209" s="27">
        <v>45500</v>
      </c>
      <c r="AH209" s="53">
        <v>0.17900462962962962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 s="66">
        <f t="shared" ref="AU209" si="312">AVERAGE(AF209:AF213)</f>
        <v>44.054200000000002</v>
      </c>
      <c r="AW209">
        <v>0</v>
      </c>
      <c r="AX209" t="s">
        <v>7</v>
      </c>
      <c r="AY209">
        <v>40160</v>
      </c>
      <c r="AZ209">
        <v>160</v>
      </c>
      <c r="BA209">
        <v>2</v>
      </c>
      <c r="BB209">
        <v>8</v>
      </c>
      <c r="BC209">
        <v>1343.18</v>
      </c>
      <c r="BD209" s="61">
        <v>32.15</v>
      </c>
      <c r="BE209" s="27">
        <v>45489</v>
      </c>
      <c r="BF209" s="53">
        <v>0.44059027777777776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 s="8">
        <f t="shared" ref="BS209" si="313">AVERAGE(BD209:BD213)</f>
        <v>32.070599999999999</v>
      </c>
      <c r="BU209">
        <v>36</v>
      </c>
      <c r="BV209" t="s">
        <v>70</v>
      </c>
      <c r="BW209">
        <v>38144</v>
      </c>
      <c r="BX209">
        <v>128</v>
      </c>
      <c r="BY209">
        <v>4</v>
      </c>
      <c r="BZ209">
        <v>4</v>
      </c>
      <c r="CA209">
        <v>934.98</v>
      </c>
      <c r="CB209">
        <v>39.573999999999998</v>
      </c>
      <c r="CQ209" s="54">
        <f t="shared" ref="CQ209" si="314">AVERAGE(CB209:CB214)</f>
        <v>39.35883333333333</v>
      </c>
    </row>
    <row r="210" spans="1:95">
      <c r="A210">
        <v>1</v>
      </c>
      <c r="B210" t="s">
        <v>7</v>
      </c>
      <c r="C210">
        <v>40160</v>
      </c>
      <c r="D210">
        <v>160</v>
      </c>
      <c r="E210">
        <v>2</v>
      </c>
      <c r="F210">
        <v>8</v>
      </c>
      <c r="G210">
        <v>1034.51</v>
      </c>
      <c r="H210" s="59">
        <v>41.741999999999997</v>
      </c>
      <c r="I210" s="27">
        <v>45483</v>
      </c>
      <c r="J210" s="53">
        <v>0.95392361111111112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s="66">
        <f t="shared" ref="W210:W273" si="315">W209</f>
        <v>41.387599999999999</v>
      </c>
      <c r="Y210">
        <v>1</v>
      </c>
      <c r="Z210" t="s">
        <v>7</v>
      </c>
      <c r="AA210">
        <v>40160</v>
      </c>
      <c r="AB210">
        <v>160</v>
      </c>
      <c r="AC210">
        <v>2</v>
      </c>
      <c r="AD210">
        <v>8</v>
      </c>
      <c r="AE210">
        <v>977.37</v>
      </c>
      <c r="AF210" s="48">
        <v>44.183</v>
      </c>
      <c r="AG210" s="27">
        <v>45501</v>
      </c>
      <c r="AH210" s="53">
        <v>0.30061342592592594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 s="66">
        <f t="shared" ref="AU210" si="316">AU209</f>
        <v>44.054200000000002</v>
      </c>
      <c r="AW210">
        <v>1</v>
      </c>
      <c r="AX210" t="s">
        <v>7</v>
      </c>
      <c r="AY210">
        <v>40160</v>
      </c>
      <c r="AZ210">
        <v>160</v>
      </c>
      <c r="BA210">
        <v>2</v>
      </c>
      <c r="BB210">
        <v>8</v>
      </c>
      <c r="BC210">
        <v>1349.73</v>
      </c>
      <c r="BD210" s="61">
        <v>31.994</v>
      </c>
      <c r="BE210" s="27">
        <v>45490</v>
      </c>
      <c r="BF210" s="53">
        <v>0.83394675925925921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 s="8">
        <f t="shared" ref="BS210" si="317">BS209</f>
        <v>32.070599999999999</v>
      </c>
      <c r="BU210">
        <v>107</v>
      </c>
      <c r="BV210" t="s">
        <v>70</v>
      </c>
      <c r="BW210">
        <v>38144</v>
      </c>
      <c r="BX210">
        <v>128</v>
      </c>
      <c r="BY210">
        <v>4</v>
      </c>
      <c r="BZ210">
        <v>4</v>
      </c>
      <c r="CA210">
        <v>932.48</v>
      </c>
      <c r="CB210">
        <v>39.68</v>
      </c>
      <c r="CQ210" s="54">
        <f t="shared" ref="CQ210:CQ273" si="318">CQ209</f>
        <v>39.35883333333333</v>
      </c>
    </row>
    <row r="211" spans="1:95">
      <c r="A211">
        <v>2</v>
      </c>
      <c r="B211" t="s">
        <v>7</v>
      </c>
      <c r="C211">
        <v>40160</v>
      </c>
      <c r="D211">
        <v>160</v>
      </c>
      <c r="E211">
        <v>2</v>
      </c>
      <c r="F211">
        <v>8</v>
      </c>
      <c r="G211">
        <v>1030.99</v>
      </c>
      <c r="H211" s="59">
        <v>41.884999999999998</v>
      </c>
      <c r="I211" s="27">
        <v>45484</v>
      </c>
      <c r="J211" s="53">
        <v>0.81653935185185189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s="66">
        <f t="shared" si="315"/>
        <v>41.387599999999999</v>
      </c>
      <c r="Y211">
        <v>2</v>
      </c>
      <c r="Z211" t="s">
        <v>7</v>
      </c>
      <c r="AA211">
        <v>40160</v>
      </c>
      <c r="AB211">
        <v>160</v>
      </c>
      <c r="AC211">
        <v>2</v>
      </c>
      <c r="AD211">
        <v>8</v>
      </c>
      <c r="AE211" s="1">
        <v>978.11</v>
      </c>
      <c r="AF211" s="48">
        <v>44.15</v>
      </c>
      <c r="AG211" s="27">
        <v>45502</v>
      </c>
      <c r="AH211" s="53">
        <v>9.5682870370370376E-2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 s="66">
        <f t="shared" si="309"/>
        <v>44.054200000000002</v>
      </c>
      <c r="AW211">
        <v>2</v>
      </c>
      <c r="AX211" t="s">
        <v>7</v>
      </c>
      <c r="AY211">
        <v>40160</v>
      </c>
      <c r="AZ211">
        <v>160</v>
      </c>
      <c r="BA211">
        <v>2</v>
      </c>
      <c r="BB211">
        <v>8</v>
      </c>
      <c r="BC211">
        <v>1344.92</v>
      </c>
      <c r="BD211" s="61">
        <v>32.107999999999997</v>
      </c>
      <c r="BE211" s="27">
        <v>45491</v>
      </c>
      <c r="BF211" s="53">
        <v>0.91940972222222217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 s="8">
        <f t="shared" si="310"/>
        <v>32.070599999999999</v>
      </c>
      <c r="BU211">
        <v>178</v>
      </c>
      <c r="BV211" t="s">
        <v>70</v>
      </c>
      <c r="BW211">
        <v>38144</v>
      </c>
      <c r="BX211">
        <v>128</v>
      </c>
      <c r="BY211">
        <v>4</v>
      </c>
      <c r="BZ211">
        <v>4</v>
      </c>
      <c r="CA211">
        <v>926.27</v>
      </c>
      <c r="CB211">
        <v>39.945999999999998</v>
      </c>
      <c r="CQ211" s="54">
        <f t="shared" si="318"/>
        <v>39.35883333333333</v>
      </c>
    </row>
    <row r="212" spans="1:95">
      <c r="A212">
        <v>3</v>
      </c>
      <c r="B212" t="s">
        <v>7</v>
      </c>
      <c r="C212">
        <v>40160</v>
      </c>
      <c r="D212">
        <v>160</v>
      </c>
      <c r="E212">
        <v>2</v>
      </c>
      <c r="F212">
        <v>8</v>
      </c>
      <c r="G212">
        <v>1061</v>
      </c>
      <c r="H212" s="59">
        <v>40.700000000000003</v>
      </c>
      <c r="I212" s="27">
        <v>45485</v>
      </c>
      <c r="J212" s="53">
        <v>0.68738425925925928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s="66">
        <f t="shared" si="315"/>
        <v>41.387599999999999</v>
      </c>
      <c r="Y212">
        <v>3</v>
      </c>
      <c r="Z212" t="s">
        <v>7</v>
      </c>
      <c r="AA212">
        <v>40160</v>
      </c>
      <c r="AB212">
        <v>160</v>
      </c>
      <c r="AC212">
        <v>2</v>
      </c>
      <c r="AD212">
        <v>8</v>
      </c>
      <c r="AE212">
        <v>980.19</v>
      </c>
      <c r="AF212" s="48">
        <v>44.055999999999997</v>
      </c>
      <c r="AG212" s="27">
        <v>45502</v>
      </c>
      <c r="AH212" s="53">
        <v>0.89019675925925923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 s="66">
        <f t="shared" si="309"/>
        <v>44.054200000000002</v>
      </c>
      <c r="AW212">
        <v>3</v>
      </c>
      <c r="AX212" t="s">
        <v>7</v>
      </c>
      <c r="AY212">
        <v>40160</v>
      </c>
      <c r="AZ212">
        <v>160</v>
      </c>
      <c r="BA212">
        <v>2</v>
      </c>
      <c r="BB212">
        <v>8</v>
      </c>
      <c r="BC212">
        <v>1345.43</v>
      </c>
      <c r="BD212" s="61">
        <v>32.095999999999997</v>
      </c>
      <c r="BE212" s="27">
        <v>45493</v>
      </c>
      <c r="BF212" s="53">
        <v>4.8032407407407407E-3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 s="8">
        <f t="shared" si="310"/>
        <v>32.070599999999999</v>
      </c>
      <c r="BU212">
        <v>249</v>
      </c>
      <c r="BV212" t="s">
        <v>70</v>
      </c>
      <c r="BW212">
        <v>38144</v>
      </c>
      <c r="BX212">
        <v>128</v>
      </c>
      <c r="BY212">
        <v>4</v>
      </c>
      <c r="BZ212">
        <v>4</v>
      </c>
      <c r="CA212">
        <v>942.04</v>
      </c>
      <c r="CB212">
        <v>39.277000000000001</v>
      </c>
      <c r="CQ212" s="54">
        <f t="shared" si="318"/>
        <v>39.35883333333333</v>
      </c>
    </row>
    <row r="213" spans="1:95">
      <c r="A213">
        <v>4</v>
      </c>
      <c r="B213" t="s">
        <v>7</v>
      </c>
      <c r="C213">
        <v>40160</v>
      </c>
      <c r="D213">
        <v>160</v>
      </c>
      <c r="E213">
        <v>2</v>
      </c>
      <c r="F213">
        <v>8</v>
      </c>
      <c r="G213">
        <v>1062.1400000000001</v>
      </c>
      <c r="H213" s="59">
        <v>40.656999999999996</v>
      </c>
      <c r="I213" s="27">
        <v>45486</v>
      </c>
      <c r="J213" s="53">
        <v>0.57567129629629632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s="66">
        <f t="shared" si="315"/>
        <v>41.387599999999999</v>
      </c>
      <c r="Y213">
        <v>4</v>
      </c>
      <c r="Z213" t="s">
        <v>7</v>
      </c>
      <c r="AA213">
        <v>40160</v>
      </c>
      <c r="AB213">
        <v>160</v>
      </c>
      <c r="AC213">
        <v>2</v>
      </c>
      <c r="AD213">
        <v>8</v>
      </c>
      <c r="AE213">
        <v>977.11</v>
      </c>
      <c r="AF213" s="48">
        <v>44.195</v>
      </c>
      <c r="AG213" s="27">
        <v>45503</v>
      </c>
      <c r="AH213" s="53">
        <v>0.68511574074074078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 s="66">
        <f t="shared" si="309"/>
        <v>44.054200000000002</v>
      </c>
      <c r="AW213">
        <v>4</v>
      </c>
      <c r="AX213" t="s">
        <v>7</v>
      </c>
      <c r="AY213">
        <v>40160</v>
      </c>
      <c r="AZ213">
        <v>160</v>
      </c>
      <c r="BA213">
        <v>2</v>
      </c>
      <c r="BB213">
        <v>8</v>
      </c>
      <c r="BC213">
        <v>1349.25</v>
      </c>
      <c r="BD213" s="61">
        <v>32.005000000000003</v>
      </c>
      <c r="BE213" s="27">
        <v>45494</v>
      </c>
      <c r="BF213" s="53">
        <v>9.087962962962963E-2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 s="8">
        <f t="shared" si="310"/>
        <v>32.070599999999999</v>
      </c>
      <c r="BU213">
        <v>320</v>
      </c>
      <c r="BV213" t="s">
        <v>70</v>
      </c>
      <c r="BW213">
        <v>38144</v>
      </c>
      <c r="BX213">
        <v>128</v>
      </c>
      <c r="BY213">
        <v>4</v>
      </c>
      <c r="BZ213">
        <v>4</v>
      </c>
      <c r="CA213">
        <v>944.37</v>
      </c>
      <c r="CB213">
        <v>39.18</v>
      </c>
      <c r="CQ213" s="54">
        <f t="shared" si="318"/>
        <v>39.35883333333333</v>
      </c>
    </row>
    <row r="214" spans="1:95">
      <c r="A214">
        <v>0</v>
      </c>
      <c r="B214" t="s">
        <v>7</v>
      </c>
      <c r="C214">
        <v>36000</v>
      </c>
      <c r="D214">
        <v>160</v>
      </c>
      <c r="E214">
        <v>4</v>
      </c>
      <c r="F214">
        <v>4</v>
      </c>
      <c r="G214" s="1">
        <v>775.17</v>
      </c>
      <c r="H214" s="59">
        <v>40.128</v>
      </c>
      <c r="I214" s="27">
        <v>45482</v>
      </c>
      <c r="J214" s="53">
        <v>0.51618055555555553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s="66">
        <f t="shared" ref="W214" si="319">AVERAGE(H214:H218)</f>
        <v>39.752400000000002</v>
      </c>
      <c r="Y214">
        <v>0</v>
      </c>
      <c r="Z214" t="s">
        <v>7</v>
      </c>
      <c r="AA214">
        <v>36000</v>
      </c>
      <c r="AB214">
        <v>160</v>
      </c>
      <c r="AC214">
        <v>4</v>
      </c>
      <c r="AD214">
        <v>4</v>
      </c>
      <c r="AE214">
        <v>768.38</v>
      </c>
      <c r="AF214" s="48">
        <v>40.482999999999997</v>
      </c>
      <c r="AG214" s="27">
        <v>45499</v>
      </c>
      <c r="AH214" s="53">
        <v>0.65206018518518516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 s="66">
        <f t="shared" ref="AU214" si="320">AVERAGE(AF214:AF218)</f>
        <v>40.527200000000001</v>
      </c>
      <c r="AW214">
        <v>0</v>
      </c>
      <c r="AX214" t="s">
        <v>7</v>
      </c>
      <c r="AY214">
        <v>36000</v>
      </c>
      <c r="AZ214">
        <v>160</v>
      </c>
      <c r="BA214">
        <v>4</v>
      </c>
      <c r="BB214">
        <v>4</v>
      </c>
      <c r="BC214">
        <v>1092.75</v>
      </c>
      <c r="BD214" s="61">
        <v>28.466000000000001</v>
      </c>
      <c r="BE214" s="27">
        <v>45488</v>
      </c>
      <c r="BF214" s="53">
        <v>0.72121527777777783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 s="8">
        <f t="shared" ref="BS214" si="321">AVERAGE(BD214:BD218)</f>
        <v>28.311799999999998</v>
      </c>
      <c r="BU214">
        <v>391</v>
      </c>
      <c r="BV214" t="s">
        <v>70</v>
      </c>
      <c r="BW214">
        <v>38144</v>
      </c>
      <c r="BX214">
        <v>128</v>
      </c>
      <c r="BY214">
        <v>4</v>
      </c>
      <c r="BZ214">
        <v>4</v>
      </c>
      <c r="CA214">
        <v>961.18</v>
      </c>
      <c r="CB214">
        <v>38.496000000000002</v>
      </c>
      <c r="CQ214" s="54">
        <f t="shared" si="318"/>
        <v>39.35883333333333</v>
      </c>
    </row>
    <row r="215" spans="1:95">
      <c r="A215">
        <v>1</v>
      </c>
      <c r="B215" t="s">
        <v>7</v>
      </c>
      <c r="C215">
        <v>36000</v>
      </c>
      <c r="D215">
        <v>160</v>
      </c>
      <c r="E215">
        <v>4</v>
      </c>
      <c r="F215">
        <v>4</v>
      </c>
      <c r="G215">
        <v>778.68</v>
      </c>
      <c r="H215" s="59">
        <v>39.947000000000003</v>
      </c>
      <c r="I215" s="27">
        <v>45483</v>
      </c>
      <c r="J215" s="53">
        <v>0.37591435185185185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 s="66">
        <f t="shared" ref="W215" si="322">W214</f>
        <v>39.752400000000002</v>
      </c>
      <c r="Y215">
        <v>1</v>
      </c>
      <c r="Z215" t="s">
        <v>7</v>
      </c>
      <c r="AA215">
        <v>36000</v>
      </c>
      <c r="AB215">
        <v>160</v>
      </c>
      <c r="AC215">
        <v>4</v>
      </c>
      <c r="AD215">
        <v>4</v>
      </c>
      <c r="AE215">
        <v>767.36</v>
      </c>
      <c r="AF215" s="48">
        <v>40.536000000000001</v>
      </c>
      <c r="AG215" s="27">
        <v>45500</v>
      </c>
      <c r="AH215" s="53">
        <v>0.7727546296296296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 s="66">
        <f t="shared" ref="AU215" si="323">AU214</f>
        <v>40.527200000000001</v>
      </c>
      <c r="AW215">
        <v>1</v>
      </c>
      <c r="AX215" t="s">
        <v>7</v>
      </c>
      <c r="AY215">
        <v>36000</v>
      </c>
      <c r="AZ215">
        <v>160</v>
      </c>
      <c r="BA215">
        <v>4</v>
      </c>
      <c r="BB215">
        <v>4</v>
      </c>
      <c r="BC215">
        <v>1102.1099999999999</v>
      </c>
      <c r="BD215" s="61">
        <v>28.224</v>
      </c>
      <c r="BE215" s="27">
        <v>45490</v>
      </c>
      <c r="BF215" s="53">
        <v>0.11509259259259259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 s="8">
        <f t="shared" ref="BS215" si="324">BS214</f>
        <v>28.311799999999998</v>
      </c>
      <c r="BU215">
        <v>60</v>
      </c>
      <c r="BV215" t="s">
        <v>70</v>
      </c>
      <c r="BW215">
        <v>40320</v>
      </c>
      <c r="BX215">
        <v>128</v>
      </c>
      <c r="BY215">
        <v>4</v>
      </c>
      <c r="BZ215">
        <v>4</v>
      </c>
      <c r="CA215">
        <v>1092.5899999999999</v>
      </c>
      <c r="CB215">
        <v>39.997999999999998</v>
      </c>
      <c r="CQ215" s="54">
        <f t="shared" ref="CQ215" si="325">AVERAGE(CB215:CB220)</f>
        <v>39.823333333333331</v>
      </c>
    </row>
    <row r="216" spans="1:95">
      <c r="A216">
        <v>2</v>
      </c>
      <c r="B216" t="s">
        <v>7</v>
      </c>
      <c r="C216">
        <v>36000</v>
      </c>
      <c r="D216">
        <v>160</v>
      </c>
      <c r="E216">
        <v>4</v>
      </c>
      <c r="F216">
        <v>4</v>
      </c>
      <c r="G216">
        <v>773.64</v>
      </c>
      <c r="H216" s="59">
        <v>40.207000000000001</v>
      </c>
      <c r="I216" s="27">
        <v>45484</v>
      </c>
      <c r="J216" s="53">
        <v>0.24109953703703704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 s="66">
        <f t="shared" si="315"/>
        <v>39.752400000000002</v>
      </c>
      <c r="Y216">
        <v>2</v>
      </c>
      <c r="Z216" t="s">
        <v>7</v>
      </c>
      <c r="AA216">
        <v>36000</v>
      </c>
      <c r="AB216">
        <v>160</v>
      </c>
      <c r="AC216">
        <v>4</v>
      </c>
      <c r="AD216">
        <v>4</v>
      </c>
      <c r="AE216">
        <v>767.86</v>
      </c>
      <c r="AF216" s="48">
        <v>40.51</v>
      </c>
      <c r="AG216" s="27">
        <v>45501</v>
      </c>
      <c r="AH216" s="53">
        <v>0.56696759259259255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 s="66">
        <f t="shared" si="309"/>
        <v>40.527200000000001</v>
      </c>
      <c r="AW216">
        <v>2</v>
      </c>
      <c r="AX216" t="s">
        <v>7</v>
      </c>
      <c r="AY216">
        <v>36000</v>
      </c>
      <c r="AZ216">
        <v>160</v>
      </c>
      <c r="BA216">
        <v>4</v>
      </c>
      <c r="BB216">
        <v>4</v>
      </c>
      <c r="BC216">
        <v>1102.1199999999999</v>
      </c>
      <c r="BD216" s="61">
        <v>28.224</v>
      </c>
      <c r="BE216" s="27">
        <v>45491</v>
      </c>
      <c r="BF216" s="53">
        <v>0.20090277777777779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 s="8">
        <f t="shared" si="310"/>
        <v>28.311799999999998</v>
      </c>
      <c r="BU216">
        <v>131</v>
      </c>
      <c r="BV216" t="s">
        <v>70</v>
      </c>
      <c r="BW216">
        <v>40320</v>
      </c>
      <c r="BX216">
        <v>128</v>
      </c>
      <c r="BY216">
        <v>4</v>
      </c>
      <c r="BZ216">
        <v>4</v>
      </c>
      <c r="CA216">
        <v>1076.45</v>
      </c>
      <c r="CB216">
        <v>40.597999999999999</v>
      </c>
      <c r="CQ216" s="54">
        <f t="shared" ref="CQ216" si="326">CQ215</f>
        <v>39.823333333333331</v>
      </c>
    </row>
    <row r="217" spans="1:95">
      <c r="A217">
        <v>3</v>
      </c>
      <c r="B217" t="s">
        <v>7</v>
      </c>
      <c r="C217">
        <v>36000</v>
      </c>
      <c r="D217">
        <v>160</v>
      </c>
      <c r="E217">
        <v>4</v>
      </c>
      <c r="F217">
        <v>4</v>
      </c>
      <c r="G217">
        <v>793.35</v>
      </c>
      <c r="H217" s="59">
        <v>39.207999999999998</v>
      </c>
      <c r="I217" s="27">
        <v>45485</v>
      </c>
      <c r="J217" s="53">
        <v>0.10412037037037038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 s="66">
        <f t="shared" si="315"/>
        <v>39.752400000000002</v>
      </c>
      <c r="Y217">
        <v>3</v>
      </c>
      <c r="Z217" t="s">
        <v>7</v>
      </c>
      <c r="AA217">
        <v>36000</v>
      </c>
      <c r="AB217">
        <v>160</v>
      </c>
      <c r="AC217">
        <v>4</v>
      </c>
      <c r="AD217">
        <v>4</v>
      </c>
      <c r="AE217" s="1">
        <v>766.4</v>
      </c>
      <c r="AF217" s="48">
        <v>40.587000000000003</v>
      </c>
      <c r="AG217" s="27">
        <v>45502</v>
      </c>
      <c r="AH217" s="53">
        <v>0.36152777777777778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 s="66">
        <f t="shared" si="309"/>
        <v>40.527200000000001</v>
      </c>
      <c r="AW217">
        <v>3</v>
      </c>
      <c r="AX217" t="s">
        <v>7</v>
      </c>
      <c r="AY217">
        <v>36000</v>
      </c>
      <c r="AZ217">
        <v>160</v>
      </c>
      <c r="BA217">
        <v>4</v>
      </c>
      <c r="BB217">
        <v>4</v>
      </c>
      <c r="BC217">
        <v>1102.5999999999999</v>
      </c>
      <c r="BD217" s="61">
        <v>28.212</v>
      </c>
      <c r="BE217" s="27">
        <v>45492</v>
      </c>
      <c r="BF217" s="53">
        <v>0.28561342592592592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 s="8">
        <f t="shared" si="310"/>
        <v>28.311799999999998</v>
      </c>
      <c r="BU217">
        <v>202</v>
      </c>
      <c r="BV217" t="s">
        <v>70</v>
      </c>
      <c r="BW217">
        <v>40320</v>
      </c>
      <c r="BX217">
        <v>128</v>
      </c>
      <c r="BY217">
        <v>4</v>
      </c>
      <c r="BZ217">
        <v>4</v>
      </c>
      <c r="CA217">
        <v>1082.45</v>
      </c>
      <c r="CB217">
        <v>40.372</v>
      </c>
      <c r="CQ217" s="54">
        <f t="shared" si="318"/>
        <v>39.823333333333331</v>
      </c>
    </row>
    <row r="218" spans="1:95">
      <c r="A218">
        <v>4</v>
      </c>
      <c r="B218" t="s">
        <v>7</v>
      </c>
      <c r="C218">
        <v>36000</v>
      </c>
      <c r="D218">
        <v>160</v>
      </c>
      <c r="E218">
        <v>4</v>
      </c>
      <c r="F218">
        <v>4</v>
      </c>
      <c r="G218">
        <v>792.05</v>
      </c>
      <c r="H218" s="59">
        <v>39.271999999999998</v>
      </c>
      <c r="I218" s="27">
        <v>45485</v>
      </c>
      <c r="J218" s="53">
        <v>0.98344907407407411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s="66">
        <f t="shared" si="315"/>
        <v>39.752400000000002</v>
      </c>
      <c r="Y218">
        <v>4</v>
      </c>
      <c r="Z218" t="s">
        <v>7</v>
      </c>
      <c r="AA218">
        <v>36000</v>
      </c>
      <c r="AB218">
        <v>160</v>
      </c>
      <c r="AC218">
        <v>4</v>
      </c>
      <c r="AD218">
        <v>4</v>
      </c>
      <c r="AE218">
        <v>767.67</v>
      </c>
      <c r="AF218" s="48">
        <v>40.520000000000003</v>
      </c>
      <c r="AG218" s="27">
        <v>45503</v>
      </c>
      <c r="AH218" s="53">
        <v>0.15635416666666666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 s="66">
        <f t="shared" si="309"/>
        <v>40.527200000000001</v>
      </c>
      <c r="AW218">
        <v>4</v>
      </c>
      <c r="AX218" t="s">
        <v>7</v>
      </c>
      <c r="AY218">
        <v>36000</v>
      </c>
      <c r="AZ218">
        <v>160</v>
      </c>
      <c r="BA218">
        <v>4</v>
      </c>
      <c r="BB218">
        <v>4</v>
      </c>
      <c r="BC218">
        <v>1094.03</v>
      </c>
      <c r="BD218" s="61">
        <v>28.433</v>
      </c>
      <c r="BE218" s="27">
        <v>45493</v>
      </c>
      <c r="BF218" s="53">
        <v>0.37113425925925925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 s="8">
        <f t="shared" si="310"/>
        <v>28.311799999999998</v>
      </c>
      <c r="BU218">
        <v>273</v>
      </c>
      <c r="BV218" t="s">
        <v>70</v>
      </c>
      <c r="BW218">
        <v>40320</v>
      </c>
      <c r="BX218">
        <v>128</v>
      </c>
      <c r="BY218">
        <v>4</v>
      </c>
      <c r="BZ218">
        <v>4</v>
      </c>
      <c r="CA218">
        <v>1084.71</v>
      </c>
      <c r="CB218">
        <v>40.287999999999997</v>
      </c>
      <c r="CQ218" s="54">
        <f t="shared" si="318"/>
        <v>39.823333333333331</v>
      </c>
    </row>
    <row r="219" spans="1:95">
      <c r="A219">
        <v>0</v>
      </c>
      <c r="B219" t="s">
        <v>7</v>
      </c>
      <c r="C219">
        <v>38080</v>
      </c>
      <c r="D219">
        <v>160</v>
      </c>
      <c r="E219">
        <v>4</v>
      </c>
      <c r="F219">
        <v>4</v>
      </c>
      <c r="G219" s="1">
        <v>903.73</v>
      </c>
      <c r="H219" s="59">
        <v>40.737000000000002</v>
      </c>
      <c r="I219" s="27">
        <v>45482</v>
      </c>
      <c r="J219" s="53">
        <v>0.78651620370370368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 s="66">
        <f t="shared" ref="W219" si="327">AVERAGE(H219:H223)</f>
        <v>39.992000000000004</v>
      </c>
      <c r="Y219">
        <v>0</v>
      </c>
      <c r="Z219" t="s">
        <v>7</v>
      </c>
      <c r="AA219">
        <v>38080</v>
      </c>
      <c r="AB219">
        <v>160</v>
      </c>
      <c r="AC219">
        <v>4</v>
      </c>
      <c r="AD219">
        <v>4</v>
      </c>
      <c r="AE219">
        <v>890.1</v>
      </c>
      <c r="AF219" s="48">
        <v>41.36</v>
      </c>
      <c r="AG219" s="27">
        <v>45499</v>
      </c>
      <c r="AH219" s="53">
        <v>0.90060185185185182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 s="66">
        <f t="shared" ref="AU219" si="328">AVERAGE(AF219:AF223)</f>
        <v>41.192599999999999</v>
      </c>
      <c r="AW219">
        <v>0</v>
      </c>
      <c r="AX219" t="s">
        <v>7</v>
      </c>
      <c r="AY219">
        <v>38080</v>
      </c>
      <c r="AZ219">
        <v>160</v>
      </c>
      <c r="BA219">
        <v>4</v>
      </c>
      <c r="BB219">
        <v>4</v>
      </c>
      <c r="BC219">
        <v>1251.6400000000001</v>
      </c>
      <c r="BD219" s="61">
        <v>29.413</v>
      </c>
      <c r="BE219" s="27">
        <v>45489</v>
      </c>
      <c r="BF219" s="53">
        <v>6.4270833333333333E-2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 s="8">
        <f t="shared" ref="BS219" si="329">AVERAGE(BD219:BD223)</f>
        <v>29.336000000000002</v>
      </c>
      <c r="BU219">
        <v>344</v>
      </c>
      <c r="BV219" t="s">
        <v>70</v>
      </c>
      <c r="BW219">
        <v>40320</v>
      </c>
      <c r="BX219">
        <v>128</v>
      </c>
      <c r="BY219">
        <v>4</v>
      </c>
      <c r="BZ219">
        <v>4</v>
      </c>
      <c r="CA219">
        <v>1160.74</v>
      </c>
      <c r="CB219">
        <v>37.649000000000001</v>
      </c>
      <c r="CQ219" s="54">
        <f t="shared" si="318"/>
        <v>39.823333333333331</v>
      </c>
    </row>
    <row r="220" spans="1:95">
      <c r="A220">
        <v>1</v>
      </c>
      <c r="B220" t="s">
        <v>7</v>
      </c>
      <c r="C220">
        <v>38080</v>
      </c>
      <c r="D220">
        <v>160</v>
      </c>
      <c r="E220">
        <v>4</v>
      </c>
      <c r="F220">
        <v>4</v>
      </c>
      <c r="G220">
        <v>918.68</v>
      </c>
      <c r="H220" s="59">
        <v>40.073999999999998</v>
      </c>
      <c r="I220" s="27">
        <v>45483</v>
      </c>
      <c r="J220" s="53">
        <v>0.65120370370370373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s="66">
        <f t="shared" ref="W220" si="330">W219</f>
        <v>39.992000000000004</v>
      </c>
      <c r="Y220">
        <v>1</v>
      </c>
      <c r="Z220" t="s">
        <v>7</v>
      </c>
      <c r="AA220">
        <v>38080</v>
      </c>
      <c r="AB220">
        <v>160</v>
      </c>
      <c r="AC220">
        <v>4</v>
      </c>
      <c r="AD220">
        <v>4</v>
      </c>
      <c r="AE220" s="1">
        <v>893.46</v>
      </c>
      <c r="AF220" s="48">
        <v>41.204999999999998</v>
      </c>
      <c r="AG220" s="27">
        <v>45501</v>
      </c>
      <c r="AH220" s="53">
        <v>2.2314814814814815E-2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 s="66">
        <f t="shared" ref="AU220" si="331">AU219</f>
        <v>41.192599999999999</v>
      </c>
      <c r="AW220">
        <v>1</v>
      </c>
      <c r="AX220" t="s">
        <v>7</v>
      </c>
      <c r="AY220">
        <v>38080</v>
      </c>
      <c r="AZ220">
        <v>160</v>
      </c>
      <c r="BA220">
        <v>4</v>
      </c>
      <c r="BB220">
        <v>4</v>
      </c>
      <c r="BC220">
        <v>1251.76</v>
      </c>
      <c r="BD220" s="61">
        <v>29.411000000000001</v>
      </c>
      <c r="BE220" s="27">
        <v>45490</v>
      </c>
      <c r="BF220" s="53">
        <v>0.45784722222222224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 s="8">
        <f t="shared" ref="BS220" si="332">BS219</f>
        <v>29.336000000000002</v>
      </c>
      <c r="BU220">
        <v>415</v>
      </c>
      <c r="BV220" t="s">
        <v>70</v>
      </c>
      <c r="BW220">
        <v>40320</v>
      </c>
      <c r="BX220">
        <v>128</v>
      </c>
      <c r="BY220">
        <v>4</v>
      </c>
      <c r="BZ220">
        <v>4</v>
      </c>
      <c r="CA220">
        <v>1091.56</v>
      </c>
      <c r="CB220">
        <v>40.034999999999997</v>
      </c>
      <c r="CQ220" s="54">
        <f t="shared" si="318"/>
        <v>39.823333333333331</v>
      </c>
    </row>
    <row r="221" spans="1:95">
      <c r="A221">
        <v>2</v>
      </c>
      <c r="B221" t="s">
        <v>7</v>
      </c>
      <c r="C221">
        <v>38080</v>
      </c>
      <c r="D221">
        <v>160</v>
      </c>
      <c r="E221">
        <v>4</v>
      </c>
      <c r="F221">
        <v>4</v>
      </c>
      <c r="G221">
        <v>925.71</v>
      </c>
      <c r="H221" s="59">
        <v>39.768999999999998</v>
      </c>
      <c r="I221" s="27">
        <v>45484</v>
      </c>
      <c r="J221" s="53">
        <v>0.51418981481481485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s="66">
        <f t="shared" si="315"/>
        <v>39.992000000000004</v>
      </c>
      <c r="Y221">
        <v>2</v>
      </c>
      <c r="Z221" t="s">
        <v>7</v>
      </c>
      <c r="AA221">
        <v>38080</v>
      </c>
      <c r="AB221">
        <v>160</v>
      </c>
      <c r="AC221">
        <v>4</v>
      </c>
      <c r="AD221">
        <v>4</v>
      </c>
      <c r="AE221">
        <v>889.97</v>
      </c>
      <c r="AF221" s="48">
        <v>41.366999999999997</v>
      </c>
      <c r="AG221" s="27">
        <v>45501</v>
      </c>
      <c r="AH221" s="53">
        <v>0.81637731481481479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 s="66">
        <f t="shared" si="309"/>
        <v>41.192599999999999</v>
      </c>
      <c r="AW221">
        <v>2</v>
      </c>
      <c r="AX221" t="s">
        <v>7</v>
      </c>
      <c r="AY221">
        <v>38080</v>
      </c>
      <c r="AZ221">
        <v>160</v>
      </c>
      <c r="BA221">
        <v>4</v>
      </c>
      <c r="BB221">
        <v>4</v>
      </c>
      <c r="BC221">
        <v>1257.6099999999999</v>
      </c>
      <c r="BD221" s="61">
        <v>29.274000000000001</v>
      </c>
      <c r="BE221" s="27">
        <v>45491</v>
      </c>
      <c r="BF221" s="53">
        <v>0.54386574074074079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 s="8">
        <f t="shared" si="310"/>
        <v>29.336000000000002</v>
      </c>
      <c r="BU221">
        <v>13</v>
      </c>
      <c r="BV221" t="s">
        <v>70</v>
      </c>
      <c r="BW221">
        <v>35968</v>
      </c>
      <c r="BX221">
        <v>160</v>
      </c>
      <c r="BY221">
        <v>1</v>
      </c>
      <c r="BZ221">
        <v>16</v>
      </c>
      <c r="CA221">
        <v>808.09</v>
      </c>
      <c r="CB221">
        <v>38.493000000000002</v>
      </c>
      <c r="CQ221" s="54">
        <f t="shared" ref="CQ221" si="333">AVERAGE(CB221:CB226)</f>
        <v>38.331666666666663</v>
      </c>
    </row>
    <row r="222" spans="1:95">
      <c r="A222">
        <v>3</v>
      </c>
      <c r="B222" t="s">
        <v>7</v>
      </c>
      <c r="C222">
        <v>38080</v>
      </c>
      <c r="D222">
        <v>160</v>
      </c>
      <c r="E222">
        <v>4</v>
      </c>
      <c r="F222">
        <v>4</v>
      </c>
      <c r="G222">
        <v>928.28</v>
      </c>
      <c r="H222" s="59">
        <v>39.658999999999999</v>
      </c>
      <c r="I222" s="27">
        <v>45485</v>
      </c>
      <c r="J222" s="53">
        <v>0.37633101851851852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s="66">
        <f t="shared" si="315"/>
        <v>39.992000000000004</v>
      </c>
      <c r="Y222">
        <v>3</v>
      </c>
      <c r="Z222" t="s">
        <v>7</v>
      </c>
      <c r="AA222">
        <v>38080</v>
      </c>
      <c r="AB222">
        <v>160</v>
      </c>
      <c r="AC222">
        <v>4</v>
      </c>
      <c r="AD222">
        <v>4</v>
      </c>
      <c r="AE222">
        <v>897.92</v>
      </c>
      <c r="AF222" s="48">
        <v>41</v>
      </c>
      <c r="AG222" s="27">
        <v>45502</v>
      </c>
      <c r="AH222" s="53">
        <v>0.61090277777777779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 s="66">
        <f t="shared" si="309"/>
        <v>41.192599999999999</v>
      </c>
      <c r="AW222">
        <v>3</v>
      </c>
      <c r="AX222" t="s">
        <v>7</v>
      </c>
      <c r="AY222">
        <v>38080</v>
      </c>
      <c r="AZ222">
        <v>160</v>
      </c>
      <c r="BA222">
        <v>4</v>
      </c>
      <c r="BB222">
        <v>4</v>
      </c>
      <c r="BC222">
        <v>1256.1199999999999</v>
      </c>
      <c r="BD222" s="61">
        <v>29.308</v>
      </c>
      <c r="BE222" s="27">
        <v>45492</v>
      </c>
      <c r="BF222" s="53">
        <v>0.62899305555555551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 s="8">
        <f t="shared" si="310"/>
        <v>29.336000000000002</v>
      </c>
      <c r="BU222">
        <v>84</v>
      </c>
      <c r="BV222" t="s">
        <v>70</v>
      </c>
      <c r="BW222">
        <v>35968</v>
      </c>
      <c r="BX222">
        <v>160</v>
      </c>
      <c r="BY222">
        <v>1</v>
      </c>
      <c r="BZ222">
        <v>16</v>
      </c>
      <c r="CA222">
        <v>811.1</v>
      </c>
      <c r="CB222">
        <v>38.35</v>
      </c>
      <c r="CQ222" s="54">
        <f t="shared" ref="CQ222" si="334">CQ221</f>
        <v>38.331666666666663</v>
      </c>
    </row>
    <row r="223" spans="1:95">
      <c r="A223">
        <v>4</v>
      </c>
      <c r="B223" t="s">
        <v>7</v>
      </c>
      <c r="C223">
        <v>38080</v>
      </c>
      <c r="D223">
        <v>160</v>
      </c>
      <c r="E223">
        <v>4</v>
      </c>
      <c r="F223">
        <v>4</v>
      </c>
      <c r="G223">
        <v>926.83</v>
      </c>
      <c r="H223" s="59">
        <v>39.720999999999997</v>
      </c>
      <c r="I223" s="27">
        <v>45486</v>
      </c>
      <c r="J223" s="53">
        <v>0.26405092592592594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 s="66">
        <f t="shared" si="315"/>
        <v>39.992000000000004</v>
      </c>
      <c r="Y223">
        <v>4</v>
      </c>
      <c r="Z223" t="s">
        <v>7</v>
      </c>
      <c r="AA223">
        <v>38080</v>
      </c>
      <c r="AB223">
        <v>160</v>
      </c>
      <c r="AC223">
        <v>4</v>
      </c>
      <c r="AD223">
        <v>4</v>
      </c>
      <c r="AE223">
        <v>897.25</v>
      </c>
      <c r="AF223" s="48">
        <v>41.030999999999999</v>
      </c>
      <c r="AG223" s="27">
        <v>45503</v>
      </c>
      <c r="AH223" s="53">
        <v>0.4067013888888889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 s="66">
        <f t="shared" si="309"/>
        <v>41.192599999999999</v>
      </c>
      <c r="AW223">
        <v>4</v>
      </c>
      <c r="AX223" t="s">
        <v>7</v>
      </c>
      <c r="AY223">
        <v>38080</v>
      </c>
      <c r="AZ223">
        <v>160</v>
      </c>
      <c r="BA223">
        <v>4</v>
      </c>
      <c r="BB223">
        <v>4</v>
      </c>
      <c r="BC223">
        <v>1257.5999999999999</v>
      </c>
      <c r="BD223" s="61">
        <v>29.274000000000001</v>
      </c>
      <c r="BE223" s="27">
        <v>45493</v>
      </c>
      <c r="BF223" s="53">
        <v>0.71434027777777775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 s="8">
        <f t="shared" si="310"/>
        <v>29.336000000000002</v>
      </c>
      <c r="BU223">
        <v>155</v>
      </c>
      <c r="BV223" t="s">
        <v>70</v>
      </c>
      <c r="BW223">
        <v>35968</v>
      </c>
      <c r="BX223">
        <v>160</v>
      </c>
      <c r="BY223">
        <v>1</v>
      </c>
      <c r="BZ223">
        <v>16</v>
      </c>
      <c r="CA223">
        <v>811.86</v>
      </c>
      <c r="CB223">
        <v>38.314999999999998</v>
      </c>
      <c r="CQ223" s="54">
        <f t="shared" si="318"/>
        <v>38.331666666666663</v>
      </c>
    </row>
    <row r="224" spans="1:95">
      <c r="A224">
        <v>0</v>
      </c>
      <c r="B224" t="s">
        <v>7</v>
      </c>
      <c r="C224">
        <v>40160</v>
      </c>
      <c r="D224">
        <v>160</v>
      </c>
      <c r="E224">
        <v>4</v>
      </c>
      <c r="F224">
        <v>4</v>
      </c>
      <c r="G224" s="1">
        <v>1026.97</v>
      </c>
      <c r="H224" s="59">
        <v>42.048999999999999</v>
      </c>
      <c r="I224" s="27">
        <v>45483</v>
      </c>
      <c r="J224" s="53">
        <v>0.10090277777777777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s="66">
        <f t="shared" ref="W224" si="335">AVERAGE(H224:H228)</f>
        <v>41.390200000000007</v>
      </c>
      <c r="Y224">
        <v>0</v>
      </c>
      <c r="Z224" t="s">
        <v>7</v>
      </c>
      <c r="AA224">
        <v>40160</v>
      </c>
      <c r="AB224">
        <v>160</v>
      </c>
      <c r="AC224">
        <v>4</v>
      </c>
      <c r="AD224">
        <v>4</v>
      </c>
      <c r="AE224">
        <v>1033.1099999999999</v>
      </c>
      <c r="AF224" s="48">
        <v>41.798999999999999</v>
      </c>
      <c r="AG224" s="27">
        <v>45500</v>
      </c>
      <c r="AH224" s="53">
        <v>0.19127314814814814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 s="66">
        <f t="shared" ref="AU224" si="336">AVERAGE(AF224:AF228)</f>
        <v>41.7316</v>
      </c>
      <c r="AW224">
        <v>0</v>
      </c>
      <c r="AX224" t="s">
        <v>7</v>
      </c>
      <c r="AY224">
        <v>40160</v>
      </c>
      <c r="AZ224">
        <v>160</v>
      </c>
      <c r="BA224">
        <v>4</v>
      </c>
      <c r="BB224">
        <v>4</v>
      </c>
      <c r="BC224">
        <v>1431.76</v>
      </c>
      <c r="BD224" s="61">
        <v>30.161000000000001</v>
      </c>
      <c r="BE224" s="27">
        <v>45489</v>
      </c>
      <c r="BF224" s="53">
        <v>0.45817129629629627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 s="8">
        <f t="shared" ref="BS224" si="337">AVERAGE(BD224:BD228)</f>
        <v>30.207600000000003</v>
      </c>
      <c r="BU224">
        <v>226</v>
      </c>
      <c r="BV224" t="s">
        <v>70</v>
      </c>
      <c r="BW224">
        <v>35968</v>
      </c>
      <c r="BX224">
        <v>160</v>
      </c>
      <c r="BY224">
        <v>1</v>
      </c>
      <c r="BZ224">
        <v>16</v>
      </c>
      <c r="CA224">
        <v>819.85</v>
      </c>
      <c r="CB224">
        <v>37.941000000000003</v>
      </c>
      <c r="CQ224" s="54">
        <f t="shared" si="318"/>
        <v>38.331666666666663</v>
      </c>
    </row>
    <row r="225" spans="1:95">
      <c r="A225">
        <v>1</v>
      </c>
      <c r="B225" t="s">
        <v>7</v>
      </c>
      <c r="C225">
        <v>40160</v>
      </c>
      <c r="D225">
        <v>160</v>
      </c>
      <c r="E225">
        <v>4</v>
      </c>
      <c r="F225">
        <v>4</v>
      </c>
      <c r="G225">
        <v>1039.3499999999999</v>
      </c>
      <c r="H225" s="59">
        <v>41.548000000000002</v>
      </c>
      <c r="I225" s="27">
        <v>45483</v>
      </c>
      <c r="J225" s="53">
        <v>0.96626157407407409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 s="66">
        <f t="shared" ref="W225" si="338">W224</f>
        <v>41.390200000000007</v>
      </c>
      <c r="Y225">
        <v>1</v>
      </c>
      <c r="Z225" t="s">
        <v>7</v>
      </c>
      <c r="AA225">
        <v>40160</v>
      </c>
      <c r="AB225">
        <v>160</v>
      </c>
      <c r="AC225">
        <v>4</v>
      </c>
      <c r="AD225">
        <v>4</v>
      </c>
      <c r="AE225">
        <v>1039.99</v>
      </c>
      <c r="AF225" s="48">
        <v>41.523000000000003</v>
      </c>
      <c r="AG225" s="27">
        <v>45501</v>
      </c>
      <c r="AH225" s="53">
        <v>0.31296296296296294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 s="66">
        <f t="shared" ref="AU225" si="339">AU224</f>
        <v>41.7316</v>
      </c>
      <c r="AW225">
        <v>1</v>
      </c>
      <c r="AX225" t="s">
        <v>7</v>
      </c>
      <c r="AY225">
        <v>40160</v>
      </c>
      <c r="AZ225">
        <v>160</v>
      </c>
      <c r="BA225">
        <v>4</v>
      </c>
      <c r="BB225">
        <v>4</v>
      </c>
      <c r="BC225">
        <v>1428.74</v>
      </c>
      <c r="BD225" s="61">
        <v>30.225000000000001</v>
      </c>
      <c r="BE225" s="27">
        <v>45490</v>
      </c>
      <c r="BF225" s="53">
        <v>0.85145833333333332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 s="8">
        <f t="shared" ref="BS225" si="340">BS224</f>
        <v>30.207600000000003</v>
      </c>
      <c r="BU225">
        <v>297</v>
      </c>
      <c r="BV225" t="s">
        <v>70</v>
      </c>
      <c r="BW225">
        <v>35968</v>
      </c>
      <c r="BX225">
        <v>160</v>
      </c>
      <c r="BY225">
        <v>1</v>
      </c>
      <c r="BZ225">
        <v>16</v>
      </c>
      <c r="CA225">
        <v>811.38</v>
      </c>
      <c r="CB225">
        <v>38.337000000000003</v>
      </c>
      <c r="CQ225" s="54">
        <f t="shared" si="318"/>
        <v>38.331666666666663</v>
      </c>
    </row>
    <row r="226" spans="1:95">
      <c r="A226">
        <v>2</v>
      </c>
      <c r="B226" t="s">
        <v>7</v>
      </c>
      <c r="C226">
        <v>40160</v>
      </c>
      <c r="D226">
        <v>160</v>
      </c>
      <c r="E226">
        <v>4</v>
      </c>
      <c r="F226">
        <v>4</v>
      </c>
      <c r="G226">
        <v>1037.3599999999999</v>
      </c>
      <c r="H226" s="59">
        <v>41.628</v>
      </c>
      <c r="I226" s="27">
        <v>45484</v>
      </c>
      <c r="J226" s="53">
        <v>0.82884259259259263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s="66">
        <f t="shared" si="315"/>
        <v>41.390200000000007</v>
      </c>
      <c r="Y226">
        <v>2</v>
      </c>
      <c r="Z226" t="s">
        <v>7</v>
      </c>
      <c r="AA226">
        <v>40160</v>
      </c>
      <c r="AB226">
        <v>160</v>
      </c>
      <c r="AC226">
        <v>4</v>
      </c>
      <c r="AD226">
        <v>4</v>
      </c>
      <c r="AE226">
        <v>1030.47</v>
      </c>
      <c r="AF226" s="48">
        <v>41.905999999999999</v>
      </c>
      <c r="AG226" s="27">
        <v>45502</v>
      </c>
      <c r="AH226" s="53">
        <v>0.10791666666666666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 s="66">
        <f t="shared" si="309"/>
        <v>41.7316</v>
      </c>
      <c r="AW226">
        <v>2</v>
      </c>
      <c r="AX226" t="s">
        <v>7</v>
      </c>
      <c r="AY226">
        <v>40160</v>
      </c>
      <c r="AZ226">
        <v>160</v>
      </c>
      <c r="BA226">
        <v>4</v>
      </c>
      <c r="BB226">
        <v>4</v>
      </c>
      <c r="BC226">
        <v>1433.9</v>
      </c>
      <c r="BD226" s="61">
        <v>30.116</v>
      </c>
      <c r="BE226" s="27">
        <v>45491</v>
      </c>
      <c r="BF226" s="53">
        <v>0.9369791666666667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 s="8">
        <f t="shared" si="310"/>
        <v>30.207600000000003</v>
      </c>
      <c r="BU226">
        <v>368</v>
      </c>
      <c r="BV226" t="s">
        <v>70</v>
      </c>
      <c r="BW226">
        <v>35968</v>
      </c>
      <c r="BX226">
        <v>160</v>
      </c>
      <c r="BY226">
        <v>1</v>
      </c>
      <c r="BZ226">
        <v>16</v>
      </c>
      <c r="CA226">
        <v>806.81</v>
      </c>
      <c r="CB226">
        <v>38.554000000000002</v>
      </c>
      <c r="CQ226" s="54">
        <f t="shared" si="318"/>
        <v>38.331666666666663</v>
      </c>
    </row>
    <row r="227" spans="1:95">
      <c r="A227">
        <v>3</v>
      </c>
      <c r="B227" t="s">
        <v>7</v>
      </c>
      <c r="C227">
        <v>40160</v>
      </c>
      <c r="D227">
        <v>160</v>
      </c>
      <c r="E227">
        <v>4</v>
      </c>
      <c r="F227">
        <v>4</v>
      </c>
      <c r="G227">
        <v>1054.98</v>
      </c>
      <c r="H227" s="59">
        <v>40.933</v>
      </c>
      <c r="I227" s="27">
        <v>45485</v>
      </c>
      <c r="J227" s="53">
        <v>0.69989583333333338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 s="66">
        <f t="shared" si="315"/>
        <v>41.390200000000007</v>
      </c>
      <c r="Y227">
        <v>3</v>
      </c>
      <c r="Z227" t="s">
        <v>7</v>
      </c>
      <c r="AA227">
        <v>40160</v>
      </c>
      <c r="AB227">
        <v>160</v>
      </c>
      <c r="AC227">
        <v>4</v>
      </c>
      <c r="AD227">
        <v>4</v>
      </c>
      <c r="AE227">
        <v>1036.03</v>
      </c>
      <c r="AF227" s="48">
        <v>41.680999999999997</v>
      </c>
      <c r="AG227" s="27">
        <v>45502</v>
      </c>
      <c r="AH227" s="53">
        <v>0.90251157407407412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 s="66">
        <f t="shared" si="309"/>
        <v>41.7316</v>
      </c>
      <c r="AW227">
        <v>3</v>
      </c>
      <c r="AX227" t="s">
        <v>7</v>
      </c>
      <c r="AY227">
        <v>40160</v>
      </c>
      <c r="AZ227">
        <v>160</v>
      </c>
      <c r="BA227">
        <v>4</v>
      </c>
      <c r="BB227">
        <v>4</v>
      </c>
      <c r="BC227">
        <v>1426.59</v>
      </c>
      <c r="BD227" s="61">
        <v>30.27</v>
      </c>
      <c r="BE227" s="27">
        <v>45493</v>
      </c>
      <c r="BF227" s="53">
        <v>2.2291666666666668E-2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 s="8">
        <f t="shared" si="310"/>
        <v>30.207600000000003</v>
      </c>
      <c r="BU227">
        <v>37</v>
      </c>
      <c r="BV227" t="s">
        <v>70</v>
      </c>
      <c r="BW227">
        <v>38144</v>
      </c>
      <c r="BX227">
        <v>160</v>
      </c>
      <c r="BY227">
        <v>1</v>
      </c>
      <c r="BZ227">
        <v>16</v>
      </c>
      <c r="CA227">
        <v>940.81</v>
      </c>
      <c r="CB227">
        <v>39.131</v>
      </c>
      <c r="CQ227" s="54">
        <f t="shared" ref="CQ227" si="341">AVERAGE(CB227:CB232)</f>
        <v>39.137666666666668</v>
      </c>
    </row>
    <row r="228" spans="1:95">
      <c r="A228">
        <v>4</v>
      </c>
      <c r="B228" t="s">
        <v>7</v>
      </c>
      <c r="C228">
        <v>40160</v>
      </c>
      <c r="D228">
        <v>160</v>
      </c>
      <c r="E228">
        <v>4</v>
      </c>
      <c r="F228">
        <v>4</v>
      </c>
      <c r="G228">
        <v>1058.5899999999999</v>
      </c>
      <c r="H228" s="59">
        <v>40.792999999999999</v>
      </c>
      <c r="I228" s="27">
        <v>45486</v>
      </c>
      <c r="J228" s="53">
        <v>0.58822916666666669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 s="66">
        <f t="shared" si="315"/>
        <v>41.390200000000007</v>
      </c>
      <c r="Y228">
        <v>4</v>
      </c>
      <c r="Z228" t="s">
        <v>7</v>
      </c>
      <c r="AA228">
        <v>40160</v>
      </c>
      <c r="AB228">
        <v>160</v>
      </c>
      <c r="AC228">
        <v>4</v>
      </c>
      <c r="AD228">
        <v>4</v>
      </c>
      <c r="AE228" s="1">
        <v>1034.3599999999999</v>
      </c>
      <c r="AF228" s="48">
        <v>41.749000000000002</v>
      </c>
      <c r="AG228" s="27">
        <v>45503</v>
      </c>
      <c r="AH228" s="53">
        <v>0.69739583333333333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 s="66">
        <f t="shared" si="309"/>
        <v>41.7316</v>
      </c>
      <c r="AW228">
        <v>4</v>
      </c>
      <c r="AX228" t="s">
        <v>7</v>
      </c>
      <c r="AY228">
        <v>40160</v>
      </c>
      <c r="AZ228">
        <v>160</v>
      </c>
      <c r="BA228">
        <v>4</v>
      </c>
      <c r="BB228">
        <v>4</v>
      </c>
      <c r="BC228">
        <v>1426.8</v>
      </c>
      <c r="BD228" s="61">
        <v>30.265999999999998</v>
      </c>
      <c r="BE228" s="27">
        <v>45494</v>
      </c>
      <c r="BF228" s="53">
        <v>0.10837962962962963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 s="8">
        <f t="shared" si="310"/>
        <v>30.207600000000003</v>
      </c>
      <c r="BU228">
        <v>108</v>
      </c>
      <c r="BV228" t="s">
        <v>70</v>
      </c>
      <c r="BW228">
        <v>38144</v>
      </c>
      <c r="BX228">
        <v>160</v>
      </c>
      <c r="BY228">
        <v>1</v>
      </c>
      <c r="BZ228">
        <v>16</v>
      </c>
      <c r="CA228">
        <v>941.67</v>
      </c>
      <c r="CB228">
        <v>39.095999999999997</v>
      </c>
      <c r="CQ228" s="54">
        <f t="shared" ref="CQ228" si="342">CQ227</f>
        <v>39.137666666666668</v>
      </c>
    </row>
    <row r="229" spans="1:95">
      <c r="A229">
        <v>0</v>
      </c>
      <c r="B229" t="s">
        <v>7</v>
      </c>
      <c r="C229">
        <v>35904</v>
      </c>
      <c r="D229">
        <v>192</v>
      </c>
      <c r="E229">
        <v>1</v>
      </c>
      <c r="F229">
        <v>16</v>
      </c>
      <c r="G229" s="1">
        <v>772.91</v>
      </c>
      <c r="H229" s="59">
        <v>39.923999999999999</v>
      </c>
      <c r="I229" s="27">
        <v>45482</v>
      </c>
      <c r="J229" s="53">
        <v>0.52539351851851857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s="66">
        <f t="shared" ref="W229" si="343">AVERAGE(H229:H233)</f>
        <v>39.755800000000001</v>
      </c>
      <c r="Y229">
        <v>0</v>
      </c>
      <c r="Z229" t="s">
        <v>7</v>
      </c>
      <c r="AA229">
        <v>35904</v>
      </c>
      <c r="AB229">
        <v>192</v>
      </c>
      <c r="AC229">
        <v>1</v>
      </c>
      <c r="AD229">
        <v>16</v>
      </c>
      <c r="AE229" s="1">
        <v>740.32</v>
      </c>
      <c r="AF229" s="48">
        <v>41.682000000000002</v>
      </c>
      <c r="AG229" s="27">
        <v>45499</v>
      </c>
      <c r="AH229" s="53">
        <v>0.66092592592592592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 s="66">
        <f t="shared" ref="AU229" si="344">AVERAGE(AF229:AF233)</f>
        <v>41.584799999999994</v>
      </c>
      <c r="AW229">
        <v>0</v>
      </c>
      <c r="AX229" t="s">
        <v>7</v>
      </c>
      <c r="AY229">
        <v>35904</v>
      </c>
      <c r="AZ229">
        <v>192</v>
      </c>
      <c r="BA229">
        <v>1</v>
      </c>
      <c r="BB229">
        <v>16</v>
      </c>
      <c r="BC229">
        <v>970.81</v>
      </c>
      <c r="BD229" s="61">
        <v>31.786000000000001</v>
      </c>
      <c r="BE229" s="27">
        <v>45488</v>
      </c>
      <c r="BF229" s="53">
        <v>0.73328703703703701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 s="8">
        <f t="shared" ref="BS229" si="345">AVERAGE(BD229:BD233)</f>
        <v>31.9726</v>
      </c>
      <c r="BU229">
        <v>179</v>
      </c>
      <c r="BV229" t="s">
        <v>70</v>
      </c>
      <c r="BW229">
        <v>38144</v>
      </c>
      <c r="BX229">
        <v>160</v>
      </c>
      <c r="BY229">
        <v>1</v>
      </c>
      <c r="BZ229">
        <v>16</v>
      </c>
      <c r="CA229">
        <v>943.76</v>
      </c>
      <c r="CB229">
        <v>39.009</v>
      </c>
      <c r="CQ229" s="54">
        <f t="shared" si="318"/>
        <v>39.137666666666668</v>
      </c>
    </row>
    <row r="230" spans="1:95">
      <c r="A230">
        <v>1</v>
      </c>
      <c r="B230" t="s">
        <v>7</v>
      </c>
      <c r="C230">
        <v>35904</v>
      </c>
      <c r="D230">
        <v>192</v>
      </c>
      <c r="E230">
        <v>1</v>
      </c>
      <c r="F230">
        <v>16</v>
      </c>
      <c r="G230">
        <v>767.73</v>
      </c>
      <c r="H230" s="59">
        <v>40.194000000000003</v>
      </c>
      <c r="I230" s="27">
        <v>45483</v>
      </c>
      <c r="J230" s="53">
        <v>0.38506944444444446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 s="66">
        <f t="shared" ref="W230" si="346">W229</f>
        <v>39.755800000000001</v>
      </c>
      <c r="Y230">
        <v>1</v>
      </c>
      <c r="Z230" t="s">
        <v>7</v>
      </c>
      <c r="AA230">
        <v>35904</v>
      </c>
      <c r="AB230">
        <v>192</v>
      </c>
      <c r="AC230">
        <v>1</v>
      </c>
      <c r="AD230">
        <v>16</v>
      </c>
      <c r="AE230">
        <v>738.16</v>
      </c>
      <c r="AF230" s="48">
        <v>41.802999999999997</v>
      </c>
      <c r="AG230" s="27">
        <v>45500</v>
      </c>
      <c r="AH230" s="53">
        <v>0.78159722222222228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 s="66">
        <f t="shared" ref="AU230" si="347">AU229</f>
        <v>41.584799999999994</v>
      </c>
      <c r="AW230">
        <v>1</v>
      </c>
      <c r="AX230" t="s">
        <v>7</v>
      </c>
      <c r="AY230">
        <v>35904</v>
      </c>
      <c r="AZ230">
        <v>192</v>
      </c>
      <c r="BA230">
        <v>1</v>
      </c>
      <c r="BB230">
        <v>16</v>
      </c>
      <c r="BC230">
        <v>961.28</v>
      </c>
      <c r="BD230" s="61">
        <v>32.100999999999999</v>
      </c>
      <c r="BE230" s="27">
        <v>45490</v>
      </c>
      <c r="BF230" s="53">
        <v>0.12702546296296297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 s="8">
        <f t="shared" ref="BS230" si="348">BS229</f>
        <v>31.9726</v>
      </c>
      <c r="BU230">
        <v>250</v>
      </c>
      <c r="BV230" t="s">
        <v>70</v>
      </c>
      <c r="BW230">
        <v>38144</v>
      </c>
      <c r="BX230">
        <v>160</v>
      </c>
      <c r="BY230">
        <v>1</v>
      </c>
      <c r="BZ230">
        <v>16</v>
      </c>
      <c r="CA230">
        <v>938.68</v>
      </c>
      <c r="CB230">
        <v>39.22</v>
      </c>
      <c r="CQ230" s="54">
        <f t="shared" si="318"/>
        <v>39.137666666666668</v>
      </c>
    </row>
    <row r="231" spans="1:95">
      <c r="A231">
        <v>2</v>
      </c>
      <c r="B231" t="s">
        <v>7</v>
      </c>
      <c r="C231">
        <v>35904</v>
      </c>
      <c r="D231">
        <v>192</v>
      </c>
      <c r="E231">
        <v>1</v>
      </c>
      <c r="F231">
        <v>16</v>
      </c>
      <c r="G231">
        <v>769.38</v>
      </c>
      <c r="H231" s="59">
        <v>40.107999999999997</v>
      </c>
      <c r="I231" s="27">
        <v>45484</v>
      </c>
      <c r="J231" s="53">
        <v>0.25027777777777777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 s="66">
        <f t="shared" si="315"/>
        <v>39.755800000000001</v>
      </c>
      <c r="Y231">
        <v>2</v>
      </c>
      <c r="Z231" t="s">
        <v>7</v>
      </c>
      <c r="AA231">
        <v>35904</v>
      </c>
      <c r="AB231">
        <v>192</v>
      </c>
      <c r="AC231">
        <v>1</v>
      </c>
      <c r="AD231">
        <v>16</v>
      </c>
      <c r="AE231">
        <v>743.21</v>
      </c>
      <c r="AF231" s="48">
        <v>41.518999999999998</v>
      </c>
      <c r="AG231" s="27">
        <v>45501</v>
      </c>
      <c r="AH231" s="53">
        <v>0.57587962962962957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 s="66">
        <f t="shared" si="309"/>
        <v>41.584799999999994</v>
      </c>
      <c r="AW231">
        <v>2</v>
      </c>
      <c r="AX231" t="s">
        <v>7</v>
      </c>
      <c r="AY231">
        <v>35904</v>
      </c>
      <c r="AZ231">
        <v>192</v>
      </c>
      <c r="BA231">
        <v>1</v>
      </c>
      <c r="BB231">
        <v>16</v>
      </c>
      <c r="BC231">
        <v>965.76</v>
      </c>
      <c r="BD231" s="61">
        <v>31.952000000000002</v>
      </c>
      <c r="BE231" s="27">
        <v>45491</v>
      </c>
      <c r="BF231" s="53">
        <v>0.21289351851851851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 s="8">
        <f t="shared" si="310"/>
        <v>31.9726</v>
      </c>
      <c r="BU231">
        <v>321</v>
      </c>
      <c r="BV231" t="s">
        <v>70</v>
      </c>
      <c r="BW231">
        <v>38144</v>
      </c>
      <c r="BX231">
        <v>160</v>
      </c>
      <c r="BY231">
        <v>1</v>
      </c>
      <c r="BZ231">
        <v>16</v>
      </c>
      <c r="CA231">
        <v>938.43</v>
      </c>
      <c r="CB231">
        <v>39.229999999999997</v>
      </c>
      <c r="CQ231" s="54">
        <f t="shared" si="318"/>
        <v>39.137666666666668</v>
      </c>
    </row>
    <row r="232" spans="1:95">
      <c r="A232">
        <v>3</v>
      </c>
      <c r="B232" t="s">
        <v>7</v>
      </c>
      <c r="C232">
        <v>35904</v>
      </c>
      <c r="D232">
        <v>192</v>
      </c>
      <c r="E232">
        <v>1</v>
      </c>
      <c r="F232">
        <v>16</v>
      </c>
      <c r="G232">
        <v>768.91</v>
      </c>
      <c r="H232" s="59">
        <v>40.131999999999998</v>
      </c>
      <c r="I232" s="27">
        <v>45485</v>
      </c>
      <c r="J232" s="53">
        <v>0.11328703703703703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 s="66">
        <f t="shared" si="315"/>
        <v>39.755800000000001</v>
      </c>
      <c r="Y232">
        <v>3</v>
      </c>
      <c r="Z232" t="s">
        <v>7</v>
      </c>
      <c r="AA232">
        <v>35904</v>
      </c>
      <c r="AB232">
        <v>192</v>
      </c>
      <c r="AC232">
        <v>1</v>
      </c>
      <c r="AD232">
        <v>16</v>
      </c>
      <c r="AE232">
        <v>750.01</v>
      </c>
      <c r="AF232" s="48">
        <v>41.143000000000001</v>
      </c>
      <c r="AG232" s="27">
        <v>45502</v>
      </c>
      <c r="AH232" s="53">
        <v>0.37050925925925926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 s="66">
        <f t="shared" si="309"/>
        <v>41.584799999999994</v>
      </c>
      <c r="AW232">
        <v>3</v>
      </c>
      <c r="AX232" t="s">
        <v>7</v>
      </c>
      <c r="AY232">
        <v>35904</v>
      </c>
      <c r="AZ232">
        <v>192</v>
      </c>
      <c r="BA232">
        <v>1</v>
      </c>
      <c r="BB232">
        <v>16</v>
      </c>
      <c r="BC232">
        <v>963.73</v>
      </c>
      <c r="BD232" s="61">
        <v>32.018999999999998</v>
      </c>
      <c r="BE232" s="27">
        <v>45492</v>
      </c>
      <c r="BF232" s="53">
        <v>0.29759259259259258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 s="8">
        <f t="shared" si="310"/>
        <v>31.9726</v>
      </c>
      <c r="BU232">
        <v>392</v>
      </c>
      <c r="BV232" t="s">
        <v>70</v>
      </c>
      <c r="BW232">
        <v>38144</v>
      </c>
      <c r="BX232">
        <v>160</v>
      </c>
      <c r="BY232">
        <v>1</v>
      </c>
      <c r="BZ232">
        <v>16</v>
      </c>
      <c r="CA232">
        <v>940.61</v>
      </c>
      <c r="CB232">
        <v>39.14</v>
      </c>
      <c r="CQ232" s="54">
        <f t="shared" si="318"/>
        <v>39.137666666666668</v>
      </c>
    </row>
    <row r="233" spans="1:95">
      <c r="A233">
        <v>4</v>
      </c>
      <c r="B233" t="s">
        <v>7</v>
      </c>
      <c r="C233">
        <v>35904</v>
      </c>
      <c r="D233">
        <v>192</v>
      </c>
      <c r="E233">
        <v>1</v>
      </c>
      <c r="F233">
        <v>16</v>
      </c>
      <c r="G233">
        <v>803.15</v>
      </c>
      <c r="H233" s="59">
        <v>38.420999999999999</v>
      </c>
      <c r="I233" s="27">
        <v>45485</v>
      </c>
      <c r="J233" s="53">
        <v>0.99302083333333335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s="66">
        <f t="shared" si="315"/>
        <v>39.755800000000001</v>
      </c>
      <c r="Y233">
        <v>4</v>
      </c>
      <c r="Z233" t="s">
        <v>7</v>
      </c>
      <c r="AA233">
        <v>35904</v>
      </c>
      <c r="AB233">
        <v>192</v>
      </c>
      <c r="AC233">
        <v>1</v>
      </c>
      <c r="AD233">
        <v>16</v>
      </c>
      <c r="AE233">
        <v>738.64</v>
      </c>
      <c r="AF233" s="48">
        <v>41.777000000000001</v>
      </c>
      <c r="AG233" s="27">
        <v>45503</v>
      </c>
      <c r="AH233" s="53">
        <v>0.16520833333333335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 s="66">
        <f t="shared" si="309"/>
        <v>41.584799999999994</v>
      </c>
      <c r="AW233">
        <v>4</v>
      </c>
      <c r="AX233" t="s">
        <v>7</v>
      </c>
      <c r="AY233">
        <v>35904</v>
      </c>
      <c r="AZ233">
        <v>192</v>
      </c>
      <c r="BA233">
        <v>1</v>
      </c>
      <c r="BB233">
        <v>16</v>
      </c>
      <c r="BC233">
        <v>964.16</v>
      </c>
      <c r="BD233" s="61">
        <v>32.005000000000003</v>
      </c>
      <c r="BE233" s="27">
        <v>45493</v>
      </c>
      <c r="BF233" s="53">
        <v>0.3831134259259259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 s="8">
        <f t="shared" si="310"/>
        <v>31.9726</v>
      </c>
      <c r="BU233">
        <v>61</v>
      </c>
      <c r="BV233" t="s">
        <v>70</v>
      </c>
      <c r="BW233">
        <v>40320</v>
      </c>
      <c r="BX233">
        <v>160</v>
      </c>
      <c r="BY233">
        <v>1</v>
      </c>
      <c r="BZ233">
        <v>16</v>
      </c>
      <c r="CA233">
        <v>1089.58</v>
      </c>
      <c r="CB233">
        <v>40.107999999999997</v>
      </c>
      <c r="CQ233" s="54">
        <f t="shared" ref="CQ233" si="349">AVERAGE(CB233:CB238)</f>
        <v>40.063666666666663</v>
      </c>
    </row>
    <row r="234" spans="1:95">
      <c r="A234">
        <v>0</v>
      </c>
      <c r="B234" t="s">
        <v>7</v>
      </c>
      <c r="C234">
        <v>38016</v>
      </c>
      <c r="D234">
        <v>192</v>
      </c>
      <c r="E234">
        <v>1</v>
      </c>
      <c r="F234">
        <v>16</v>
      </c>
      <c r="G234" s="1">
        <v>917.23</v>
      </c>
      <c r="H234" s="59">
        <v>39.935000000000002</v>
      </c>
      <c r="I234" s="27">
        <v>45482</v>
      </c>
      <c r="J234" s="53">
        <v>0.79744212962962968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 s="66">
        <f t="shared" ref="W234" si="350">AVERAGE(H234:H238)</f>
        <v>39.495600000000003</v>
      </c>
      <c r="Y234">
        <v>0</v>
      </c>
      <c r="Z234" t="s">
        <v>7</v>
      </c>
      <c r="AA234">
        <v>38016</v>
      </c>
      <c r="AB234">
        <v>192</v>
      </c>
      <c r="AC234">
        <v>1</v>
      </c>
      <c r="AD234">
        <v>16</v>
      </c>
      <c r="AE234">
        <v>875.52</v>
      </c>
      <c r="AF234" s="48">
        <v>41.837000000000003</v>
      </c>
      <c r="AG234" s="27">
        <v>45499</v>
      </c>
      <c r="AH234" s="53">
        <v>0.91107638888888887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 s="66">
        <f t="shared" ref="AU234" si="351">AVERAGE(AF234:AF238)</f>
        <v>41.890600000000006</v>
      </c>
      <c r="AW234">
        <v>0</v>
      </c>
      <c r="AX234" t="s">
        <v>7</v>
      </c>
      <c r="AY234">
        <v>38016</v>
      </c>
      <c r="AZ234">
        <v>192</v>
      </c>
      <c r="BA234">
        <v>1</v>
      </c>
      <c r="BB234">
        <v>16</v>
      </c>
      <c r="BC234">
        <v>1116.1199999999999</v>
      </c>
      <c r="BD234" s="61">
        <v>32.819000000000003</v>
      </c>
      <c r="BE234" s="27">
        <v>45489</v>
      </c>
      <c r="BF234" s="53">
        <v>7.8148148148148147E-2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 s="8">
        <f t="shared" ref="BS234" si="352">AVERAGE(BD234:BD238)</f>
        <v>32.877800000000001</v>
      </c>
      <c r="BU234">
        <v>132</v>
      </c>
      <c r="BV234" t="s">
        <v>70</v>
      </c>
      <c r="BW234">
        <v>40320</v>
      </c>
      <c r="BX234">
        <v>160</v>
      </c>
      <c r="BY234">
        <v>1</v>
      </c>
      <c r="BZ234">
        <v>16</v>
      </c>
      <c r="CA234">
        <v>1088.22</v>
      </c>
      <c r="CB234">
        <v>40.158000000000001</v>
      </c>
      <c r="CQ234" s="54">
        <f t="shared" ref="CQ234" si="353">CQ233</f>
        <v>40.063666666666663</v>
      </c>
    </row>
    <row r="235" spans="1:95">
      <c r="A235">
        <v>1</v>
      </c>
      <c r="B235" t="s">
        <v>7</v>
      </c>
      <c r="C235">
        <v>38016</v>
      </c>
      <c r="D235">
        <v>192</v>
      </c>
      <c r="E235">
        <v>1</v>
      </c>
      <c r="F235">
        <v>16</v>
      </c>
      <c r="G235">
        <v>922.09</v>
      </c>
      <c r="H235" s="59">
        <v>39.725000000000001</v>
      </c>
      <c r="I235" s="27">
        <v>45483</v>
      </c>
      <c r="J235" s="53">
        <v>0.66218750000000004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 s="66">
        <f t="shared" ref="W235" si="354">W234</f>
        <v>39.495600000000003</v>
      </c>
      <c r="Y235">
        <v>1</v>
      </c>
      <c r="Z235" t="s">
        <v>7</v>
      </c>
      <c r="AA235">
        <v>38016</v>
      </c>
      <c r="AB235">
        <v>192</v>
      </c>
      <c r="AC235">
        <v>1</v>
      </c>
      <c r="AD235">
        <v>16</v>
      </c>
      <c r="AE235">
        <v>877.25</v>
      </c>
      <c r="AF235" s="48">
        <v>41.755000000000003</v>
      </c>
      <c r="AG235" s="27">
        <v>45501</v>
      </c>
      <c r="AH235" s="53">
        <v>3.2812500000000001E-2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 s="66">
        <f t="shared" ref="AU235" si="355">AU234</f>
        <v>41.890600000000006</v>
      </c>
      <c r="AW235">
        <v>1</v>
      </c>
      <c r="AX235" t="s">
        <v>7</v>
      </c>
      <c r="AY235">
        <v>38016</v>
      </c>
      <c r="AZ235">
        <v>192</v>
      </c>
      <c r="BA235">
        <v>1</v>
      </c>
      <c r="BB235">
        <v>16</v>
      </c>
      <c r="BC235">
        <v>1114.57</v>
      </c>
      <c r="BD235" s="61">
        <v>32.865000000000002</v>
      </c>
      <c r="BE235" s="27">
        <v>45490</v>
      </c>
      <c r="BF235" s="53">
        <v>0.47166666666666668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 s="8">
        <f t="shared" ref="BS235" si="356">BS234</f>
        <v>32.877800000000001</v>
      </c>
      <c r="BU235">
        <v>203</v>
      </c>
      <c r="BV235" t="s">
        <v>70</v>
      </c>
      <c r="BW235">
        <v>40320</v>
      </c>
      <c r="BX235">
        <v>160</v>
      </c>
      <c r="BY235">
        <v>1</v>
      </c>
      <c r="BZ235">
        <v>16</v>
      </c>
      <c r="CA235">
        <v>1088.8499999999999</v>
      </c>
      <c r="CB235">
        <v>40.134999999999998</v>
      </c>
      <c r="CQ235" s="54">
        <f t="shared" si="318"/>
        <v>40.063666666666663</v>
      </c>
    </row>
    <row r="236" spans="1:95">
      <c r="A236">
        <v>2</v>
      </c>
      <c r="B236" t="s">
        <v>7</v>
      </c>
      <c r="C236">
        <v>38016</v>
      </c>
      <c r="D236">
        <v>192</v>
      </c>
      <c r="E236">
        <v>1</v>
      </c>
      <c r="F236">
        <v>16</v>
      </c>
      <c r="G236">
        <v>906.4</v>
      </c>
      <c r="H236" s="59">
        <v>40.411999999999999</v>
      </c>
      <c r="I236" s="27">
        <v>45484</v>
      </c>
      <c r="J236" s="53">
        <v>0.52498842592592587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 s="66">
        <f t="shared" si="315"/>
        <v>39.495600000000003</v>
      </c>
      <c r="Y236">
        <v>2</v>
      </c>
      <c r="Z236" t="s">
        <v>7</v>
      </c>
      <c r="AA236">
        <v>38016</v>
      </c>
      <c r="AB236">
        <v>192</v>
      </c>
      <c r="AC236">
        <v>1</v>
      </c>
      <c r="AD236">
        <v>16</v>
      </c>
      <c r="AE236">
        <v>870.06</v>
      </c>
      <c r="AF236" s="48">
        <v>42.1</v>
      </c>
      <c r="AG236" s="27">
        <v>45501</v>
      </c>
      <c r="AH236" s="53">
        <v>0.82679398148148153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 s="66">
        <f t="shared" si="309"/>
        <v>41.890600000000006</v>
      </c>
      <c r="AW236">
        <v>2</v>
      </c>
      <c r="AX236" t="s">
        <v>7</v>
      </c>
      <c r="AY236">
        <v>38016</v>
      </c>
      <c r="AZ236">
        <v>192</v>
      </c>
      <c r="BA236">
        <v>1</v>
      </c>
      <c r="BB236">
        <v>16</v>
      </c>
      <c r="BC236">
        <v>1108.75</v>
      </c>
      <c r="BD236" s="61">
        <v>33.036999999999999</v>
      </c>
      <c r="BE236" s="27">
        <v>45491</v>
      </c>
      <c r="BF236" s="53">
        <v>0.55762731481481487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 s="8">
        <f t="shared" si="310"/>
        <v>32.877800000000001</v>
      </c>
      <c r="BU236">
        <v>274</v>
      </c>
      <c r="BV236" t="s">
        <v>70</v>
      </c>
      <c r="BW236">
        <v>40320</v>
      </c>
      <c r="BX236">
        <v>160</v>
      </c>
      <c r="BY236">
        <v>1</v>
      </c>
      <c r="BZ236">
        <v>16</v>
      </c>
      <c r="CA236">
        <v>1089.5</v>
      </c>
      <c r="CB236">
        <v>40.110999999999997</v>
      </c>
      <c r="CQ236" s="54">
        <f t="shared" si="318"/>
        <v>40.063666666666663</v>
      </c>
    </row>
    <row r="237" spans="1:95">
      <c r="A237">
        <v>3</v>
      </c>
      <c r="B237" t="s">
        <v>7</v>
      </c>
      <c r="C237">
        <v>38016</v>
      </c>
      <c r="D237">
        <v>192</v>
      </c>
      <c r="E237">
        <v>1</v>
      </c>
      <c r="F237">
        <v>16</v>
      </c>
      <c r="G237">
        <v>942.99</v>
      </c>
      <c r="H237" s="59">
        <v>38.844000000000001</v>
      </c>
      <c r="I237" s="27">
        <v>45485</v>
      </c>
      <c r="J237" s="53">
        <v>0.38755787037037037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 s="66">
        <f t="shared" si="315"/>
        <v>39.495600000000003</v>
      </c>
      <c r="Y237">
        <v>3</v>
      </c>
      <c r="Z237" t="s">
        <v>7</v>
      </c>
      <c r="AA237">
        <v>38016</v>
      </c>
      <c r="AB237">
        <v>192</v>
      </c>
      <c r="AC237">
        <v>1</v>
      </c>
      <c r="AD237">
        <v>16</v>
      </c>
      <c r="AE237" s="1">
        <v>877.18</v>
      </c>
      <c r="AF237" s="48">
        <v>41.758000000000003</v>
      </c>
      <c r="AG237" s="27">
        <v>45502</v>
      </c>
      <c r="AH237" s="53">
        <v>0.62140046296296292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 s="66">
        <f t="shared" si="309"/>
        <v>41.890600000000006</v>
      </c>
      <c r="AW237">
        <v>3</v>
      </c>
      <c r="AX237" t="s">
        <v>7</v>
      </c>
      <c r="AY237">
        <v>38016</v>
      </c>
      <c r="AZ237">
        <v>192</v>
      </c>
      <c r="BA237">
        <v>1</v>
      </c>
      <c r="BB237">
        <v>16</v>
      </c>
      <c r="BC237">
        <v>1117.17</v>
      </c>
      <c r="BD237" s="61">
        <v>32.787999999999997</v>
      </c>
      <c r="BE237" s="27">
        <v>45492</v>
      </c>
      <c r="BF237" s="53">
        <v>0.64284722222222224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 s="8">
        <f t="shared" si="310"/>
        <v>32.877800000000001</v>
      </c>
      <c r="BU237">
        <v>345</v>
      </c>
      <c r="BV237" t="s">
        <v>70</v>
      </c>
      <c r="BW237">
        <v>40320</v>
      </c>
      <c r="BX237">
        <v>160</v>
      </c>
      <c r="BY237">
        <v>1</v>
      </c>
      <c r="BZ237">
        <v>16</v>
      </c>
      <c r="CA237">
        <v>1093.06</v>
      </c>
      <c r="CB237">
        <v>39.981000000000002</v>
      </c>
      <c r="CQ237" s="54">
        <f t="shared" si="318"/>
        <v>40.063666666666663</v>
      </c>
    </row>
    <row r="238" spans="1:95">
      <c r="A238">
        <v>4</v>
      </c>
      <c r="B238" t="s">
        <v>7</v>
      </c>
      <c r="C238">
        <v>38016</v>
      </c>
      <c r="D238">
        <v>192</v>
      </c>
      <c r="E238">
        <v>1</v>
      </c>
      <c r="F238">
        <v>16</v>
      </c>
      <c r="G238">
        <v>949.88</v>
      </c>
      <c r="H238" s="59">
        <v>38.561999999999998</v>
      </c>
      <c r="I238" s="27">
        <v>45486</v>
      </c>
      <c r="J238" s="53">
        <v>0.27535879629629628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s="66">
        <f t="shared" si="315"/>
        <v>39.495600000000003</v>
      </c>
      <c r="Y238">
        <v>4</v>
      </c>
      <c r="Z238" t="s">
        <v>7</v>
      </c>
      <c r="AA238">
        <v>38016</v>
      </c>
      <c r="AB238">
        <v>192</v>
      </c>
      <c r="AC238">
        <v>1</v>
      </c>
      <c r="AD238">
        <v>16</v>
      </c>
      <c r="AE238">
        <v>872.07</v>
      </c>
      <c r="AF238" s="48">
        <v>42.003</v>
      </c>
      <c r="AG238" s="27">
        <v>45503</v>
      </c>
      <c r="AH238" s="53">
        <v>0.41712962962962963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 s="66">
        <f t="shared" si="309"/>
        <v>41.890600000000006</v>
      </c>
      <c r="AW238">
        <v>4</v>
      </c>
      <c r="AX238" t="s">
        <v>7</v>
      </c>
      <c r="AY238">
        <v>38016</v>
      </c>
      <c r="AZ238">
        <v>192</v>
      </c>
      <c r="BA238">
        <v>1</v>
      </c>
      <c r="BB238">
        <v>16</v>
      </c>
      <c r="BC238">
        <v>1114.04</v>
      </c>
      <c r="BD238" s="61">
        <v>32.880000000000003</v>
      </c>
      <c r="BE238" s="27">
        <v>45493</v>
      </c>
      <c r="BF238" s="53">
        <v>0.72815972222222225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 s="8">
        <f t="shared" si="310"/>
        <v>32.877800000000001</v>
      </c>
      <c r="BU238">
        <v>416</v>
      </c>
      <c r="BV238" t="s">
        <v>70</v>
      </c>
      <c r="BW238">
        <v>40320</v>
      </c>
      <c r="BX238">
        <v>160</v>
      </c>
      <c r="BY238">
        <v>1</v>
      </c>
      <c r="BZ238">
        <v>16</v>
      </c>
      <c r="CA238">
        <v>1095.57</v>
      </c>
      <c r="CB238">
        <v>39.889000000000003</v>
      </c>
      <c r="CQ238" s="54">
        <f t="shared" si="318"/>
        <v>40.063666666666663</v>
      </c>
    </row>
    <row r="239" spans="1:95">
      <c r="A239">
        <v>0</v>
      </c>
      <c r="B239" t="s">
        <v>7</v>
      </c>
      <c r="C239">
        <v>40128</v>
      </c>
      <c r="D239">
        <v>192</v>
      </c>
      <c r="E239">
        <v>1</v>
      </c>
      <c r="F239">
        <v>16</v>
      </c>
      <c r="G239" s="1">
        <v>1053.77</v>
      </c>
      <c r="H239" s="59">
        <v>40.881999999999998</v>
      </c>
      <c r="I239" s="27">
        <v>45483</v>
      </c>
      <c r="J239" s="53">
        <v>0.11344907407407408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 s="66">
        <f t="shared" ref="W239" si="357">AVERAGE(H239:H243)</f>
        <v>40.259200000000007</v>
      </c>
      <c r="Y239">
        <v>0</v>
      </c>
      <c r="Z239" t="s">
        <v>7</v>
      </c>
      <c r="AA239">
        <v>40128</v>
      </c>
      <c r="AB239">
        <v>192</v>
      </c>
      <c r="AC239">
        <v>1</v>
      </c>
      <c r="AD239">
        <v>16</v>
      </c>
      <c r="AE239">
        <v>1014.67</v>
      </c>
      <c r="AF239" s="48">
        <v>42.457000000000001</v>
      </c>
      <c r="AG239" s="27">
        <v>45500</v>
      </c>
      <c r="AH239" s="53">
        <v>0.20340277777777777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 s="66">
        <f t="shared" ref="AU239" si="358">AVERAGE(AF239:AF243)</f>
        <v>42.477800000000002</v>
      </c>
      <c r="AW239">
        <v>0</v>
      </c>
      <c r="AX239" t="s">
        <v>7</v>
      </c>
      <c r="AY239">
        <v>40128</v>
      </c>
      <c r="AZ239">
        <v>192</v>
      </c>
      <c r="BA239">
        <v>1</v>
      </c>
      <c r="BB239">
        <v>16</v>
      </c>
      <c r="BC239">
        <v>1268.57</v>
      </c>
      <c r="BD239" s="61">
        <v>33.96</v>
      </c>
      <c r="BE239" s="27">
        <v>45489</v>
      </c>
      <c r="BF239" s="53">
        <v>0.47393518518518518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 s="8">
        <f t="shared" ref="BS239" si="359">AVERAGE(BD239:BD243)</f>
        <v>33.851800000000004</v>
      </c>
      <c r="BU239">
        <v>14</v>
      </c>
      <c r="BV239" t="s">
        <v>70</v>
      </c>
      <c r="BW239">
        <v>35968</v>
      </c>
      <c r="BX239">
        <v>160</v>
      </c>
      <c r="BY239">
        <v>2</v>
      </c>
      <c r="BZ239">
        <v>8</v>
      </c>
      <c r="CA239">
        <v>782.76</v>
      </c>
      <c r="CB239">
        <v>39.738999999999997</v>
      </c>
      <c r="CQ239" s="54">
        <f t="shared" ref="CQ239" si="360">AVERAGE(CB239:CB244)</f>
        <v>39.68033333333333</v>
      </c>
    </row>
    <row r="240" spans="1:95">
      <c r="A240">
        <v>1</v>
      </c>
      <c r="B240" t="s">
        <v>7</v>
      </c>
      <c r="C240">
        <v>40128</v>
      </c>
      <c r="D240">
        <v>192</v>
      </c>
      <c r="E240">
        <v>1</v>
      </c>
      <c r="F240">
        <v>16</v>
      </c>
      <c r="G240">
        <v>1051.19</v>
      </c>
      <c r="H240" s="59">
        <v>40.981999999999999</v>
      </c>
      <c r="I240" s="27">
        <v>45483</v>
      </c>
      <c r="J240" s="53">
        <v>0.97876157407407405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 s="66">
        <f t="shared" ref="W240" si="361">W239</f>
        <v>40.259200000000007</v>
      </c>
      <c r="Y240">
        <v>1</v>
      </c>
      <c r="Z240" t="s">
        <v>7</v>
      </c>
      <c r="AA240">
        <v>40128</v>
      </c>
      <c r="AB240">
        <v>192</v>
      </c>
      <c r="AC240">
        <v>1</v>
      </c>
      <c r="AD240">
        <v>16</v>
      </c>
      <c r="AE240" s="1">
        <v>1009.9</v>
      </c>
      <c r="AF240" s="48">
        <v>42.658000000000001</v>
      </c>
      <c r="AG240" s="27">
        <v>45501</v>
      </c>
      <c r="AH240" s="53">
        <v>0.32504629629629628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 s="66">
        <f t="shared" ref="AU240" si="362">AU239</f>
        <v>42.477800000000002</v>
      </c>
      <c r="AW240">
        <v>1</v>
      </c>
      <c r="AX240" t="s">
        <v>7</v>
      </c>
      <c r="AY240">
        <v>40128</v>
      </c>
      <c r="AZ240">
        <v>192</v>
      </c>
      <c r="BA240">
        <v>1</v>
      </c>
      <c r="BB240">
        <v>16</v>
      </c>
      <c r="BC240">
        <v>1279.8900000000001</v>
      </c>
      <c r="BD240" s="61">
        <v>33.658999999999999</v>
      </c>
      <c r="BE240" s="27">
        <v>45490</v>
      </c>
      <c r="BF240" s="53">
        <v>0.86729166666666668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 s="8">
        <f t="shared" ref="BS240" si="363">BS239</f>
        <v>33.851800000000004</v>
      </c>
      <c r="BU240">
        <v>85</v>
      </c>
      <c r="BV240" t="s">
        <v>70</v>
      </c>
      <c r="BW240">
        <v>35968</v>
      </c>
      <c r="BX240">
        <v>160</v>
      </c>
      <c r="BY240">
        <v>2</v>
      </c>
      <c r="BZ240">
        <v>8</v>
      </c>
      <c r="CA240">
        <v>789.35</v>
      </c>
      <c r="CB240">
        <v>39.406999999999996</v>
      </c>
      <c r="CQ240" s="54">
        <f t="shared" ref="CQ240" si="364">CQ239</f>
        <v>39.68033333333333</v>
      </c>
    </row>
    <row r="241" spans="1:95">
      <c r="A241">
        <v>2</v>
      </c>
      <c r="B241" t="s">
        <v>7</v>
      </c>
      <c r="C241">
        <v>40128</v>
      </c>
      <c r="D241">
        <v>192</v>
      </c>
      <c r="E241">
        <v>1</v>
      </c>
      <c r="F241">
        <v>16</v>
      </c>
      <c r="G241">
        <v>1058.8699999999999</v>
      </c>
      <c r="H241" s="59">
        <v>40.685000000000002</v>
      </c>
      <c r="I241" s="27">
        <v>45484</v>
      </c>
      <c r="J241" s="53">
        <v>0.84144675925925927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s="66">
        <f t="shared" si="315"/>
        <v>40.259200000000007</v>
      </c>
      <c r="Y241">
        <v>2</v>
      </c>
      <c r="Z241" t="s">
        <v>7</v>
      </c>
      <c r="AA241">
        <v>40128</v>
      </c>
      <c r="AB241">
        <v>192</v>
      </c>
      <c r="AC241">
        <v>1</v>
      </c>
      <c r="AD241">
        <v>16</v>
      </c>
      <c r="AE241">
        <v>1011.65</v>
      </c>
      <c r="AF241" s="48">
        <v>42.584000000000003</v>
      </c>
      <c r="AG241" s="27">
        <v>45502</v>
      </c>
      <c r="AH241" s="53">
        <v>0.12001157407407408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 s="66">
        <f t="shared" si="309"/>
        <v>42.477800000000002</v>
      </c>
      <c r="AW241">
        <v>2</v>
      </c>
      <c r="AX241" t="s">
        <v>7</v>
      </c>
      <c r="AY241">
        <v>40128</v>
      </c>
      <c r="AZ241">
        <v>192</v>
      </c>
      <c r="BA241">
        <v>1</v>
      </c>
      <c r="BB241">
        <v>16</v>
      </c>
      <c r="BC241">
        <v>1267.6400000000001</v>
      </c>
      <c r="BD241" s="61">
        <v>33.984000000000002</v>
      </c>
      <c r="BE241" s="27">
        <v>45491</v>
      </c>
      <c r="BF241" s="53">
        <v>0.95267361111111115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 s="8">
        <f t="shared" si="310"/>
        <v>33.851800000000004</v>
      </c>
      <c r="BU241">
        <v>156</v>
      </c>
      <c r="BV241" t="s">
        <v>70</v>
      </c>
      <c r="BW241">
        <v>35968</v>
      </c>
      <c r="BX241">
        <v>160</v>
      </c>
      <c r="BY241">
        <v>2</v>
      </c>
      <c r="BZ241">
        <v>8</v>
      </c>
      <c r="CA241">
        <v>784.92</v>
      </c>
      <c r="CB241">
        <v>39.630000000000003</v>
      </c>
      <c r="CQ241" s="54">
        <f t="shared" si="318"/>
        <v>39.68033333333333</v>
      </c>
    </row>
    <row r="242" spans="1:95">
      <c r="A242">
        <v>3</v>
      </c>
      <c r="B242" t="s">
        <v>7</v>
      </c>
      <c r="C242">
        <v>40128</v>
      </c>
      <c r="D242">
        <v>192</v>
      </c>
      <c r="E242">
        <v>1</v>
      </c>
      <c r="F242">
        <v>16</v>
      </c>
      <c r="G242">
        <v>1094.55</v>
      </c>
      <c r="H242" s="59">
        <v>39.359000000000002</v>
      </c>
      <c r="I242" s="27">
        <v>45485</v>
      </c>
      <c r="J242" s="53">
        <v>0.71291666666666664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 s="66">
        <f t="shared" si="315"/>
        <v>40.259200000000007</v>
      </c>
      <c r="Y242">
        <v>3</v>
      </c>
      <c r="Z242" t="s">
        <v>7</v>
      </c>
      <c r="AA242">
        <v>40128</v>
      </c>
      <c r="AB242">
        <v>192</v>
      </c>
      <c r="AC242">
        <v>1</v>
      </c>
      <c r="AD242">
        <v>16</v>
      </c>
      <c r="AE242">
        <v>1016.59</v>
      </c>
      <c r="AF242" s="48">
        <v>42.377000000000002</v>
      </c>
      <c r="AG242" s="27">
        <v>45502</v>
      </c>
      <c r="AH242" s="53">
        <v>0.91465277777777776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 s="66">
        <f t="shared" si="309"/>
        <v>42.477800000000002</v>
      </c>
      <c r="AW242">
        <v>3</v>
      </c>
      <c r="AX242" t="s">
        <v>7</v>
      </c>
      <c r="AY242">
        <v>40128</v>
      </c>
      <c r="AZ242">
        <v>192</v>
      </c>
      <c r="BA242">
        <v>1</v>
      </c>
      <c r="BB242">
        <v>16</v>
      </c>
      <c r="BC242">
        <v>1272.1400000000001</v>
      </c>
      <c r="BD242" s="61">
        <v>33.863999999999997</v>
      </c>
      <c r="BE242" s="27">
        <v>45493</v>
      </c>
      <c r="BF242" s="53">
        <v>3.8032407407407411E-2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 s="8">
        <f t="shared" si="310"/>
        <v>33.851800000000004</v>
      </c>
      <c r="BU242">
        <v>227</v>
      </c>
      <c r="BV242" t="s">
        <v>70</v>
      </c>
      <c r="BW242">
        <v>35968</v>
      </c>
      <c r="BX242">
        <v>160</v>
      </c>
      <c r="BY242">
        <v>2</v>
      </c>
      <c r="BZ242">
        <v>8</v>
      </c>
      <c r="CA242">
        <v>782.44</v>
      </c>
      <c r="CB242">
        <v>39.755000000000003</v>
      </c>
      <c r="CQ242" s="54">
        <f t="shared" si="318"/>
        <v>39.68033333333333</v>
      </c>
    </row>
    <row r="243" spans="1:95">
      <c r="A243">
        <v>4</v>
      </c>
      <c r="B243" t="s">
        <v>7</v>
      </c>
      <c r="C243">
        <v>40128</v>
      </c>
      <c r="D243">
        <v>192</v>
      </c>
      <c r="E243">
        <v>1</v>
      </c>
      <c r="F243">
        <v>16</v>
      </c>
      <c r="G243">
        <v>1093.73</v>
      </c>
      <c r="H243" s="59">
        <v>39.387999999999998</v>
      </c>
      <c r="I243" s="27">
        <v>45486</v>
      </c>
      <c r="J243" s="53">
        <v>0.60123842592592591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 s="66">
        <f t="shared" si="315"/>
        <v>40.259200000000007</v>
      </c>
      <c r="Y243">
        <v>4</v>
      </c>
      <c r="Z243" t="s">
        <v>7</v>
      </c>
      <c r="AA243">
        <v>40128</v>
      </c>
      <c r="AB243">
        <v>192</v>
      </c>
      <c r="AC243">
        <v>1</v>
      </c>
      <c r="AD243">
        <v>16</v>
      </c>
      <c r="AE243">
        <v>1018.12</v>
      </c>
      <c r="AF243" s="48">
        <v>42.313000000000002</v>
      </c>
      <c r="AG243" s="27">
        <v>45503</v>
      </c>
      <c r="AH243" s="53">
        <v>0.70956018518518515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 s="66">
        <f t="shared" si="309"/>
        <v>42.477800000000002</v>
      </c>
      <c r="AW243">
        <v>4</v>
      </c>
      <c r="AX243" t="s">
        <v>7</v>
      </c>
      <c r="AY243">
        <v>40128</v>
      </c>
      <c r="AZ243">
        <v>192</v>
      </c>
      <c r="BA243">
        <v>1</v>
      </c>
      <c r="BB243">
        <v>16</v>
      </c>
      <c r="BC243">
        <v>1274.8399999999999</v>
      </c>
      <c r="BD243" s="61">
        <v>33.792000000000002</v>
      </c>
      <c r="BE243" s="27">
        <v>45494</v>
      </c>
      <c r="BF243" s="53">
        <v>0.12415509259259259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 s="8">
        <f t="shared" si="310"/>
        <v>33.851800000000004</v>
      </c>
      <c r="BU243">
        <v>298</v>
      </c>
      <c r="BV243" t="s">
        <v>70</v>
      </c>
      <c r="BW243">
        <v>35968</v>
      </c>
      <c r="BX243">
        <v>160</v>
      </c>
      <c r="BY243">
        <v>2</v>
      </c>
      <c r="BZ243">
        <v>8</v>
      </c>
      <c r="CA243">
        <v>780.29</v>
      </c>
      <c r="CB243">
        <v>39.865000000000002</v>
      </c>
      <c r="CQ243" s="54">
        <f t="shared" si="318"/>
        <v>39.68033333333333</v>
      </c>
    </row>
    <row r="244" spans="1:95">
      <c r="A244">
        <v>0</v>
      </c>
      <c r="B244" t="s">
        <v>7</v>
      </c>
      <c r="C244">
        <v>35904</v>
      </c>
      <c r="D244">
        <v>192</v>
      </c>
      <c r="E244">
        <v>2</v>
      </c>
      <c r="F244">
        <v>8</v>
      </c>
      <c r="G244" s="1">
        <v>797.5</v>
      </c>
      <c r="H244" s="59">
        <v>38.692999999999998</v>
      </c>
      <c r="I244" s="27">
        <v>45482</v>
      </c>
      <c r="J244" s="53">
        <v>0.53489583333333335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 s="66">
        <f t="shared" ref="W244" si="365">AVERAGE(H244:H248)</f>
        <v>38.178399999999996</v>
      </c>
      <c r="Y244">
        <v>0</v>
      </c>
      <c r="Z244" t="s">
        <v>7</v>
      </c>
      <c r="AA244">
        <v>35904</v>
      </c>
      <c r="AB244">
        <v>192</v>
      </c>
      <c r="AC244">
        <v>2</v>
      </c>
      <c r="AD244">
        <v>8</v>
      </c>
      <c r="AE244">
        <v>698.75</v>
      </c>
      <c r="AF244" s="48">
        <v>44.161000000000001</v>
      </c>
      <c r="AG244" s="27">
        <v>45499</v>
      </c>
      <c r="AH244" s="53">
        <v>0.6693055555555556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 s="66">
        <f t="shared" ref="AU244" si="366">AVERAGE(AF244:AF248)</f>
        <v>43.978799999999993</v>
      </c>
      <c r="AW244">
        <v>0</v>
      </c>
      <c r="AX244" t="s">
        <v>7</v>
      </c>
      <c r="AY244">
        <v>35904</v>
      </c>
      <c r="AZ244">
        <v>192</v>
      </c>
      <c r="BA244">
        <v>2</v>
      </c>
      <c r="BB244">
        <v>8</v>
      </c>
      <c r="BC244">
        <v>1011.66</v>
      </c>
      <c r="BD244" s="61">
        <v>30.501999999999999</v>
      </c>
      <c r="BE244" s="27">
        <v>45488</v>
      </c>
      <c r="BF244" s="53">
        <v>0.74583333333333335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 s="8">
        <f t="shared" ref="BS244" si="367">AVERAGE(BD244:BD248)</f>
        <v>30.356200000000001</v>
      </c>
      <c r="BU244">
        <v>369</v>
      </c>
      <c r="BV244" t="s">
        <v>70</v>
      </c>
      <c r="BW244">
        <v>35968</v>
      </c>
      <c r="BX244">
        <v>160</v>
      </c>
      <c r="BY244">
        <v>2</v>
      </c>
      <c r="BZ244">
        <v>8</v>
      </c>
      <c r="CA244">
        <v>783.81</v>
      </c>
      <c r="CB244">
        <v>39.686</v>
      </c>
      <c r="CQ244" s="54">
        <f t="shared" si="318"/>
        <v>39.68033333333333</v>
      </c>
    </row>
    <row r="245" spans="1:95">
      <c r="A245">
        <v>1</v>
      </c>
      <c r="B245" t="s">
        <v>7</v>
      </c>
      <c r="C245">
        <v>35904</v>
      </c>
      <c r="D245">
        <v>192</v>
      </c>
      <c r="E245">
        <v>2</v>
      </c>
      <c r="F245">
        <v>8</v>
      </c>
      <c r="G245">
        <v>792.73</v>
      </c>
      <c r="H245" s="59">
        <v>38.926000000000002</v>
      </c>
      <c r="I245" s="27">
        <v>45483</v>
      </c>
      <c r="J245" s="53">
        <v>0.39451388888888889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 s="66">
        <f t="shared" ref="W245" si="368">W244</f>
        <v>38.178399999999996</v>
      </c>
      <c r="Y245">
        <v>1</v>
      </c>
      <c r="Z245" t="s">
        <v>7</v>
      </c>
      <c r="AA245">
        <v>35904</v>
      </c>
      <c r="AB245">
        <v>192</v>
      </c>
      <c r="AC245">
        <v>2</v>
      </c>
      <c r="AD245">
        <v>8</v>
      </c>
      <c r="AE245">
        <v>702.56</v>
      </c>
      <c r="AF245" s="48">
        <v>43.921999999999997</v>
      </c>
      <c r="AG245" s="27">
        <v>45500</v>
      </c>
      <c r="AH245" s="53">
        <v>0.79002314814814811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 s="66">
        <f t="shared" ref="AU245" si="369">AU244</f>
        <v>43.978799999999993</v>
      </c>
      <c r="AW245">
        <v>1</v>
      </c>
      <c r="AX245" t="s">
        <v>7</v>
      </c>
      <c r="AY245">
        <v>35904</v>
      </c>
      <c r="AZ245">
        <v>192</v>
      </c>
      <c r="BA245">
        <v>2</v>
      </c>
      <c r="BB245">
        <v>8</v>
      </c>
      <c r="BC245">
        <v>1012.61</v>
      </c>
      <c r="BD245" s="61">
        <v>30.474</v>
      </c>
      <c r="BE245" s="27">
        <v>45490</v>
      </c>
      <c r="BF245" s="53">
        <v>0.13954861111111111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 s="8">
        <f t="shared" ref="BS245" si="370">BS244</f>
        <v>30.356200000000001</v>
      </c>
      <c r="BU245">
        <v>38</v>
      </c>
      <c r="BV245" t="s">
        <v>70</v>
      </c>
      <c r="BW245">
        <v>38144</v>
      </c>
      <c r="BX245">
        <v>160</v>
      </c>
      <c r="BY245">
        <v>2</v>
      </c>
      <c r="BZ245">
        <v>8</v>
      </c>
      <c r="CA245">
        <v>904.25</v>
      </c>
      <c r="CB245">
        <v>40.713000000000001</v>
      </c>
      <c r="CQ245" s="54">
        <f t="shared" ref="CQ245" si="371">AVERAGE(CB245:CB250)</f>
        <v>40.584833333333343</v>
      </c>
    </row>
    <row r="246" spans="1:95">
      <c r="A246">
        <v>2</v>
      </c>
      <c r="B246" t="s">
        <v>7</v>
      </c>
      <c r="C246">
        <v>35904</v>
      </c>
      <c r="D246">
        <v>192</v>
      </c>
      <c r="E246">
        <v>2</v>
      </c>
      <c r="F246">
        <v>8</v>
      </c>
      <c r="G246">
        <v>811.29</v>
      </c>
      <c r="H246" s="59">
        <v>38.036000000000001</v>
      </c>
      <c r="I246" s="27">
        <v>45484</v>
      </c>
      <c r="J246" s="53">
        <v>0.25993055555555555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s="66">
        <f t="shared" si="315"/>
        <v>38.178399999999996</v>
      </c>
      <c r="Y246">
        <v>2</v>
      </c>
      <c r="Z246" t="s">
        <v>7</v>
      </c>
      <c r="AA246">
        <v>35904</v>
      </c>
      <c r="AB246">
        <v>192</v>
      </c>
      <c r="AC246">
        <v>2</v>
      </c>
      <c r="AD246">
        <v>8</v>
      </c>
      <c r="AE246" s="1">
        <v>701.62</v>
      </c>
      <c r="AF246" s="48">
        <v>43.981000000000002</v>
      </c>
      <c r="AG246" s="27">
        <v>45501</v>
      </c>
      <c r="AH246" s="53">
        <v>0.58428240740740744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 s="66">
        <f t="shared" si="309"/>
        <v>43.978799999999993</v>
      </c>
      <c r="AW246">
        <v>2</v>
      </c>
      <c r="AX246" t="s">
        <v>7</v>
      </c>
      <c r="AY246">
        <v>35904</v>
      </c>
      <c r="AZ246">
        <v>192</v>
      </c>
      <c r="BA246">
        <v>2</v>
      </c>
      <c r="BB246">
        <v>8</v>
      </c>
      <c r="BC246">
        <v>1021.68</v>
      </c>
      <c r="BD246" s="61">
        <v>30.202999999999999</v>
      </c>
      <c r="BE246" s="27">
        <v>45491</v>
      </c>
      <c r="BF246" s="53">
        <v>0.22552083333333334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 s="8">
        <f t="shared" si="310"/>
        <v>30.356200000000001</v>
      </c>
      <c r="BU246">
        <v>109</v>
      </c>
      <c r="BV246" t="s">
        <v>70</v>
      </c>
      <c r="BW246">
        <v>38144</v>
      </c>
      <c r="BX246">
        <v>160</v>
      </c>
      <c r="BY246">
        <v>2</v>
      </c>
      <c r="BZ246">
        <v>8</v>
      </c>
      <c r="CA246">
        <v>911.35</v>
      </c>
      <c r="CB246">
        <v>40.396000000000001</v>
      </c>
      <c r="CQ246" s="54">
        <f t="shared" ref="CQ246" si="372">CQ245</f>
        <v>40.584833333333343</v>
      </c>
    </row>
    <row r="247" spans="1:95">
      <c r="A247">
        <v>3</v>
      </c>
      <c r="B247" t="s">
        <v>7</v>
      </c>
      <c r="C247">
        <v>35904</v>
      </c>
      <c r="D247">
        <v>192</v>
      </c>
      <c r="E247">
        <v>2</v>
      </c>
      <c r="F247">
        <v>8</v>
      </c>
      <c r="G247">
        <v>808.49</v>
      </c>
      <c r="H247" s="59">
        <v>38.167000000000002</v>
      </c>
      <c r="I247" s="27">
        <v>45485</v>
      </c>
      <c r="J247" s="53">
        <v>0.12290509259259259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s="66">
        <f t="shared" si="315"/>
        <v>38.178399999999996</v>
      </c>
      <c r="Y247">
        <v>3</v>
      </c>
      <c r="Z247" t="s">
        <v>7</v>
      </c>
      <c r="AA247">
        <v>35904</v>
      </c>
      <c r="AB247">
        <v>192</v>
      </c>
      <c r="AC247">
        <v>2</v>
      </c>
      <c r="AD247">
        <v>8</v>
      </c>
      <c r="AE247">
        <v>703.61</v>
      </c>
      <c r="AF247" s="48">
        <v>43.856000000000002</v>
      </c>
      <c r="AG247" s="27">
        <v>45502</v>
      </c>
      <c r="AH247" s="53">
        <v>0.37893518518518521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 s="66">
        <f t="shared" si="309"/>
        <v>43.978799999999993</v>
      </c>
      <c r="AW247">
        <v>3</v>
      </c>
      <c r="AX247" t="s">
        <v>7</v>
      </c>
      <c r="AY247">
        <v>35904</v>
      </c>
      <c r="AZ247">
        <v>192</v>
      </c>
      <c r="BA247">
        <v>2</v>
      </c>
      <c r="BB247">
        <v>8</v>
      </c>
      <c r="BC247">
        <v>1016.47</v>
      </c>
      <c r="BD247" s="61">
        <v>30.358000000000001</v>
      </c>
      <c r="BE247" s="27">
        <v>45492</v>
      </c>
      <c r="BF247" s="53">
        <v>0.31016203703703704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 s="8">
        <f t="shared" si="310"/>
        <v>30.356200000000001</v>
      </c>
      <c r="BU247">
        <v>180</v>
      </c>
      <c r="BV247" t="s">
        <v>70</v>
      </c>
      <c r="BW247">
        <v>38144</v>
      </c>
      <c r="BX247">
        <v>160</v>
      </c>
      <c r="BY247">
        <v>2</v>
      </c>
      <c r="BZ247">
        <v>8</v>
      </c>
      <c r="CA247">
        <v>908.08</v>
      </c>
      <c r="CB247">
        <v>40.542000000000002</v>
      </c>
      <c r="CQ247" s="54">
        <f t="shared" si="318"/>
        <v>40.584833333333343</v>
      </c>
    </row>
    <row r="248" spans="1:95">
      <c r="A248">
        <v>4</v>
      </c>
      <c r="B248" t="s">
        <v>7</v>
      </c>
      <c r="C248">
        <v>35904</v>
      </c>
      <c r="D248">
        <v>192</v>
      </c>
      <c r="E248">
        <v>2</v>
      </c>
      <c r="F248">
        <v>8</v>
      </c>
      <c r="G248">
        <v>832.41</v>
      </c>
      <c r="H248" s="59">
        <v>37.07</v>
      </c>
      <c r="I248" s="27">
        <v>45486</v>
      </c>
      <c r="J248" s="53">
        <v>2.9282407407407408E-3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s="66">
        <f t="shared" si="315"/>
        <v>38.178399999999996</v>
      </c>
      <c r="Y248">
        <v>4</v>
      </c>
      <c r="Z248" t="s">
        <v>7</v>
      </c>
      <c r="AA248">
        <v>35904</v>
      </c>
      <c r="AB248">
        <v>192</v>
      </c>
      <c r="AC248">
        <v>2</v>
      </c>
      <c r="AD248">
        <v>8</v>
      </c>
      <c r="AE248">
        <v>701.73</v>
      </c>
      <c r="AF248" s="48">
        <v>43.973999999999997</v>
      </c>
      <c r="AG248" s="27">
        <v>45503</v>
      </c>
      <c r="AH248" s="53">
        <v>0.17362268518518517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 s="66">
        <f t="shared" si="309"/>
        <v>43.978799999999993</v>
      </c>
      <c r="AW248">
        <v>4</v>
      </c>
      <c r="AX248" t="s">
        <v>7</v>
      </c>
      <c r="AY248">
        <v>35904</v>
      </c>
      <c r="AZ248">
        <v>192</v>
      </c>
      <c r="BA248">
        <v>2</v>
      </c>
      <c r="BB248">
        <v>8</v>
      </c>
      <c r="BC248">
        <v>1020.29</v>
      </c>
      <c r="BD248" s="61">
        <v>30.244</v>
      </c>
      <c r="BE248" s="27">
        <v>45493</v>
      </c>
      <c r="BF248" s="53">
        <v>0.39571759259259259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 s="8">
        <f t="shared" si="310"/>
        <v>30.356200000000001</v>
      </c>
      <c r="BU248">
        <v>251</v>
      </c>
      <c r="BV248" t="s">
        <v>70</v>
      </c>
      <c r="BW248">
        <v>38144</v>
      </c>
      <c r="BX248">
        <v>160</v>
      </c>
      <c r="BY248">
        <v>2</v>
      </c>
      <c r="BZ248">
        <v>8</v>
      </c>
      <c r="CA248">
        <v>907.36</v>
      </c>
      <c r="CB248">
        <v>40.573999999999998</v>
      </c>
      <c r="CQ248" s="54">
        <f t="shared" si="318"/>
        <v>40.584833333333343</v>
      </c>
    </row>
    <row r="249" spans="1:95">
      <c r="A249">
        <v>0</v>
      </c>
      <c r="B249" t="s">
        <v>7</v>
      </c>
      <c r="C249">
        <v>38016</v>
      </c>
      <c r="D249">
        <v>192</v>
      </c>
      <c r="E249">
        <v>2</v>
      </c>
      <c r="F249">
        <v>8</v>
      </c>
      <c r="G249" s="1">
        <v>925.99</v>
      </c>
      <c r="H249" s="59">
        <v>39.557000000000002</v>
      </c>
      <c r="I249" s="27">
        <v>45482</v>
      </c>
      <c r="J249" s="53">
        <v>0.80844907407407407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s="66">
        <f t="shared" ref="W249" si="373">AVERAGE(H249:H253)</f>
        <v>39.030800000000006</v>
      </c>
      <c r="Y249">
        <v>0</v>
      </c>
      <c r="Z249" t="s">
        <v>7</v>
      </c>
      <c r="AA249">
        <v>38016</v>
      </c>
      <c r="AB249">
        <v>192</v>
      </c>
      <c r="AC249">
        <v>2</v>
      </c>
      <c r="AD249">
        <v>8</v>
      </c>
      <c r="AE249" s="1">
        <v>817.2</v>
      </c>
      <c r="AF249" s="48">
        <v>44.823</v>
      </c>
      <c r="AG249" s="27">
        <v>45499</v>
      </c>
      <c r="AH249" s="53">
        <v>0.92085648148148147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 s="66">
        <f t="shared" ref="AU249" si="374">AVERAGE(AF249:AF253)</f>
        <v>44.783799999999999</v>
      </c>
      <c r="AW249">
        <v>0</v>
      </c>
      <c r="AX249" t="s">
        <v>7</v>
      </c>
      <c r="AY249">
        <v>38016</v>
      </c>
      <c r="AZ249">
        <v>192</v>
      </c>
      <c r="BA249">
        <v>2</v>
      </c>
      <c r="BB249">
        <v>8</v>
      </c>
      <c r="BC249">
        <v>1164.6199999999999</v>
      </c>
      <c r="BD249" s="61">
        <v>31.452000000000002</v>
      </c>
      <c r="BE249" s="27">
        <v>45489</v>
      </c>
      <c r="BF249" s="53">
        <v>9.2546296296296293E-2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 s="8">
        <f t="shared" ref="BS249" si="375">AVERAGE(BD249:BD253)</f>
        <v>31.489200000000004</v>
      </c>
      <c r="BU249">
        <v>322</v>
      </c>
      <c r="BV249" t="s">
        <v>70</v>
      </c>
      <c r="BW249">
        <v>38144</v>
      </c>
      <c r="BX249">
        <v>160</v>
      </c>
      <c r="BY249">
        <v>2</v>
      </c>
      <c r="BZ249">
        <v>8</v>
      </c>
      <c r="CA249">
        <v>906.03</v>
      </c>
      <c r="CB249">
        <v>40.633000000000003</v>
      </c>
      <c r="CQ249" s="54">
        <f t="shared" si="318"/>
        <v>40.584833333333343</v>
      </c>
    </row>
    <row r="250" spans="1:95">
      <c r="A250">
        <v>1</v>
      </c>
      <c r="B250" t="s">
        <v>7</v>
      </c>
      <c r="C250">
        <v>38016</v>
      </c>
      <c r="D250">
        <v>192</v>
      </c>
      <c r="E250">
        <v>2</v>
      </c>
      <c r="F250">
        <v>8</v>
      </c>
      <c r="G250">
        <v>932.17</v>
      </c>
      <c r="H250" s="59">
        <v>39.295000000000002</v>
      </c>
      <c r="I250" s="27">
        <v>45483</v>
      </c>
      <c r="J250" s="53">
        <v>0.67326388888888888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s="66">
        <f t="shared" ref="W250" si="376">W249</f>
        <v>39.030800000000006</v>
      </c>
      <c r="Y250">
        <v>1</v>
      </c>
      <c r="Z250" t="s">
        <v>7</v>
      </c>
      <c r="AA250">
        <v>38016</v>
      </c>
      <c r="AB250">
        <v>192</v>
      </c>
      <c r="AC250">
        <v>2</v>
      </c>
      <c r="AD250">
        <v>8</v>
      </c>
      <c r="AE250">
        <v>816.64</v>
      </c>
      <c r="AF250" s="48">
        <v>44.853999999999999</v>
      </c>
      <c r="AG250" s="27">
        <v>45501</v>
      </c>
      <c r="AH250" s="53">
        <v>4.2581018518518518E-2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 s="66">
        <f t="shared" ref="AU250" si="377">AU249</f>
        <v>44.783799999999999</v>
      </c>
      <c r="AW250">
        <v>1</v>
      </c>
      <c r="AX250" t="s">
        <v>7</v>
      </c>
      <c r="AY250">
        <v>38016</v>
      </c>
      <c r="AZ250">
        <v>192</v>
      </c>
      <c r="BA250">
        <v>2</v>
      </c>
      <c r="BB250">
        <v>8</v>
      </c>
      <c r="BC250">
        <v>1163.99</v>
      </c>
      <c r="BD250" s="61">
        <v>31.469000000000001</v>
      </c>
      <c r="BE250" s="27">
        <v>45490</v>
      </c>
      <c r="BF250" s="53">
        <v>0.48604166666666665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 s="8">
        <f t="shared" ref="BS250" si="378">BS249</f>
        <v>31.489200000000004</v>
      </c>
      <c r="BU250">
        <v>393</v>
      </c>
      <c r="BV250" t="s">
        <v>70</v>
      </c>
      <c r="BW250">
        <v>38144</v>
      </c>
      <c r="BX250">
        <v>160</v>
      </c>
      <c r="BY250">
        <v>2</v>
      </c>
      <c r="BZ250">
        <v>8</v>
      </c>
      <c r="CA250">
        <v>905.64</v>
      </c>
      <c r="CB250">
        <v>40.651000000000003</v>
      </c>
      <c r="CQ250" s="54">
        <f t="shared" si="318"/>
        <v>40.584833333333343</v>
      </c>
    </row>
    <row r="251" spans="1:95">
      <c r="A251">
        <v>2</v>
      </c>
      <c r="B251" t="s">
        <v>7</v>
      </c>
      <c r="C251">
        <v>38016</v>
      </c>
      <c r="D251">
        <v>192</v>
      </c>
      <c r="E251">
        <v>2</v>
      </c>
      <c r="F251">
        <v>8</v>
      </c>
      <c r="G251">
        <v>926.6</v>
      </c>
      <c r="H251" s="59">
        <v>39.530999999999999</v>
      </c>
      <c r="I251" s="27">
        <v>45484</v>
      </c>
      <c r="J251" s="53">
        <v>0.53599537037037037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 s="66">
        <f t="shared" si="315"/>
        <v>39.030800000000006</v>
      </c>
      <c r="Y251">
        <v>2</v>
      </c>
      <c r="Z251" t="s">
        <v>7</v>
      </c>
      <c r="AA251">
        <v>38016</v>
      </c>
      <c r="AB251">
        <v>192</v>
      </c>
      <c r="AC251">
        <v>2</v>
      </c>
      <c r="AD251">
        <v>8</v>
      </c>
      <c r="AE251">
        <v>819.34</v>
      </c>
      <c r="AF251" s="48">
        <v>44.706000000000003</v>
      </c>
      <c r="AG251" s="27">
        <v>45501</v>
      </c>
      <c r="AH251" s="53">
        <v>0.83659722222222221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 s="66">
        <f t="shared" si="309"/>
        <v>44.783799999999999</v>
      </c>
      <c r="AW251">
        <v>2</v>
      </c>
      <c r="AX251" t="s">
        <v>7</v>
      </c>
      <c r="AY251">
        <v>38016</v>
      </c>
      <c r="AZ251">
        <v>192</v>
      </c>
      <c r="BA251">
        <v>2</v>
      </c>
      <c r="BB251">
        <v>8</v>
      </c>
      <c r="BC251">
        <v>1163.02</v>
      </c>
      <c r="BD251" s="61">
        <v>31.495000000000001</v>
      </c>
      <c r="BE251" s="27">
        <v>45491</v>
      </c>
      <c r="BF251" s="53">
        <v>0.57197916666666671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 s="8">
        <f t="shared" si="310"/>
        <v>31.489200000000004</v>
      </c>
      <c r="BU251">
        <v>62</v>
      </c>
      <c r="BV251" t="s">
        <v>70</v>
      </c>
      <c r="BW251">
        <v>40320</v>
      </c>
      <c r="BX251">
        <v>160</v>
      </c>
      <c r="BY251">
        <v>2</v>
      </c>
      <c r="BZ251">
        <v>8</v>
      </c>
      <c r="CA251">
        <v>1061.02</v>
      </c>
      <c r="CB251">
        <v>41.188000000000002</v>
      </c>
      <c r="CQ251" s="54">
        <f t="shared" ref="CQ251" si="379">AVERAGE(CB251:CB256)</f>
        <v>41.31366666666667</v>
      </c>
    </row>
    <row r="252" spans="1:95">
      <c r="A252">
        <v>3</v>
      </c>
      <c r="B252" t="s">
        <v>7</v>
      </c>
      <c r="C252">
        <v>38016</v>
      </c>
      <c r="D252">
        <v>192</v>
      </c>
      <c r="E252">
        <v>2</v>
      </c>
      <c r="F252">
        <v>8</v>
      </c>
      <c r="G252">
        <v>955.07</v>
      </c>
      <c r="H252" s="59">
        <v>38.353000000000002</v>
      </c>
      <c r="I252" s="27">
        <v>45485</v>
      </c>
      <c r="J252" s="53">
        <v>0.39891203703703704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s="66">
        <f t="shared" si="315"/>
        <v>39.030800000000006</v>
      </c>
      <c r="Y252">
        <v>3</v>
      </c>
      <c r="Z252" t="s">
        <v>7</v>
      </c>
      <c r="AA252">
        <v>38016</v>
      </c>
      <c r="AB252">
        <v>192</v>
      </c>
      <c r="AC252">
        <v>2</v>
      </c>
      <c r="AD252">
        <v>8</v>
      </c>
      <c r="AE252">
        <v>823.78</v>
      </c>
      <c r="AF252" s="48">
        <v>44.466000000000001</v>
      </c>
      <c r="AG252" s="27">
        <v>45502</v>
      </c>
      <c r="AH252" s="53">
        <v>0.63124999999999998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 s="66">
        <f t="shared" si="309"/>
        <v>44.783799999999999</v>
      </c>
      <c r="AW252">
        <v>3</v>
      </c>
      <c r="AX252" t="s">
        <v>7</v>
      </c>
      <c r="AY252">
        <v>38016</v>
      </c>
      <c r="AZ252">
        <v>192</v>
      </c>
      <c r="BA252">
        <v>2</v>
      </c>
      <c r="BB252">
        <v>8</v>
      </c>
      <c r="BC252">
        <v>1165.0899999999999</v>
      </c>
      <c r="BD252" s="61">
        <v>31.439</v>
      </c>
      <c r="BE252" s="27">
        <v>45492</v>
      </c>
      <c r="BF252" s="53">
        <v>0.65722222222222226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 s="8">
        <f t="shared" si="310"/>
        <v>31.489200000000004</v>
      </c>
      <c r="BU252">
        <v>133</v>
      </c>
      <c r="BV252" t="s">
        <v>70</v>
      </c>
      <c r="BW252">
        <v>40320</v>
      </c>
      <c r="BX252">
        <v>160</v>
      </c>
      <c r="BY252">
        <v>2</v>
      </c>
      <c r="BZ252">
        <v>8</v>
      </c>
      <c r="CA252">
        <v>1056.8900000000001</v>
      </c>
      <c r="CB252">
        <v>41.348999999999997</v>
      </c>
      <c r="CQ252" s="54">
        <f t="shared" ref="CQ252" si="380">CQ251</f>
        <v>41.31366666666667</v>
      </c>
    </row>
    <row r="253" spans="1:95">
      <c r="A253">
        <v>4</v>
      </c>
      <c r="B253" t="s">
        <v>7</v>
      </c>
      <c r="C253">
        <v>38016</v>
      </c>
      <c r="D253">
        <v>192</v>
      </c>
      <c r="E253">
        <v>2</v>
      </c>
      <c r="F253">
        <v>8</v>
      </c>
      <c r="G253">
        <v>953.44</v>
      </c>
      <c r="H253" s="59">
        <v>38.417999999999999</v>
      </c>
      <c r="I253" s="27">
        <v>45486</v>
      </c>
      <c r="J253" s="53">
        <v>0.28670138888888891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 s="66">
        <f t="shared" si="315"/>
        <v>39.030800000000006</v>
      </c>
      <c r="Y253">
        <v>4</v>
      </c>
      <c r="Z253" t="s">
        <v>7</v>
      </c>
      <c r="AA253">
        <v>38016</v>
      </c>
      <c r="AB253">
        <v>192</v>
      </c>
      <c r="AC253">
        <v>2</v>
      </c>
      <c r="AD253">
        <v>8</v>
      </c>
      <c r="AE253">
        <v>812.73</v>
      </c>
      <c r="AF253" s="48">
        <v>45.07</v>
      </c>
      <c r="AG253" s="27">
        <v>45503</v>
      </c>
      <c r="AH253" s="53">
        <v>0.42686342592592591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 s="66">
        <f t="shared" si="309"/>
        <v>44.783799999999999</v>
      </c>
      <c r="AW253">
        <v>4</v>
      </c>
      <c r="AX253" t="s">
        <v>7</v>
      </c>
      <c r="AY253">
        <v>38016</v>
      </c>
      <c r="AZ253">
        <v>192</v>
      </c>
      <c r="BA253">
        <v>2</v>
      </c>
      <c r="BB253">
        <v>8</v>
      </c>
      <c r="BC253">
        <v>1159.49</v>
      </c>
      <c r="BD253" s="61">
        <v>31.591000000000001</v>
      </c>
      <c r="BE253" s="27">
        <v>45493</v>
      </c>
      <c r="BF253" s="53">
        <v>0.74246527777777782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 s="8">
        <f t="shared" si="310"/>
        <v>31.489200000000004</v>
      </c>
      <c r="BU253">
        <v>204</v>
      </c>
      <c r="BV253" t="s">
        <v>70</v>
      </c>
      <c r="BW253">
        <v>40320</v>
      </c>
      <c r="BX253">
        <v>160</v>
      </c>
      <c r="BY253">
        <v>2</v>
      </c>
      <c r="BZ253">
        <v>8</v>
      </c>
      <c r="CA253">
        <v>1056.47</v>
      </c>
      <c r="CB253">
        <v>41.365000000000002</v>
      </c>
      <c r="CQ253" s="54">
        <f t="shared" si="318"/>
        <v>41.31366666666667</v>
      </c>
    </row>
    <row r="254" spans="1:95">
      <c r="A254">
        <v>0</v>
      </c>
      <c r="B254" t="s">
        <v>7</v>
      </c>
      <c r="C254">
        <v>40128</v>
      </c>
      <c r="D254">
        <v>192</v>
      </c>
      <c r="E254">
        <v>2</v>
      </c>
      <c r="F254">
        <v>8</v>
      </c>
      <c r="G254" s="1">
        <v>1096.6600000000001</v>
      </c>
      <c r="H254" s="59">
        <v>39.283000000000001</v>
      </c>
      <c r="I254" s="27">
        <v>45483</v>
      </c>
      <c r="J254" s="53">
        <v>0.12646990740740741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 s="66">
        <f t="shared" ref="W254" si="381">AVERAGE(H254:H258)</f>
        <v>39.261999999999993</v>
      </c>
      <c r="Y254">
        <v>0</v>
      </c>
      <c r="Z254" t="s">
        <v>7</v>
      </c>
      <c r="AA254">
        <v>40128</v>
      </c>
      <c r="AB254">
        <v>192</v>
      </c>
      <c r="AC254">
        <v>2</v>
      </c>
      <c r="AD254">
        <v>8</v>
      </c>
      <c r="AE254">
        <v>957.27</v>
      </c>
      <c r="AF254" s="48">
        <v>45.003</v>
      </c>
      <c r="AG254" s="27">
        <v>45500</v>
      </c>
      <c r="AH254" s="53">
        <v>0.21483796296296295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 s="66">
        <f t="shared" ref="AU254" si="382">AVERAGE(AF254:AF258)</f>
        <v>44.794000000000004</v>
      </c>
      <c r="AW254">
        <v>0</v>
      </c>
      <c r="AX254" t="s">
        <v>7</v>
      </c>
      <c r="AY254">
        <v>40128</v>
      </c>
      <c r="AZ254">
        <v>192</v>
      </c>
      <c r="BA254">
        <v>2</v>
      </c>
      <c r="BB254">
        <v>8</v>
      </c>
      <c r="BC254">
        <v>1331.19</v>
      </c>
      <c r="BD254" s="61">
        <v>32.362000000000002</v>
      </c>
      <c r="BE254" s="27">
        <v>45489</v>
      </c>
      <c r="BF254" s="53">
        <v>0.49038194444444444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 s="8">
        <f t="shared" ref="BS254" si="383">AVERAGE(BD254:BD258)</f>
        <v>32.294999999999995</v>
      </c>
      <c r="BU254">
        <v>275</v>
      </c>
      <c r="BV254" t="s">
        <v>70</v>
      </c>
      <c r="BW254">
        <v>40320</v>
      </c>
      <c r="BX254">
        <v>160</v>
      </c>
      <c r="BY254">
        <v>2</v>
      </c>
      <c r="BZ254">
        <v>8</v>
      </c>
      <c r="CA254">
        <v>1057.0899999999999</v>
      </c>
      <c r="CB254">
        <v>41.341000000000001</v>
      </c>
      <c r="CQ254" s="54">
        <f t="shared" si="318"/>
        <v>41.31366666666667</v>
      </c>
    </row>
    <row r="255" spans="1:95">
      <c r="A255">
        <v>1</v>
      </c>
      <c r="B255" t="s">
        <v>7</v>
      </c>
      <c r="C255">
        <v>40128</v>
      </c>
      <c r="D255">
        <v>192</v>
      </c>
      <c r="E255">
        <v>2</v>
      </c>
      <c r="F255">
        <v>8</v>
      </c>
      <c r="G255">
        <v>1087.1199999999999</v>
      </c>
      <c r="H255" s="59">
        <v>39.628</v>
      </c>
      <c r="I255" s="27">
        <v>45483</v>
      </c>
      <c r="J255" s="53">
        <v>0.99167824074074074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s="66">
        <f t="shared" ref="W255" si="384">W254</f>
        <v>39.261999999999993</v>
      </c>
      <c r="Y255">
        <v>1</v>
      </c>
      <c r="Z255" t="s">
        <v>7</v>
      </c>
      <c r="AA255">
        <v>40128</v>
      </c>
      <c r="AB255">
        <v>192</v>
      </c>
      <c r="AC255">
        <v>2</v>
      </c>
      <c r="AD255">
        <v>8</v>
      </c>
      <c r="AE255">
        <v>964.79</v>
      </c>
      <c r="AF255" s="48">
        <v>44.652000000000001</v>
      </c>
      <c r="AG255" s="27">
        <v>45501</v>
      </c>
      <c r="AH255" s="53">
        <v>0.33656249999999999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 s="66">
        <f t="shared" ref="AU255" si="385">AU254</f>
        <v>44.794000000000004</v>
      </c>
      <c r="AW255">
        <v>1</v>
      </c>
      <c r="AX255" t="s">
        <v>7</v>
      </c>
      <c r="AY255">
        <v>40128</v>
      </c>
      <c r="AZ255">
        <v>192</v>
      </c>
      <c r="BA255">
        <v>2</v>
      </c>
      <c r="BB255">
        <v>8</v>
      </c>
      <c r="BC255">
        <v>1340.72</v>
      </c>
      <c r="BD255" s="61">
        <v>32.131999999999998</v>
      </c>
      <c r="BE255" s="27">
        <v>45490</v>
      </c>
      <c r="BF255" s="53">
        <v>0.88380787037037034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 s="8">
        <f t="shared" ref="BS255" si="386">BS254</f>
        <v>32.294999999999995</v>
      </c>
      <c r="BU255">
        <v>346</v>
      </c>
      <c r="BV255" t="s">
        <v>70</v>
      </c>
      <c r="BW255">
        <v>40320</v>
      </c>
      <c r="BX255">
        <v>160</v>
      </c>
      <c r="BY255">
        <v>2</v>
      </c>
      <c r="BZ255">
        <v>8</v>
      </c>
      <c r="CA255">
        <v>1060.17</v>
      </c>
      <c r="CB255">
        <v>41.220999999999997</v>
      </c>
      <c r="CQ255" s="54">
        <f t="shared" si="318"/>
        <v>41.31366666666667</v>
      </c>
    </row>
    <row r="256" spans="1:95">
      <c r="A256">
        <v>2</v>
      </c>
      <c r="B256" t="s">
        <v>7</v>
      </c>
      <c r="C256">
        <v>40128</v>
      </c>
      <c r="D256">
        <v>192</v>
      </c>
      <c r="E256">
        <v>2</v>
      </c>
      <c r="F256">
        <v>8</v>
      </c>
      <c r="G256">
        <v>1082.83</v>
      </c>
      <c r="H256" s="59">
        <v>39.784999999999997</v>
      </c>
      <c r="I256" s="27">
        <v>45484</v>
      </c>
      <c r="J256" s="53">
        <v>0.85430555555555554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s="66">
        <f t="shared" si="315"/>
        <v>39.261999999999993</v>
      </c>
      <c r="Y256">
        <v>2</v>
      </c>
      <c r="Z256" t="s">
        <v>7</v>
      </c>
      <c r="AA256">
        <v>40128</v>
      </c>
      <c r="AB256">
        <v>192</v>
      </c>
      <c r="AC256">
        <v>2</v>
      </c>
      <c r="AD256">
        <v>8</v>
      </c>
      <c r="AE256">
        <v>959.06</v>
      </c>
      <c r="AF256" s="48">
        <v>44.918999999999997</v>
      </c>
      <c r="AG256" s="27">
        <v>45502</v>
      </c>
      <c r="AH256" s="53">
        <v>0.13146990740740741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 s="66">
        <f t="shared" si="309"/>
        <v>44.794000000000004</v>
      </c>
      <c r="AW256">
        <v>2</v>
      </c>
      <c r="AX256" t="s">
        <v>7</v>
      </c>
      <c r="AY256">
        <v>40128</v>
      </c>
      <c r="AZ256">
        <v>192</v>
      </c>
      <c r="BA256">
        <v>2</v>
      </c>
      <c r="BB256">
        <v>8</v>
      </c>
      <c r="BC256">
        <v>1323.74</v>
      </c>
      <c r="BD256" s="61">
        <v>32.543999999999997</v>
      </c>
      <c r="BE256" s="27">
        <v>45491</v>
      </c>
      <c r="BF256" s="53">
        <v>0.96900462962962963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 s="8">
        <f t="shared" si="310"/>
        <v>32.294999999999995</v>
      </c>
      <c r="BU256">
        <v>417</v>
      </c>
      <c r="BV256" t="s">
        <v>70</v>
      </c>
      <c r="BW256">
        <v>40320</v>
      </c>
      <c r="BX256">
        <v>160</v>
      </c>
      <c r="BY256">
        <v>2</v>
      </c>
      <c r="BZ256">
        <v>8</v>
      </c>
      <c r="CA256">
        <v>1055.1300000000001</v>
      </c>
      <c r="CB256">
        <v>41.417999999999999</v>
      </c>
      <c r="CQ256" s="54">
        <f t="shared" si="318"/>
        <v>41.31366666666667</v>
      </c>
    </row>
    <row r="257" spans="1:95">
      <c r="A257">
        <v>3</v>
      </c>
      <c r="B257" t="s">
        <v>7</v>
      </c>
      <c r="C257">
        <v>40128</v>
      </c>
      <c r="D257">
        <v>192</v>
      </c>
      <c r="E257">
        <v>2</v>
      </c>
      <c r="F257">
        <v>8</v>
      </c>
      <c r="G257">
        <v>1109.95</v>
      </c>
      <c r="H257" s="59">
        <v>38.811999999999998</v>
      </c>
      <c r="I257" s="27">
        <v>45485</v>
      </c>
      <c r="J257" s="53">
        <v>0.726099537037037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s="66">
        <f t="shared" si="315"/>
        <v>39.261999999999993</v>
      </c>
      <c r="Y257">
        <v>3</v>
      </c>
      <c r="Z257" t="s">
        <v>7</v>
      </c>
      <c r="AA257">
        <v>40128</v>
      </c>
      <c r="AB257">
        <v>192</v>
      </c>
      <c r="AC257">
        <v>2</v>
      </c>
      <c r="AD257">
        <v>8</v>
      </c>
      <c r="AE257" s="1">
        <v>965.88</v>
      </c>
      <c r="AF257" s="48">
        <v>44.601999999999997</v>
      </c>
      <c r="AG257" s="27">
        <v>45502</v>
      </c>
      <c r="AH257" s="53">
        <v>0.9261921296296296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 s="66">
        <f t="shared" si="309"/>
        <v>44.794000000000004</v>
      </c>
      <c r="AW257">
        <v>3</v>
      </c>
      <c r="AX257" t="s">
        <v>7</v>
      </c>
      <c r="AY257">
        <v>40128</v>
      </c>
      <c r="AZ257">
        <v>192</v>
      </c>
      <c r="BA257">
        <v>2</v>
      </c>
      <c r="BB257">
        <v>8</v>
      </c>
      <c r="BC257">
        <v>1343.77</v>
      </c>
      <c r="BD257" s="61">
        <v>32.058999999999997</v>
      </c>
      <c r="BE257" s="27">
        <v>45493</v>
      </c>
      <c r="BF257" s="53">
        <v>5.4594907407407404E-2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 s="8">
        <f t="shared" si="310"/>
        <v>32.294999999999995</v>
      </c>
      <c r="BU257">
        <v>15</v>
      </c>
      <c r="BV257" t="s">
        <v>70</v>
      </c>
      <c r="BW257">
        <v>35968</v>
      </c>
      <c r="BX257">
        <v>160</v>
      </c>
      <c r="BY257">
        <v>4</v>
      </c>
      <c r="BZ257">
        <v>4</v>
      </c>
      <c r="CA257">
        <v>824.61</v>
      </c>
      <c r="CB257">
        <v>37.722000000000001</v>
      </c>
      <c r="CQ257" s="54">
        <f t="shared" ref="CQ257" si="387">AVERAGE(CB257:CB262)</f>
        <v>37.771666666666668</v>
      </c>
    </row>
    <row r="258" spans="1:95">
      <c r="A258">
        <v>4</v>
      </c>
      <c r="B258" t="s">
        <v>7</v>
      </c>
      <c r="C258">
        <v>40128</v>
      </c>
      <c r="D258">
        <v>192</v>
      </c>
      <c r="E258">
        <v>2</v>
      </c>
      <c r="F258">
        <v>8</v>
      </c>
      <c r="G258">
        <v>1110.24</v>
      </c>
      <c r="H258" s="59">
        <v>38.802</v>
      </c>
      <c r="I258" s="27">
        <v>45486</v>
      </c>
      <c r="J258" s="53">
        <v>0.61442129629629627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s="66">
        <f t="shared" si="315"/>
        <v>39.261999999999993</v>
      </c>
      <c r="Y258">
        <v>4</v>
      </c>
      <c r="Z258" t="s">
        <v>7</v>
      </c>
      <c r="AA258">
        <v>40128</v>
      </c>
      <c r="AB258">
        <v>192</v>
      </c>
      <c r="AC258">
        <v>2</v>
      </c>
      <c r="AD258">
        <v>8</v>
      </c>
      <c r="AE258">
        <v>961.73</v>
      </c>
      <c r="AF258" s="48">
        <v>44.793999999999997</v>
      </c>
      <c r="AG258" s="27">
        <v>45503</v>
      </c>
      <c r="AH258" s="53">
        <v>0.72105324074074073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 s="66">
        <f t="shared" si="309"/>
        <v>44.794000000000004</v>
      </c>
      <c r="AW258">
        <v>4</v>
      </c>
      <c r="AX258" t="s">
        <v>7</v>
      </c>
      <c r="AY258">
        <v>40128</v>
      </c>
      <c r="AZ258">
        <v>192</v>
      </c>
      <c r="BA258">
        <v>2</v>
      </c>
      <c r="BB258">
        <v>8</v>
      </c>
      <c r="BC258">
        <v>1330.53</v>
      </c>
      <c r="BD258" s="61">
        <v>32.378</v>
      </c>
      <c r="BE258" s="27">
        <v>45494</v>
      </c>
      <c r="BF258" s="53">
        <v>0.14055555555555554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 s="8">
        <f t="shared" si="310"/>
        <v>32.294999999999995</v>
      </c>
      <c r="BU258">
        <v>86</v>
      </c>
      <c r="BV258" t="s">
        <v>70</v>
      </c>
      <c r="BW258">
        <v>35968</v>
      </c>
      <c r="BX258">
        <v>160</v>
      </c>
      <c r="BY258">
        <v>4</v>
      </c>
      <c r="BZ258">
        <v>4</v>
      </c>
      <c r="CA258">
        <v>825.08</v>
      </c>
      <c r="CB258">
        <v>37.701000000000001</v>
      </c>
      <c r="CQ258" s="54">
        <f t="shared" ref="CQ258" si="388">CQ257</f>
        <v>37.771666666666668</v>
      </c>
    </row>
    <row r="259" spans="1:95">
      <c r="A259">
        <v>0</v>
      </c>
      <c r="B259" t="s">
        <v>7</v>
      </c>
      <c r="C259">
        <v>35904</v>
      </c>
      <c r="D259">
        <v>192</v>
      </c>
      <c r="E259">
        <v>4</v>
      </c>
      <c r="F259">
        <v>4</v>
      </c>
      <c r="G259" s="1">
        <v>772.43</v>
      </c>
      <c r="H259" s="59">
        <v>39.948999999999998</v>
      </c>
      <c r="I259" s="27">
        <v>45482</v>
      </c>
      <c r="J259" s="53">
        <v>0.54408564814814819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s="66">
        <f t="shared" ref="W259" si="389">AVERAGE(H259:H263)</f>
        <v>39.7986</v>
      </c>
      <c r="Y259">
        <v>0</v>
      </c>
      <c r="Z259" t="s">
        <v>7</v>
      </c>
      <c r="AA259">
        <v>35904</v>
      </c>
      <c r="AB259">
        <v>192</v>
      </c>
      <c r="AC259">
        <v>4</v>
      </c>
      <c r="AD259">
        <v>4</v>
      </c>
      <c r="AE259">
        <v>743.71</v>
      </c>
      <c r="AF259" s="48">
        <v>41.491</v>
      </c>
      <c r="AG259" s="27">
        <v>45499</v>
      </c>
      <c r="AH259" s="53">
        <v>0.67815972222222221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 s="66">
        <f t="shared" ref="AU259" si="390">AVERAGE(AF259:AF263)</f>
        <v>41.320799999999998</v>
      </c>
      <c r="AW259">
        <v>0</v>
      </c>
      <c r="AX259" t="s">
        <v>7</v>
      </c>
      <c r="AY259">
        <v>35904</v>
      </c>
      <c r="AZ259">
        <v>192</v>
      </c>
      <c r="BA259">
        <v>4</v>
      </c>
      <c r="BB259">
        <v>4</v>
      </c>
      <c r="BC259">
        <v>1086.33</v>
      </c>
      <c r="BD259" s="61">
        <v>28.405000000000001</v>
      </c>
      <c r="BE259" s="27">
        <v>45488</v>
      </c>
      <c r="BF259" s="53">
        <v>0.75922453703703707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 s="8">
        <f t="shared" ref="BS259" si="391">AVERAGE(BD259:BD263)</f>
        <v>28.569599999999998</v>
      </c>
      <c r="BU259">
        <v>157</v>
      </c>
      <c r="BV259" t="s">
        <v>70</v>
      </c>
      <c r="BW259">
        <v>35968</v>
      </c>
      <c r="BX259">
        <v>160</v>
      </c>
      <c r="BY259">
        <v>4</v>
      </c>
      <c r="BZ259">
        <v>4</v>
      </c>
      <c r="CA259">
        <v>820.48</v>
      </c>
      <c r="CB259">
        <v>37.911999999999999</v>
      </c>
      <c r="CQ259" s="54">
        <f t="shared" si="318"/>
        <v>37.771666666666668</v>
      </c>
    </row>
    <row r="260" spans="1:95">
      <c r="A260">
        <v>1</v>
      </c>
      <c r="B260" t="s">
        <v>7</v>
      </c>
      <c r="C260">
        <v>35904</v>
      </c>
      <c r="D260">
        <v>192</v>
      </c>
      <c r="E260">
        <v>4</v>
      </c>
      <c r="F260">
        <v>4</v>
      </c>
      <c r="G260">
        <v>780.34</v>
      </c>
      <c r="H260" s="59">
        <v>39.543999999999997</v>
      </c>
      <c r="I260" s="27">
        <v>45483</v>
      </c>
      <c r="J260" s="53">
        <v>0.40378472222222223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s="66">
        <f t="shared" ref="W260" si="392">W259</f>
        <v>39.7986</v>
      </c>
      <c r="Y260">
        <v>1</v>
      </c>
      <c r="Z260" t="s">
        <v>7</v>
      </c>
      <c r="AA260">
        <v>35904</v>
      </c>
      <c r="AB260">
        <v>192</v>
      </c>
      <c r="AC260">
        <v>4</v>
      </c>
      <c r="AD260">
        <v>4</v>
      </c>
      <c r="AE260">
        <v>765.96</v>
      </c>
      <c r="AF260" s="48">
        <v>40.286999999999999</v>
      </c>
      <c r="AG260" s="27">
        <v>45500</v>
      </c>
      <c r="AH260" s="53">
        <v>0.7991435185185185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 s="66">
        <f t="shared" ref="AU260" si="393">AU259</f>
        <v>41.320799999999998</v>
      </c>
      <c r="AW260">
        <v>1</v>
      </c>
      <c r="AX260" t="s">
        <v>7</v>
      </c>
      <c r="AY260">
        <v>35904</v>
      </c>
      <c r="AZ260">
        <v>192</v>
      </c>
      <c r="BA260">
        <v>4</v>
      </c>
      <c r="BB260">
        <v>4</v>
      </c>
      <c r="BC260">
        <v>1077.21</v>
      </c>
      <c r="BD260" s="61">
        <v>28.646000000000001</v>
      </c>
      <c r="BE260" s="27">
        <v>45490</v>
      </c>
      <c r="BF260" s="53">
        <v>0.15280092592592592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 s="8">
        <f t="shared" ref="BS260" si="394">BS259</f>
        <v>28.569599999999998</v>
      </c>
      <c r="BU260">
        <v>228</v>
      </c>
      <c r="BV260" t="s">
        <v>70</v>
      </c>
      <c r="BW260">
        <v>35968</v>
      </c>
      <c r="BX260">
        <v>160</v>
      </c>
      <c r="BY260">
        <v>4</v>
      </c>
      <c r="BZ260">
        <v>4</v>
      </c>
      <c r="CA260">
        <v>826.38</v>
      </c>
      <c r="CB260">
        <v>37.640999999999998</v>
      </c>
      <c r="CQ260" s="54">
        <f t="shared" si="318"/>
        <v>37.771666666666668</v>
      </c>
    </row>
    <row r="261" spans="1:95">
      <c r="A261">
        <v>2</v>
      </c>
      <c r="B261" t="s">
        <v>7</v>
      </c>
      <c r="C261">
        <v>35904</v>
      </c>
      <c r="D261">
        <v>192</v>
      </c>
      <c r="E261">
        <v>4</v>
      </c>
      <c r="F261">
        <v>4</v>
      </c>
      <c r="G261">
        <v>765.8</v>
      </c>
      <c r="H261" s="59">
        <v>40.295000000000002</v>
      </c>
      <c r="I261" s="27">
        <v>45484</v>
      </c>
      <c r="J261" s="53">
        <v>0.26903935185185185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 s="66">
        <f t="shared" si="315"/>
        <v>39.7986</v>
      </c>
      <c r="Y261">
        <v>2</v>
      </c>
      <c r="Z261" t="s">
        <v>7</v>
      </c>
      <c r="AA261">
        <v>35904</v>
      </c>
      <c r="AB261">
        <v>192</v>
      </c>
      <c r="AC261">
        <v>4</v>
      </c>
      <c r="AD261">
        <v>4</v>
      </c>
      <c r="AE261">
        <v>739.63</v>
      </c>
      <c r="AF261" s="48">
        <v>41.720999999999997</v>
      </c>
      <c r="AG261" s="27">
        <v>45501</v>
      </c>
      <c r="AH261" s="53">
        <v>0.59310185185185182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 s="66">
        <f t="shared" si="309"/>
        <v>41.320799999999998</v>
      </c>
      <c r="AW261">
        <v>2</v>
      </c>
      <c r="AX261" t="s">
        <v>7</v>
      </c>
      <c r="AY261">
        <v>35904</v>
      </c>
      <c r="AZ261">
        <v>192</v>
      </c>
      <c r="BA261">
        <v>4</v>
      </c>
      <c r="BB261">
        <v>4</v>
      </c>
      <c r="BC261">
        <v>1078.58</v>
      </c>
      <c r="BD261" s="61">
        <v>28.61</v>
      </c>
      <c r="BE261" s="27">
        <v>45491</v>
      </c>
      <c r="BF261" s="53">
        <v>0.23879629629629628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 s="8">
        <f t="shared" si="310"/>
        <v>28.569599999999998</v>
      </c>
      <c r="BU261">
        <v>299</v>
      </c>
      <c r="BV261" t="s">
        <v>70</v>
      </c>
      <c r="BW261">
        <v>35968</v>
      </c>
      <c r="BX261">
        <v>160</v>
      </c>
      <c r="BY261">
        <v>4</v>
      </c>
      <c r="BZ261">
        <v>4</v>
      </c>
      <c r="CA261">
        <v>822.36</v>
      </c>
      <c r="CB261">
        <v>37.825000000000003</v>
      </c>
      <c r="CQ261" s="54">
        <f t="shared" si="318"/>
        <v>37.771666666666668</v>
      </c>
    </row>
    <row r="262" spans="1:95">
      <c r="A262">
        <v>3</v>
      </c>
      <c r="B262" t="s">
        <v>7</v>
      </c>
      <c r="C262">
        <v>35904</v>
      </c>
      <c r="D262">
        <v>192</v>
      </c>
      <c r="E262">
        <v>4</v>
      </c>
      <c r="F262">
        <v>4</v>
      </c>
      <c r="G262">
        <v>773.52</v>
      </c>
      <c r="H262" s="59">
        <v>39.893000000000001</v>
      </c>
      <c r="I262" s="27">
        <v>45485</v>
      </c>
      <c r="J262" s="53">
        <v>0.13210648148148149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 s="66">
        <f t="shared" si="315"/>
        <v>39.7986</v>
      </c>
      <c r="Y262">
        <v>3</v>
      </c>
      <c r="Z262" t="s">
        <v>7</v>
      </c>
      <c r="AA262">
        <v>35904</v>
      </c>
      <c r="AB262">
        <v>192</v>
      </c>
      <c r="AC262">
        <v>4</v>
      </c>
      <c r="AD262">
        <v>4</v>
      </c>
      <c r="AE262">
        <v>741.58</v>
      </c>
      <c r="AF262" s="48">
        <v>41.610999999999997</v>
      </c>
      <c r="AG262" s="27">
        <v>45502</v>
      </c>
      <c r="AH262" s="53">
        <v>0.38777777777777778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 s="66">
        <f t="shared" si="309"/>
        <v>41.320799999999998</v>
      </c>
      <c r="AW262">
        <v>3</v>
      </c>
      <c r="AX262" t="s">
        <v>7</v>
      </c>
      <c r="AY262">
        <v>35904</v>
      </c>
      <c r="AZ262">
        <v>192</v>
      </c>
      <c r="BA262">
        <v>4</v>
      </c>
      <c r="BB262">
        <v>4</v>
      </c>
      <c r="BC262">
        <v>1084.3800000000001</v>
      </c>
      <c r="BD262" s="61">
        <v>28.457000000000001</v>
      </c>
      <c r="BE262" s="27">
        <v>45492</v>
      </c>
      <c r="BF262" s="53">
        <v>0.32349537037037035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 s="8">
        <f t="shared" si="310"/>
        <v>28.569599999999998</v>
      </c>
      <c r="BU262">
        <v>370</v>
      </c>
      <c r="BV262" t="s">
        <v>70</v>
      </c>
      <c r="BW262">
        <v>35968</v>
      </c>
      <c r="BX262">
        <v>160</v>
      </c>
      <c r="BY262">
        <v>4</v>
      </c>
      <c r="BZ262">
        <v>4</v>
      </c>
      <c r="CA262">
        <v>822.27</v>
      </c>
      <c r="CB262">
        <v>37.829000000000001</v>
      </c>
      <c r="CQ262" s="54">
        <f t="shared" si="318"/>
        <v>37.771666666666668</v>
      </c>
    </row>
    <row r="263" spans="1:95">
      <c r="A263">
        <v>4</v>
      </c>
      <c r="B263" t="s">
        <v>7</v>
      </c>
      <c r="C263">
        <v>35904</v>
      </c>
      <c r="D263">
        <v>192</v>
      </c>
      <c r="E263">
        <v>4</v>
      </c>
      <c r="F263">
        <v>4</v>
      </c>
      <c r="G263">
        <v>784.94</v>
      </c>
      <c r="H263" s="59">
        <v>39.311999999999998</v>
      </c>
      <c r="I263" s="27">
        <v>45486</v>
      </c>
      <c r="J263" s="53">
        <v>1.2268518518518519E-2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 s="66">
        <f t="shared" si="315"/>
        <v>39.7986</v>
      </c>
      <c r="Y263">
        <v>4</v>
      </c>
      <c r="Z263" t="s">
        <v>7</v>
      </c>
      <c r="AA263">
        <v>35904</v>
      </c>
      <c r="AB263">
        <v>192</v>
      </c>
      <c r="AC263">
        <v>4</v>
      </c>
      <c r="AD263">
        <v>4</v>
      </c>
      <c r="AE263" s="1">
        <v>743.66</v>
      </c>
      <c r="AF263" s="48">
        <v>41.494</v>
      </c>
      <c r="AG263" s="27">
        <v>45503</v>
      </c>
      <c r="AH263" s="53">
        <v>0.18248842592592593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 s="66">
        <f t="shared" si="309"/>
        <v>41.320799999999998</v>
      </c>
      <c r="AW263">
        <v>4</v>
      </c>
      <c r="AX263" t="s">
        <v>7</v>
      </c>
      <c r="AY263">
        <v>35904</v>
      </c>
      <c r="AZ263">
        <v>192</v>
      </c>
      <c r="BA263">
        <v>4</v>
      </c>
      <c r="BB263">
        <v>4</v>
      </c>
      <c r="BC263">
        <v>1074.05</v>
      </c>
      <c r="BD263" s="61">
        <v>28.73</v>
      </c>
      <c r="BE263" s="27">
        <v>45493</v>
      </c>
      <c r="BF263" s="53">
        <v>0.40894675925925927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 s="8">
        <f t="shared" si="310"/>
        <v>28.569599999999998</v>
      </c>
      <c r="BU263">
        <v>39</v>
      </c>
      <c r="BV263" t="s">
        <v>70</v>
      </c>
      <c r="BW263">
        <v>38144</v>
      </c>
      <c r="BX263">
        <v>160</v>
      </c>
      <c r="BY263">
        <v>4</v>
      </c>
      <c r="BZ263">
        <v>4</v>
      </c>
      <c r="CA263">
        <v>953.1</v>
      </c>
      <c r="CB263">
        <v>38.627000000000002</v>
      </c>
      <c r="CQ263" s="54">
        <f t="shared" ref="CQ263" si="395">AVERAGE(CB263:CB268)</f>
        <v>38.536833333333341</v>
      </c>
    </row>
    <row r="264" spans="1:95">
      <c r="A264">
        <v>0</v>
      </c>
      <c r="B264" t="s">
        <v>7</v>
      </c>
      <c r="C264">
        <v>38016</v>
      </c>
      <c r="D264">
        <v>192</v>
      </c>
      <c r="E264">
        <v>4</v>
      </c>
      <c r="F264">
        <v>4</v>
      </c>
      <c r="G264" s="1">
        <v>915.74</v>
      </c>
      <c r="H264" s="59">
        <v>40</v>
      </c>
      <c r="I264" s="27">
        <v>45482</v>
      </c>
      <c r="J264" s="53">
        <v>0.8193287037037037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 s="66">
        <f t="shared" ref="W264" si="396">AVERAGE(H264:H268)</f>
        <v>39.223400000000005</v>
      </c>
      <c r="Y264">
        <v>0</v>
      </c>
      <c r="Z264" t="s">
        <v>7</v>
      </c>
      <c r="AA264">
        <v>38016</v>
      </c>
      <c r="AB264">
        <v>192</v>
      </c>
      <c r="AC264">
        <v>4</v>
      </c>
      <c r="AD264">
        <v>4</v>
      </c>
      <c r="AE264">
        <v>868.71</v>
      </c>
      <c r="AF264" s="48">
        <v>42.165999999999997</v>
      </c>
      <c r="AG264" s="27">
        <v>45499</v>
      </c>
      <c r="AH264" s="53">
        <v>0.93119212962962961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 s="66">
        <f t="shared" ref="AU264" si="397">AVERAGE(AF264:AF268)</f>
        <v>42.069800000000001</v>
      </c>
      <c r="AW264">
        <v>0</v>
      </c>
      <c r="AX264" t="s">
        <v>7</v>
      </c>
      <c r="AY264">
        <v>38016</v>
      </c>
      <c r="AZ264">
        <v>192</v>
      </c>
      <c r="BA264">
        <v>4</v>
      </c>
      <c r="BB264">
        <v>4</v>
      </c>
      <c r="BC264">
        <v>1244.71</v>
      </c>
      <c r="BD264" s="61">
        <v>29.428000000000001</v>
      </c>
      <c r="BE264" s="27">
        <v>45489</v>
      </c>
      <c r="BF264" s="53">
        <v>0.10787037037037037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 s="8">
        <f t="shared" ref="BS264" si="398">AVERAGE(BD264:BD268)</f>
        <v>29.51</v>
      </c>
      <c r="BU264">
        <v>110</v>
      </c>
      <c r="BV264" t="s">
        <v>70</v>
      </c>
      <c r="BW264">
        <v>38144</v>
      </c>
      <c r="BX264">
        <v>160</v>
      </c>
      <c r="BY264">
        <v>4</v>
      </c>
      <c r="BZ264">
        <v>4</v>
      </c>
      <c r="CA264">
        <v>954.19</v>
      </c>
      <c r="CB264">
        <v>38.582999999999998</v>
      </c>
      <c r="CQ264" s="54">
        <f t="shared" ref="CQ264" si="399">CQ263</f>
        <v>38.536833333333341</v>
      </c>
    </row>
    <row r="265" spans="1:95">
      <c r="A265">
        <v>1</v>
      </c>
      <c r="B265" t="s">
        <v>7</v>
      </c>
      <c r="C265">
        <v>38016</v>
      </c>
      <c r="D265">
        <v>192</v>
      </c>
      <c r="E265">
        <v>4</v>
      </c>
      <c r="F265">
        <v>4</v>
      </c>
      <c r="G265">
        <v>939.82</v>
      </c>
      <c r="H265" s="59">
        <v>38.975000000000001</v>
      </c>
      <c r="I265" s="27">
        <v>45483</v>
      </c>
      <c r="J265" s="53">
        <v>0.68442129629629633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s="66">
        <f t="shared" ref="W265" si="400">W264</f>
        <v>39.223400000000005</v>
      </c>
      <c r="Y265">
        <v>1</v>
      </c>
      <c r="Z265" t="s">
        <v>7</v>
      </c>
      <c r="AA265">
        <v>38016</v>
      </c>
      <c r="AB265">
        <v>192</v>
      </c>
      <c r="AC265">
        <v>4</v>
      </c>
      <c r="AD265">
        <v>4</v>
      </c>
      <c r="AE265">
        <v>864.51</v>
      </c>
      <c r="AF265" s="48">
        <v>42.371000000000002</v>
      </c>
      <c r="AG265" s="27">
        <v>45501</v>
      </c>
      <c r="AH265" s="53">
        <v>5.2870370370370373E-2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 s="66">
        <f t="shared" ref="AU265" si="401">AU264</f>
        <v>42.069800000000001</v>
      </c>
      <c r="AW265">
        <v>1</v>
      </c>
      <c r="AX265" t="s">
        <v>7</v>
      </c>
      <c r="AY265">
        <v>38016</v>
      </c>
      <c r="AZ265">
        <v>192</v>
      </c>
      <c r="BA265">
        <v>4</v>
      </c>
      <c r="BB265">
        <v>4</v>
      </c>
      <c r="BC265">
        <v>1241.8800000000001</v>
      </c>
      <c r="BD265" s="61">
        <v>29.495000000000001</v>
      </c>
      <c r="BE265" s="27">
        <v>45490</v>
      </c>
      <c r="BF265" s="53">
        <v>0.50129629629629635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 s="8">
        <f t="shared" ref="BS265" si="402">BS264</f>
        <v>29.51</v>
      </c>
      <c r="BU265">
        <v>181</v>
      </c>
      <c r="BV265" t="s">
        <v>70</v>
      </c>
      <c r="BW265">
        <v>38144</v>
      </c>
      <c r="BX265">
        <v>160</v>
      </c>
      <c r="BY265">
        <v>4</v>
      </c>
      <c r="BZ265">
        <v>4</v>
      </c>
      <c r="CA265">
        <v>957.32</v>
      </c>
      <c r="CB265">
        <v>38.456000000000003</v>
      </c>
      <c r="CQ265" s="54">
        <f t="shared" si="318"/>
        <v>38.536833333333341</v>
      </c>
    </row>
    <row r="266" spans="1:95">
      <c r="A266">
        <v>2</v>
      </c>
      <c r="B266" t="s">
        <v>7</v>
      </c>
      <c r="C266">
        <v>38016</v>
      </c>
      <c r="D266">
        <v>192</v>
      </c>
      <c r="E266">
        <v>4</v>
      </c>
      <c r="F266">
        <v>4</v>
      </c>
      <c r="G266">
        <v>910.84</v>
      </c>
      <c r="H266" s="59">
        <v>40.215000000000003</v>
      </c>
      <c r="I266" s="27">
        <v>45484</v>
      </c>
      <c r="J266" s="53">
        <v>0.54681712962962958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 s="66">
        <f t="shared" si="315"/>
        <v>39.223400000000005</v>
      </c>
      <c r="Y266">
        <v>2</v>
      </c>
      <c r="Z266" t="s">
        <v>7</v>
      </c>
      <c r="AA266">
        <v>38016</v>
      </c>
      <c r="AB266">
        <v>192</v>
      </c>
      <c r="AC266">
        <v>4</v>
      </c>
      <c r="AD266">
        <v>4</v>
      </c>
      <c r="AE266" s="1">
        <v>871.27</v>
      </c>
      <c r="AF266" s="48">
        <v>42.042000000000002</v>
      </c>
      <c r="AG266" s="27">
        <v>45501</v>
      </c>
      <c r="AH266" s="53">
        <v>0.84696759259259258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 s="66">
        <f t="shared" si="309"/>
        <v>42.069800000000001</v>
      </c>
      <c r="AW266">
        <v>2</v>
      </c>
      <c r="AX266" t="s">
        <v>7</v>
      </c>
      <c r="AY266">
        <v>38016</v>
      </c>
      <c r="AZ266">
        <v>192</v>
      </c>
      <c r="BA266">
        <v>4</v>
      </c>
      <c r="BB266">
        <v>4</v>
      </c>
      <c r="BC266">
        <v>1239.54</v>
      </c>
      <c r="BD266" s="61">
        <v>29.550999999999998</v>
      </c>
      <c r="BE266" s="27">
        <v>45491</v>
      </c>
      <c r="BF266" s="53">
        <v>0.58721064814814816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 s="8">
        <f t="shared" si="310"/>
        <v>29.51</v>
      </c>
      <c r="BU266">
        <v>252</v>
      </c>
      <c r="BV266" t="s">
        <v>70</v>
      </c>
      <c r="BW266">
        <v>38144</v>
      </c>
      <c r="BX266">
        <v>160</v>
      </c>
      <c r="BY266">
        <v>4</v>
      </c>
      <c r="BZ266">
        <v>4</v>
      </c>
      <c r="CA266">
        <v>956.1</v>
      </c>
      <c r="CB266">
        <v>38.505000000000003</v>
      </c>
      <c r="CQ266" s="54">
        <f t="shared" si="318"/>
        <v>38.536833333333341</v>
      </c>
    </row>
    <row r="267" spans="1:95">
      <c r="A267">
        <v>3</v>
      </c>
      <c r="B267" t="s">
        <v>7</v>
      </c>
      <c r="C267">
        <v>38016</v>
      </c>
      <c r="D267">
        <v>192</v>
      </c>
      <c r="E267">
        <v>4</v>
      </c>
      <c r="F267">
        <v>4</v>
      </c>
      <c r="G267">
        <v>939.02</v>
      </c>
      <c r="H267" s="59">
        <v>39.009</v>
      </c>
      <c r="I267" s="27">
        <v>45485</v>
      </c>
      <c r="J267" s="53">
        <v>0.41005787037037039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 s="66">
        <f t="shared" si="315"/>
        <v>39.223400000000005</v>
      </c>
      <c r="Y267">
        <v>3</v>
      </c>
      <c r="Z267" t="s">
        <v>7</v>
      </c>
      <c r="AA267">
        <v>38016</v>
      </c>
      <c r="AB267">
        <v>192</v>
      </c>
      <c r="AC267">
        <v>4</v>
      </c>
      <c r="AD267">
        <v>4</v>
      </c>
      <c r="AE267">
        <v>875.53</v>
      </c>
      <c r="AF267" s="48">
        <v>41.837000000000003</v>
      </c>
      <c r="AG267" s="27">
        <v>45502</v>
      </c>
      <c r="AH267" s="53">
        <v>0.64166666666666672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 s="66">
        <f t="shared" si="309"/>
        <v>42.069800000000001</v>
      </c>
      <c r="AW267">
        <v>3</v>
      </c>
      <c r="AX267" t="s">
        <v>7</v>
      </c>
      <c r="AY267">
        <v>38016</v>
      </c>
      <c r="AZ267">
        <v>192</v>
      </c>
      <c r="BA267">
        <v>4</v>
      </c>
      <c r="BB267">
        <v>4</v>
      </c>
      <c r="BC267">
        <v>1239.52</v>
      </c>
      <c r="BD267" s="61">
        <v>29.550999999999998</v>
      </c>
      <c r="BE267" s="27">
        <v>45492</v>
      </c>
      <c r="BF267" s="53">
        <v>0.67245370370370372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 s="8">
        <f t="shared" si="310"/>
        <v>29.51</v>
      </c>
      <c r="BU267">
        <v>323</v>
      </c>
      <c r="BV267" t="s">
        <v>70</v>
      </c>
      <c r="BW267">
        <v>38144</v>
      </c>
      <c r="BX267">
        <v>160</v>
      </c>
      <c r="BY267">
        <v>4</v>
      </c>
      <c r="BZ267">
        <v>4</v>
      </c>
      <c r="CA267">
        <v>958.42</v>
      </c>
      <c r="CB267">
        <v>38.411999999999999</v>
      </c>
      <c r="CQ267" s="54">
        <f t="shared" si="318"/>
        <v>38.536833333333341</v>
      </c>
    </row>
    <row r="268" spans="1:95">
      <c r="A268">
        <v>4</v>
      </c>
      <c r="B268" t="s">
        <v>7</v>
      </c>
      <c r="C268">
        <v>38016</v>
      </c>
      <c r="D268">
        <v>192</v>
      </c>
      <c r="E268">
        <v>4</v>
      </c>
      <c r="F268">
        <v>4</v>
      </c>
      <c r="G268">
        <v>966.04</v>
      </c>
      <c r="H268" s="59">
        <v>37.917999999999999</v>
      </c>
      <c r="I268" s="27">
        <v>45486</v>
      </c>
      <c r="J268" s="53">
        <v>0.2981597222222222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s="66">
        <f t="shared" si="315"/>
        <v>39.223400000000005</v>
      </c>
      <c r="Y268">
        <v>4</v>
      </c>
      <c r="Z268" t="s">
        <v>7</v>
      </c>
      <c r="AA268">
        <v>38016</v>
      </c>
      <c r="AB268">
        <v>192</v>
      </c>
      <c r="AC268">
        <v>4</v>
      </c>
      <c r="AD268">
        <v>4</v>
      </c>
      <c r="AE268">
        <v>873.54</v>
      </c>
      <c r="AF268" s="48">
        <v>41.933</v>
      </c>
      <c r="AG268" s="27">
        <v>45503</v>
      </c>
      <c r="AH268" s="53">
        <v>0.4372685185185185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 s="66">
        <f t="shared" si="309"/>
        <v>42.069800000000001</v>
      </c>
      <c r="AW268">
        <v>4</v>
      </c>
      <c r="AX268" t="s">
        <v>7</v>
      </c>
      <c r="AY268">
        <v>38016</v>
      </c>
      <c r="AZ268">
        <v>192</v>
      </c>
      <c r="BA268">
        <v>4</v>
      </c>
      <c r="BB268">
        <v>4</v>
      </c>
      <c r="BC268">
        <v>1240.6400000000001</v>
      </c>
      <c r="BD268" s="61">
        <v>29.524999999999999</v>
      </c>
      <c r="BE268" s="27">
        <v>45493</v>
      </c>
      <c r="BF268" s="53">
        <v>0.75770833333333332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 s="8">
        <f t="shared" si="310"/>
        <v>29.51</v>
      </c>
      <c r="BU268">
        <v>394</v>
      </c>
      <c r="BV268" t="s">
        <v>70</v>
      </c>
      <c r="BW268">
        <v>38144</v>
      </c>
      <c r="BX268">
        <v>160</v>
      </c>
      <c r="BY268">
        <v>4</v>
      </c>
      <c r="BZ268">
        <v>4</v>
      </c>
      <c r="CA268">
        <v>952.83</v>
      </c>
      <c r="CB268">
        <v>38.637999999999998</v>
      </c>
      <c r="CQ268" s="54">
        <f t="shared" si="318"/>
        <v>38.536833333333341</v>
      </c>
    </row>
    <row r="269" spans="1:95">
      <c r="A269">
        <v>0</v>
      </c>
      <c r="B269" t="s">
        <v>7</v>
      </c>
      <c r="C269">
        <v>40128</v>
      </c>
      <c r="D269">
        <v>192</v>
      </c>
      <c r="E269">
        <v>4</v>
      </c>
      <c r="F269">
        <v>4</v>
      </c>
      <c r="G269" s="1">
        <v>1068.6300000000001</v>
      </c>
      <c r="H269" s="59">
        <v>40.313000000000002</v>
      </c>
      <c r="I269" s="27">
        <v>45483</v>
      </c>
      <c r="J269" s="53">
        <v>0.13914351851851853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 s="66">
        <f t="shared" ref="W269" si="403">AVERAGE(H269:H273)</f>
        <v>39.980800000000002</v>
      </c>
      <c r="Y269">
        <v>0</v>
      </c>
      <c r="Z269" t="s">
        <v>7</v>
      </c>
      <c r="AA269">
        <v>40128</v>
      </c>
      <c r="AB269">
        <v>192</v>
      </c>
      <c r="AC269">
        <v>4</v>
      </c>
      <c r="AD269">
        <v>4</v>
      </c>
      <c r="AE269" s="1">
        <v>1008.73</v>
      </c>
      <c r="AF269" s="48">
        <v>42.707000000000001</v>
      </c>
      <c r="AG269" s="27">
        <v>45500</v>
      </c>
      <c r="AH269" s="53">
        <v>0.22684027777777777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 s="66">
        <f t="shared" ref="AU269" si="404">AVERAGE(AF269:AF273)</f>
        <v>42.292400000000001</v>
      </c>
      <c r="AW269">
        <v>0</v>
      </c>
      <c r="AX269" t="s">
        <v>7</v>
      </c>
      <c r="AY269">
        <v>40128</v>
      </c>
      <c r="AZ269">
        <v>192</v>
      </c>
      <c r="BA269">
        <v>4</v>
      </c>
      <c r="BB269">
        <v>4</v>
      </c>
      <c r="BC269">
        <v>1413.13</v>
      </c>
      <c r="BD269" s="61">
        <v>30.486000000000001</v>
      </c>
      <c r="BE269" s="27">
        <v>45489</v>
      </c>
      <c r="BF269" s="53">
        <v>0.50775462962962958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 s="8">
        <f t="shared" ref="BS269" si="405">AVERAGE(BD269:BD273)</f>
        <v>30.426800000000004</v>
      </c>
      <c r="BU269">
        <v>63</v>
      </c>
      <c r="BV269" t="s">
        <v>70</v>
      </c>
      <c r="BW269">
        <v>40320</v>
      </c>
      <c r="BX269">
        <v>160</v>
      </c>
      <c r="BY269">
        <v>4</v>
      </c>
      <c r="BZ269">
        <v>4</v>
      </c>
      <c r="CA269">
        <v>1119.5999999999999</v>
      </c>
      <c r="CB269">
        <v>39.033000000000001</v>
      </c>
      <c r="CQ269" s="54">
        <f t="shared" ref="CQ269" si="406">AVERAGE(CB269:CB274)</f>
        <v>39.125499999999995</v>
      </c>
    </row>
    <row r="270" spans="1:95">
      <c r="A270">
        <v>1</v>
      </c>
      <c r="B270" t="s">
        <v>7</v>
      </c>
      <c r="C270">
        <v>40128</v>
      </c>
      <c r="D270">
        <v>192</v>
      </c>
      <c r="E270">
        <v>4</v>
      </c>
      <c r="F270">
        <v>4</v>
      </c>
      <c r="G270">
        <v>1066.8900000000001</v>
      </c>
      <c r="H270" s="59">
        <v>40.378999999999998</v>
      </c>
      <c r="I270" s="27">
        <v>45484</v>
      </c>
      <c r="J270" s="53">
        <v>4.3287037037037035E-3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s="66">
        <f t="shared" ref="W270" si="407">W269</f>
        <v>39.980800000000002</v>
      </c>
      <c r="Y270">
        <v>1</v>
      </c>
      <c r="Z270" t="s">
        <v>7</v>
      </c>
      <c r="AA270">
        <v>40128</v>
      </c>
      <c r="AB270">
        <v>192</v>
      </c>
      <c r="AC270">
        <v>4</v>
      </c>
      <c r="AD270">
        <v>4</v>
      </c>
      <c r="AE270">
        <v>1009.59</v>
      </c>
      <c r="AF270" s="48">
        <v>42.670999999999999</v>
      </c>
      <c r="AG270" s="27">
        <v>45501</v>
      </c>
      <c r="AH270" s="53">
        <v>0.34857638888888887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 s="66">
        <f t="shared" ref="AU270:AU333" si="408">AU269</f>
        <v>42.292400000000001</v>
      </c>
      <c r="AW270">
        <v>1</v>
      </c>
      <c r="AX270" t="s">
        <v>7</v>
      </c>
      <c r="AY270">
        <v>40128</v>
      </c>
      <c r="AZ270">
        <v>192</v>
      </c>
      <c r="BA270">
        <v>4</v>
      </c>
      <c r="BB270">
        <v>4</v>
      </c>
      <c r="BC270">
        <v>1414.27</v>
      </c>
      <c r="BD270" s="61">
        <v>30.460999999999999</v>
      </c>
      <c r="BE270" s="27">
        <v>45490</v>
      </c>
      <c r="BF270" s="53">
        <v>0.9011689814814815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 s="8">
        <f t="shared" ref="BS270:BS333" si="409">BS269</f>
        <v>30.426800000000004</v>
      </c>
      <c r="BU270">
        <v>134</v>
      </c>
      <c r="BV270" t="s">
        <v>70</v>
      </c>
      <c r="BW270">
        <v>40320</v>
      </c>
      <c r="BX270">
        <v>160</v>
      </c>
      <c r="BY270">
        <v>4</v>
      </c>
      <c r="BZ270">
        <v>4</v>
      </c>
      <c r="CA270">
        <v>1115.74</v>
      </c>
      <c r="CB270">
        <v>39.167999999999999</v>
      </c>
      <c r="CQ270" s="54">
        <f t="shared" ref="CQ270" si="410">CQ269</f>
        <v>39.125499999999995</v>
      </c>
    </row>
    <row r="271" spans="1:95">
      <c r="A271">
        <v>2</v>
      </c>
      <c r="B271" t="s">
        <v>7</v>
      </c>
      <c r="C271">
        <v>40128</v>
      </c>
      <c r="D271">
        <v>192</v>
      </c>
      <c r="E271">
        <v>4</v>
      </c>
      <c r="F271">
        <v>4</v>
      </c>
      <c r="G271">
        <v>1065.8900000000001</v>
      </c>
      <c r="H271" s="59">
        <v>40.417000000000002</v>
      </c>
      <c r="I271" s="27">
        <v>45484</v>
      </c>
      <c r="J271" s="53">
        <v>0.86695601851851856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s="66">
        <f t="shared" si="315"/>
        <v>39.980800000000002</v>
      </c>
      <c r="Y271">
        <v>2</v>
      </c>
      <c r="Z271" t="s">
        <v>7</v>
      </c>
      <c r="AA271">
        <v>40128</v>
      </c>
      <c r="AB271">
        <v>192</v>
      </c>
      <c r="AC271">
        <v>4</v>
      </c>
      <c r="AD271">
        <v>4</v>
      </c>
      <c r="AE271">
        <v>1015.07</v>
      </c>
      <c r="AF271" s="48">
        <v>42.44</v>
      </c>
      <c r="AG271" s="27">
        <v>45502</v>
      </c>
      <c r="AH271" s="53">
        <v>0.14353009259259258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 s="66">
        <f t="shared" si="408"/>
        <v>42.292400000000001</v>
      </c>
      <c r="AW271">
        <v>2</v>
      </c>
      <c r="AX271" t="s">
        <v>7</v>
      </c>
      <c r="AY271">
        <v>40128</v>
      </c>
      <c r="AZ271">
        <v>192</v>
      </c>
      <c r="BA271">
        <v>4</v>
      </c>
      <c r="BB271">
        <v>4</v>
      </c>
      <c r="BC271">
        <v>1416.92</v>
      </c>
      <c r="BD271" s="61">
        <v>30.404</v>
      </c>
      <c r="BE271" s="27">
        <v>45491</v>
      </c>
      <c r="BF271" s="53">
        <v>0.98637731481481483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 s="8">
        <f t="shared" si="409"/>
        <v>30.426800000000004</v>
      </c>
      <c r="BU271">
        <v>205</v>
      </c>
      <c r="BV271" t="s">
        <v>70</v>
      </c>
      <c r="BW271">
        <v>40320</v>
      </c>
      <c r="BX271">
        <v>160</v>
      </c>
      <c r="BY271">
        <v>4</v>
      </c>
      <c r="BZ271">
        <v>4</v>
      </c>
      <c r="CA271">
        <v>1119.81</v>
      </c>
      <c r="CB271">
        <v>39.026000000000003</v>
      </c>
      <c r="CQ271" s="54">
        <f t="shared" si="318"/>
        <v>39.125499999999995</v>
      </c>
    </row>
    <row r="272" spans="1:95">
      <c r="A272">
        <v>3</v>
      </c>
      <c r="B272" t="s">
        <v>7</v>
      </c>
      <c r="C272">
        <v>40128</v>
      </c>
      <c r="D272">
        <v>192</v>
      </c>
      <c r="E272">
        <v>4</v>
      </c>
      <c r="F272">
        <v>4</v>
      </c>
      <c r="G272">
        <v>1091.94</v>
      </c>
      <c r="H272" s="59">
        <v>39.453000000000003</v>
      </c>
      <c r="I272" s="27">
        <v>45485</v>
      </c>
      <c r="J272" s="53">
        <v>0.73905092592592592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s="66">
        <f t="shared" si="315"/>
        <v>39.980800000000002</v>
      </c>
      <c r="Y272">
        <v>3</v>
      </c>
      <c r="Z272" t="s">
        <v>7</v>
      </c>
      <c r="AA272">
        <v>40128</v>
      </c>
      <c r="AB272">
        <v>192</v>
      </c>
      <c r="AC272">
        <v>4</v>
      </c>
      <c r="AD272">
        <v>4</v>
      </c>
      <c r="AE272">
        <v>1032.3599999999999</v>
      </c>
      <c r="AF272" s="48">
        <v>41.73</v>
      </c>
      <c r="AG272" s="27">
        <v>45502</v>
      </c>
      <c r="AH272" s="53">
        <v>0.93846064814814811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 s="66">
        <f t="shared" si="408"/>
        <v>42.292400000000001</v>
      </c>
      <c r="AW272">
        <v>3</v>
      </c>
      <c r="AX272" t="s">
        <v>7</v>
      </c>
      <c r="AY272">
        <v>40128</v>
      </c>
      <c r="AZ272">
        <v>192</v>
      </c>
      <c r="BA272">
        <v>4</v>
      </c>
      <c r="BB272">
        <v>4</v>
      </c>
      <c r="BC272">
        <v>1420.04</v>
      </c>
      <c r="BD272" s="61">
        <v>30.337</v>
      </c>
      <c r="BE272" s="27">
        <v>45493</v>
      </c>
      <c r="BF272" s="53">
        <v>7.2013888888888891E-2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 s="8">
        <f t="shared" si="409"/>
        <v>30.426800000000004</v>
      </c>
      <c r="BU272">
        <v>276</v>
      </c>
      <c r="BV272" t="s">
        <v>70</v>
      </c>
      <c r="BW272">
        <v>40320</v>
      </c>
      <c r="BX272">
        <v>160</v>
      </c>
      <c r="BY272">
        <v>4</v>
      </c>
      <c r="BZ272">
        <v>4</v>
      </c>
      <c r="CA272">
        <v>1113.1199999999999</v>
      </c>
      <c r="CB272">
        <v>39.26</v>
      </c>
      <c r="CQ272" s="54">
        <f t="shared" si="318"/>
        <v>39.125499999999995</v>
      </c>
    </row>
    <row r="273" spans="1:95">
      <c r="A273">
        <v>4</v>
      </c>
      <c r="B273" t="s">
        <v>7</v>
      </c>
      <c r="C273">
        <v>40128</v>
      </c>
      <c r="D273">
        <v>192</v>
      </c>
      <c r="E273">
        <v>4</v>
      </c>
      <c r="F273">
        <v>4</v>
      </c>
      <c r="G273">
        <v>1095.01</v>
      </c>
      <c r="H273" s="59">
        <v>39.341999999999999</v>
      </c>
      <c r="I273" s="27">
        <v>45486</v>
      </c>
      <c r="J273" s="53">
        <v>0.62741898148148145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s="66">
        <f t="shared" si="315"/>
        <v>39.980800000000002</v>
      </c>
      <c r="Y273">
        <v>4</v>
      </c>
      <c r="Z273" t="s">
        <v>7</v>
      </c>
      <c r="AA273">
        <v>40128</v>
      </c>
      <c r="AB273">
        <v>192</v>
      </c>
      <c r="AC273">
        <v>4</v>
      </c>
      <c r="AD273">
        <v>4</v>
      </c>
      <c r="AE273">
        <v>1027.83</v>
      </c>
      <c r="AF273" s="48">
        <v>41.914000000000001</v>
      </c>
      <c r="AG273" s="27">
        <v>45503</v>
      </c>
      <c r="AH273" s="53">
        <v>0.73326388888888894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 s="66">
        <f t="shared" si="408"/>
        <v>42.292400000000001</v>
      </c>
      <c r="AW273">
        <v>4</v>
      </c>
      <c r="AX273" t="s">
        <v>7</v>
      </c>
      <c r="AY273">
        <v>40128</v>
      </c>
      <c r="AZ273">
        <v>192</v>
      </c>
      <c r="BA273">
        <v>4</v>
      </c>
      <c r="BB273">
        <v>4</v>
      </c>
      <c r="BC273">
        <v>1414.96</v>
      </c>
      <c r="BD273" s="61">
        <v>30.446000000000002</v>
      </c>
      <c r="BE273" s="27">
        <v>45494</v>
      </c>
      <c r="BF273" s="53">
        <v>0.15791666666666668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 s="8">
        <f t="shared" si="409"/>
        <v>30.426800000000004</v>
      </c>
      <c r="BU273">
        <v>347</v>
      </c>
      <c r="BV273" t="s">
        <v>70</v>
      </c>
      <c r="BW273">
        <v>40320</v>
      </c>
      <c r="BX273">
        <v>160</v>
      </c>
      <c r="BY273">
        <v>4</v>
      </c>
      <c r="BZ273">
        <v>4</v>
      </c>
      <c r="CA273">
        <v>1114.79</v>
      </c>
      <c r="CB273">
        <v>39.201000000000001</v>
      </c>
      <c r="CQ273" s="54">
        <f t="shared" si="318"/>
        <v>39.125499999999995</v>
      </c>
    </row>
    <row r="274" spans="1:95">
      <c r="A274">
        <v>0</v>
      </c>
      <c r="B274" t="s">
        <v>7</v>
      </c>
      <c r="C274">
        <v>35840</v>
      </c>
      <c r="D274">
        <v>224</v>
      </c>
      <c r="E274">
        <v>1</v>
      </c>
      <c r="F274">
        <v>16</v>
      </c>
      <c r="G274" s="1">
        <v>790.34</v>
      </c>
      <c r="H274" s="59">
        <v>38.835000000000001</v>
      </c>
      <c r="I274" s="27">
        <v>45482</v>
      </c>
      <c r="J274" s="53">
        <v>0.55349537037037033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 s="66">
        <f t="shared" ref="W274" si="411">AVERAGE(H274:H278)</f>
        <v>38.426400000000001</v>
      </c>
      <c r="Y274">
        <v>0</v>
      </c>
      <c r="Z274" t="s">
        <v>7</v>
      </c>
      <c r="AA274">
        <v>35840</v>
      </c>
      <c r="AB274">
        <v>224</v>
      </c>
      <c r="AC274">
        <v>1</v>
      </c>
      <c r="AD274">
        <v>16</v>
      </c>
      <c r="AE274">
        <v>741.91</v>
      </c>
      <c r="AF274" s="48">
        <v>41.37</v>
      </c>
      <c r="AG274" s="27">
        <v>45499</v>
      </c>
      <c r="AH274" s="53">
        <v>0.687037037037037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 s="66">
        <f t="shared" ref="AU274" si="412">AVERAGE(AF274:AF278)</f>
        <v>41.298199999999994</v>
      </c>
      <c r="AW274">
        <v>0</v>
      </c>
      <c r="AX274" t="s">
        <v>7</v>
      </c>
      <c r="AY274">
        <v>35840</v>
      </c>
      <c r="AZ274">
        <v>224</v>
      </c>
      <c r="BA274">
        <v>1</v>
      </c>
      <c r="BB274">
        <v>16</v>
      </c>
      <c r="BC274">
        <v>967.74</v>
      </c>
      <c r="BD274" s="61">
        <v>31.716000000000001</v>
      </c>
      <c r="BE274" s="27">
        <v>45488</v>
      </c>
      <c r="BF274" s="53">
        <v>0.77124999999999999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 s="8">
        <f t="shared" ref="BS274" si="413">AVERAGE(BD274:BD278)</f>
        <v>31.706</v>
      </c>
      <c r="BU274">
        <v>418</v>
      </c>
      <c r="BV274" t="s">
        <v>70</v>
      </c>
      <c r="BW274">
        <v>40320</v>
      </c>
      <c r="BX274">
        <v>160</v>
      </c>
      <c r="BY274">
        <v>4</v>
      </c>
      <c r="BZ274">
        <v>4</v>
      </c>
      <c r="CA274">
        <v>1118.68</v>
      </c>
      <c r="CB274">
        <v>39.064999999999998</v>
      </c>
      <c r="CQ274" s="54">
        <f t="shared" ref="CQ274:CQ337" si="414">CQ273</f>
        <v>39.125499999999995</v>
      </c>
    </row>
    <row r="275" spans="1:95">
      <c r="A275">
        <v>1</v>
      </c>
      <c r="B275" t="s">
        <v>7</v>
      </c>
      <c r="C275">
        <v>35840</v>
      </c>
      <c r="D275">
        <v>224</v>
      </c>
      <c r="E275">
        <v>1</v>
      </c>
      <c r="F275">
        <v>16</v>
      </c>
      <c r="G275">
        <v>793.88</v>
      </c>
      <c r="H275" s="59">
        <v>38.661999999999999</v>
      </c>
      <c r="I275" s="27">
        <v>45483</v>
      </c>
      <c r="J275" s="53">
        <v>0.41324074074074074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 s="66">
        <f t="shared" ref="W275:W338" si="415">W274</f>
        <v>38.426400000000001</v>
      </c>
      <c r="Y275">
        <v>1</v>
      </c>
      <c r="Z275" t="s">
        <v>7</v>
      </c>
      <c r="AA275">
        <v>35840</v>
      </c>
      <c r="AB275">
        <v>224</v>
      </c>
      <c r="AC275">
        <v>1</v>
      </c>
      <c r="AD275">
        <v>16</v>
      </c>
      <c r="AE275" s="1">
        <v>741.52</v>
      </c>
      <c r="AF275" s="48">
        <v>41.392000000000003</v>
      </c>
      <c r="AG275" s="27">
        <v>45500</v>
      </c>
      <c r="AH275" s="53">
        <v>0.8080208333333333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 s="66">
        <f t="shared" ref="AU275" si="416">AU274</f>
        <v>41.298199999999994</v>
      </c>
      <c r="AW275">
        <v>1</v>
      </c>
      <c r="AX275" t="s">
        <v>7</v>
      </c>
      <c r="AY275">
        <v>35840</v>
      </c>
      <c r="AZ275">
        <v>224</v>
      </c>
      <c r="BA275">
        <v>1</v>
      </c>
      <c r="BB275">
        <v>16</v>
      </c>
      <c r="BC275">
        <v>961.13</v>
      </c>
      <c r="BD275" s="61">
        <v>31.934000000000001</v>
      </c>
      <c r="BE275" s="27">
        <v>45490</v>
      </c>
      <c r="BF275" s="53">
        <v>0.16472222222222221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 s="8">
        <f t="shared" ref="BS275" si="417">BS274</f>
        <v>31.706</v>
      </c>
      <c r="BU275">
        <v>16</v>
      </c>
      <c r="BV275" t="s">
        <v>70</v>
      </c>
      <c r="BW275">
        <v>35968</v>
      </c>
      <c r="BX275">
        <v>192</v>
      </c>
      <c r="BY275">
        <v>1</v>
      </c>
      <c r="BZ275">
        <v>16</v>
      </c>
      <c r="CA275">
        <v>775.6</v>
      </c>
      <c r="CB275">
        <v>39.786000000000001</v>
      </c>
      <c r="CQ275" s="54">
        <f t="shared" ref="CQ275" si="418">AVERAGE(CB275:CB280)</f>
        <v>39.388333333333335</v>
      </c>
    </row>
    <row r="276" spans="1:95">
      <c r="A276">
        <v>2</v>
      </c>
      <c r="B276" t="s">
        <v>7</v>
      </c>
      <c r="C276">
        <v>35840</v>
      </c>
      <c r="D276">
        <v>224</v>
      </c>
      <c r="E276">
        <v>1</v>
      </c>
      <c r="F276">
        <v>16</v>
      </c>
      <c r="G276">
        <v>793.44</v>
      </c>
      <c r="H276" s="59">
        <v>38.683</v>
      </c>
      <c r="I276" s="27">
        <v>45484</v>
      </c>
      <c r="J276" s="53">
        <v>0.27848379629629627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s="66">
        <f t="shared" si="415"/>
        <v>38.426400000000001</v>
      </c>
      <c r="Y276">
        <v>2</v>
      </c>
      <c r="Z276" t="s">
        <v>7</v>
      </c>
      <c r="AA276">
        <v>35840</v>
      </c>
      <c r="AB276">
        <v>224</v>
      </c>
      <c r="AC276">
        <v>1</v>
      </c>
      <c r="AD276">
        <v>16</v>
      </c>
      <c r="AE276">
        <v>748.98</v>
      </c>
      <c r="AF276" s="48">
        <v>40.98</v>
      </c>
      <c r="AG276" s="27">
        <v>45501</v>
      </c>
      <c r="AH276" s="53">
        <v>0.60206018518518523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 s="66">
        <f t="shared" si="408"/>
        <v>41.298199999999994</v>
      </c>
      <c r="AW276">
        <v>2</v>
      </c>
      <c r="AX276" t="s">
        <v>7</v>
      </c>
      <c r="AY276">
        <v>35840</v>
      </c>
      <c r="AZ276">
        <v>224</v>
      </c>
      <c r="BA276">
        <v>1</v>
      </c>
      <c r="BB276">
        <v>16</v>
      </c>
      <c r="BC276">
        <v>974.34</v>
      </c>
      <c r="BD276" s="61">
        <v>31.501000000000001</v>
      </c>
      <c r="BE276" s="27">
        <v>45491</v>
      </c>
      <c r="BF276" s="53">
        <v>0.25086805555555558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 s="8">
        <f t="shared" si="409"/>
        <v>31.706</v>
      </c>
      <c r="BU276">
        <v>87</v>
      </c>
      <c r="BV276" t="s">
        <v>70</v>
      </c>
      <c r="BW276">
        <v>35968</v>
      </c>
      <c r="BX276">
        <v>192</v>
      </c>
      <c r="BY276">
        <v>1</v>
      </c>
      <c r="BZ276">
        <v>16</v>
      </c>
      <c r="CA276">
        <v>779.41</v>
      </c>
      <c r="CB276">
        <v>39.591000000000001</v>
      </c>
      <c r="CQ276" s="54">
        <f t="shared" ref="CQ276" si="419">CQ275</f>
        <v>39.388333333333335</v>
      </c>
    </row>
    <row r="277" spans="1:95">
      <c r="A277">
        <v>3</v>
      </c>
      <c r="B277" t="s">
        <v>7</v>
      </c>
      <c r="C277">
        <v>35840</v>
      </c>
      <c r="D277">
        <v>224</v>
      </c>
      <c r="E277">
        <v>1</v>
      </c>
      <c r="F277">
        <v>16</v>
      </c>
      <c r="G277">
        <v>793.33</v>
      </c>
      <c r="H277" s="59">
        <v>38.689</v>
      </c>
      <c r="I277" s="27">
        <v>45485</v>
      </c>
      <c r="J277" s="53">
        <v>0.14155092592592591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 s="66">
        <f t="shared" si="415"/>
        <v>38.426400000000001</v>
      </c>
      <c r="Y277">
        <v>3</v>
      </c>
      <c r="Z277" t="s">
        <v>7</v>
      </c>
      <c r="AA277">
        <v>35840</v>
      </c>
      <c r="AB277">
        <v>224</v>
      </c>
      <c r="AC277">
        <v>1</v>
      </c>
      <c r="AD277">
        <v>16</v>
      </c>
      <c r="AE277">
        <v>741.9</v>
      </c>
      <c r="AF277" s="48">
        <v>41.371000000000002</v>
      </c>
      <c r="AG277" s="27">
        <v>45502</v>
      </c>
      <c r="AH277" s="53">
        <v>0.39666666666666667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 s="66">
        <f t="shared" si="408"/>
        <v>41.298199999999994</v>
      </c>
      <c r="AW277">
        <v>3</v>
      </c>
      <c r="AX277" t="s">
        <v>7</v>
      </c>
      <c r="AY277">
        <v>35840</v>
      </c>
      <c r="AZ277">
        <v>224</v>
      </c>
      <c r="BA277">
        <v>1</v>
      </c>
      <c r="BB277">
        <v>16</v>
      </c>
      <c r="BC277">
        <v>969.15</v>
      </c>
      <c r="BD277" s="61">
        <v>31.67</v>
      </c>
      <c r="BE277" s="27">
        <v>45492</v>
      </c>
      <c r="BF277" s="53">
        <v>0.33550925925925928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 s="8">
        <f t="shared" si="409"/>
        <v>31.706</v>
      </c>
      <c r="BU277">
        <v>158</v>
      </c>
      <c r="BV277" t="s">
        <v>70</v>
      </c>
      <c r="BW277">
        <v>35968</v>
      </c>
      <c r="BX277">
        <v>192</v>
      </c>
      <c r="BY277">
        <v>1</v>
      </c>
      <c r="BZ277">
        <v>16</v>
      </c>
      <c r="CA277">
        <v>788.68</v>
      </c>
      <c r="CB277">
        <v>39.125999999999998</v>
      </c>
      <c r="CQ277" s="54">
        <f t="shared" si="414"/>
        <v>39.388333333333335</v>
      </c>
    </row>
    <row r="278" spans="1:95">
      <c r="A278">
        <v>4</v>
      </c>
      <c r="B278" t="s">
        <v>7</v>
      </c>
      <c r="C278">
        <v>35840</v>
      </c>
      <c r="D278">
        <v>224</v>
      </c>
      <c r="E278">
        <v>1</v>
      </c>
      <c r="F278">
        <v>16</v>
      </c>
      <c r="G278">
        <v>823.68</v>
      </c>
      <c r="H278" s="59">
        <v>37.262999999999998</v>
      </c>
      <c r="I278" s="27">
        <v>45486</v>
      </c>
      <c r="J278" s="53">
        <v>2.207175925925926E-2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s="66">
        <f t="shared" si="415"/>
        <v>38.426400000000001</v>
      </c>
      <c r="Y278">
        <v>4</v>
      </c>
      <c r="Z278" t="s">
        <v>7</v>
      </c>
      <c r="AA278">
        <v>35840</v>
      </c>
      <c r="AB278">
        <v>224</v>
      </c>
      <c r="AC278">
        <v>1</v>
      </c>
      <c r="AD278">
        <v>16</v>
      </c>
      <c r="AE278">
        <v>741.78</v>
      </c>
      <c r="AF278" s="48">
        <v>41.378</v>
      </c>
      <c r="AG278" s="27">
        <v>45503</v>
      </c>
      <c r="AH278" s="53">
        <v>0.19136574074074075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 s="66">
        <f t="shared" si="408"/>
        <v>41.298199999999994</v>
      </c>
      <c r="AW278">
        <v>4</v>
      </c>
      <c r="AX278" t="s">
        <v>7</v>
      </c>
      <c r="AY278">
        <v>35840</v>
      </c>
      <c r="AZ278">
        <v>224</v>
      </c>
      <c r="BA278">
        <v>1</v>
      </c>
      <c r="BB278">
        <v>16</v>
      </c>
      <c r="BC278">
        <v>967.95</v>
      </c>
      <c r="BD278" s="61">
        <v>31.709</v>
      </c>
      <c r="BE278" s="27">
        <v>45493</v>
      </c>
      <c r="BF278" s="53">
        <v>0.42094907407407406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 s="8">
        <f t="shared" si="409"/>
        <v>31.706</v>
      </c>
      <c r="BU278">
        <v>229</v>
      </c>
      <c r="BV278" t="s">
        <v>70</v>
      </c>
      <c r="BW278">
        <v>35968</v>
      </c>
      <c r="BX278">
        <v>192</v>
      </c>
      <c r="BY278">
        <v>1</v>
      </c>
      <c r="BZ278">
        <v>16</v>
      </c>
      <c r="CA278">
        <v>777.94</v>
      </c>
      <c r="CB278">
        <v>39.665999999999997</v>
      </c>
      <c r="CQ278" s="54">
        <f t="shared" si="414"/>
        <v>39.388333333333335</v>
      </c>
    </row>
    <row r="279" spans="1:95">
      <c r="A279">
        <v>0</v>
      </c>
      <c r="B279" t="s">
        <v>7</v>
      </c>
      <c r="C279">
        <v>38080</v>
      </c>
      <c r="D279">
        <v>224</v>
      </c>
      <c r="E279">
        <v>1</v>
      </c>
      <c r="F279">
        <v>16</v>
      </c>
      <c r="G279" s="1">
        <v>914.01</v>
      </c>
      <c r="H279" s="59">
        <v>40.277999999999999</v>
      </c>
      <c r="I279" s="27">
        <v>45482</v>
      </c>
      <c r="J279" s="53">
        <v>0.83020833333333333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 s="66">
        <f t="shared" ref="W279" si="420">AVERAGE(H279:H283)</f>
        <v>39.754800000000003</v>
      </c>
      <c r="Y279">
        <v>0</v>
      </c>
      <c r="Z279" t="s">
        <v>7</v>
      </c>
      <c r="AA279">
        <v>38080</v>
      </c>
      <c r="AB279">
        <v>224</v>
      </c>
      <c r="AC279">
        <v>1</v>
      </c>
      <c r="AD279">
        <v>16</v>
      </c>
      <c r="AE279">
        <v>871.88</v>
      </c>
      <c r="AF279" s="48">
        <v>42.225000000000001</v>
      </c>
      <c r="AG279" s="27">
        <v>45499</v>
      </c>
      <c r="AH279" s="53">
        <v>0.94162037037037039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 s="66">
        <f t="shared" ref="AU279" si="421">AVERAGE(AF279:AF283)</f>
        <v>41.1494</v>
      </c>
      <c r="AW279">
        <v>0</v>
      </c>
      <c r="AX279" t="s">
        <v>7</v>
      </c>
      <c r="AY279">
        <v>38080</v>
      </c>
      <c r="AZ279">
        <v>224</v>
      </c>
      <c r="BA279">
        <v>1</v>
      </c>
      <c r="BB279">
        <v>16</v>
      </c>
      <c r="BC279">
        <v>1121.05</v>
      </c>
      <c r="BD279" s="61">
        <v>32.840000000000003</v>
      </c>
      <c r="BE279" s="27">
        <v>45489</v>
      </c>
      <c r="BF279" s="53">
        <v>0.12179398148148148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 s="8">
        <f t="shared" ref="BS279" si="422">AVERAGE(BD279:BD283)</f>
        <v>32.611000000000004</v>
      </c>
      <c r="BU279">
        <v>300</v>
      </c>
      <c r="BV279" t="s">
        <v>70</v>
      </c>
      <c r="BW279">
        <v>35968</v>
      </c>
      <c r="BX279">
        <v>192</v>
      </c>
      <c r="BY279">
        <v>1</v>
      </c>
      <c r="BZ279">
        <v>16</v>
      </c>
      <c r="CA279">
        <v>785.34</v>
      </c>
      <c r="CB279">
        <v>39.292000000000002</v>
      </c>
      <c r="CQ279" s="54">
        <f t="shared" si="414"/>
        <v>39.388333333333335</v>
      </c>
    </row>
    <row r="280" spans="1:95">
      <c r="A280">
        <v>1</v>
      </c>
      <c r="B280" t="s">
        <v>7</v>
      </c>
      <c r="C280">
        <v>38080</v>
      </c>
      <c r="D280">
        <v>224</v>
      </c>
      <c r="E280">
        <v>1</v>
      </c>
      <c r="F280">
        <v>16</v>
      </c>
      <c r="G280">
        <v>912.67</v>
      </c>
      <c r="H280" s="59">
        <v>40.338000000000001</v>
      </c>
      <c r="I280" s="27">
        <v>45483</v>
      </c>
      <c r="J280" s="53">
        <v>0.69528935185185181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s="66">
        <f t="shared" ref="W280" si="423">W279</f>
        <v>39.754800000000003</v>
      </c>
      <c r="Y280">
        <v>1</v>
      </c>
      <c r="Z280" t="s">
        <v>7</v>
      </c>
      <c r="AA280">
        <v>38080</v>
      </c>
      <c r="AB280">
        <v>224</v>
      </c>
      <c r="AC280">
        <v>1</v>
      </c>
      <c r="AD280">
        <v>16</v>
      </c>
      <c r="AE280">
        <v>880.21</v>
      </c>
      <c r="AF280" s="48">
        <v>41.825000000000003</v>
      </c>
      <c r="AG280" s="27">
        <v>45501</v>
      </c>
      <c r="AH280" s="53">
        <v>6.340277777777778E-2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 s="66">
        <f t="shared" ref="AU280" si="424">AU279</f>
        <v>41.1494</v>
      </c>
      <c r="AW280">
        <v>1</v>
      </c>
      <c r="AX280" t="s">
        <v>7</v>
      </c>
      <c r="AY280">
        <v>38080</v>
      </c>
      <c r="AZ280">
        <v>224</v>
      </c>
      <c r="BA280">
        <v>1</v>
      </c>
      <c r="BB280">
        <v>16</v>
      </c>
      <c r="BC280">
        <v>1140.58</v>
      </c>
      <c r="BD280" s="61">
        <v>32.277999999999999</v>
      </c>
      <c r="BE280" s="27">
        <v>45490</v>
      </c>
      <c r="BF280" s="53">
        <v>0.51542824074074078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 s="8">
        <f t="shared" ref="BS280" si="425">BS279</f>
        <v>32.611000000000004</v>
      </c>
      <c r="BU280">
        <v>371</v>
      </c>
      <c r="BV280" t="s">
        <v>70</v>
      </c>
      <c r="BW280">
        <v>35968</v>
      </c>
      <c r="BX280">
        <v>192</v>
      </c>
      <c r="BY280">
        <v>1</v>
      </c>
      <c r="BZ280">
        <v>16</v>
      </c>
      <c r="CA280">
        <v>793.89</v>
      </c>
      <c r="CB280">
        <v>38.869</v>
      </c>
      <c r="CQ280" s="54">
        <f t="shared" si="414"/>
        <v>39.388333333333335</v>
      </c>
    </row>
    <row r="281" spans="1:95">
      <c r="A281">
        <v>2</v>
      </c>
      <c r="B281" t="s">
        <v>7</v>
      </c>
      <c r="C281">
        <v>38080</v>
      </c>
      <c r="D281">
        <v>224</v>
      </c>
      <c r="E281">
        <v>1</v>
      </c>
      <c r="F281">
        <v>16</v>
      </c>
      <c r="G281">
        <v>915.54</v>
      </c>
      <c r="H281" s="59">
        <v>40.210999999999999</v>
      </c>
      <c r="I281" s="27">
        <v>45484</v>
      </c>
      <c r="J281" s="53">
        <v>0.5577199074074074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s="66">
        <f t="shared" si="415"/>
        <v>39.754800000000003</v>
      </c>
      <c r="Y281">
        <v>2</v>
      </c>
      <c r="Z281" t="s">
        <v>7</v>
      </c>
      <c r="AA281">
        <v>38080</v>
      </c>
      <c r="AB281">
        <v>224</v>
      </c>
      <c r="AC281">
        <v>1</v>
      </c>
      <c r="AD281">
        <v>16</v>
      </c>
      <c r="AE281">
        <v>963.08</v>
      </c>
      <c r="AF281" s="48">
        <v>38.225999999999999</v>
      </c>
      <c r="AG281" s="27">
        <v>45501</v>
      </c>
      <c r="AH281" s="53">
        <v>0.85844907407407411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 s="66">
        <f t="shared" si="408"/>
        <v>41.1494</v>
      </c>
      <c r="AW281">
        <v>2</v>
      </c>
      <c r="AX281" t="s">
        <v>7</v>
      </c>
      <c r="AY281">
        <v>38080</v>
      </c>
      <c r="AZ281">
        <v>224</v>
      </c>
      <c r="BA281">
        <v>1</v>
      </c>
      <c r="BB281">
        <v>16</v>
      </c>
      <c r="BC281">
        <v>1131.1099999999999</v>
      </c>
      <c r="BD281" s="61">
        <v>32.548000000000002</v>
      </c>
      <c r="BE281" s="27">
        <v>45491</v>
      </c>
      <c r="BF281" s="53">
        <v>0.60122685185185187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 s="8">
        <f t="shared" si="409"/>
        <v>32.611000000000004</v>
      </c>
      <c r="BU281">
        <v>40</v>
      </c>
      <c r="BV281" t="s">
        <v>70</v>
      </c>
      <c r="BW281">
        <v>38144</v>
      </c>
      <c r="BX281">
        <v>192</v>
      </c>
      <c r="BY281">
        <v>1</v>
      </c>
      <c r="BZ281">
        <v>16</v>
      </c>
      <c r="CA281">
        <v>940.37</v>
      </c>
      <c r="CB281">
        <v>39.545999999999999</v>
      </c>
      <c r="CQ281" s="54">
        <f t="shared" ref="CQ281" si="426">AVERAGE(CB281:CB286)</f>
        <v>39.728000000000009</v>
      </c>
    </row>
    <row r="282" spans="1:95">
      <c r="A282">
        <v>3</v>
      </c>
      <c r="B282" t="s">
        <v>7</v>
      </c>
      <c r="C282">
        <v>38080</v>
      </c>
      <c r="D282">
        <v>224</v>
      </c>
      <c r="E282">
        <v>1</v>
      </c>
      <c r="F282">
        <v>16</v>
      </c>
      <c r="G282">
        <v>946.33</v>
      </c>
      <c r="H282" s="59">
        <v>38.902999999999999</v>
      </c>
      <c r="I282" s="27">
        <v>45485</v>
      </c>
      <c r="J282" s="53">
        <v>0.42133101851851851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s="66">
        <f t="shared" si="415"/>
        <v>39.754800000000003</v>
      </c>
      <c r="Y282">
        <v>3</v>
      </c>
      <c r="Z282" t="s">
        <v>7</v>
      </c>
      <c r="AA282">
        <v>38080</v>
      </c>
      <c r="AB282">
        <v>224</v>
      </c>
      <c r="AC282">
        <v>1</v>
      </c>
      <c r="AD282">
        <v>16</v>
      </c>
      <c r="AE282">
        <v>886.73</v>
      </c>
      <c r="AF282" s="48">
        <v>41.518000000000001</v>
      </c>
      <c r="AG282" s="27">
        <v>45502</v>
      </c>
      <c r="AH282" s="53">
        <v>0.65226851851851853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 s="66">
        <f t="shared" si="408"/>
        <v>41.1494</v>
      </c>
      <c r="AW282">
        <v>3</v>
      </c>
      <c r="AX282" t="s">
        <v>7</v>
      </c>
      <c r="AY282">
        <v>38080</v>
      </c>
      <c r="AZ282">
        <v>224</v>
      </c>
      <c r="BA282">
        <v>1</v>
      </c>
      <c r="BB282">
        <v>16</v>
      </c>
      <c r="BC282">
        <v>1118.81</v>
      </c>
      <c r="BD282" s="61">
        <v>32.905000000000001</v>
      </c>
      <c r="BE282" s="27">
        <v>45492</v>
      </c>
      <c r="BF282" s="53">
        <v>0.68633101851851852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 s="8">
        <f t="shared" si="409"/>
        <v>32.611000000000004</v>
      </c>
      <c r="BU282">
        <v>111</v>
      </c>
      <c r="BV282" t="s">
        <v>70</v>
      </c>
      <c r="BW282">
        <v>38144</v>
      </c>
      <c r="BX282">
        <v>192</v>
      </c>
      <c r="BY282">
        <v>1</v>
      </c>
      <c r="BZ282">
        <v>16</v>
      </c>
      <c r="CA282">
        <v>940.58</v>
      </c>
      <c r="CB282">
        <v>39.536999999999999</v>
      </c>
      <c r="CQ282" s="54">
        <f t="shared" ref="CQ282" si="427">CQ281</f>
        <v>39.728000000000009</v>
      </c>
    </row>
    <row r="283" spans="1:95">
      <c r="A283">
        <v>4</v>
      </c>
      <c r="B283" t="s">
        <v>7</v>
      </c>
      <c r="C283">
        <v>38080</v>
      </c>
      <c r="D283">
        <v>224</v>
      </c>
      <c r="E283">
        <v>1</v>
      </c>
      <c r="F283">
        <v>16</v>
      </c>
      <c r="G283">
        <v>942.91</v>
      </c>
      <c r="H283" s="59">
        <v>39.043999999999997</v>
      </c>
      <c r="I283" s="27">
        <v>45486</v>
      </c>
      <c r="J283" s="53">
        <v>0.30938657407407405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s="66">
        <f t="shared" si="415"/>
        <v>39.754800000000003</v>
      </c>
      <c r="Y283">
        <v>4</v>
      </c>
      <c r="Z283" t="s">
        <v>7</v>
      </c>
      <c r="AA283">
        <v>38080</v>
      </c>
      <c r="AB283">
        <v>224</v>
      </c>
      <c r="AC283">
        <v>1</v>
      </c>
      <c r="AD283">
        <v>16</v>
      </c>
      <c r="AE283" s="1">
        <v>877.53</v>
      </c>
      <c r="AF283" s="48">
        <v>41.953000000000003</v>
      </c>
      <c r="AG283" s="27">
        <v>45503</v>
      </c>
      <c r="AH283" s="53">
        <v>0.44775462962962964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 s="66">
        <f t="shared" si="408"/>
        <v>41.1494</v>
      </c>
      <c r="AW283">
        <v>4</v>
      </c>
      <c r="AX283" t="s">
        <v>7</v>
      </c>
      <c r="AY283">
        <v>38080</v>
      </c>
      <c r="AZ283">
        <v>224</v>
      </c>
      <c r="BA283">
        <v>1</v>
      </c>
      <c r="BB283">
        <v>16</v>
      </c>
      <c r="BC283">
        <v>1133.32</v>
      </c>
      <c r="BD283" s="61">
        <v>32.484000000000002</v>
      </c>
      <c r="BE283" s="27">
        <v>45493</v>
      </c>
      <c r="BF283" s="53">
        <v>0.77174768518518522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 s="8">
        <f t="shared" si="409"/>
        <v>32.611000000000004</v>
      </c>
      <c r="BU283">
        <v>182</v>
      </c>
      <c r="BV283" t="s">
        <v>70</v>
      </c>
      <c r="BW283">
        <v>38144</v>
      </c>
      <c r="BX283">
        <v>192</v>
      </c>
      <c r="BY283">
        <v>1</v>
      </c>
      <c r="BZ283">
        <v>16</v>
      </c>
      <c r="CA283">
        <v>928.4</v>
      </c>
      <c r="CB283">
        <v>40.055</v>
      </c>
      <c r="CQ283" s="54">
        <f t="shared" si="414"/>
        <v>39.728000000000009</v>
      </c>
    </row>
    <row r="284" spans="1:95">
      <c r="A284">
        <v>0</v>
      </c>
      <c r="B284" t="s">
        <v>7</v>
      </c>
      <c r="C284">
        <v>40096</v>
      </c>
      <c r="D284">
        <v>224</v>
      </c>
      <c r="E284">
        <v>1</v>
      </c>
      <c r="F284">
        <v>16</v>
      </c>
      <c r="G284" s="1">
        <v>1050.46</v>
      </c>
      <c r="H284" s="59">
        <v>40.912999999999997</v>
      </c>
      <c r="I284" s="27">
        <v>45483</v>
      </c>
      <c r="J284" s="53">
        <v>0.15165509259259261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 s="66">
        <f t="shared" ref="W284" si="428">AVERAGE(H284:H288)</f>
        <v>40.293199999999999</v>
      </c>
      <c r="Y284">
        <v>0</v>
      </c>
      <c r="Z284" t="s">
        <v>7</v>
      </c>
      <c r="AA284">
        <v>40096</v>
      </c>
      <c r="AB284">
        <v>224</v>
      </c>
      <c r="AC284">
        <v>1</v>
      </c>
      <c r="AD284">
        <v>16</v>
      </c>
      <c r="AE284">
        <v>1040.24</v>
      </c>
      <c r="AF284" s="48">
        <v>41.314</v>
      </c>
      <c r="AG284" s="27">
        <v>45500</v>
      </c>
      <c r="AH284" s="53">
        <v>0.23925925925925925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 s="66">
        <f t="shared" ref="AU284" si="429">AVERAGE(AF284:AF288)</f>
        <v>41.643000000000001</v>
      </c>
      <c r="AW284">
        <v>0</v>
      </c>
      <c r="AX284" t="s">
        <v>7</v>
      </c>
      <c r="AY284">
        <v>40096</v>
      </c>
      <c r="AZ284">
        <v>224</v>
      </c>
      <c r="BA284">
        <v>1</v>
      </c>
      <c r="BB284">
        <v>16</v>
      </c>
      <c r="BC284">
        <v>1300.97</v>
      </c>
      <c r="BD284" s="61">
        <v>33.034999999999997</v>
      </c>
      <c r="BE284" s="27">
        <v>45489</v>
      </c>
      <c r="BF284" s="53">
        <v>0.523900462962963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 s="8">
        <f t="shared" ref="BS284" si="430">AVERAGE(BD284:BD288)</f>
        <v>33.308199999999999</v>
      </c>
      <c r="BU284">
        <v>253</v>
      </c>
      <c r="BV284" t="s">
        <v>70</v>
      </c>
      <c r="BW284">
        <v>38144</v>
      </c>
      <c r="BX284">
        <v>192</v>
      </c>
      <c r="BY284">
        <v>1</v>
      </c>
      <c r="BZ284">
        <v>16</v>
      </c>
      <c r="CA284">
        <v>934.35</v>
      </c>
      <c r="CB284">
        <v>39.801000000000002</v>
      </c>
      <c r="CQ284" s="54">
        <f t="shared" si="414"/>
        <v>39.728000000000009</v>
      </c>
    </row>
    <row r="285" spans="1:95">
      <c r="A285">
        <v>1</v>
      </c>
      <c r="B285" t="s">
        <v>7</v>
      </c>
      <c r="C285">
        <v>40096</v>
      </c>
      <c r="D285">
        <v>224</v>
      </c>
      <c r="E285">
        <v>1</v>
      </c>
      <c r="F285">
        <v>16</v>
      </c>
      <c r="G285">
        <v>1048</v>
      </c>
      <c r="H285" s="59">
        <v>41.009</v>
      </c>
      <c r="I285" s="27">
        <v>45484</v>
      </c>
      <c r="J285" s="53">
        <v>1.681712962962963E-2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s="66">
        <f t="shared" ref="W285" si="431">W284</f>
        <v>40.293199999999999</v>
      </c>
      <c r="Y285">
        <v>1</v>
      </c>
      <c r="Z285" t="s">
        <v>7</v>
      </c>
      <c r="AA285">
        <v>40096</v>
      </c>
      <c r="AB285">
        <v>224</v>
      </c>
      <c r="AC285">
        <v>1</v>
      </c>
      <c r="AD285">
        <v>16</v>
      </c>
      <c r="AE285">
        <v>1036.72</v>
      </c>
      <c r="AF285" s="48">
        <v>41.454999999999998</v>
      </c>
      <c r="AG285" s="27">
        <v>45501</v>
      </c>
      <c r="AH285" s="53">
        <v>0.36096064814814816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 s="66">
        <f t="shared" ref="AU285" si="432">AU284</f>
        <v>41.643000000000001</v>
      </c>
      <c r="AW285">
        <v>1</v>
      </c>
      <c r="AX285" t="s">
        <v>7</v>
      </c>
      <c r="AY285">
        <v>40096</v>
      </c>
      <c r="AZ285">
        <v>224</v>
      </c>
      <c r="BA285">
        <v>1</v>
      </c>
      <c r="BB285">
        <v>16</v>
      </c>
      <c r="BC285">
        <v>1293.48</v>
      </c>
      <c r="BD285" s="61">
        <v>33.225999999999999</v>
      </c>
      <c r="BE285" s="27">
        <v>45490</v>
      </c>
      <c r="BF285" s="53">
        <v>0.91716435185185186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 s="8">
        <f t="shared" ref="BS285" si="433">BS284</f>
        <v>33.308199999999999</v>
      </c>
      <c r="BU285">
        <v>324</v>
      </c>
      <c r="BV285" t="s">
        <v>70</v>
      </c>
      <c r="BW285">
        <v>38144</v>
      </c>
      <c r="BX285">
        <v>192</v>
      </c>
      <c r="BY285">
        <v>1</v>
      </c>
      <c r="BZ285">
        <v>16</v>
      </c>
      <c r="CA285">
        <v>939.82</v>
      </c>
      <c r="CB285">
        <v>39.569000000000003</v>
      </c>
      <c r="CQ285" s="54">
        <f t="shared" si="414"/>
        <v>39.728000000000009</v>
      </c>
    </row>
    <row r="286" spans="1:95">
      <c r="A286">
        <v>2</v>
      </c>
      <c r="B286" t="s">
        <v>7</v>
      </c>
      <c r="C286">
        <v>40096</v>
      </c>
      <c r="D286">
        <v>224</v>
      </c>
      <c r="E286">
        <v>1</v>
      </c>
      <c r="F286">
        <v>16</v>
      </c>
      <c r="G286">
        <v>1049.93</v>
      </c>
      <c r="H286" s="59">
        <v>40.933</v>
      </c>
      <c r="I286" s="27">
        <v>45484</v>
      </c>
      <c r="J286" s="53">
        <v>0.87945601851851851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 s="66">
        <f t="shared" si="415"/>
        <v>40.293199999999999</v>
      </c>
      <c r="Y286">
        <v>2</v>
      </c>
      <c r="Z286" t="s">
        <v>7</v>
      </c>
      <c r="AA286">
        <v>40096</v>
      </c>
      <c r="AB286">
        <v>224</v>
      </c>
      <c r="AC286">
        <v>1</v>
      </c>
      <c r="AD286">
        <v>16</v>
      </c>
      <c r="AE286" s="1">
        <v>1024.43</v>
      </c>
      <c r="AF286" s="48">
        <v>41.951999999999998</v>
      </c>
      <c r="AG286" s="27">
        <v>45502</v>
      </c>
      <c r="AH286" s="53">
        <v>0.15578703703703703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 s="66">
        <f t="shared" si="408"/>
        <v>41.643000000000001</v>
      </c>
      <c r="AW286">
        <v>2</v>
      </c>
      <c r="AX286" t="s">
        <v>7</v>
      </c>
      <c r="AY286">
        <v>40096</v>
      </c>
      <c r="AZ286">
        <v>224</v>
      </c>
      <c r="BA286">
        <v>1</v>
      </c>
      <c r="BB286">
        <v>16</v>
      </c>
      <c r="BC286">
        <v>1294.1199999999999</v>
      </c>
      <c r="BD286" s="61">
        <v>33.209000000000003</v>
      </c>
      <c r="BE286" s="27">
        <v>45492</v>
      </c>
      <c r="BF286" s="53">
        <v>2.3842592592592591E-3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 s="8">
        <f t="shared" si="409"/>
        <v>33.308199999999999</v>
      </c>
      <c r="BU286">
        <v>395</v>
      </c>
      <c r="BV286" t="s">
        <v>70</v>
      </c>
      <c r="BW286">
        <v>38144</v>
      </c>
      <c r="BX286">
        <v>192</v>
      </c>
      <c r="BY286">
        <v>1</v>
      </c>
      <c r="BZ286">
        <v>16</v>
      </c>
      <c r="CA286">
        <v>932.96</v>
      </c>
      <c r="CB286">
        <v>39.86</v>
      </c>
      <c r="CQ286" s="54">
        <f t="shared" si="414"/>
        <v>39.728000000000009</v>
      </c>
    </row>
    <row r="287" spans="1:95">
      <c r="A287">
        <v>3</v>
      </c>
      <c r="B287" t="s">
        <v>7</v>
      </c>
      <c r="C287">
        <v>40096</v>
      </c>
      <c r="D287">
        <v>224</v>
      </c>
      <c r="E287">
        <v>1</v>
      </c>
      <c r="F287">
        <v>16</v>
      </c>
      <c r="G287">
        <v>1096.55</v>
      </c>
      <c r="H287" s="59">
        <v>39.192999999999998</v>
      </c>
      <c r="I287" s="27">
        <v>45485</v>
      </c>
      <c r="J287" s="53">
        <v>0.75211805555555555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s="66">
        <f t="shared" si="415"/>
        <v>40.293199999999999</v>
      </c>
      <c r="Y287">
        <v>3</v>
      </c>
      <c r="Z287" t="s">
        <v>7</v>
      </c>
      <c r="AA287">
        <v>40096</v>
      </c>
      <c r="AB287">
        <v>224</v>
      </c>
      <c r="AC287">
        <v>1</v>
      </c>
      <c r="AD287">
        <v>16</v>
      </c>
      <c r="AE287">
        <v>1021.27</v>
      </c>
      <c r="AF287" s="48">
        <v>42.082000000000001</v>
      </c>
      <c r="AG287" s="27">
        <v>45502</v>
      </c>
      <c r="AH287" s="53">
        <v>0.95067129629629632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 s="66">
        <f t="shared" si="408"/>
        <v>41.643000000000001</v>
      </c>
      <c r="AW287">
        <v>3</v>
      </c>
      <c r="AX287" t="s">
        <v>7</v>
      </c>
      <c r="AY287">
        <v>40096</v>
      </c>
      <c r="AZ287">
        <v>224</v>
      </c>
      <c r="BA287">
        <v>1</v>
      </c>
      <c r="BB287">
        <v>16</v>
      </c>
      <c r="BC287">
        <v>1280.0899999999999</v>
      </c>
      <c r="BD287" s="61">
        <v>33.573</v>
      </c>
      <c r="BE287" s="27">
        <v>45493</v>
      </c>
      <c r="BF287" s="53">
        <v>8.7847222222222215E-2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 s="8">
        <f t="shared" si="409"/>
        <v>33.308199999999999</v>
      </c>
      <c r="BU287">
        <v>64</v>
      </c>
      <c r="BV287" t="s">
        <v>70</v>
      </c>
      <c r="BW287">
        <v>40320</v>
      </c>
      <c r="BX287">
        <v>192</v>
      </c>
      <c r="BY287">
        <v>1</v>
      </c>
      <c r="BZ287">
        <v>16</v>
      </c>
      <c r="CA287">
        <v>1076.1400000000001</v>
      </c>
      <c r="CB287">
        <v>40.609000000000002</v>
      </c>
      <c r="CQ287" s="54">
        <f t="shared" ref="CQ287" si="434">AVERAGE(CB287:CB292)</f>
        <v>40.405666666666662</v>
      </c>
    </row>
    <row r="288" spans="1:95">
      <c r="A288">
        <v>4</v>
      </c>
      <c r="B288" t="s">
        <v>7</v>
      </c>
      <c r="C288">
        <v>40096</v>
      </c>
      <c r="D288">
        <v>224</v>
      </c>
      <c r="E288">
        <v>1</v>
      </c>
      <c r="F288">
        <v>16</v>
      </c>
      <c r="G288">
        <v>1090.29</v>
      </c>
      <c r="H288" s="59">
        <v>39.417999999999999</v>
      </c>
      <c r="I288" s="27">
        <v>45486</v>
      </c>
      <c r="J288" s="53">
        <v>0.64039351851851856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 s="66">
        <f t="shared" si="415"/>
        <v>40.293199999999999</v>
      </c>
      <c r="Y288">
        <v>4</v>
      </c>
      <c r="Z288" t="s">
        <v>7</v>
      </c>
      <c r="AA288">
        <v>40096</v>
      </c>
      <c r="AB288">
        <v>224</v>
      </c>
      <c r="AC288">
        <v>1</v>
      </c>
      <c r="AD288">
        <v>16</v>
      </c>
      <c r="AE288">
        <v>1037.78</v>
      </c>
      <c r="AF288" s="48">
        <v>41.411999999999999</v>
      </c>
      <c r="AG288" s="27">
        <v>45503</v>
      </c>
      <c r="AH288" s="53">
        <v>0.74565972222222221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 s="66">
        <f t="shared" si="408"/>
        <v>41.643000000000001</v>
      </c>
      <c r="AW288">
        <v>4</v>
      </c>
      <c r="AX288" t="s">
        <v>7</v>
      </c>
      <c r="AY288">
        <v>40096</v>
      </c>
      <c r="AZ288">
        <v>224</v>
      </c>
      <c r="BA288">
        <v>1</v>
      </c>
      <c r="BB288">
        <v>16</v>
      </c>
      <c r="BC288">
        <v>1282.96</v>
      </c>
      <c r="BD288" s="61">
        <v>33.497999999999998</v>
      </c>
      <c r="BE288" s="27">
        <v>45494</v>
      </c>
      <c r="BF288" s="53">
        <v>0.17379629629629631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 s="8">
        <f t="shared" si="409"/>
        <v>33.308199999999999</v>
      </c>
      <c r="BU288">
        <v>135</v>
      </c>
      <c r="BV288" t="s">
        <v>70</v>
      </c>
      <c r="BW288">
        <v>40320</v>
      </c>
      <c r="BX288">
        <v>192</v>
      </c>
      <c r="BY288">
        <v>1</v>
      </c>
      <c r="BZ288">
        <v>16</v>
      </c>
      <c r="CA288">
        <v>1086.04</v>
      </c>
      <c r="CB288">
        <v>40.238999999999997</v>
      </c>
      <c r="CQ288" s="54">
        <f t="shared" ref="CQ288" si="435">CQ287</f>
        <v>40.405666666666662</v>
      </c>
    </row>
    <row r="289" spans="1:95">
      <c r="A289">
        <v>0</v>
      </c>
      <c r="B289" t="s">
        <v>7</v>
      </c>
      <c r="C289">
        <v>35840</v>
      </c>
      <c r="D289">
        <v>224</v>
      </c>
      <c r="E289">
        <v>2</v>
      </c>
      <c r="F289">
        <v>8</v>
      </c>
      <c r="G289" s="1">
        <v>800.21</v>
      </c>
      <c r="H289" s="59">
        <v>38.356000000000002</v>
      </c>
      <c r="I289" s="27">
        <v>45482</v>
      </c>
      <c r="J289" s="53">
        <v>0.56300925925925926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 s="66">
        <f t="shared" ref="W289" si="436">AVERAGE(H289:H293)</f>
        <v>38.073599999999999</v>
      </c>
      <c r="Y289">
        <v>0</v>
      </c>
      <c r="Z289" t="s">
        <v>7</v>
      </c>
      <c r="AA289">
        <v>35840</v>
      </c>
      <c r="AB289">
        <v>224</v>
      </c>
      <c r="AC289">
        <v>2</v>
      </c>
      <c r="AD289">
        <v>8</v>
      </c>
      <c r="AE289">
        <v>695.31</v>
      </c>
      <c r="AF289" s="48">
        <v>44.143000000000001</v>
      </c>
      <c r="AG289" s="27">
        <v>45499</v>
      </c>
      <c r="AH289" s="53">
        <v>0.69537037037037042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 s="66">
        <f t="shared" ref="AU289" si="437">AVERAGE(AF289:AF293)</f>
        <v>44.110400000000006</v>
      </c>
      <c r="AW289">
        <v>0</v>
      </c>
      <c r="AX289" t="s">
        <v>7</v>
      </c>
      <c r="AY289">
        <v>35840</v>
      </c>
      <c r="AZ289">
        <v>224</v>
      </c>
      <c r="BA289">
        <v>2</v>
      </c>
      <c r="BB289">
        <v>8</v>
      </c>
      <c r="BC289">
        <v>1015.21</v>
      </c>
      <c r="BD289" s="61">
        <v>30.233000000000001</v>
      </c>
      <c r="BE289" s="27">
        <v>45488</v>
      </c>
      <c r="BF289" s="53">
        <v>0.78380787037037036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 s="8">
        <f t="shared" ref="BS289" si="438">AVERAGE(BD289:BD293)</f>
        <v>30.209199999999999</v>
      </c>
      <c r="BU289">
        <v>206</v>
      </c>
      <c r="BV289" t="s">
        <v>70</v>
      </c>
      <c r="BW289">
        <v>40320</v>
      </c>
      <c r="BX289">
        <v>192</v>
      </c>
      <c r="BY289">
        <v>1</v>
      </c>
      <c r="BZ289">
        <v>16</v>
      </c>
      <c r="CA289">
        <v>1077.27</v>
      </c>
      <c r="CB289">
        <v>40.567</v>
      </c>
      <c r="CQ289" s="54">
        <f t="shared" si="414"/>
        <v>40.405666666666662</v>
      </c>
    </row>
    <row r="290" spans="1:95">
      <c r="A290">
        <v>1</v>
      </c>
      <c r="B290" t="s">
        <v>7</v>
      </c>
      <c r="C290">
        <v>35840</v>
      </c>
      <c r="D290">
        <v>224</v>
      </c>
      <c r="E290">
        <v>2</v>
      </c>
      <c r="F290">
        <v>8</v>
      </c>
      <c r="G290">
        <v>799.07</v>
      </c>
      <c r="H290" s="59">
        <v>38.411000000000001</v>
      </c>
      <c r="I290" s="27">
        <v>45483</v>
      </c>
      <c r="J290" s="53">
        <v>0.42275462962962962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 s="66">
        <f t="shared" ref="W290" si="439">W289</f>
        <v>38.073599999999999</v>
      </c>
      <c r="Y290">
        <v>1</v>
      </c>
      <c r="Z290" t="s">
        <v>7</v>
      </c>
      <c r="AA290">
        <v>35840</v>
      </c>
      <c r="AB290">
        <v>224</v>
      </c>
      <c r="AC290">
        <v>2</v>
      </c>
      <c r="AD290">
        <v>8</v>
      </c>
      <c r="AE290">
        <v>692.78</v>
      </c>
      <c r="AF290" s="48">
        <v>44.304000000000002</v>
      </c>
      <c r="AG290" s="27">
        <v>45500</v>
      </c>
      <c r="AH290" s="53">
        <v>0.81631944444444449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 s="66">
        <f t="shared" ref="AU290" si="440">AU289</f>
        <v>44.110400000000006</v>
      </c>
      <c r="AW290">
        <v>1</v>
      </c>
      <c r="AX290" t="s">
        <v>7</v>
      </c>
      <c r="AY290">
        <v>35840</v>
      </c>
      <c r="AZ290">
        <v>224</v>
      </c>
      <c r="BA290">
        <v>2</v>
      </c>
      <c r="BB290">
        <v>8</v>
      </c>
      <c r="BC290">
        <v>1005.72</v>
      </c>
      <c r="BD290" s="61">
        <v>30.518000000000001</v>
      </c>
      <c r="BE290" s="27">
        <v>45490</v>
      </c>
      <c r="BF290" s="53">
        <v>0.17715277777777777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 s="8">
        <f t="shared" ref="BS290" si="441">BS289</f>
        <v>30.209199999999999</v>
      </c>
      <c r="BU290">
        <v>277</v>
      </c>
      <c r="BV290" t="s">
        <v>70</v>
      </c>
      <c r="BW290">
        <v>40320</v>
      </c>
      <c r="BX290">
        <v>192</v>
      </c>
      <c r="BY290">
        <v>1</v>
      </c>
      <c r="BZ290">
        <v>16</v>
      </c>
      <c r="CA290">
        <v>1078.3699999999999</v>
      </c>
      <c r="CB290">
        <v>40.524999999999999</v>
      </c>
      <c r="CQ290" s="54">
        <f t="shared" si="414"/>
        <v>40.405666666666662</v>
      </c>
    </row>
    <row r="291" spans="1:95">
      <c r="A291">
        <v>2</v>
      </c>
      <c r="B291" t="s">
        <v>7</v>
      </c>
      <c r="C291">
        <v>35840</v>
      </c>
      <c r="D291">
        <v>224</v>
      </c>
      <c r="E291">
        <v>2</v>
      </c>
      <c r="F291">
        <v>8</v>
      </c>
      <c r="G291">
        <v>802.84</v>
      </c>
      <c r="H291" s="59">
        <v>38.229999999999997</v>
      </c>
      <c r="I291" s="27">
        <v>45484</v>
      </c>
      <c r="J291" s="53">
        <v>0.28803240740740743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 s="66">
        <f t="shared" si="415"/>
        <v>38.073599999999999</v>
      </c>
      <c r="Y291">
        <v>2</v>
      </c>
      <c r="Z291" t="s">
        <v>7</v>
      </c>
      <c r="AA291">
        <v>35840</v>
      </c>
      <c r="AB291">
        <v>224</v>
      </c>
      <c r="AC291">
        <v>2</v>
      </c>
      <c r="AD291">
        <v>8</v>
      </c>
      <c r="AE291">
        <v>696.1</v>
      </c>
      <c r="AF291" s="48">
        <v>44.093000000000004</v>
      </c>
      <c r="AG291" s="27">
        <v>45501</v>
      </c>
      <c r="AH291" s="53">
        <v>0.61040509259259257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 s="66">
        <f t="shared" si="408"/>
        <v>44.110400000000006</v>
      </c>
      <c r="AW291">
        <v>2</v>
      </c>
      <c r="AX291" t="s">
        <v>7</v>
      </c>
      <c r="AY291">
        <v>35840</v>
      </c>
      <c r="AZ291">
        <v>224</v>
      </c>
      <c r="BA291">
        <v>2</v>
      </c>
      <c r="BB291">
        <v>8</v>
      </c>
      <c r="BC291">
        <v>1014.98</v>
      </c>
      <c r="BD291" s="61">
        <v>30.24</v>
      </c>
      <c r="BE291" s="27">
        <v>45491</v>
      </c>
      <c r="BF291" s="53">
        <v>0.26340277777777776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 s="8">
        <f t="shared" si="409"/>
        <v>30.209199999999999</v>
      </c>
      <c r="BU291">
        <v>348</v>
      </c>
      <c r="BV291" t="s">
        <v>70</v>
      </c>
      <c r="BW291">
        <v>40320</v>
      </c>
      <c r="BX291">
        <v>192</v>
      </c>
      <c r="BY291">
        <v>1</v>
      </c>
      <c r="BZ291">
        <v>16</v>
      </c>
      <c r="CA291">
        <v>1083.4100000000001</v>
      </c>
      <c r="CB291">
        <v>40.337000000000003</v>
      </c>
      <c r="CQ291" s="54">
        <f t="shared" si="414"/>
        <v>40.405666666666662</v>
      </c>
    </row>
    <row r="292" spans="1:95">
      <c r="A292">
        <v>3</v>
      </c>
      <c r="B292" t="s">
        <v>7</v>
      </c>
      <c r="C292">
        <v>35840</v>
      </c>
      <c r="D292">
        <v>224</v>
      </c>
      <c r="E292">
        <v>2</v>
      </c>
      <c r="F292">
        <v>8</v>
      </c>
      <c r="G292">
        <v>804.66</v>
      </c>
      <c r="H292" s="59">
        <v>38.143999999999998</v>
      </c>
      <c r="I292" s="27">
        <v>45485</v>
      </c>
      <c r="J292" s="53">
        <v>0.15112268518518518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s="66">
        <f t="shared" si="415"/>
        <v>38.073599999999999</v>
      </c>
      <c r="Y292">
        <v>3</v>
      </c>
      <c r="Z292" t="s">
        <v>7</v>
      </c>
      <c r="AA292">
        <v>35840</v>
      </c>
      <c r="AB292">
        <v>224</v>
      </c>
      <c r="AC292">
        <v>2</v>
      </c>
      <c r="AD292">
        <v>8</v>
      </c>
      <c r="AE292" s="1">
        <v>698.02</v>
      </c>
      <c r="AF292" s="48">
        <v>43.970999999999997</v>
      </c>
      <c r="AG292" s="27">
        <v>45502</v>
      </c>
      <c r="AH292" s="53">
        <v>0.40502314814814816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 s="66">
        <f t="shared" si="408"/>
        <v>44.110400000000006</v>
      </c>
      <c r="AW292">
        <v>3</v>
      </c>
      <c r="AX292" t="s">
        <v>7</v>
      </c>
      <c r="AY292">
        <v>35840</v>
      </c>
      <c r="AZ292">
        <v>224</v>
      </c>
      <c r="BA292">
        <v>2</v>
      </c>
      <c r="BB292">
        <v>8</v>
      </c>
      <c r="BC292">
        <v>1026.76</v>
      </c>
      <c r="BD292" s="61">
        <v>29.893000000000001</v>
      </c>
      <c r="BE292" s="27">
        <v>45492</v>
      </c>
      <c r="BF292" s="53">
        <v>0.34818287037037038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 s="8">
        <f t="shared" si="409"/>
        <v>30.209199999999999</v>
      </c>
      <c r="BU292">
        <v>419</v>
      </c>
      <c r="BV292" t="s">
        <v>70</v>
      </c>
      <c r="BW292">
        <v>40320</v>
      </c>
      <c r="BX292">
        <v>192</v>
      </c>
      <c r="BY292">
        <v>1</v>
      </c>
      <c r="BZ292">
        <v>16</v>
      </c>
      <c r="CA292">
        <v>1088.27</v>
      </c>
      <c r="CB292">
        <v>40.156999999999996</v>
      </c>
      <c r="CQ292" s="54">
        <f t="shared" si="414"/>
        <v>40.405666666666662</v>
      </c>
    </row>
    <row r="293" spans="1:95">
      <c r="A293">
        <v>4</v>
      </c>
      <c r="B293" t="s">
        <v>7</v>
      </c>
      <c r="C293">
        <v>35840</v>
      </c>
      <c r="D293">
        <v>224</v>
      </c>
      <c r="E293">
        <v>2</v>
      </c>
      <c r="F293">
        <v>8</v>
      </c>
      <c r="G293">
        <v>824.49</v>
      </c>
      <c r="H293" s="59">
        <v>37.226999999999997</v>
      </c>
      <c r="I293" s="27">
        <v>45486</v>
      </c>
      <c r="J293" s="53">
        <v>3.1886574074074074E-2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 s="66">
        <f t="shared" si="415"/>
        <v>38.073599999999999</v>
      </c>
      <c r="Y293">
        <v>4</v>
      </c>
      <c r="Z293" t="s">
        <v>7</v>
      </c>
      <c r="AA293">
        <v>35840</v>
      </c>
      <c r="AB293">
        <v>224</v>
      </c>
      <c r="AC293">
        <v>2</v>
      </c>
      <c r="AD293">
        <v>8</v>
      </c>
      <c r="AE293">
        <v>696.93</v>
      </c>
      <c r="AF293" s="48">
        <v>44.040999999999997</v>
      </c>
      <c r="AG293" s="27">
        <v>45503</v>
      </c>
      <c r="AH293" s="53">
        <v>0.19971064814814815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 s="66">
        <f t="shared" si="408"/>
        <v>44.110400000000006</v>
      </c>
      <c r="AW293">
        <v>4</v>
      </c>
      <c r="AX293" t="s">
        <v>7</v>
      </c>
      <c r="AY293">
        <v>35840</v>
      </c>
      <c r="AZ293">
        <v>224</v>
      </c>
      <c r="BA293">
        <v>2</v>
      </c>
      <c r="BB293">
        <v>8</v>
      </c>
      <c r="BC293">
        <v>1017.61</v>
      </c>
      <c r="BD293" s="61">
        <v>30.161999999999999</v>
      </c>
      <c r="BE293" s="27">
        <v>45493</v>
      </c>
      <c r="BF293" s="53">
        <v>0.43350694444444443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 s="8">
        <f t="shared" si="409"/>
        <v>30.209199999999999</v>
      </c>
      <c r="BU293">
        <v>17</v>
      </c>
      <c r="BV293" t="s">
        <v>70</v>
      </c>
      <c r="BW293">
        <v>35968</v>
      </c>
      <c r="BX293">
        <v>192</v>
      </c>
      <c r="BY293">
        <v>2</v>
      </c>
      <c r="BZ293">
        <v>8</v>
      </c>
      <c r="CA293">
        <v>758.87</v>
      </c>
      <c r="CB293">
        <v>40.662999999999997</v>
      </c>
      <c r="CQ293" s="54">
        <f t="shared" ref="CQ293" si="442">AVERAGE(CB293:CB298)</f>
        <v>40.397833333333331</v>
      </c>
    </row>
    <row r="294" spans="1:95">
      <c r="A294">
        <v>0</v>
      </c>
      <c r="B294" t="s">
        <v>7</v>
      </c>
      <c r="C294">
        <v>38080</v>
      </c>
      <c r="D294">
        <v>224</v>
      </c>
      <c r="E294">
        <v>2</v>
      </c>
      <c r="F294">
        <v>8</v>
      </c>
      <c r="G294" s="1">
        <v>911.28</v>
      </c>
      <c r="H294" s="59">
        <v>40.399000000000001</v>
      </c>
      <c r="I294" s="27">
        <v>45482</v>
      </c>
      <c r="J294" s="53">
        <v>0.84105324074074073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s="66">
        <f t="shared" ref="W294" si="443">AVERAGE(H294:H298)</f>
        <v>39.935200000000002</v>
      </c>
      <c r="Y294">
        <v>0</v>
      </c>
      <c r="Z294" t="s">
        <v>7</v>
      </c>
      <c r="AA294">
        <v>38080</v>
      </c>
      <c r="AB294">
        <v>224</v>
      </c>
      <c r="AC294">
        <v>2</v>
      </c>
      <c r="AD294">
        <v>8</v>
      </c>
      <c r="AE294">
        <v>820.73</v>
      </c>
      <c r="AF294" s="48">
        <v>44.856000000000002</v>
      </c>
      <c r="AG294" s="27">
        <v>45499</v>
      </c>
      <c r="AH294" s="53">
        <v>0.95144675925925926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 s="66">
        <f t="shared" ref="AU294" si="444">AVERAGE(AF294:AF298)</f>
        <v>44.909200000000013</v>
      </c>
      <c r="AW294">
        <v>0</v>
      </c>
      <c r="AX294" t="s">
        <v>7</v>
      </c>
      <c r="AY294">
        <v>38080</v>
      </c>
      <c r="AZ294">
        <v>224</v>
      </c>
      <c r="BA294">
        <v>2</v>
      </c>
      <c r="BB294">
        <v>8</v>
      </c>
      <c r="BC294">
        <v>1164.0999999999999</v>
      </c>
      <c r="BD294" s="61">
        <v>31.625</v>
      </c>
      <c r="BE294" s="27">
        <v>45489</v>
      </c>
      <c r="BF294" s="53">
        <v>0.13620370370370372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 s="8">
        <f t="shared" ref="BS294" si="445">AVERAGE(BD294:BD298)</f>
        <v>31.491399999999999</v>
      </c>
      <c r="BU294">
        <v>88</v>
      </c>
      <c r="BV294" t="s">
        <v>70</v>
      </c>
      <c r="BW294">
        <v>35968</v>
      </c>
      <c r="BX294">
        <v>192</v>
      </c>
      <c r="BY294">
        <v>2</v>
      </c>
      <c r="BZ294">
        <v>8</v>
      </c>
      <c r="CA294">
        <v>758.06</v>
      </c>
      <c r="CB294">
        <v>40.706000000000003</v>
      </c>
      <c r="CQ294" s="54">
        <f t="shared" ref="CQ294" si="446">CQ293</f>
        <v>40.397833333333331</v>
      </c>
    </row>
    <row r="295" spans="1:95">
      <c r="A295">
        <v>1</v>
      </c>
      <c r="B295" t="s">
        <v>7</v>
      </c>
      <c r="C295">
        <v>38080</v>
      </c>
      <c r="D295">
        <v>224</v>
      </c>
      <c r="E295">
        <v>2</v>
      </c>
      <c r="F295">
        <v>8</v>
      </c>
      <c r="G295">
        <v>924.9</v>
      </c>
      <c r="H295" s="59">
        <v>39.804000000000002</v>
      </c>
      <c r="I295" s="27">
        <v>45483</v>
      </c>
      <c r="J295" s="53">
        <v>0.70628472222222227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 s="66">
        <f t="shared" ref="W295" si="447">W294</f>
        <v>39.935200000000002</v>
      </c>
      <c r="Y295">
        <v>1</v>
      </c>
      <c r="Z295" t="s">
        <v>7</v>
      </c>
      <c r="AA295">
        <v>38080</v>
      </c>
      <c r="AB295">
        <v>224</v>
      </c>
      <c r="AC295">
        <v>2</v>
      </c>
      <c r="AD295">
        <v>8</v>
      </c>
      <c r="AE295" s="1">
        <v>823.64</v>
      </c>
      <c r="AF295" s="48">
        <v>44.698</v>
      </c>
      <c r="AG295" s="27">
        <v>45501</v>
      </c>
      <c r="AH295" s="53">
        <v>7.3263888888888892E-2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 s="66">
        <f t="shared" ref="AU295" si="448">AU294</f>
        <v>44.909200000000013</v>
      </c>
      <c r="AW295">
        <v>1</v>
      </c>
      <c r="AX295" t="s">
        <v>7</v>
      </c>
      <c r="AY295">
        <v>38080</v>
      </c>
      <c r="AZ295">
        <v>224</v>
      </c>
      <c r="BA295">
        <v>2</v>
      </c>
      <c r="BB295">
        <v>8</v>
      </c>
      <c r="BC295">
        <v>1166.04</v>
      </c>
      <c r="BD295" s="61">
        <v>31.573</v>
      </c>
      <c r="BE295" s="27">
        <v>45490</v>
      </c>
      <c r="BF295" s="53">
        <v>0.52983796296296293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 s="8">
        <f t="shared" ref="BS295" si="449">BS294</f>
        <v>31.491399999999999</v>
      </c>
      <c r="BU295">
        <v>159</v>
      </c>
      <c r="BV295" t="s">
        <v>70</v>
      </c>
      <c r="BW295">
        <v>35968</v>
      </c>
      <c r="BX295">
        <v>192</v>
      </c>
      <c r="BY295">
        <v>2</v>
      </c>
      <c r="BZ295">
        <v>8</v>
      </c>
      <c r="CA295">
        <v>763.21</v>
      </c>
      <c r="CB295">
        <v>40.432000000000002</v>
      </c>
      <c r="CQ295" s="54">
        <f t="shared" si="414"/>
        <v>40.397833333333331</v>
      </c>
    </row>
    <row r="296" spans="1:95">
      <c r="A296">
        <v>2</v>
      </c>
      <c r="B296" t="s">
        <v>7</v>
      </c>
      <c r="C296">
        <v>38080</v>
      </c>
      <c r="D296">
        <v>224</v>
      </c>
      <c r="E296">
        <v>2</v>
      </c>
      <c r="F296">
        <v>8</v>
      </c>
      <c r="G296">
        <v>911.15</v>
      </c>
      <c r="H296" s="59">
        <v>40.405000000000001</v>
      </c>
      <c r="I296" s="27">
        <v>45484</v>
      </c>
      <c r="J296" s="53">
        <v>0.5685648148148148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 s="66">
        <f t="shared" si="415"/>
        <v>39.935200000000002</v>
      </c>
      <c r="Y296">
        <v>2</v>
      </c>
      <c r="Z296" t="s">
        <v>7</v>
      </c>
      <c r="AA296">
        <v>38080</v>
      </c>
      <c r="AB296">
        <v>224</v>
      </c>
      <c r="AC296">
        <v>2</v>
      </c>
      <c r="AD296">
        <v>8</v>
      </c>
      <c r="AE296">
        <v>821.09</v>
      </c>
      <c r="AF296" s="48">
        <v>44.837000000000003</v>
      </c>
      <c r="AG296" s="27">
        <v>45501</v>
      </c>
      <c r="AH296" s="53">
        <v>0.86827546296296299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 s="66">
        <f t="shared" si="408"/>
        <v>44.909200000000013</v>
      </c>
      <c r="AW296">
        <v>2</v>
      </c>
      <c r="AX296" t="s">
        <v>7</v>
      </c>
      <c r="AY296">
        <v>38080</v>
      </c>
      <c r="AZ296">
        <v>224</v>
      </c>
      <c r="BA296">
        <v>2</v>
      </c>
      <c r="BB296">
        <v>8</v>
      </c>
      <c r="BC296">
        <v>1168.32</v>
      </c>
      <c r="BD296" s="61">
        <v>31.510999999999999</v>
      </c>
      <c r="BE296" s="27">
        <v>45491</v>
      </c>
      <c r="BF296" s="53">
        <v>0.61565972222222221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 s="8">
        <f t="shared" si="409"/>
        <v>31.491399999999999</v>
      </c>
      <c r="BU296">
        <v>230</v>
      </c>
      <c r="BV296" t="s">
        <v>70</v>
      </c>
      <c r="BW296">
        <v>35968</v>
      </c>
      <c r="BX296">
        <v>192</v>
      </c>
      <c r="BY296">
        <v>2</v>
      </c>
      <c r="BZ296">
        <v>8</v>
      </c>
      <c r="CA296">
        <v>793.18</v>
      </c>
      <c r="CB296">
        <v>38.904000000000003</v>
      </c>
      <c r="CQ296" s="54">
        <f t="shared" si="414"/>
        <v>40.397833333333331</v>
      </c>
    </row>
    <row r="297" spans="1:95">
      <c r="A297">
        <v>3</v>
      </c>
      <c r="B297" t="s">
        <v>7</v>
      </c>
      <c r="C297">
        <v>38080</v>
      </c>
      <c r="D297">
        <v>224</v>
      </c>
      <c r="E297">
        <v>2</v>
      </c>
      <c r="F297">
        <v>8</v>
      </c>
      <c r="G297">
        <v>928.1</v>
      </c>
      <c r="H297" s="59">
        <v>39.667000000000002</v>
      </c>
      <c r="I297" s="27">
        <v>45485</v>
      </c>
      <c r="J297" s="53">
        <v>0.43237268518518518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 s="66">
        <f t="shared" si="415"/>
        <v>39.935200000000002</v>
      </c>
      <c r="Y297">
        <v>3</v>
      </c>
      <c r="Z297" t="s">
        <v>7</v>
      </c>
      <c r="AA297">
        <v>38080</v>
      </c>
      <c r="AB297">
        <v>224</v>
      </c>
      <c r="AC297">
        <v>2</v>
      </c>
      <c r="AD297">
        <v>8</v>
      </c>
      <c r="AE297">
        <v>820.98</v>
      </c>
      <c r="AF297" s="48">
        <v>44.843000000000004</v>
      </c>
      <c r="AG297" s="27">
        <v>45502</v>
      </c>
      <c r="AH297" s="53">
        <v>0.6620949074074074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 s="66">
        <f t="shared" si="408"/>
        <v>44.909200000000013</v>
      </c>
      <c r="AW297">
        <v>3</v>
      </c>
      <c r="AX297" t="s">
        <v>7</v>
      </c>
      <c r="AY297">
        <v>38080</v>
      </c>
      <c r="AZ297">
        <v>224</v>
      </c>
      <c r="BA297">
        <v>2</v>
      </c>
      <c r="BB297">
        <v>8</v>
      </c>
      <c r="BC297">
        <v>1171.8399999999999</v>
      </c>
      <c r="BD297" s="61">
        <v>31.416</v>
      </c>
      <c r="BE297" s="27">
        <v>45492</v>
      </c>
      <c r="BF297" s="53">
        <v>0.70079861111111108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 s="8">
        <f t="shared" si="409"/>
        <v>31.491399999999999</v>
      </c>
      <c r="BU297">
        <v>301</v>
      </c>
      <c r="BV297" t="s">
        <v>70</v>
      </c>
      <c r="BW297">
        <v>35968</v>
      </c>
      <c r="BX297">
        <v>192</v>
      </c>
      <c r="BY297">
        <v>2</v>
      </c>
      <c r="BZ297">
        <v>8</v>
      </c>
      <c r="CA297">
        <v>756.03</v>
      </c>
      <c r="CB297">
        <v>40.814999999999998</v>
      </c>
      <c r="CQ297" s="54">
        <f t="shared" si="414"/>
        <v>40.397833333333331</v>
      </c>
    </row>
    <row r="298" spans="1:95">
      <c r="A298">
        <v>4</v>
      </c>
      <c r="B298" t="s">
        <v>7</v>
      </c>
      <c r="C298">
        <v>38080</v>
      </c>
      <c r="D298">
        <v>224</v>
      </c>
      <c r="E298">
        <v>2</v>
      </c>
      <c r="F298">
        <v>8</v>
      </c>
      <c r="G298">
        <v>934.37</v>
      </c>
      <c r="H298" s="59">
        <v>39.401000000000003</v>
      </c>
      <c r="I298" s="27">
        <v>45486</v>
      </c>
      <c r="J298" s="53">
        <v>0.32050925925925927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s="66">
        <f t="shared" si="415"/>
        <v>39.935200000000002</v>
      </c>
      <c r="Y298">
        <v>4</v>
      </c>
      <c r="Z298" t="s">
        <v>7</v>
      </c>
      <c r="AA298">
        <v>38080</v>
      </c>
      <c r="AB298">
        <v>224</v>
      </c>
      <c r="AC298">
        <v>2</v>
      </c>
      <c r="AD298">
        <v>8</v>
      </c>
      <c r="AE298">
        <v>812.48</v>
      </c>
      <c r="AF298" s="48">
        <v>45.311999999999998</v>
      </c>
      <c r="AG298" s="27">
        <v>45503</v>
      </c>
      <c r="AH298" s="53">
        <v>0.45748842592592592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 s="66">
        <f t="shared" si="408"/>
        <v>44.909200000000013</v>
      </c>
      <c r="AW298">
        <v>4</v>
      </c>
      <c r="AX298" t="s">
        <v>7</v>
      </c>
      <c r="AY298">
        <v>38080</v>
      </c>
      <c r="AZ298">
        <v>224</v>
      </c>
      <c r="BA298">
        <v>2</v>
      </c>
      <c r="BB298">
        <v>8</v>
      </c>
      <c r="BC298">
        <v>1174.99</v>
      </c>
      <c r="BD298" s="61">
        <v>31.332000000000001</v>
      </c>
      <c r="BE298" s="27">
        <v>45493</v>
      </c>
      <c r="BF298" s="53">
        <v>0.78625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 s="8">
        <f t="shared" si="409"/>
        <v>31.491399999999999</v>
      </c>
      <c r="BU298">
        <v>372</v>
      </c>
      <c r="BV298" t="s">
        <v>70</v>
      </c>
      <c r="BW298">
        <v>35968</v>
      </c>
      <c r="BX298">
        <v>192</v>
      </c>
      <c r="BY298">
        <v>2</v>
      </c>
      <c r="BZ298">
        <v>8</v>
      </c>
      <c r="CA298">
        <v>755.08</v>
      </c>
      <c r="CB298">
        <v>40.866999999999997</v>
      </c>
      <c r="CQ298" s="54">
        <f t="shared" si="414"/>
        <v>40.397833333333331</v>
      </c>
    </row>
    <row r="299" spans="1:95">
      <c r="A299">
        <v>0</v>
      </c>
      <c r="B299" t="s">
        <v>7</v>
      </c>
      <c r="C299">
        <v>40096</v>
      </c>
      <c r="D299">
        <v>224</v>
      </c>
      <c r="E299">
        <v>2</v>
      </c>
      <c r="F299">
        <v>8</v>
      </c>
      <c r="G299" s="1">
        <v>1045.1500000000001</v>
      </c>
      <c r="H299" s="59">
        <v>41.121000000000002</v>
      </c>
      <c r="I299" s="27">
        <v>45483</v>
      </c>
      <c r="J299" s="53">
        <v>0.16408564814814816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 s="66">
        <f t="shared" ref="W299" si="450">AVERAGE(H299:H303)</f>
        <v>40.863599999999998</v>
      </c>
      <c r="Y299">
        <v>0</v>
      </c>
      <c r="Z299" t="s">
        <v>7</v>
      </c>
      <c r="AA299">
        <v>40096</v>
      </c>
      <c r="AB299">
        <v>224</v>
      </c>
      <c r="AC299">
        <v>2</v>
      </c>
      <c r="AD299">
        <v>8</v>
      </c>
      <c r="AE299">
        <v>961.61</v>
      </c>
      <c r="AF299" s="48">
        <v>44.692999999999998</v>
      </c>
      <c r="AG299" s="27">
        <v>45500</v>
      </c>
      <c r="AH299" s="53">
        <v>0.25074074074074076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 s="66">
        <f t="shared" ref="AU299" si="451">AVERAGE(AF299:AF303)</f>
        <v>44.968599999999995</v>
      </c>
      <c r="AW299">
        <v>0</v>
      </c>
      <c r="AX299" t="s">
        <v>7</v>
      </c>
      <c r="AY299">
        <v>40096</v>
      </c>
      <c r="AZ299">
        <v>224</v>
      </c>
      <c r="BA299">
        <v>2</v>
      </c>
      <c r="BB299">
        <v>8</v>
      </c>
      <c r="BC299">
        <v>1328.8</v>
      </c>
      <c r="BD299" s="61">
        <v>32.343000000000004</v>
      </c>
      <c r="BE299" s="27">
        <v>45489</v>
      </c>
      <c r="BF299" s="53">
        <v>0.54032407407407412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 s="8">
        <f t="shared" ref="BS299" si="452">AVERAGE(BD299:BD303)</f>
        <v>32.273800000000008</v>
      </c>
      <c r="BU299">
        <v>41</v>
      </c>
      <c r="BV299" t="s">
        <v>70</v>
      </c>
      <c r="BW299">
        <v>38144</v>
      </c>
      <c r="BX299">
        <v>192</v>
      </c>
      <c r="BY299">
        <v>2</v>
      </c>
      <c r="BZ299">
        <v>8</v>
      </c>
      <c r="CA299">
        <v>908.28</v>
      </c>
      <c r="CB299">
        <v>40.942999999999998</v>
      </c>
      <c r="CQ299" s="54">
        <f t="shared" ref="CQ299" si="453">AVERAGE(CB299:CB304)</f>
        <v>41.255166666666668</v>
      </c>
    </row>
    <row r="300" spans="1:95">
      <c r="A300">
        <v>1</v>
      </c>
      <c r="B300" t="s">
        <v>7</v>
      </c>
      <c r="C300">
        <v>40096</v>
      </c>
      <c r="D300">
        <v>224</v>
      </c>
      <c r="E300">
        <v>2</v>
      </c>
      <c r="F300">
        <v>8</v>
      </c>
      <c r="G300">
        <v>1038.96</v>
      </c>
      <c r="H300" s="59">
        <v>41.366</v>
      </c>
      <c r="I300" s="27">
        <v>45484</v>
      </c>
      <c r="J300" s="53">
        <v>2.9166666666666667E-2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s="66">
        <f t="shared" ref="W300" si="454">W299</f>
        <v>40.863599999999998</v>
      </c>
      <c r="Y300">
        <v>1</v>
      </c>
      <c r="Z300" t="s">
        <v>7</v>
      </c>
      <c r="AA300">
        <v>40096</v>
      </c>
      <c r="AB300">
        <v>224</v>
      </c>
      <c r="AC300">
        <v>2</v>
      </c>
      <c r="AD300">
        <v>8</v>
      </c>
      <c r="AE300">
        <v>951.59</v>
      </c>
      <c r="AF300" s="48">
        <v>45.162999999999997</v>
      </c>
      <c r="AG300" s="27">
        <v>45501</v>
      </c>
      <c r="AH300" s="53">
        <v>0.37233796296296295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 s="66">
        <f t="shared" ref="AU300" si="455">AU299</f>
        <v>44.968599999999995</v>
      </c>
      <c r="AW300">
        <v>1</v>
      </c>
      <c r="AX300" t="s">
        <v>7</v>
      </c>
      <c r="AY300">
        <v>40096</v>
      </c>
      <c r="AZ300">
        <v>224</v>
      </c>
      <c r="BA300">
        <v>2</v>
      </c>
      <c r="BB300">
        <v>8</v>
      </c>
      <c r="BC300">
        <v>1336.41</v>
      </c>
      <c r="BD300" s="61">
        <v>32.158999999999999</v>
      </c>
      <c r="BE300" s="27">
        <v>45490</v>
      </c>
      <c r="BF300" s="53">
        <v>0.93363425925925925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 s="8">
        <f t="shared" ref="BS300" si="456">BS299</f>
        <v>32.273800000000008</v>
      </c>
      <c r="BU300">
        <v>112</v>
      </c>
      <c r="BV300" t="s">
        <v>70</v>
      </c>
      <c r="BW300">
        <v>38144</v>
      </c>
      <c r="BX300">
        <v>192</v>
      </c>
      <c r="BY300">
        <v>2</v>
      </c>
      <c r="BZ300">
        <v>8</v>
      </c>
      <c r="CA300">
        <v>902.52</v>
      </c>
      <c r="CB300">
        <v>41.204000000000001</v>
      </c>
      <c r="CQ300" s="54">
        <f t="shared" ref="CQ300" si="457">CQ299</f>
        <v>41.255166666666668</v>
      </c>
    </row>
    <row r="301" spans="1:95">
      <c r="A301">
        <v>2</v>
      </c>
      <c r="B301" t="s">
        <v>7</v>
      </c>
      <c r="C301">
        <v>40096</v>
      </c>
      <c r="D301">
        <v>224</v>
      </c>
      <c r="E301">
        <v>2</v>
      </c>
      <c r="F301">
        <v>8</v>
      </c>
      <c r="G301">
        <v>1037.0999999999999</v>
      </c>
      <c r="H301" s="59">
        <v>41.44</v>
      </c>
      <c r="I301" s="27">
        <v>45484</v>
      </c>
      <c r="J301" s="53">
        <v>0.89179398148148148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 s="66">
        <f t="shared" si="415"/>
        <v>40.863599999999998</v>
      </c>
      <c r="Y301">
        <v>2</v>
      </c>
      <c r="Z301" t="s">
        <v>7</v>
      </c>
      <c r="AA301">
        <v>40096</v>
      </c>
      <c r="AB301">
        <v>224</v>
      </c>
      <c r="AC301">
        <v>2</v>
      </c>
      <c r="AD301">
        <v>8</v>
      </c>
      <c r="AE301">
        <v>954.11</v>
      </c>
      <c r="AF301" s="48">
        <v>45.043999999999997</v>
      </c>
      <c r="AG301" s="27">
        <v>45502</v>
      </c>
      <c r="AH301" s="53">
        <v>0.16718749999999999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 s="66">
        <f t="shared" si="408"/>
        <v>44.968599999999995</v>
      </c>
      <c r="AW301">
        <v>2</v>
      </c>
      <c r="AX301" t="s">
        <v>7</v>
      </c>
      <c r="AY301">
        <v>40096</v>
      </c>
      <c r="AZ301">
        <v>224</v>
      </c>
      <c r="BA301">
        <v>2</v>
      </c>
      <c r="BB301">
        <v>8</v>
      </c>
      <c r="BC301">
        <v>1331.83</v>
      </c>
      <c r="BD301" s="61">
        <v>32.268999999999998</v>
      </c>
      <c r="BE301" s="27">
        <v>45492</v>
      </c>
      <c r="BF301" s="53">
        <v>1.8796296296296297E-2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 s="8">
        <f t="shared" si="409"/>
        <v>32.273800000000008</v>
      </c>
      <c r="BU301">
        <v>183</v>
      </c>
      <c r="BV301" t="s">
        <v>70</v>
      </c>
      <c r="BW301">
        <v>38144</v>
      </c>
      <c r="BX301">
        <v>192</v>
      </c>
      <c r="BY301">
        <v>2</v>
      </c>
      <c r="BZ301">
        <v>8</v>
      </c>
      <c r="CA301">
        <v>893</v>
      </c>
      <c r="CB301">
        <v>41.643000000000001</v>
      </c>
      <c r="CQ301" s="54">
        <f t="shared" si="414"/>
        <v>41.255166666666668</v>
      </c>
    </row>
    <row r="302" spans="1:95">
      <c r="A302">
        <v>3</v>
      </c>
      <c r="B302" t="s">
        <v>7</v>
      </c>
      <c r="C302">
        <v>40096</v>
      </c>
      <c r="D302">
        <v>224</v>
      </c>
      <c r="E302">
        <v>2</v>
      </c>
      <c r="F302">
        <v>8</v>
      </c>
      <c r="G302">
        <v>1070.6199999999999</v>
      </c>
      <c r="H302" s="59">
        <v>40.142000000000003</v>
      </c>
      <c r="I302" s="27">
        <v>45485</v>
      </c>
      <c r="J302" s="53">
        <v>0.76483796296296291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 s="66">
        <f t="shared" si="415"/>
        <v>40.863599999999998</v>
      </c>
      <c r="Y302">
        <v>3</v>
      </c>
      <c r="Z302" t="s">
        <v>7</v>
      </c>
      <c r="AA302">
        <v>40096</v>
      </c>
      <c r="AB302">
        <v>224</v>
      </c>
      <c r="AC302">
        <v>2</v>
      </c>
      <c r="AD302">
        <v>8</v>
      </c>
      <c r="AE302">
        <v>956.74</v>
      </c>
      <c r="AF302" s="48">
        <v>44.92</v>
      </c>
      <c r="AG302" s="27">
        <v>45502</v>
      </c>
      <c r="AH302" s="53">
        <v>0.96210648148148148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 s="66">
        <f t="shared" si="408"/>
        <v>44.968599999999995</v>
      </c>
      <c r="AW302">
        <v>3</v>
      </c>
      <c r="AX302" t="s">
        <v>7</v>
      </c>
      <c r="AY302">
        <v>40096</v>
      </c>
      <c r="AZ302">
        <v>224</v>
      </c>
      <c r="BA302">
        <v>2</v>
      </c>
      <c r="BB302">
        <v>8</v>
      </c>
      <c r="BC302">
        <v>1331.9</v>
      </c>
      <c r="BD302" s="61">
        <v>32.267000000000003</v>
      </c>
      <c r="BE302" s="27">
        <v>45493</v>
      </c>
      <c r="BF302" s="53">
        <v>0.10427083333333333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 s="8">
        <f t="shared" si="409"/>
        <v>32.273800000000008</v>
      </c>
      <c r="BU302">
        <v>254</v>
      </c>
      <c r="BV302" t="s">
        <v>70</v>
      </c>
      <c r="BW302">
        <v>38144</v>
      </c>
      <c r="BX302">
        <v>192</v>
      </c>
      <c r="BY302">
        <v>2</v>
      </c>
      <c r="BZ302">
        <v>8</v>
      </c>
      <c r="CA302">
        <v>903.08</v>
      </c>
      <c r="CB302">
        <v>41.177999999999997</v>
      </c>
      <c r="CQ302" s="54">
        <f t="shared" si="414"/>
        <v>41.255166666666668</v>
      </c>
    </row>
    <row r="303" spans="1:95">
      <c r="A303">
        <v>4</v>
      </c>
      <c r="B303" t="s">
        <v>7</v>
      </c>
      <c r="C303">
        <v>40096</v>
      </c>
      <c r="D303">
        <v>224</v>
      </c>
      <c r="E303">
        <v>2</v>
      </c>
      <c r="F303">
        <v>8</v>
      </c>
      <c r="G303">
        <v>1067.77</v>
      </c>
      <c r="H303" s="59">
        <v>40.249000000000002</v>
      </c>
      <c r="I303" s="27">
        <v>45486</v>
      </c>
      <c r="J303" s="53">
        <v>0.65309027777777773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 s="66">
        <f t="shared" si="415"/>
        <v>40.863599999999998</v>
      </c>
      <c r="Y303">
        <v>4</v>
      </c>
      <c r="Z303" t="s">
        <v>7</v>
      </c>
      <c r="AA303">
        <v>40096</v>
      </c>
      <c r="AB303">
        <v>224</v>
      </c>
      <c r="AC303">
        <v>2</v>
      </c>
      <c r="AD303">
        <v>8</v>
      </c>
      <c r="AE303" s="1">
        <v>954.56</v>
      </c>
      <c r="AF303" s="48">
        <v>45.023000000000003</v>
      </c>
      <c r="AG303" s="27">
        <v>45503</v>
      </c>
      <c r="AH303" s="53">
        <v>0.75707175925925929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 s="66">
        <f t="shared" si="408"/>
        <v>44.968599999999995</v>
      </c>
      <c r="AW303">
        <v>4</v>
      </c>
      <c r="AX303" t="s">
        <v>7</v>
      </c>
      <c r="AY303">
        <v>40096</v>
      </c>
      <c r="AZ303">
        <v>224</v>
      </c>
      <c r="BA303">
        <v>2</v>
      </c>
      <c r="BB303">
        <v>8</v>
      </c>
      <c r="BC303">
        <v>1329.29</v>
      </c>
      <c r="BD303" s="61">
        <v>32.331000000000003</v>
      </c>
      <c r="BE303" s="27">
        <v>45494</v>
      </c>
      <c r="BF303" s="53">
        <v>0.19018518518518518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 s="8">
        <f t="shared" si="409"/>
        <v>32.273800000000008</v>
      </c>
      <c r="BU303">
        <v>325</v>
      </c>
      <c r="BV303" t="s">
        <v>70</v>
      </c>
      <c r="BW303">
        <v>38144</v>
      </c>
      <c r="BX303">
        <v>192</v>
      </c>
      <c r="BY303">
        <v>2</v>
      </c>
      <c r="BZ303">
        <v>8</v>
      </c>
      <c r="CA303">
        <v>905.89</v>
      </c>
      <c r="CB303">
        <v>41.051000000000002</v>
      </c>
      <c r="CQ303" s="54">
        <f t="shared" si="414"/>
        <v>41.255166666666668</v>
      </c>
    </row>
    <row r="304" spans="1:95">
      <c r="A304">
        <v>0</v>
      </c>
      <c r="B304" t="s">
        <v>7</v>
      </c>
      <c r="C304">
        <v>35840</v>
      </c>
      <c r="D304">
        <v>224</v>
      </c>
      <c r="E304">
        <v>4</v>
      </c>
      <c r="F304">
        <v>4</v>
      </c>
      <c r="G304" s="1">
        <v>773.55</v>
      </c>
      <c r="H304" s="59">
        <v>39.677999999999997</v>
      </c>
      <c r="I304" s="27">
        <v>45482</v>
      </c>
      <c r="J304" s="53">
        <v>0.57221064814814815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 s="66">
        <f t="shared" ref="W304" si="458">AVERAGE(H304:H308)</f>
        <v>37.537999999999997</v>
      </c>
      <c r="Y304">
        <v>0</v>
      </c>
      <c r="Z304" t="s">
        <v>7</v>
      </c>
      <c r="AA304">
        <v>35840</v>
      </c>
      <c r="AB304">
        <v>224</v>
      </c>
      <c r="AC304">
        <v>4</v>
      </c>
      <c r="AD304">
        <v>4</v>
      </c>
      <c r="AE304" s="1">
        <v>733.86</v>
      </c>
      <c r="AF304" s="48">
        <v>41.823999999999998</v>
      </c>
      <c r="AG304" s="27">
        <v>45499</v>
      </c>
      <c r="AH304" s="53">
        <v>0.70412037037037034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 s="66">
        <f t="shared" ref="AU304" si="459">AVERAGE(AF304:AF308)</f>
        <v>41.572200000000002</v>
      </c>
      <c r="AW304">
        <v>0</v>
      </c>
      <c r="AX304" t="s">
        <v>7</v>
      </c>
      <c r="AY304">
        <v>35840</v>
      </c>
      <c r="AZ304">
        <v>224</v>
      </c>
      <c r="BA304">
        <v>4</v>
      </c>
      <c r="BB304">
        <v>4</v>
      </c>
      <c r="BC304">
        <v>1066.27</v>
      </c>
      <c r="BD304" s="61">
        <v>28.785</v>
      </c>
      <c r="BE304" s="27">
        <v>45488</v>
      </c>
      <c r="BF304" s="53">
        <v>0.79694444444444446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 s="8">
        <f t="shared" ref="BS304" si="460">AVERAGE(BD304:BD308)</f>
        <v>28.691399999999998</v>
      </c>
      <c r="BU304">
        <v>396</v>
      </c>
      <c r="BV304" t="s">
        <v>70</v>
      </c>
      <c r="BW304">
        <v>38144</v>
      </c>
      <c r="BX304">
        <v>192</v>
      </c>
      <c r="BY304">
        <v>2</v>
      </c>
      <c r="BZ304">
        <v>8</v>
      </c>
      <c r="CA304">
        <v>895.82</v>
      </c>
      <c r="CB304">
        <v>41.512</v>
      </c>
      <c r="CQ304" s="54">
        <f t="shared" si="414"/>
        <v>41.255166666666668</v>
      </c>
    </row>
    <row r="305" spans="1:95">
      <c r="A305">
        <v>1</v>
      </c>
      <c r="B305" t="s">
        <v>7</v>
      </c>
      <c r="C305">
        <v>35840</v>
      </c>
      <c r="D305">
        <v>224</v>
      </c>
      <c r="E305">
        <v>4</v>
      </c>
      <c r="F305">
        <v>4</v>
      </c>
      <c r="G305">
        <v>994.9</v>
      </c>
      <c r="H305" s="59">
        <v>30.85</v>
      </c>
      <c r="I305" s="27">
        <v>45483</v>
      </c>
      <c r="J305" s="53">
        <v>0.43451388888888887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 s="66">
        <f t="shared" ref="W305" si="461">W304</f>
        <v>37.537999999999997</v>
      </c>
      <c r="Y305">
        <v>1</v>
      </c>
      <c r="Z305" t="s">
        <v>7</v>
      </c>
      <c r="AA305">
        <v>35840</v>
      </c>
      <c r="AB305">
        <v>224</v>
      </c>
      <c r="AC305">
        <v>4</v>
      </c>
      <c r="AD305">
        <v>4</v>
      </c>
      <c r="AE305">
        <v>742.67</v>
      </c>
      <c r="AF305" s="48">
        <v>41.328000000000003</v>
      </c>
      <c r="AG305" s="27">
        <v>45500</v>
      </c>
      <c r="AH305" s="53">
        <v>0.82516203703703705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 s="66">
        <f t="shared" ref="AU305" si="462">AU304</f>
        <v>41.572200000000002</v>
      </c>
      <c r="AW305">
        <v>1</v>
      </c>
      <c r="AX305" t="s">
        <v>7</v>
      </c>
      <c r="AY305">
        <v>35840</v>
      </c>
      <c r="AZ305">
        <v>224</v>
      </c>
      <c r="BA305">
        <v>4</v>
      </c>
      <c r="BB305">
        <v>4</v>
      </c>
      <c r="BC305">
        <v>1071.54</v>
      </c>
      <c r="BD305" s="61">
        <v>28.643999999999998</v>
      </c>
      <c r="BE305" s="27">
        <v>45490</v>
      </c>
      <c r="BF305" s="53">
        <v>0.19032407407407406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 s="8">
        <f t="shared" ref="BS305" si="463">BS304</f>
        <v>28.691399999999998</v>
      </c>
      <c r="BU305">
        <v>65</v>
      </c>
      <c r="BV305" t="s">
        <v>70</v>
      </c>
      <c r="BW305">
        <v>40320</v>
      </c>
      <c r="BX305">
        <v>192</v>
      </c>
      <c r="BY305">
        <v>2</v>
      </c>
      <c r="BZ305">
        <v>8</v>
      </c>
      <c r="CA305">
        <v>1047.6300000000001</v>
      </c>
      <c r="CB305">
        <v>41.715000000000003</v>
      </c>
      <c r="CQ305" s="54">
        <f t="shared" ref="CQ305" si="464">AVERAGE(CB305:CB310)</f>
        <v>41.807166666666667</v>
      </c>
    </row>
    <row r="306" spans="1:95">
      <c r="A306">
        <v>2</v>
      </c>
      <c r="B306" t="s">
        <v>7</v>
      </c>
      <c r="C306">
        <v>35840</v>
      </c>
      <c r="D306">
        <v>224</v>
      </c>
      <c r="E306">
        <v>4</v>
      </c>
      <c r="F306">
        <v>4</v>
      </c>
      <c r="G306">
        <v>777.01</v>
      </c>
      <c r="H306" s="59">
        <v>39.500999999999998</v>
      </c>
      <c r="I306" s="27">
        <v>45484</v>
      </c>
      <c r="J306" s="53">
        <v>0.29728009259259258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 s="66">
        <f t="shared" si="415"/>
        <v>37.537999999999997</v>
      </c>
      <c r="Y306">
        <v>2</v>
      </c>
      <c r="Z306" t="s">
        <v>7</v>
      </c>
      <c r="AA306">
        <v>35840</v>
      </c>
      <c r="AB306">
        <v>224</v>
      </c>
      <c r="AC306">
        <v>4</v>
      </c>
      <c r="AD306">
        <v>4</v>
      </c>
      <c r="AE306">
        <v>736.67</v>
      </c>
      <c r="AF306" s="48">
        <v>41.664999999999999</v>
      </c>
      <c r="AG306" s="27">
        <v>45501</v>
      </c>
      <c r="AH306" s="53">
        <v>0.61917824074074079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 s="66">
        <f t="shared" si="408"/>
        <v>41.572200000000002</v>
      </c>
      <c r="AW306">
        <v>2</v>
      </c>
      <c r="AX306" t="s">
        <v>7</v>
      </c>
      <c r="AY306">
        <v>35840</v>
      </c>
      <c r="AZ306">
        <v>224</v>
      </c>
      <c r="BA306">
        <v>4</v>
      </c>
      <c r="BB306">
        <v>4</v>
      </c>
      <c r="BC306">
        <v>1067.3800000000001</v>
      </c>
      <c r="BD306" s="61">
        <v>28.754999999999999</v>
      </c>
      <c r="BE306" s="27">
        <v>45491</v>
      </c>
      <c r="BF306" s="53">
        <v>0.27652777777777776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 s="8">
        <f t="shared" si="409"/>
        <v>28.691399999999998</v>
      </c>
      <c r="BU306">
        <v>136</v>
      </c>
      <c r="BV306" t="s">
        <v>70</v>
      </c>
      <c r="BW306">
        <v>40320</v>
      </c>
      <c r="BX306">
        <v>192</v>
      </c>
      <c r="BY306">
        <v>2</v>
      </c>
      <c r="BZ306">
        <v>8</v>
      </c>
      <c r="CA306">
        <v>1043.1400000000001</v>
      </c>
      <c r="CB306">
        <v>41.893999999999998</v>
      </c>
      <c r="CQ306" s="54">
        <f t="shared" ref="CQ306" si="465">CQ305</f>
        <v>41.807166666666667</v>
      </c>
    </row>
    <row r="307" spans="1:95">
      <c r="A307">
        <v>3</v>
      </c>
      <c r="B307" t="s">
        <v>7</v>
      </c>
      <c r="C307">
        <v>35840</v>
      </c>
      <c r="D307">
        <v>224</v>
      </c>
      <c r="E307">
        <v>4</v>
      </c>
      <c r="F307">
        <v>4</v>
      </c>
      <c r="G307">
        <v>778.48</v>
      </c>
      <c r="H307" s="59">
        <v>39.427</v>
      </c>
      <c r="I307" s="27">
        <v>45485</v>
      </c>
      <c r="J307" s="53">
        <v>0.16038194444444445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s="66">
        <f t="shared" si="415"/>
        <v>37.537999999999997</v>
      </c>
      <c r="Y307">
        <v>3</v>
      </c>
      <c r="Z307" t="s">
        <v>7</v>
      </c>
      <c r="AA307">
        <v>35840</v>
      </c>
      <c r="AB307">
        <v>224</v>
      </c>
      <c r="AC307">
        <v>4</v>
      </c>
      <c r="AD307">
        <v>4</v>
      </c>
      <c r="AE307">
        <v>738.92</v>
      </c>
      <c r="AF307" s="48">
        <v>41.537999999999997</v>
      </c>
      <c r="AG307" s="27">
        <v>45502</v>
      </c>
      <c r="AH307" s="53">
        <v>0.4138310185185185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 s="66">
        <f t="shared" si="408"/>
        <v>41.572200000000002</v>
      </c>
      <c r="AW307">
        <v>3</v>
      </c>
      <c r="AX307" t="s">
        <v>7</v>
      </c>
      <c r="AY307">
        <v>35840</v>
      </c>
      <c r="AZ307">
        <v>224</v>
      </c>
      <c r="BA307">
        <v>4</v>
      </c>
      <c r="BB307">
        <v>4</v>
      </c>
      <c r="BC307">
        <v>1075.83</v>
      </c>
      <c r="BD307" s="61">
        <v>28.53</v>
      </c>
      <c r="BE307" s="27">
        <v>45492</v>
      </c>
      <c r="BF307" s="53">
        <v>0.36141203703703706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 s="8">
        <f t="shared" si="409"/>
        <v>28.691399999999998</v>
      </c>
      <c r="BU307">
        <v>207</v>
      </c>
      <c r="BV307" t="s">
        <v>70</v>
      </c>
      <c r="BW307">
        <v>40320</v>
      </c>
      <c r="BX307">
        <v>192</v>
      </c>
      <c r="BY307">
        <v>2</v>
      </c>
      <c r="BZ307">
        <v>8</v>
      </c>
      <c r="CA307">
        <v>1042.77</v>
      </c>
      <c r="CB307">
        <v>41.908999999999999</v>
      </c>
      <c r="CQ307" s="54">
        <f t="shared" si="414"/>
        <v>41.807166666666667</v>
      </c>
    </row>
    <row r="308" spans="1:95">
      <c r="A308">
        <v>4</v>
      </c>
      <c r="B308" t="s">
        <v>7</v>
      </c>
      <c r="C308">
        <v>35840</v>
      </c>
      <c r="D308">
        <v>224</v>
      </c>
      <c r="E308">
        <v>4</v>
      </c>
      <c r="F308">
        <v>4</v>
      </c>
      <c r="G308">
        <v>802.77</v>
      </c>
      <c r="H308" s="59">
        <v>38.234000000000002</v>
      </c>
      <c r="I308" s="27">
        <v>45486</v>
      </c>
      <c r="J308" s="53">
        <v>4.1423611111111112E-2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 s="66">
        <f t="shared" si="415"/>
        <v>37.537999999999997</v>
      </c>
      <c r="Y308">
        <v>4</v>
      </c>
      <c r="Z308" t="s">
        <v>7</v>
      </c>
      <c r="AA308">
        <v>35840</v>
      </c>
      <c r="AB308">
        <v>224</v>
      </c>
      <c r="AC308">
        <v>4</v>
      </c>
      <c r="AD308">
        <v>4</v>
      </c>
      <c r="AE308">
        <v>739.49</v>
      </c>
      <c r="AF308" s="48">
        <v>41.506</v>
      </c>
      <c r="AG308" s="27">
        <v>45503</v>
      </c>
      <c r="AH308" s="53">
        <v>0.20851851851851852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 s="66">
        <f t="shared" si="408"/>
        <v>41.572200000000002</v>
      </c>
      <c r="AW308">
        <v>4</v>
      </c>
      <c r="AX308" t="s">
        <v>7</v>
      </c>
      <c r="AY308">
        <v>35840</v>
      </c>
      <c r="AZ308">
        <v>224</v>
      </c>
      <c r="BA308">
        <v>4</v>
      </c>
      <c r="BB308">
        <v>4</v>
      </c>
      <c r="BC308">
        <v>1067.83</v>
      </c>
      <c r="BD308" s="61">
        <v>28.742999999999999</v>
      </c>
      <c r="BE308" s="27">
        <v>45493</v>
      </c>
      <c r="BF308" s="53">
        <v>0.44664351851851852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 s="8">
        <f t="shared" si="409"/>
        <v>28.691399999999998</v>
      </c>
      <c r="BU308">
        <v>278</v>
      </c>
      <c r="BV308" t="s">
        <v>70</v>
      </c>
      <c r="BW308">
        <v>40320</v>
      </c>
      <c r="BX308">
        <v>192</v>
      </c>
      <c r="BY308">
        <v>2</v>
      </c>
      <c r="BZ308">
        <v>8</v>
      </c>
      <c r="CA308">
        <v>1048.06</v>
      </c>
      <c r="CB308">
        <v>41.697000000000003</v>
      </c>
      <c r="CQ308" s="54">
        <f t="shared" si="414"/>
        <v>41.807166666666667</v>
      </c>
    </row>
    <row r="309" spans="1:95">
      <c r="A309">
        <v>0</v>
      </c>
      <c r="B309" t="s">
        <v>7</v>
      </c>
      <c r="C309">
        <v>38080</v>
      </c>
      <c r="D309">
        <v>224</v>
      </c>
      <c r="E309">
        <v>4</v>
      </c>
      <c r="F309">
        <v>4</v>
      </c>
      <c r="G309" s="1">
        <v>908.78</v>
      </c>
      <c r="H309" s="59">
        <v>40.511000000000003</v>
      </c>
      <c r="I309" s="27">
        <v>45482</v>
      </c>
      <c r="J309" s="53">
        <v>0.85185185185185186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 s="66">
        <f t="shared" ref="W309" si="466">AVERAGE(H309:H313)</f>
        <v>40.073999999999998</v>
      </c>
      <c r="Y309">
        <v>0</v>
      </c>
      <c r="Z309" t="s">
        <v>7</v>
      </c>
      <c r="AA309">
        <v>38080</v>
      </c>
      <c r="AB309">
        <v>224</v>
      </c>
      <c r="AC309">
        <v>4</v>
      </c>
      <c r="AD309">
        <v>4</v>
      </c>
      <c r="AE309">
        <v>872.33</v>
      </c>
      <c r="AF309" s="48">
        <v>42.203000000000003</v>
      </c>
      <c r="AG309" s="27">
        <v>45499</v>
      </c>
      <c r="AH309" s="53">
        <v>0.96182870370370366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 s="66">
        <f t="shared" ref="AU309" si="467">AVERAGE(AF309:AF313)</f>
        <v>41.8874</v>
      </c>
      <c r="AW309">
        <v>0</v>
      </c>
      <c r="AX309" t="s">
        <v>7</v>
      </c>
      <c r="AY309">
        <v>38080</v>
      </c>
      <c r="AZ309">
        <v>224</v>
      </c>
      <c r="BA309">
        <v>4</v>
      </c>
      <c r="BB309">
        <v>4</v>
      </c>
      <c r="BC309">
        <v>1229.1500000000001</v>
      </c>
      <c r="BD309" s="61">
        <v>29.952000000000002</v>
      </c>
      <c r="BE309" s="27">
        <v>45489</v>
      </c>
      <c r="BF309" s="53">
        <v>0.15135416666666668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 s="8">
        <f t="shared" ref="BS309" si="468">AVERAGE(BD309:BD313)</f>
        <v>29.8858</v>
      </c>
      <c r="BU309">
        <v>349</v>
      </c>
      <c r="BV309" t="s">
        <v>70</v>
      </c>
      <c r="BW309">
        <v>40320</v>
      </c>
      <c r="BX309">
        <v>192</v>
      </c>
      <c r="BY309">
        <v>2</v>
      </c>
      <c r="BZ309">
        <v>8</v>
      </c>
      <c r="CA309">
        <v>1044.69</v>
      </c>
      <c r="CB309">
        <v>41.832000000000001</v>
      </c>
      <c r="CQ309" s="54">
        <f t="shared" si="414"/>
        <v>41.807166666666667</v>
      </c>
    </row>
    <row r="310" spans="1:95">
      <c r="A310">
        <v>1</v>
      </c>
      <c r="B310" t="s">
        <v>7</v>
      </c>
      <c r="C310">
        <v>38080</v>
      </c>
      <c r="D310">
        <v>224</v>
      </c>
      <c r="E310">
        <v>4</v>
      </c>
      <c r="F310">
        <v>4</v>
      </c>
      <c r="G310">
        <v>907.4</v>
      </c>
      <c r="H310" s="59">
        <v>40.572000000000003</v>
      </c>
      <c r="I310" s="27">
        <v>45483</v>
      </c>
      <c r="J310" s="53">
        <v>0.71707175925925926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 s="66">
        <f t="shared" ref="W310" si="469">W309</f>
        <v>40.073999999999998</v>
      </c>
      <c r="Y310">
        <v>1</v>
      </c>
      <c r="Z310" t="s">
        <v>7</v>
      </c>
      <c r="AA310">
        <v>38080</v>
      </c>
      <c r="AB310">
        <v>224</v>
      </c>
      <c r="AC310">
        <v>4</v>
      </c>
      <c r="AD310">
        <v>4</v>
      </c>
      <c r="AE310">
        <v>880.42</v>
      </c>
      <c r="AF310" s="48">
        <v>41.814999999999998</v>
      </c>
      <c r="AG310" s="27">
        <v>45501</v>
      </c>
      <c r="AH310" s="53">
        <v>8.3738425925925924E-2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 s="66">
        <f t="shared" ref="AU310" si="470">AU309</f>
        <v>41.8874</v>
      </c>
      <c r="AW310">
        <v>1</v>
      </c>
      <c r="AX310" t="s">
        <v>7</v>
      </c>
      <c r="AY310">
        <v>38080</v>
      </c>
      <c r="AZ310">
        <v>224</v>
      </c>
      <c r="BA310">
        <v>4</v>
      </c>
      <c r="BB310">
        <v>4</v>
      </c>
      <c r="BC310">
        <v>1230.3900000000001</v>
      </c>
      <c r="BD310" s="61">
        <v>29.922000000000001</v>
      </c>
      <c r="BE310" s="27">
        <v>45490</v>
      </c>
      <c r="BF310" s="53">
        <v>0.54496527777777781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 s="8">
        <f t="shared" ref="BS310" si="471">BS309</f>
        <v>29.8858</v>
      </c>
      <c r="BU310">
        <v>420</v>
      </c>
      <c r="BV310" t="s">
        <v>70</v>
      </c>
      <c r="BW310">
        <v>40320</v>
      </c>
      <c r="BX310">
        <v>192</v>
      </c>
      <c r="BY310">
        <v>2</v>
      </c>
      <c r="BZ310">
        <v>8</v>
      </c>
      <c r="CA310">
        <v>1045.5899999999999</v>
      </c>
      <c r="CB310">
        <v>41.795999999999999</v>
      </c>
      <c r="CQ310" s="54">
        <f t="shared" si="414"/>
        <v>41.807166666666667</v>
      </c>
    </row>
    <row r="311" spans="1:95">
      <c r="A311">
        <v>2</v>
      </c>
      <c r="B311" t="s">
        <v>7</v>
      </c>
      <c r="C311">
        <v>38080</v>
      </c>
      <c r="D311">
        <v>224</v>
      </c>
      <c r="E311">
        <v>4</v>
      </c>
      <c r="F311">
        <v>4</v>
      </c>
      <c r="G311">
        <v>912.9</v>
      </c>
      <c r="H311" s="59">
        <v>40.328000000000003</v>
      </c>
      <c r="I311" s="27">
        <v>45484</v>
      </c>
      <c r="J311" s="53">
        <v>0.57939814814814816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 s="66">
        <f t="shared" si="415"/>
        <v>40.073999999999998</v>
      </c>
      <c r="Y311">
        <v>2</v>
      </c>
      <c r="Z311" t="s">
        <v>7</v>
      </c>
      <c r="AA311">
        <v>38080</v>
      </c>
      <c r="AB311">
        <v>224</v>
      </c>
      <c r="AC311">
        <v>4</v>
      </c>
      <c r="AD311">
        <v>4</v>
      </c>
      <c r="AE311">
        <v>880.75</v>
      </c>
      <c r="AF311" s="48">
        <v>41.8</v>
      </c>
      <c r="AG311" s="27">
        <v>45501</v>
      </c>
      <c r="AH311" s="53">
        <v>0.87876157407407407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 s="66">
        <f t="shared" si="408"/>
        <v>41.8874</v>
      </c>
      <c r="AW311">
        <v>2</v>
      </c>
      <c r="AX311" t="s">
        <v>7</v>
      </c>
      <c r="AY311">
        <v>38080</v>
      </c>
      <c r="AZ311">
        <v>224</v>
      </c>
      <c r="BA311">
        <v>4</v>
      </c>
      <c r="BB311">
        <v>4</v>
      </c>
      <c r="BC311">
        <v>1235.51</v>
      </c>
      <c r="BD311" s="61">
        <v>29.797000000000001</v>
      </c>
      <c r="BE311" s="27">
        <v>45491</v>
      </c>
      <c r="BF311" s="53">
        <v>0.63085648148148143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 s="8">
        <f t="shared" si="409"/>
        <v>29.8858</v>
      </c>
      <c r="BU311">
        <v>18</v>
      </c>
      <c r="BV311" t="s">
        <v>70</v>
      </c>
      <c r="BW311">
        <v>35968</v>
      </c>
      <c r="BX311">
        <v>192</v>
      </c>
      <c r="BY311">
        <v>4</v>
      </c>
      <c r="BZ311">
        <v>4</v>
      </c>
      <c r="CA311">
        <v>798.87</v>
      </c>
      <c r="CB311">
        <v>38.627000000000002</v>
      </c>
      <c r="CQ311" s="54">
        <f t="shared" ref="CQ311" si="472">AVERAGE(CB311:CB316)</f>
        <v>38.581666666666671</v>
      </c>
    </row>
    <row r="312" spans="1:95">
      <c r="A312">
        <v>3</v>
      </c>
      <c r="B312" t="s">
        <v>7</v>
      </c>
      <c r="C312">
        <v>38080</v>
      </c>
      <c r="D312">
        <v>224</v>
      </c>
      <c r="E312">
        <v>4</v>
      </c>
      <c r="F312">
        <v>4</v>
      </c>
      <c r="G312">
        <v>934.7</v>
      </c>
      <c r="H312" s="59">
        <v>39.387</v>
      </c>
      <c r="I312" s="27">
        <v>45485</v>
      </c>
      <c r="J312" s="53">
        <v>0.44347222222222221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 s="66">
        <f t="shared" si="415"/>
        <v>40.073999999999998</v>
      </c>
      <c r="Y312">
        <v>3</v>
      </c>
      <c r="Z312" t="s">
        <v>7</v>
      </c>
      <c r="AA312">
        <v>38080</v>
      </c>
      <c r="AB312">
        <v>224</v>
      </c>
      <c r="AC312">
        <v>4</v>
      </c>
      <c r="AD312">
        <v>4</v>
      </c>
      <c r="AE312" s="1">
        <v>882.65</v>
      </c>
      <c r="AF312" s="48">
        <v>41.709000000000003</v>
      </c>
      <c r="AG312" s="27">
        <v>45502</v>
      </c>
      <c r="AH312" s="53">
        <v>0.67260416666666667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 s="66">
        <f t="shared" si="408"/>
        <v>41.8874</v>
      </c>
      <c r="AW312">
        <v>3</v>
      </c>
      <c r="AX312" t="s">
        <v>7</v>
      </c>
      <c r="AY312">
        <v>38080</v>
      </c>
      <c r="AZ312">
        <v>224</v>
      </c>
      <c r="BA312">
        <v>4</v>
      </c>
      <c r="BB312">
        <v>4</v>
      </c>
      <c r="BC312">
        <v>1234.23</v>
      </c>
      <c r="BD312" s="61">
        <v>29.827999999999999</v>
      </c>
      <c r="BE312" s="27">
        <v>45492</v>
      </c>
      <c r="BF312" s="53">
        <v>0.71597222222222223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 s="8">
        <f t="shared" si="409"/>
        <v>29.8858</v>
      </c>
      <c r="BU312">
        <v>89</v>
      </c>
      <c r="BV312" t="s">
        <v>70</v>
      </c>
      <c r="BW312">
        <v>35968</v>
      </c>
      <c r="BX312">
        <v>192</v>
      </c>
      <c r="BY312">
        <v>4</v>
      </c>
      <c r="BZ312">
        <v>4</v>
      </c>
      <c r="CA312">
        <v>804.07</v>
      </c>
      <c r="CB312">
        <v>38.377000000000002</v>
      </c>
      <c r="CQ312" s="54">
        <f t="shared" ref="CQ312" si="473">CQ311</f>
        <v>38.581666666666671</v>
      </c>
    </row>
    <row r="313" spans="1:95">
      <c r="A313">
        <v>4</v>
      </c>
      <c r="B313" t="s">
        <v>7</v>
      </c>
      <c r="C313">
        <v>38080</v>
      </c>
      <c r="D313">
        <v>224</v>
      </c>
      <c r="E313">
        <v>4</v>
      </c>
      <c r="F313">
        <v>4</v>
      </c>
      <c r="G313">
        <v>930.32</v>
      </c>
      <c r="H313" s="59">
        <v>39.572000000000003</v>
      </c>
      <c r="I313" s="27">
        <v>45486</v>
      </c>
      <c r="J313" s="53">
        <v>0.33156249999999998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s="66">
        <f t="shared" si="415"/>
        <v>40.073999999999998</v>
      </c>
      <c r="Y313">
        <v>4</v>
      </c>
      <c r="Z313" t="s">
        <v>7</v>
      </c>
      <c r="AA313">
        <v>38080</v>
      </c>
      <c r="AB313">
        <v>224</v>
      </c>
      <c r="AC313">
        <v>4</v>
      </c>
      <c r="AD313">
        <v>4</v>
      </c>
      <c r="AE313">
        <v>878.43</v>
      </c>
      <c r="AF313" s="48">
        <v>41.91</v>
      </c>
      <c r="AG313" s="27">
        <v>45503</v>
      </c>
      <c r="AH313" s="53">
        <v>0.46793981481481484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 s="66">
        <f t="shared" si="408"/>
        <v>41.8874</v>
      </c>
      <c r="AW313">
        <v>4</v>
      </c>
      <c r="AX313" t="s">
        <v>7</v>
      </c>
      <c r="AY313">
        <v>38080</v>
      </c>
      <c r="AZ313">
        <v>224</v>
      </c>
      <c r="BA313">
        <v>4</v>
      </c>
      <c r="BB313">
        <v>4</v>
      </c>
      <c r="BC313">
        <v>1230.04</v>
      </c>
      <c r="BD313" s="61">
        <v>29.93</v>
      </c>
      <c r="BE313" s="27">
        <v>45493</v>
      </c>
      <c r="BF313" s="53">
        <v>0.80137731481481478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 s="8">
        <f t="shared" si="409"/>
        <v>29.8858</v>
      </c>
      <c r="BU313">
        <v>160</v>
      </c>
      <c r="BV313" t="s">
        <v>70</v>
      </c>
      <c r="BW313">
        <v>35968</v>
      </c>
      <c r="BX313">
        <v>192</v>
      </c>
      <c r="BY313">
        <v>4</v>
      </c>
      <c r="BZ313">
        <v>4</v>
      </c>
      <c r="CA313">
        <v>802.03</v>
      </c>
      <c r="CB313">
        <v>38.473999999999997</v>
      </c>
      <c r="CQ313" s="54">
        <f t="shared" si="414"/>
        <v>38.581666666666671</v>
      </c>
    </row>
    <row r="314" spans="1:95">
      <c r="A314">
        <v>0</v>
      </c>
      <c r="B314" t="s">
        <v>7</v>
      </c>
      <c r="C314">
        <v>40096</v>
      </c>
      <c r="D314">
        <v>224</v>
      </c>
      <c r="E314">
        <v>4</v>
      </c>
      <c r="F314">
        <v>4</v>
      </c>
      <c r="G314" s="1">
        <v>1043.99</v>
      </c>
      <c r="H314" s="59">
        <v>41.165999999999997</v>
      </c>
      <c r="I314" s="27">
        <v>45483</v>
      </c>
      <c r="J314" s="53">
        <v>0.17646990740740739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s="66">
        <f t="shared" ref="W314" si="474">AVERAGE(H314:H318)</f>
        <v>40.733600000000003</v>
      </c>
      <c r="Y314">
        <v>0</v>
      </c>
      <c r="Z314" t="s">
        <v>7</v>
      </c>
      <c r="AA314">
        <v>40096</v>
      </c>
      <c r="AB314">
        <v>224</v>
      </c>
      <c r="AC314">
        <v>4</v>
      </c>
      <c r="AD314">
        <v>4</v>
      </c>
      <c r="AE314">
        <v>1004.45</v>
      </c>
      <c r="AF314" s="48">
        <v>42.786999999999999</v>
      </c>
      <c r="AG314" s="27">
        <v>45500</v>
      </c>
      <c r="AH314" s="53">
        <v>0.26268518518518519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 s="66">
        <f t="shared" ref="AU314" si="475">AVERAGE(AF314:AF318)</f>
        <v>42.583999999999996</v>
      </c>
      <c r="AW314">
        <v>0</v>
      </c>
      <c r="AX314" t="s">
        <v>7</v>
      </c>
      <c r="AY314">
        <v>40096</v>
      </c>
      <c r="AZ314">
        <v>224</v>
      </c>
      <c r="BA314">
        <v>4</v>
      </c>
      <c r="BB314">
        <v>4</v>
      </c>
      <c r="BC314">
        <v>1392.63</v>
      </c>
      <c r="BD314" s="61">
        <v>30.86</v>
      </c>
      <c r="BE314" s="27">
        <v>45489</v>
      </c>
      <c r="BF314" s="53">
        <v>0.55745370370370373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 s="8">
        <f t="shared" ref="BS314" si="476">AVERAGE(BD314:BD318)</f>
        <v>30.834199999999999</v>
      </c>
      <c r="BU314">
        <v>231</v>
      </c>
      <c r="BV314" t="s">
        <v>70</v>
      </c>
      <c r="BW314">
        <v>35968</v>
      </c>
      <c r="BX314">
        <v>192</v>
      </c>
      <c r="BY314">
        <v>4</v>
      </c>
      <c r="BZ314">
        <v>4</v>
      </c>
      <c r="CA314">
        <v>800.12</v>
      </c>
      <c r="CB314">
        <v>38.567</v>
      </c>
      <c r="CQ314" s="54">
        <f t="shared" si="414"/>
        <v>38.581666666666671</v>
      </c>
    </row>
    <row r="315" spans="1:95">
      <c r="A315">
        <v>1</v>
      </c>
      <c r="B315" t="s">
        <v>7</v>
      </c>
      <c r="C315">
        <v>40096</v>
      </c>
      <c r="D315">
        <v>224</v>
      </c>
      <c r="E315">
        <v>4</v>
      </c>
      <c r="F315">
        <v>4</v>
      </c>
      <c r="G315">
        <v>1041.68</v>
      </c>
      <c r="H315" s="59">
        <v>41.256999999999998</v>
      </c>
      <c r="I315" s="27">
        <v>45484</v>
      </c>
      <c r="J315" s="53">
        <v>4.1527777777777775E-2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 s="66">
        <f t="shared" ref="W315" si="477">W314</f>
        <v>40.733600000000003</v>
      </c>
      <c r="Y315">
        <v>1</v>
      </c>
      <c r="Z315" t="s">
        <v>7</v>
      </c>
      <c r="AA315">
        <v>40096</v>
      </c>
      <c r="AB315">
        <v>224</v>
      </c>
      <c r="AC315">
        <v>4</v>
      </c>
      <c r="AD315">
        <v>4</v>
      </c>
      <c r="AE315" s="1">
        <v>1010.67</v>
      </c>
      <c r="AF315" s="48">
        <v>42.523000000000003</v>
      </c>
      <c r="AG315" s="27">
        <v>45501</v>
      </c>
      <c r="AH315" s="53">
        <v>0.38435185185185183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 s="66">
        <f t="shared" ref="AU315" si="478">AU314</f>
        <v>42.583999999999996</v>
      </c>
      <c r="AW315">
        <v>1</v>
      </c>
      <c r="AX315" t="s">
        <v>7</v>
      </c>
      <c r="AY315">
        <v>40096</v>
      </c>
      <c r="AZ315">
        <v>224</v>
      </c>
      <c r="BA315">
        <v>4</v>
      </c>
      <c r="BB315">
        <v>4</v>
      </c>
      <c r="BC315">
        <v>1399.17</v>
      </c>
      <c r="BD315" s="61">
        <v>30.716000000000001</v>
      </c>
      <c r="BE315" s="27">
        <v>45490</v>
      </c>
      <c r="BF315" s="53">
        <v>0.95081018518518523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 s="8">
        <f t="shared" ref="BS315" si="479">BS314</f>
        <v>30.834199999999999</v>
      </c>
      <c r="BU315">
        <v>302</v>
      </c>
      <c r="BV315" t="s">
        <v>70</v>
      </c>
      <c r="BW315">
        <v>35968</v>
      </c>
      <c r="BX315">
        <v>192</v>
      </c>
      <c r="BY315">
        <v>4</v>
      </c>
      <c r="BZ315">
        <v>4</v>
      </c>
      <c r="CA315">
        <v>797.98</v>
      </c>
      <c r="CB315">
        <v>38.67</v>
      </c>
      <c r="CQ315" s="54">
        <f t="shared" si="414"/>
        <v>38.581666666666671</v>
      </c>
    </row>
    <row r="316" spans="1:95">
      <c r="A316">
        <v>2</v>
      </c>
      <c r="B316" t="s">
        <v>7</v>
      </c>
      <c r="C316">
        <v>40096</v>
      </c>
      <c r="D316">
        <v>224</v>
      </c>
      <c r="E316">
        <v>4</v>
      </c>
      <c r="F316">
        <v>4</v>
      </c>
      <c r="G316">
        <v>1042.42</v>
      </c>
      <c r="H316" s="59">
        <v>41.228000000000002</v>
      </c>
      <c r="I316" s="27">
        <v>45484</v>
      </c>
      <c r="J316" s="53">
        <v>0.90416666666666667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 s="66">
        <f t="shared" si="415"/>
        <v>40.733600000000003</v>
      </c>
      <c r="Y316">
        <v>2</v>
      </c>
      <c r="Z316" t="s">
        <v>7</v>
      </c>
      <c r="AA316">
        <v>40096</v>
      </c>
      <c r="AB316">
        <v>224</v>
      </c>
      <c r="AC316">
        <v>4</v>
      </c>
      <c r="AD316">
        <v>4</v>
      </c>
      <c r="AE316">
        <v>1003.15</v>
      </c>
      <c r="AF316" s="48">
        <v>42.841999999999999</v>
      </c>
      <c r="AG316" s="27">
        <v>45502</v>
      </c>
      <c r="AH316" s="53">
        <v>0.17910879629629631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 s="66">
        <f t="shared" si="408"/>
        <v>42.583999999999996</v>
      </c>
      <c r="AW316">
        <v>2</v>
      </c>
      <c r="AX316" t="s">
        <v>7</v>
      </c>
      <c r="AY316">
        <v>40096</v>
      </c>
      <c r="AZ316">
        <v>224</v>
      </c>
      <c r="BA316">
        <v>4</v>
      </c>
      <c r="BB316">
        <v>4</v>
      </c>
      <c r="BC316">
        <v>1391</v>
      </c>
      <c r="BD316" s="61">
        <v>30.896999999999998</v>
      </c>
      <c r="BE316" s="27">
        <v>45492</v>
      </c>
      <c r="BF316" s="53">
        <v>3.5879629629629629E-2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 s="8">
        <f t="shared" si="409"/>
        <v>30.834199999999999</v>
      </c>
      <c r="BU316">
        <v>373</v>
      </c>
      <c r="BV316" t="s">
        <v>70</v>
      </c>
      <c r="BW316">
        <v>35968</v>
      </c>
      <c r="BX316">
        <v>192</v>
      </c>
      <c r="BY316">
        <v>4</v>
      </c>
      <c r="BZ316">
        <v>4</v>
      </c>
      <c r="CA316">
        <v>795.81</v>
      </c>
      <c r="CB316">
        <v>38.774999999999999</v>
      </c>
      <c r="CQ316" s="54">
        <f t="shared" si="414"/>
        <v>38.581666666666671</v>
      </c>
    </row>
    <row r="317" spans="1:95">
      <c r="A317">
        <v>3</v>
      </c>
      <c r="B317" t="s">
        <v>7</v>
      </c>
      <c r="C317">
        <v>40096</v>
      </c>
      <c r="D317">
        <v>224</v>
      </c>
      <c r="E317">
        <v>4</v>
      </c>
      <c r="F317">
        <v>4</v>
      </c>
      <c r="G317">
        <v>1073.67</v>
      </c>
      <c r="H317" s="59">
        <v>40.027999999999999</v>
      </c>
      <c r="I317" s="27">
        <v>45485</v>
      </c>
      <c r="J317" s="53">
        <v>0.77758101851851846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 s="66">
        <f t="shared" si="415"/>
        <v>40.733600000000003</v>
      </c>
      <c r="Y317">
        <v>3</v>
      </c>
      <c r="Z317" t="s">
        <v>7</v>
      </c>
      <c r="AA317">
        <v>40096</v>
      </c>
      <c r="AB317">
        <v>224</v>
      </c>
      <c r="AC317">
        <v>4</v>
      </c>
      <c r="AD317">
        <v>4</v>
      </c>
      <c r="AE317">
        <v>1013.6</v>
      </c>
      <c r="AF317" s="48">
        <v>42.4</v>
      </c>
      <c r="AG317" s="27">
        <v>45502</v>
      </c>
      <c r="AH317" s="53">
        <v>0.97415509259259259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 s="66">
        <f t="shared" si="408"/>
        <v>42.583999999999996</v>
      </c>
      <c r="AW317">
        <v>3</v>
      </c>
      <c r="AX317" t="s">
        <v>7</v>
      </c>
      <c r="AY317">
        <v>40096</v>
      </c>
      <c r="AZ317">
        <v>224</v>
      </c>
      <c r="BA317">
        <v>4</v>
      </c>
      <c r="BB317">
        <v>4</v>
      </c>
      <c r="BC317">
        <v>1386.57</v>
      </c>
      <c r="BD317" s="61">
        <v>30.995000000000001</v>
      </c>
      <c r="BE317" s="27">
        <v>45493</v>
      </c>
      <c r="BF317" s="53">
        <v>0.12128472222222222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 s="8">
        <f t="shared" si="409"/>
        <v>30.834199999999999</v>
      </c>
      <c r="BU317">
        <v>42</v>
      </c>
      <c r="BV317" t="s">
        <v>70</v>
      </c>
      <c r="BW317">
        <v>38144</v>
      </c>
      <c r="BX317">
        <v>192</v>
      </c>
      <c r="BY317">
        <v>4</v>
      </c>
      <c r="BZ317">
        <v>4</v>
      </c>
      <c r="CA317">
        <v>965.52</v>
      </c>
      <c r="CB317">
        <v>38.515999999999998</v>
      </c>
      <c r="CQ317" s="54">
        <f t="shared" ref="CQ317" si="480">AVERAGE(CB317:CB322)</f>
        <v>39.170333333333332</v>
      </c>
    </row>
    <row r="318" spans="1:95">
      <c r="A318">
        <v>4</v>
      </c>
      <c r="B318" t="s">
        <v>7</v>
      </c>
      <c r="C318">
        <v>40096</v>
      </c>
      <c r="D318">
        <v>224</v>
      </c>
      <c r="E318">
        <v>4</v>
      </c>
      <c r="F318">
        <v>4</v>
      </c>
      <c r="G318">
        <v>1074.72</v>
      </c>
      <c r="H318" s="59">
        <v>39.988999999999997</v>
      </c>
      <c r="I318" s="27">
        <v>45486</v>
      </c>
      <c r="J318" s="53">
        <v>0.66584490740740743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 s="66">
        <f t="shared" si="415"/>
        <v>40.733600000000003</v>
      </c>
      <c r="Y318">
        <v>4</v>
      </c>
      <c r="Z318" t="s">
        <v>7</v>
      </c>
      <c r="AA318">
        <v>40096</v>
      </c>
      <c r="AB318">
        <v>224</v>
      </c>
      <c r="AC318">
        <v>4</v>
      </c>
      <c r="AD318">
        <v>4</v>
      </c>
      <c r="AE318">
        <v>1014.37</v>
      </c>
      <c r="AF318" s="48">
        <v>42.368000000000002</v>
      </c>
      <c r="AG318" s="27">
        <v>45503</v>
      </c>
      <c r="AH318" s="53">
        <v>0.76913194444444444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 s="66">
        <f t="shared" si="408"/>
        <v>42.583999999999996</v>
      </c>
      <c r="AW318">
        <v>4</v>
      </c>
      <c r="AX318" t="s">
        <v>7</v>
      </c>
      <c r="AY318">
        <v>40096</v>
      </c>
      <c r="AZ318">
        <v>224</v>
      </c>
      <c r="BA318">
        <v>4</v>
      </c>
      <c r="BB318">
        <v>4</v>
      </c>
      <c r="BC318">
        <v>1399.75</v>
      </c>
      <c r="BD318" s="61">
        <v>30.702999999999999</v>
      </c>
      <c r="BE318" s="27">
        <v>45494</v>
      </c>
      <c r="BF318" s="53">
        <v>0.20733796296296297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 s="8">
        <f t="shared" si="409"/>
        <v>30.834199999999999</v>
      </c>
      <c r="BU318">
        <v>113</v>
      </c>
      <c r="BV318" t="s">
        <v>70</v>
      </c>
      <c r="BW318">
        <v>38144</v>
      </c>
      <c r="BX318">
        <v>192</v>
      </c>
      <c r="BY318">
        <v>4</v>
      </c>
      <c r="BZ318">
        <v>4</v>
      </c>
      <c r="CA318">
        <v>943.34</v>
      </c>
      <c r="CB318">
        <v>39.420999999999999</v>
      </c>
      <c r="CQ318" s="54">
        <f t="shared" ref="CQ318" si="481">CQ317</f>
        <v>39.170333333333332</v>
      </c>
    </row>
    <row r="319" spans="1:95">
      <c r="A319">
        <v>0</v>
      </c>
      <c r="B319" t="s">
        <v>7</v>
      </c>
      <c r="C319">
        <v>35840</v>
      </c>
      <c r="D319">
        <v>256</v>
      </c>
      <c r="E319">
        <v>1</v>
      </c>
      <c r="F319">
        <v>16</v>
      </c>
      <c r="G319" s="1">
        <v>812.8</v>
      </c>
      <c r="H319" s="59">
        <v>37.762</v>
      </c>
      <c r="I319" s="27">
        <v>45482</v>
      </c>
      <c r="J319" s="53">
        <v>0.58188657407407407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 s="66">
        <f t="shared" ref="W319" si="482">AVERAGE(H319:H323)</f>
        <v>37.439799999999998</v>
      </c>
      <c r="Y319">
        <v>0</v>
      </c>
      <c r="Z319" t="s">
        <v>7</v>
      </c>
      <c r="AA319">
        <v>35840</v>
      </c>
      <c r="AB319">
        <v>256</v>
      </c>
      <c r="AC319">
        <v>1</v>
      </c>
      <c r="AD319">
        <v>16</v>
      </c>
      <c r="AE319">
        <v>742.4</v>
      </c>
      <c r="AF319" s="48">
        <v>41.343000000000004</v>
      </c>
      <c r="AG319" s="27">
        <v>45499</v>
      </c>
      <c r="AH319" s="53">
        <v>0.71300925925925929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 s="66">
        <f t="shared" ref="AU319" si="483">AVERAGE(AF319:AF323)</f>
        <v>40.499000000000002</v>
      </c>
      <c r="AW319">
        <v>0</v>
      </c>
      <c r="AX319" t="s">
        <v>7</v>
      </c>
      <c r="AY319">
        <v>35840</v>
      </c>
      <c r="AZ319">
        <v>256</v>
      </c>
      <c r="BA319">
        <v>1</v>
      </c>
      <c r="BB319">
        <v>16</v>
      </c>
      <c r="BC319">
        <v>966.51</v>
      </c>
      <c r="BD319" s="61">
        <v>31.756</v>
      </c>
      <c r="BE319" s="27">
        <v>45488</v>
      </c>
      <c r="BF319" s="53">
        <v>0.80896990740740737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 s="8">
        <f t="shared" ref="BS319" si="484">AVERAGE(BD319:BD323)</f>
        <v>31.706799999999998</v>
      </c>
      <c r="BU319">
        <v>184</v>
      </c>
      <c r="BV319" t="s">
        <v>70</v>
      </c>
      <c r="BW319">
        <v>38144</v>
      </c>
      <c r="BX319">
        <v>192</v>
      </c>
      <c r="BY319">
        <v>4</v>
      </c>
      <c r="BZ319">
        <v>4</v>
      </c>
      <c r="CA319">
        <v>946.65</v>
      </c>
      <c r="CB319">
        <v>39.283000000000001</v>
      </c>
      <c r="CQ319" s="54">
        <f t="shared" si="414"/>
        <v>39.170333333333332</v>
      </c>
    </row>
    <row r="320" spans="1:95">
      <c r="A320">
        <v>1</v>
      </c>
      <c r="B320" t="s">
        <v>7</v>
      </c>
      <c r="C320">
        <v>35840</v>
      </c>
      <c r="D320">
        <v>256</v>
      </c>
      <c r="E320">
        <v>1</v>
      </c>
      <c r="F320">
        <v>16</v>
      </c>
      <c r="G320">
        <v>819.52</v>
      </c>
      <c r="H320" s="59">
        <v>37.451999999999998</v>
      </c>
      <c r="I320" s="27">
        <v>45483</v>
      </c>
      <c r="J320" s="53">
        <v>0.44427083333333334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 s="66">
        <f t="shared" ref="W320" si="485">W319</f>
        <v>37.439799999999998</v>
      </c>
      <c r="Y320">
        <v>1</v>
      </c>
      <c r="Z320" t="s">
        <v>7</v>
      </c>
      <c r="AA320">
        <v>35840</v>
      </c>
      <c r="AB320">
        <v>256</v>
      </c>
      <c r="AC320">
        <v>1</v>
      </c>
      <c r="AD320">
        <v>16</v>
      </c>
      <c r="AE320">
        <v>752.59</v>
      </c>
      <c r="AF320" s="48">
        <v>40.783000000000001</v>
      </c>
      <c r="AG320" s="27">
        <v>45500</v>
      </c>
      <c r="AH320" s="53">
        <v>0.83417824074074076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 s="66">
        <f t="shared" ref="AU320" si="486">AU319</f>
        <v>40.499000000000002</v>
      </c>
      <c r="AW320">
        <v>1</v>
      </c>
      <c r="AX320" t="s">
        <v>7</v>
      </c>
      <c r="AY320">
        <v>35840</v>
      </c>
      <c r="AZ320">
        <v>256</v>
      </c>
      <c r="BA320">
        <v>1</v>
      </c>
      <c r="BB320">
        <v>16</v>
      </c>
      <c r="BC320">
        <v>962.77</v>
      </c>
      <c r="BD320" s="61">
        <v>31.88</v>
      </c>
      <c r="BE320" s="27">
        <v>45490</v>
      </c>
      <c r="BF320" s="53">
        <v>0.20228009259259258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 s="8">
        <f t="shared" ref="BS320" si="487">BS319</f>
        <v>31.706799999999998</v>
      </c>
      <c r="BU320">
        <v>255</v>
      </c>
      <c r="BV320" t="s">
        <v>70</v>
      </c>
      <c r="BW320">
        <v>38144</v>
      </c>
      <c r="BX320">
        <v>192</v>
      </c>
      <c r="BY320">
        <v>4</v>
      </c>
      <c r="BZ320">
        <v>4</v>
      </c>
      <c r="CA320">
        <v>948.43</v>
      </c>
      <c r="CB320">
        <v>39.209000000000003</v>
      </c>
      <c r="CQ320" s="54">
        <f t="shared" si="414"/>
        <v>39.170333333333332</v>
      </c>
    </row>
    <row r="321" spans="1:95">
      <c r="A321">
        <v>2</v>
      </c>
      <c r="B321" t="s">
        <v>7</v>
      </c>
      <c r="C321">
        <v>35840</v>
      </c>
      <c r="D321">
        <v>256</v>
      </c>
      <c r="E321">
        <v>1</v>
      </c>
      <c r="F321">
        <v>16</v>
      </c>
      <c r="G321">
        <v>814.25</v>
      </c>
      <c r="H321" s="59">
        <v>37.695</v>
      </c>
      <c r="I321" s="27">
        <v>45484</v>
      </c>
      <c r="J321" s="53">
        <v>0.3069675925925926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 s="66">
        <f t="shared" si="415"/>
        <v>37.439799999999998</v>
      </c>
      <c r="Y321">
        <v>2</v>
      </c>
      <c r="Z321" t="s">
        <v>7</v>
      </c>
      <c r="AA321">
        <v>35840</v>
      </c>
      <c r="AB321">
        <v>256</v>
      </c>
      <c r="AC321">
        <v>1</v>
      </c>
      <c r="AD321">
        <v>16</v>
      </c>
      <c r="AE321" s="1">
        <v>772.55</v>
      </c>
      <c r="AF321" s="48">
        <v>39.729999999999997</v>
      </c>
      <c r="AG321" s="27">
        <v>45501</v>
      </c>
      <c r="AH321" s="53">
        <v>0.62842592592592594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 s="66">
        <f t="shared" si="408"/>
        <v>40.499000000000002</v>
      </c>
      <c r="AW321">
        <v>2</v>
      </c>
      <c r="AX321" t="s">
        <v>7</v>
      </c>
      <c r="AY321">
        <v>35840</v>
      </c>
      <c r="AZ321">
        <v>256</v>
      </c>
      <c r="BA321">
        <v>1</v>
      </c>
      <c r="BB321">
        <v>16</v>
      </c>
      <c r="BC321">
        <v>965.81</v>
      </c>
      <c r="BD321" s="61">
        <v>31.779</v>
      </c>
      <c r="BE321" s="27">
        <v>45491</v>
      </c>
      <c r="BF321" s="53">
        <v>0.28851851851851851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 s="8">
        <f t="shared" si="409"/>
        <v>31.706799999999998</v>
      </c>
      <c r="BU321">
        <v>326</v>
      </c>
      <c r="BV321" t="s">
        <v>70</v>
      </c>
      <c r="BW321">
        <v>38144</v>
      </c>
      <c r="BX321">
        <v>192</v>
      </c>
      <c r="BY321">
        <v>4</v>
      </c>
      <c r="BZ321">
        <v>4</v>
      </c>
      <c r="CA321">
        <v>945.59</v>
      </c>
      <c r="CB321">
        <v>39.326999999999998</v>
      </c>
      <c r="CQ321" s="54">
        <f t="shared" si="414"/>
        <v>39.170333333333332</v>
      </c>
    </row>
    <row r="322" spans="1:95">
      <c r="A322">
        <v>3</v>
      </c>
      <c r="B322" t="s">
        <v>7</v>
      </c>
      <c r="C322">
        <v>35840</v>
      </c>
      <c r="D322">
        <v>256</v>
      </c>
      <c r="E322">
        <v>1</v>
      </c>
      <c r="F322">
        <v>16</v>
      </c>
      <c r="G322">
        <v>814.81</v>
      </c>
      <c r="H322" s="59">
        <v>37.668999999999997</v>
      </c>
      <c r="I322" s="27">
        <v>45485</v>
      </c>
      <c r="J322" s="53">
        <v>0.17008101851851851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 s="66">
        <f t="shared" si="415"/>
        <v>37.439799999999998</v>
      </c>
      <c r="Y322">
        <v>3</v>
      </c>
      <c r="Z322" t="s">
        <v>7</v>
      </c>
      <c r="AA322">
        <v>35840</v>
      </c>
      <c r="AB322">
        <v>256</v>
      </c>
      <c r="AC322">
        <v>1</v>
      </c>
      <c r="AD322">
        <v>16</v>
      </c>
      <c r="AE322">
        <v>754.76</v>
      </c>
      <c r="AF322" s="48">
        <v>40.665999999999997</v>
      </c>
      <c r="AG322" s="27">
        <v>45502</v>
      </c>
      <c r="AH322" s="53">
        <v>0.4228703703703704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 s="66">
        <f t="shared" si="408"/>
        <v>40.499000000000002</v>
      </c>
      <c r="AW322">
        <v>3</v>
      </c>
      <c r="AX322" t="s">
        <v>7</v>
      </c>
      <c r="AY322">
        <v>35840</v>
      </c>
      <c r="AZ322">
        <v>256</v>
      </c>
      <c r="BA322">
        <v>1</v>
      </c>
      <c r="BB322">
        <v>16</v>
      </c>
      <c r="BC322">
        <v>972.96</v>
      </c>
      <c r="BD322" s="61">
        <v>31.545999999999999</v>
      </c>
      <c r="BE322" s="27">
        <v>45492</v>
      </c>
      <c r="BF322" s="53">
        <v>0.37349537037037039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 s="8">
        <f t="shared" si="409"/>
        <v>31.706799999999998</v>
      </c>
      <c r="BU322">
        <v>397</v>
      </c>
      <c r="BV322" t="s">
        <v>70</v>
      </c>
      <c r="BW322">
        <v>38144</v>
      </c>
      <c r="BX322">
        <v>192</v>
      </c>
      <c r="BY322">
        <v>4</v>
      </c>
      <c r="BZ322">
        <v>4</v>
      </c>
      <c r="CA322">
        <v>947.06</v>
      </c>
      <c r="CB322">
        <v>39.265999999999998</v>
      </c>
      <c r="CQ322" s="54">
        <f t="shared" si="414"/>
        <v>39.170333333333332</v>
      </c>
    </row>
    <row r="323" spans="1:95">
      <c r="A323">
        <v>4</v>
      </c>
      <c r="B323" t="s">
        <v>7</v>
      </c>
      <c r="C323">
        <v>35840</v>
      </c>
      <c r="D323">
        <v>256</v>
      </c>
      <c r="E323">
        <v>1</v>
      </c>
      <c r="F323">
        <v>16</v>
      </c>
      <c r="G323">
        <v>838.14</v>
      </c>
      <c r="H323" s="59">
        <v>36.621000000000002</v>
      </c>
      <c r="I323" s="27">
        <v>45486</v>
      </c>
      <c r="J323" s="53">
        <v>5.140046296296296E-2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 s="66">
        <f t="shared" si="415"/>
        <v>37.439799999999998</v>
      </c>
      <c r="Y323">
        <v>4</v>
      </c>
      <c r="Z323" t="s">
        <v>7</v>
      </c>
      <c r="AA323">
        <v>35840</v>
      </c>
      <c r="AB323">
        <v>256</v>
      </c>
      <c r="AC323">
        <v>1</v>
      </c>
      <c r="AD323">
        <v>16</v>
      </c>
      <c r="AE323">
        <v>767.85</v>
      </c>
      <c r="AF323" s="48">
        <v>39.972999999999999</v>
      </c>
      <c r="AG323" s="27">
        <v>45503</v>
      </c>
      <c r="AH323" s="53">
        <v>0.21770833333333334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 s="66">
        <f t="shared" si="408"/>
        <v>40.499000000000002</v>
      </c>
      <c r="AW323">
        <v>4</v>
      </c>
      <c r="AX323" t="s">
        <v>7</v>
      </c>
      <c r="AY323">
        <v>35840</v>
      </c>
      <c r="AZ323">
        <v>256</v>
      </c>
      <c r="BA323">
        <v>1</v>
      </c>
      <c r="BB323">
        <v>16</v>
      </c>
      <c r="BC323">
        <v>972.12</v>
      </c>
      <c r="BD323" s="61">
        <v>31.573</v>
      </c>
      <c r="BE323" s="27">
        <v>45493</v>
      </c>
      <c r="BF323" s="53">
        <v>0.45870370370370372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 s="8">
        <f t="shared" si="409"/>
        <v>31.706799999999998</v>
      </c>
      <c r="BU323">
        <v>66</v>
      </c>
      <c r="BV323" t="s">
        <v>70</v>
      </c>
      <c r="BW323">
        <v>40320</v>
      </c>
      <c r="BX323">
        <v>192</v>
      </c>
      <c r="BY323">
        <v>4</v>
      </c>
      <c r="BZ323">
        <v>4</v>
      </c>
      <c r="CA323">
        <v>1095.75</v>
      </c>
      <c r="CB323">
        <v>39.881999999999998</v>
      </c>
      <c r="CQ323" s="54">
        <f t="shared" ref="CQ323" si="488">AVERAGE(CB323:CB328)</f>
        <v>39.803666666666665</v>
      </c>
    </row>
    <row r="324" spans="1:95">
      <c r="A324">
        <v>0</v>
      </c>
      <c r="B324" t="s">
        <v>7</v>
      </c>
      <c r="C324">
        <v>37888</v>
      </c>
      <c r="D324">
        <v>256</v>
      </c>
      <c r="E324">
        <v>1</v>
      </c>
      <c r="F324">
        <v>16</v>
      </c>
      <c r="G324" s="1">
        <v>987</v>
      </c>
      <c r="H324" s="59">
        <v>36.738999999999997</v>
      </c>
      <c r="I324" s="27">
        <v>45482</v>
      </c>
      <c r="J324" s="53">
        <v>0.86358796296296292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 s="66">
        <f t="shared" ref="W324" si="489">AVERAGE(H324:H328)</f>
        <v>36.613799999999998</v>
      </c>
      <c r="Y324">
        <v>0</v>
      </c>
      <c r="Z324" t="s">
        <v>7</v>
      </c>
      <c r="AA324">
        <v>37888</v>
      </c>
      <c r="AB324">
        <v>256</v>
      </c>
      <c r="AC324">
        <v>1</v>
      </c>
      <c r="AD324">
        <v>16</v>
      </c>
      <c r="AE324" s="1">
        <v>882.8</v>
      </c>
      <c r="AF324" s="48">
        <v>41.075000000000003</v>
      </c>
      <c r="AG324" s="27">
        <v>45499</v>
      </c>
      <c r="AH324" s="53">
        <v>0.97239583333333335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 s="66">
        <f t="shared" ref="AU324" si="490">AVERAGE(AF324:AF328)</f>
        <v>41.646000000000001</v>
      </c>
      <c r="AW324">
        <v>0</v>
      </c>
      <c r="AX324" t="s">
        <v>7</v>
      </c>
      <c r="AY324">
        <v>37888</v>
      </c>
      <c r="AZ324">
        <v>256</v>
      </c>
      <c r="BA324">
        <v>1</v>
      </c>
      <c r="BB324">
        <v>16</v>
      </c>
      <c r="BC324">
        <v>1117.45</v>
      </c>
      <c r="BD324" s="61">
        <v>32.450000000000003</v>
      </c>
      <c r="BE324" s="27">
        <v>45489</v>
      </c>
      <c r="BF324" s="53">
        <v>0.16526620370370371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 s="8">
        <f t="shared" ref="BS324" si="491">AVERAGE(BD324:BD328)</f>
        <v>32.576800000000006</v>
      </c>
      <c r="BU324">
        <v>137</v>
      </c>
      <c r="BV324" t="s">
        <v>70</v>
      </c>
      <c r="BW324">
        <v>40320</v>
      </c>
      <c r="BX324">
        <v>192</v>
      </c>
      <c r="BY324">
        <v>4</v>
      </c>
      <c r="BZ324">
        <v>4</v>
      </c>
      <c r="CA324">
        <v>1103.8399999999999</v>
      </c>
      <c r="CB324">
        <v>39.590000000000003</v>
      </c>
      <c r="CQ324" s="54">
        <f t="shared" ref="CQ324" si="492">CQ323</f>
        <v>39.803666666666665</v>
      </c>
    </row>
    <row r="325" spans="1:95">
      <c r="A325">
        <v>1</v>
      </c>
      <c r="B325" t="s">
        <v>7</v>
      </c>
      <c r="C325">
        <v>37888</v>
      </c>
      <c r="D325">
        <v>256</v>
      </c>
      <c r="E325">
        <v>1</v>
      </c>
      <c r="F325">
        <v>16</v>
      </c>
      <c r="G325">
        <v>977.91</v>
      </c>
      <c r="H325" s="59">
        <v>37.08</v>
      </c>
      <c r="I325" s="27">
        <v>45483</v>
      </c>
      <c r="J325" s="53">
        <v>0.72870370370370374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 s="66">
        <f t="shared" ref="W325" si="493">W324</f>
        <v>36.613799999999998</v>
      </c>
      <c r="Y325">
        <v>1</v>
      </c>
      <c r="Z325" t="s">
        <v>7</v>
      </c>
      <c r="AA325">
        <v>37888</v>
      </c>
      <c r="AB325">
        <v>256</v>
      </c>
      <c r="AC325">
        <v>1</v>
      </c>
      <c r="AD325">
        <v>16</v>
      </c>
      <c r="AE325">
        <v>865.84</v>
      </c>
      <c r="AF325" s="48">
        <v>41.878999999999998</v>
      </c>
      <c r="AG325" s="27">
        <v>45501</v>
      </c>
      <c r="AH325" s="53">
        <v>9.4097222222222221E-2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 s="66">
        <f t="shared" ref="AU325" si="494">AU324</f>
        <v>41.646000000000001</v>
      </c>
      <c r="AW325">
        <v>1</v>
      </c>
      <c r="AX325" t="s">
        <v>7</v>
      </c>
      <c r="AY325">
        <v>37888</v>
      </c>
      <c r="AZ325">
        <v>256</v>
      </c>
      <c r="BA325">
        <v>1</v>
      </c>
      <c r="BB325">
        <v>16</v>
      </c>
      <c r="BC325">
        <v>1119.0999999999999</v>
      </c>
      <c r="BD325" s="61">
        <v>32.402000000000001</v>
      </c>
      <c r="BE325" s="27">
        <v>45490</v>
      </c>
      <c r="BF325" s="53">
        <v>0.55884259259259261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 s="8">
        <f t="shared" ref="BS325" si="495">BS324</f>
        <v>32.576800000000006</v>
      </c>
      <c r="BU325">
        <v>208</v>
      </c>
      <c r="BV325" t="s">
        <v>70</v>
      </c>
      <c r="BW325">
        <v>40320</v>
      </c>
      <c r="BX325">
        <v>192</v>
      </c>
      <c r="BY325">
        <v>4</v>
      </c>
      <c r="BZ325">
        <v>4</v>
      </c>
      <c r="CA325">
        <v>1100</v>
      </c>
      <c r="CB325">
        <v>39.728000000000002</v>
      </c>
      <c r="CQ325" s="54">
        <f t="shared" si="414"/>
        <v>39.803666666666665</v>
      </c>
    </row>
    <row r="326" spans="1:95">
      <c r="A326">
        <v>2</v>
      </c>
      <c r="B326" t="s">
        <v>7</v>
      </c>
      <c r="C326">
        <v>37888</v>
      </c>
      <c r="D326">
        <v>256</v>
      </c>
      <c r="E326">
        <v>1</v>
      </c>
      <c r="F326">
        <v>16</v>
      </c>
      <c r="G326">
        <v>983.73</v>
      </c>
      <c r="H326" s="59">
        <v>36.860999999999997</v>
      </c>
      <c r="I326" s="27">
        <v>45484</v>
      </c>
      <c r="J326" s="53">
        <v>0.59109953703703699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 s="66">
        <f t="shared" si="415"/>
        <v>36.613799999999998</v>
      </c>
      <c r="Y326">
        <v>2</v>
      </c>
      <c r="Z326" t="s">
        <v>7</v>
      </c>
      <c r="AA326">
        <v>37888</v>
      </c>
      <c r="AB326">
        <v>256</v>
      </c>
      <c r="AC326">
        <v>1</v>
      </c>
      <c r="AD326">
        <v>16</v>
      </c>
      <c r="AE326">
        <v>869.18</v>
      </c>
      <c r="AF326" s="48">
        <v>41.719000000000001</v>
      </c>
      <c r="AG326" s="27">
        <v>45501</v>
      </c>
      <c r="AH326" s="53">
        <v>0.8891782407407407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 s="66">
        <f t="shared" si="408"/>
        <v>41.646000000000001</v>
      </c>
      <c r="AW326">
        <v>2</v>
      </c>
      <c r="AX326" t="s">
        <v>7</v>
      </c>
      <c r="AY326">
        <v>37888</v>
      </c>
      <c r="AZ326">
        <v>256</v>
      </c>
      <c r="BA326">
        <v>1</v>
      </c>
      <c r="BB326">
        <v>16</v>
      </c>
      <c r="BC326">
        <v>1108.44</v>
      </c>
      <c r="BD326" s="61">
        <v>32.713000000000001</v>
      </c>
      <c r="BE326" s="27">
        <v>45491</v>
      </c>
      <c r="BF326" s="53">
        <v>0.64459490740740744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 s="8">
        <f t="shared" si="409"/>
        <v>32.576800000000006</v>
      </c>
      <c r="BU326">
        <v>279</v>
      </c>
      <c r="BV326" t="s">
        <v>70</v>
      </c>
      <c r="BW326">
        <v>40320</v>
      </c>
      <c r="BX326">
        <v>192</v>
      </c>
      <c r="BY326">
        <v>4</v>
      </c>
      <c r="BZ326">
        <v>4</v>
      </c>
      <c r="CA326">
        <v>1096.8900000000001</v>
      </c>
      <c r="CB326">
        <v>39.841000000000001</v>
      </c>
      <c r="CQ326" s="54">
        <f t="shared" si="414"/>
        <v>39.803666666666665</v>
      </c>
    </row>
    <row r="327" spans="1:95">
      <c r="A327">
        <v>3</v>
      </c>
      <c r="B327" t="s">
        <v>7</v>
      </c>
      <c r="C327">
        <v>37888</v>
      </c>
      <c r="D327">
        <v>256</v>
      </c>
      <c r="E327">
        <v>1</v>
      </c>
      <c r="F327">
        <v>16</v>
      </c>
      <c r="G327">
        <v>1000.09</v>
      </c>
      <c r="H327" s="59">
        <v>36.258000000000003</v>
      </c>
      <c r="I327" s="27">
        <v>45485</v>
      </c>
      <c r="J327" s="53">
        <v>0.45537037037037037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 s="66">
        <f t="shared" si="415"/>
        <v>36.613799999999998</v>
      </c>
      <c r="Y327">
        <v>3</v>
      </c>
      <c r="Z327" t="s">
        <v>7</v>
      </c>
      <c r="AA327">
        <v>37888</v>
      </c>
      <c r="AB327">
        <v>256</v>
      </c>
      <c r="AC327">
        <v>1</v>
      </c>
      <c r="AD327">
        <v>16</v>
      </c>
      <c r="AE327">
        <v>860.63</v>
      </c>
      <c r="AF327" s="48">
        <v>42.133000000000003</v>
      </c>
      <c r="AG327" s="27">
        <v>45502</v>
      </c>
      <c r="AH327" s="53">
        <v>0.68290509259259258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 s="66">
        <f t="shared" si="408"/>
        <v>41.646000000000001</v>
      </c>
      <c r="AW327">
        <v>3</v>
      </c>
      <c r="AX327" t="s">
        <v>7</v>
      </c>
      <c r="AY327">
        <v>37888</v>
      </c>
      <c r="AZ327">
        <v>256</v>
      </c>
      <c r="BA327">
        <v>1</v>
      </c>
      <c r="BB327">
        <v>16</v>
      </c>
      <c r="BC327">
        <v>1105.0999999999999</v>
      </c>
      <c r="BD327" s="61">
        <v>32.811999999999998</v>
      </c>
      <c r="BE327" s="27">
        <v>45492</v>
      </c>
      <c r="BF327" s="53">
        <v>0.72969907407407408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 s="8">
        <f t="shared" si="409"/>
        <v>32.576800000000006</v>
      </c>
      <c r="BU327">
        <v>350</v>
      </c>
      <c r="BV327" t="s">
        <v>70</v>
      </c>
      <c r="BW327">
        <v>40320</v>
      </c>
      <c r="BX327">
        <v>192</v>
      </c>
      <c r="BY327">
        <v>4</v>
      </c>
      <c r="BZ327">
        <v>4</v>
      </c>
      <c r="CA327">
        <v>1092.29</v>
      </c>
      <c r="CB327">
        <v>40.009</v>
      </c>
      <c r="CQ327" s="54">
        <f t="shared" si="414"/>
        <v>39.803666666666665</v>
      </c>
    </row>
    <row r="328" spans="1:95">
      <c r="A328">
        <v>4</v>
      </c>
      <c r="B328" t="s">
        <v>7</v>
      </c>
      <c r="C328">
        <v>37888</v>
      </c>
      <c r="D328">
        <v>256</v>
      </c>
      <c r="E328">
        <v>1</v>
      </c>
      <c r="F328">
        <v>16</v>
      </c>
      <c r="G328">
        <v>1003.61</v>
      </c>
      <c r="H328" s="59">
        <v>36.131</v>
      </c>
      <c r="I328" s="27">
        <v>45486</v>
      </c>
      <c r="J328" s="53">
        <v>0.34349537037037037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 s="66">
        <f t="shared" si="415"/>
        <v>36.613799999999998</v>
      </c>
      <c r="Y328">
        <v>4</v>
      </c>
      <c r="Z328" t="s">
        <v>7</v>
      </c>
      <c r="AA328">
        <v>37888</v>
      </c>
      <c r="AB328">
        <v>256</v>
      </c>
      <c r="AC328">
        <v>1</v>
      </c>
      <c r="AD328">
        <v>16</v>
      </c>
      <c r="AE328">
        <v>875.36</v>
      </c>
      <c r="AF328" s="48">
        <v>41.423999999999999</v>
      </c>
      <c r="AG328" s="27">
        <v>45503</v>
      </c>
      <c r="AH328" s="53">
        <v>0.47843750000000002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 s="66">
        <f t="shared" si="408"/>
        <v>41.646000000000001</v>
      </c>
      <c r="AW328">
        <v>4</v>
      </c>
      <c r="AX328" t="s">
        <v>7</v>
      </c>
      <c r="AY328">
        <v>37888</v>
      </c>
      <c r="AZ328">
        <v>256</v>
      </c>
      <c r="BA328">
        <v>1</v>
      </c>
      <c r="BB328">
        <v>16</v>
      </c>
      <c r="BC328">
        <v>1115.5</v>
      </c>
      <c r="BD328" s="61">
        <v>32.506999999999998</v>
      </c>
      <c r="BE328" s="27">
        <v>45493</v>
      </c>
      <c r="BF328" s="53">
        <v>0.81521990740740746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 s="8">
        <f t="shared" si="409"/>
        <v>32.576800000000006</v>
      </c>
      <c r="BU328">
        <v>421</v>
      </c>
      <c r="BV328" t="s">
        <v>70</v>
      </c>
      <c r="BW328">
        <v>40320</v>
      </c>
      <c r="BX328">
        <v>192</v>
      </c>
      <c r="BY328">
        <v>4</v>
      </c>
      <c r="BZ328">
        <v>4</v>
      </c>
      <c r="CA328">
        <v>1098.81</v>
      </c>
      <c r="CB328">
        <v>39.771999999999998</v>
      </c>
      <c r="CQ328" s="54">
        <f t="shared" si="414"/>
        <v>39.803666666666665</v>
      </c>
    </row>
    <row r="329" spans="1:95">
      <c r="A329">
        <v>0</v>
      </c>
      <c r="B329" t="s">
        <v>7</v>
      </c>
      <c r="C329">
        <v>39936</v>
      </c>
      <c r="D329">
        <v>256</v>
      </c>
      <c r="E329">
        <v>1</v>
      </c>
      <c r="F329">
        <v>16</v>
      </c>
      <c r="G329" s="1">
        <v>1105.68</v>
      </c>
      <c r="H329" s="59">
        <v>38.405999999999999</v>
      </c>
      <c r="I329" s="27">
        <v>45483</v>
      </c>
      <c r="J329" s="53">
        <v>0.18959490740740742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 s="66">
        <f t="shared" ref="W329" si="496">AVERAGE(H329:H333)</f>
        <v>37.982199999999999</v>
      </c>
      <c r="Y329">
        <v>0</v>
      </c>
      <c r="Z329" t="s">
        <v>7</v>
      </c>
      <c r="AA329">
        <v>39936</v>
      </c>
      <c r="AB329">
        <v>256</v>
      </c>
      <c r="AC329">
        <v>1</v>
      </c>
      <c r="AD329">
        <v>16</v>
      </c>
      <c r="AE329">
        <v>1003.78</v>
      </c>
      <c r="AF329" s="48">
        <v>42.305</v>
      </c>
      <c r="AG329" s="27">
        <v>45500</v>
      </c>
      <c r="AH329" s="53">
        <v>0.27467592592592593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 s="66">
        <f t="shared" ref="AU329" si="497">AVERAGE(AF329:AF333)</f>
        <v>41.826000000000001</v>
      </c>
      <c r="AW329">
        <v>0</v>
      </c>
      <c r="AX329" t="s">
        <v>7</v>
      </c>
      <c r="AY329">
        <v>39936</v>
      </c>
      <c r="AZ329">
        <v>256</v>
      </c>
      <c r="BA329">
        <v>1</v>
      </c>
      <c r="BB329">
        <v>16</v>
      </c>
      <c r="BC329">
        <v>1274.83</v>
      </c>
      <c r="BD329" s="61">
        <v>33.31</v>
      </c>
      <c r="BE329" s="27">
        <v>45489</v>
      </c>
      <c r="BF329" s="53">
        <v>0.57325231481481487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 s="8">
        <f t="shared" ref="BS329" si="498">AVERAGE(BD329:BD333)</f>
        <v>33.198999999999998</v>
      </c>
      <c r="BU329">
        <v>19</v>
      </c>
      <c r="BV329" t="s">
        <v>70</v>
      </c>
      <c r="BW329">
        <v>35968</v>
      </c>
      <c r="BX329">
        <v>224</v>
      </c>
      <c r="BY329">
        <v>1</v>
      </c>
      <c r="BZ329">
        <v>16</v>
      </c>
      <c r="CA329">
        <v>806.94</v>
      </c>
      <c r="CB329">
        <v>38.753999999999998</v>
      </c>
      <c r="CQ329" s="54">
        <f t="shared" ref="CQ329" si="499">AVERAGE(CB329:CB334)</f>
        <v>38.634333333333331</v>
      </c>
    </row>
    <row r="330" spans="1:95">
      <c r="A330">
        <v>1</v>
      </c>
      <c r="B330" t="s">
        <v>7</v>
      </c>
      <c r="C330">
        <v>39936</v>
      </c>
      <c r="D330">
        <v>256</v>
      </c>
      <c r="E330">
        <v>1</v>
      </c>
      <c r="F330">
        <v>16</v>
      </c>
      <c r="G330">
        <v>1100.73</v>
      </c>
      <c r="H330" s="59">
        <v>38.579000000000001</v>
      </c>
      <c r="I330" s="27">
        <v>45484</v>
      </c>
      <c r="J330" s="53">
        <v>5.4606481481481478E-2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 s="66">
        <f t="shared" ref="W330" si="500">W329</f>
        <v>37.982199999999999</v>
      </c>
      <c r="Y330">
        <v>1</v>
      </c>
      <c r="Z330" t="s">
        <v>7</v>
      </c>
      <c r="AA330">
        <v>39936</v>
      </c>
      <c r="AB330">
        <v>256</v>
      </c>
      <c r="AC330">
        <v>1</v>
      </c>
      <c r="AD330">
        <v>16</v>
      </c>
      <c r="AE330">
        <v>1003.85</v>
      </c>
      <c r="AF330" s="48">
        <v>42.302</v>
      </c>
      <c r="AG330" s="27">
        <v>45501</v>
      </c>
      <c r="AH330" s="53">
        <v>0.39634259259259258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 s="66">
        <f t="shared" ref="AU330" si="501">AU329</f>
        <v>41.826000000000001</v>
      </c>
      <c r="AW330">
        <v>1</v>
      </c>
      <c r="AX330" t="s">
        <v>7</v>
      </c>
      <c r="AY330">
        <v>39936</v>
      </c>
      <c r="AZ330">
        <v>256</v>
      </c>
      <c r="BA330">
        <v>1</v>
      </c>
      <c r="BB330">
        <v>16</v>
      </c>
      <c r="BC330">
        <v>1268.0899999999999</v>
      </c>
      <c r="BD330" s="61">
        <v>33.487000000000002</v>
      </c>
      <c r="BE330" s="27">
        <v>45490</v>
      </c>
      <c r="BF330" s="53">
        <v>0.9664814814814815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 s="8">
        <f t="shared" ref="BS330" si="502">BS329</f>
        <v>33.198999999999998</v>
      </c>
      <c r="BU330">
        <v>90</v>
      </c>
      <c r="BV330" t="s">
        <v>70</v>
      </c>
      <c r="BW330">
        <v>35968</v>
      </c>
      <c r="BX330">
        <v>224</v>
      </c>
      <c r="BY330">
        <v>1</v>
      </c>
      <c r="BZ330">
        <v>16</v>
      </c>
      <c r="CA330">
        <v>815.04</v>
      </c>
      <c r="CB330">
        <v>38.369</v>
      </c>
      <c r="CQ330" s="54">
        <f t="shared" ref="CQ330" si="503">CQ329</f>
        <v>38.634333333333331</v>
      </c>
    </row>
    <row r="331" spans="1:95">
      <c r="A331">
        <v>2</v>
      </c>
      <c r="B331" t="s">
        <v>7</v>
      </c>
      <c r="C331">
        <v>39936</v>
      </c>
      <c r="D331">
        <v>256</v>
      </c>
      <c r="E331">
        <v>1</v>
      </c>
      <c r="F331">
        <v>16</v>
      </c>
      <c r="G331">
        <v>1097.42</v>
      </c>
      <c r="H331" s="59">
        <v>38.695</v>
      </c>
      <c r="I331" s="27">
        <v>45484</v>
      </c>
      <c r="J331" s="53">
        <v>0.91719907407407408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 s="66">
        <f t="shared" si="415"/>
        <v>37.982199999999999</v>
      </c>
      <c r="Y331">
        <v>2</v>
      </c>
      <c r="Z331" t="s">
        <v>7</v>
      </c>
      <c r="AA331">
        <v>39936</v>
      </c>
      <c r="AB331">
        <v>256</v>
      </c>
      <c r="AC331">
        <v>1</v>
      </c>
      <c r="AD331">
        <v>16</v>
      </c>
      <c r="AE331">
        <v>1042.03</v>
      </c>
      <c r="AF331" s="48">
        <v>40.752000000000002</v>
      </c>
      <c r="AG331" s="27">
        <v>45502</v>
      </c>
      <c r="AH331" s="53">
        <v>0.19153935185185186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 s="66">
        <f t="shared" si="408"/>
        <v>41.826000000000001</v>
      </c>
      <c r="AW331">
        <v>2</v>
      </c>
      <c r="AX331" t="s">
        <v>7</v>
      </c>
      <c r="AY331">
        <v>39936</v>
      </c>
      <c r="AZ331">
        <v>256</v>
      </c>
      <c r="BA331">
        <v>1</v>
      </c>
      <c r="BB331">
        <v>16</v>
      </c>
      <c r="BC331">
        <v>1285.94</v>
      </c>
      <c r="BD331" s="61">
        <v>33.021999999999998</v>
      </c>
      <c r="BE331" s="27">
        <v>45492</v>
      </c>
      <c r="BF331" s="53">
        <v>5.1782407407407409E-2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 s="8">
        <f t="shared" si="409"/>
        <v>33.198999999999998</v>
      </c>
      <c r="BU331">
        <v>161</v>
      </c>
      <c r="BV331" t="s">
        <v>70</v>
      </c>
      <c r="BW331">
        <v>35968</v>
      </c>
      <c r="BX331">
        <v>224</v>
      </c>
      <c r="BY331">
        <v>1</v>
      </c>
      <c r="BZ331">
        <v>16</v>
      </c>
      <c r="CA331">
        <v>804.87</v>
      </c>
      <c r="CB331">
        <v>38.853000000000002</v>
      </c>
      <c r="CQ331" s="54">
        <f t="shared" si="414"/>
        <v>38.634333333333331</v>
      </c>
    </row>
    <row r="332" spans="1:95">
      <c r="A332">
        <v>3</v>
      </c>
      <c r="B332" t="s">
        <v>7</v>
      </c>
      <c r="C332">
        <v>39936</v>
      </c>
      <c r="D332">
        <v>256</v>
      </c>
      <c r="E332">
        <v>1</v>
      </c>
      <c r="F332">
        <v>16</v>
      </c>
      <c r="G332">
        <v>1145.98</v>
      </c>
      <c r="H332" s="59">
        <v>37.055</v>
      </c>
      <c r="I332" s="27">
        <v>45485</v>
      </c>
      <c r="J332" s="53">
        <v>0.79119212962962959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 s="66">
        <f t="shared" si="415"/>
        <v>37.982199999999999</v>
      </c>
      <c r="Y332">
        <v>3</v>
      </c>
      <c r="Z332" t="s">
        <v>7</v>
      </c>
      <c r="AA332">
        <v>39936</v>
      </c>
      <c r="AB332">
        <v>256</v>
      </c>
      <c r="AC332">
        <v>1</v>
      </c>
      <c r="AD332">
        <v>16</v>
      </c>
      <c r="AE332" s="1">
        <v>1012.06</v>
      </c>
      <c r="AF332" s="48">
        <v>41.957999999999998</v>
      </c>
      <c r="AG332" s="27">
        <v>45502</v>
      </c>
      <c r="AH332" s="53">
        <v>0.98623842592592592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 s="66">
        <f t="shared" si="408"/>
        <v>41.826000000000001</v>
      </c>
      <c r="AW332">
        <v>3</v>
      </c>
      <c r="AX332" t="s">
        <v>7</v>
      </c>
      <c r="AY332">
        <v>39936</v>
      </c>
      <c r="AZ332">
        <v>256</v>
      </c>
      <c r="BA332">
        <v>1</v>
      </c>
      <c r="BB332">
        <v>16</v>
      </c>
      <c r="BC332">
        <v>1283.44</v>
      </c>
      <c r="BD332" s="61">
        <v>33.087000000000003</v>
      </c>
      <c r="BE332" s="27">
        <v>45493</v>
      </c>
      <c r="BF332" s="53">
        <v>0.13715277777777779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 s="8">
        <f t="shared" si="409"/>
        <v>33.198999999999998</v>
      </c>
      <c r="BU332">
        <v>232</v>
      </c>
      <c r="BV332" t="s">
        <v>70</v>
      </c>
      <c r="BW332">
        <v>35968</v>
      </c>
      <c r="BX332">
        <v>224</v>
      </c>
      <c r="BY332">
        <v>1</v>
      </c>
      <c r="BZ332">
        <v>16</v>
      </c>
      <c r="CA332">
        <v>809.29</v>
      </c>
      <c r="CB332">
        <v>38.640999999999998</v>
      </c>
      <c r="CQ332" s="54">
        <f t="shared" si="414"/>
        <v>38.634333333333331</v>
      </c>
    </row>
    <row r="333" spans="1:95">
      <c r="A333">
        <v>4</v>
      </c>
      <c r="B333" t="s">
        <v>7</v>
      </c>
      <c r="C333">
        <v>39936</v>
      </c>
      <c r="D333">
        <v>256</v>
      </c>
      <c r="E333">
        <v>1</v>
      </c>
      <c r="F333">
        <v>16</v>
      </c>
      <c r="G333">
        <v>1142.27</v>
      </c>
      <c r="H333" s="59">
        <v>37.176000000000002</v>
      </c>
      <c r="I333" s="27">
        <v>45486</v>
      </c>
      <c r="J333" s="53">
        <v>0.67940972222222218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 s="66">
        <f t="shared" si="415"/>
        <v>37.982199999999999</v>
      </c>
      <c r="Y333">
        <v>4</v>
      </c>
      <c r="Z333" t="s">
        <v>7</v>
      </c>
      <c r="AA333">
        <v>39936</v>
      </c>
      <c r="AB333">
        <v>256</v>
      </c>
      <c r="AC333">
        <v>1</v>
      </c>
      <c r="AD333">
        <v>16</v>
      </c>
      <c r="AE333">
        <v>1015.57</v>
      </c>
      <c r="AF333" s="48">
        <v>41.813000000000002</v>
      </c>
      <c r="AG333" s="27">
        <v>45503</v>
      </c>
      <c r="AH333" s="53">
        <v>0.78125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 s="66">
        <f t="shared" si="408"/>
        <v>41.826000000000001</v>
      </c>
      <c r="AW333">
        <v>4</v>
      </c>
      <c r="AX333" t="s">
        <v>7</v>
      </c>
      <c r="AY333">
        <v>39936</v>
      </c>
      <c r="AZ333">
        <v>256</v>
      </c>
      <c r="BA333">
        <v>1</v>
      </c>
      <c r="BB333">
        <v>16</v>
      </c>
      <c r="BC333">
        <v>1283.3599999999999</v>
      </c>
      <c r="BD333" s="61">
        <v>33.088999999999999</v>
      </c>
      <c r="BE333" s="27">
        <v>45494</v>
      </c>
      <c r="BF333" s="53">
        <v>0.22319444444444445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 s="8">
        <f t="shared" si="409"/>
        <v>33.198999999999998</v>
      </c>
      <c r="BU333">
        <v>303</v>
      </c>
      <c r="BV333" t="s">
        <v>70</v>
      </c>
      <c r="BW333">
        <v>35968</v>
      </c>
      <c r="BX333">
        <v>224</v>
      </c>
      <c r="BY333">
        <v>1</v>
      </c>
      <c r="BZ333">
        <v>16</v>
      </c>
      <c r="CA333">
        <v>800.63</v>
      </c>
      <c r="CB333">
        <v>39.06</v>
      </c>
      <c r="CQ333" s="54">
        <f t="shared" si="414"/>
        <v>38.634333333333331</v>
      </c>
    </row>
    <row r="334" spans="1:95">
      <c r="A334">
        <v>0</v>
      </c>
      <c r="B334" t="s">
        <v>7</v>
      </c>
      <c r="C334">
        <v>35840</v>
      </c>
      <c r="D334">
        <v>256</v>
      </c>
      <c r="E334">
        <v>2</v>
      </c>
      <c r="F334">
        <v>8</v>
      </c>
      <c r="G334" s="1">
        <v>805.8</v>
      </c>
      <c r="H334" s="59">
        <v>38.090000000000003</v>
      </c>
      <c r="I334" s="27">
        <v>45482</v>
      </c>
      <c r="J334" s="53">
        <v>0.5914814814814815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 s="66">
        <f t="shared" ref="W334" si="504">AVERAGE(H334:H338)</f>
        <v>37.9114</v>
      </c>
      <c r="Y334">
        <v>0</v>
      </c>
      <c r="Z334" t="s">
        <v>7</v>
      </c>
      <c r="AA334">
        <v>35840</v>
      </c>
      <c r="AB334">
        <v>256</v>
      </c>
      <c r="AC334">
        <v>2</v>
      </c>
      <c r="AD334">
        <v>8</v>
      </c>
      <c r="AE334">
        <v>696.47</v>
      </c>
      <c r="AF334" s="48">
        <v>44.069000000000003</v>
      </c>
      <c r="AG334" s="27">
        <v>45499</v>
      </c>
      <c r="AH334" s="53">
        <v>0.72135416666666663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 s="66">
        <f t="shared" ref="AU334" si="505">AVERAGE(AF334:AF338)</f>
        <v>42.948</v>
      </c>
      <c r="AW334">
        <v>0</v>
      </c>
      <c r="AX334" t="s">
        <v>7</v>
      </c>
      <c r="AY334">
        <v>35840</v>
      </c>
      <c r="AZ334">
        <v>256</v>
      </c>
      <c r="BA334">
        <v>2</v>
      </c>
      <c r="BB334">
        <v>8</v>
      </c>
      <c r="BC334">
        <v>1035.4100000000001</v>
      </c>
      <c r="BD334" s="61">
        <v>29.643000000000001</v>
      </c>
      <c r="BE334" s="27">
        <v>45488</v>
      </c>
      <c r="BF334" s="53">
        <v>0.82178240740740738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 s="8">
        <f t="shared" ref="BS334" si="506">AVERAGE(BD334:BD338)</f>
        <v>29.5336</v>
      </c>
      <c r="BU334">
        <v>374</v>
      </c>
      <c r="BV334" t="s">
        <v>70</v>
      </c>
      <c r="BW334">
        <v>35968</v>
      </c>
      <c r="BX334">
        <v>224</v>
      </c>
      <c r="BY334">
        <v>1</v>
      </c>
      <c r="BZ334">
        <v>16</v>
      </c>
      <c r="CA334">
        <v>820.16</v>
      </c>
      <c r="CB334">
        <v>38.128999999999998</v>
      </c>
      <c r="CQ334" s="54">
        <f t="shared" si="414"/>
        <v>38.634333333333331</v>
      </c>
    </row>
    <row r="335" spans="1:95">
      <c r="A335">
        <v>1</v>
      </c>
      <c r="B335" t="s">
        <v>7</v>
      </c>
      <c r="C335">
        <v>35840</v>
      </c>
      <c r="D335">
        <v>256</v>
      </c>
      <c r="E335">
        <v>2</v>
      </c>
      <c r="F335">
        <v>8</v>
      </c>
      <c r="G335">
        <v>802.63</v>
      </c>
      <c r="H335" s="59">
        <v>38.241</v>
      </c>
      <c r="I335" s="27">
        <v>45483</v>
      </c>
      <c r="J335" s="53">
        <v>0.45381944444444444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 s="66">
        <f t="shared" ref="W335" si="507">W334</f>
        <v>37.9114</v>
      </c>
      <c r="Y335">
        <v>1</v>
      </c>
      <c r="Z335" t="s">
        <v>7</v>
      </c>
      <c r="AA335">
        <v>35840</v>
      </c>
      <c r="AB335">
        <v>256</v>
      </c>
      <c r="AC335">
        <v>2</v>
      </c>
      <c r="AD335">
        <v>8</v>
      </c>
      <c r="AE335">
        <v>738.99</v>
      </c>
      <c r="AF335" s="48">
        <v>41.533999999999999</v>
      </c>
      <c r="AG335" s="27">
        <v>45500</v>
      </c>
      <c r="AH335" s="53">
        <v>0.84302083333333333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 s="66">
        <f t="shared" ref="AU335:AU363" si="508">AU334</f>
        <v>42.948</v>
      </c>
      <c r="AW335">
        <v>1</v>
      </c>
      <c r="AX335" t="s">
        <v>7</v>
      </c>
      <c r="AY335">
        <v>35840</v>
      </c>
      <c r="AZ335">
        <v>256</v>
      </c>
      <c r="BA335">
        <v>2</v>
      </c>
      <c r="BB335">
        <v>8</v>
      </c>
      <c r="BC335">
        <v>1042.8599999999999</v>
      </c>
      <c r="BD335" s="61">
        <v>29.431999999999999</v>
      </c>
      <c r="BE335" s="27">
        <v>45490</v>
      </c>
      <c r="BF335" s="53">
        <v>0.21515046296296297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 s="8">
        <f t="shared" ref="BS335:BS363" si="509">BS334</f>
        <v>29.5336</v>
      </c>
      <c r="BU335">
        <v>43</v>
      </c>
      <c r="BV335" t="s">
        <v>70</v>
      </c>
      <c r="BW335">
        <v>38144</v>
      </c>
      <c r="BX335">
        <v>224</v>
      </c>
      <c r="BY335">
        <v>1</v>
      </c>
      <c r="BZ335">
        <v>16</v>
      </c>
      <c r="CA335">
        <v>923.53</v>
      </c>
      <c r="CB335">
        <v>39.863</v>
      </c>
      <c r="CQ335" s="54">
        <f t="shared" ref="CQ335" si="510">AVERAGE(CB335:CB340)</f>
        <v>39.562166666666663</v>
      </c>
    </row>
    <row r="336" spans="1:95">
      <c r="A336">
        <v>2</v>
      </c>
      <c r="B336" t="s">
        <v>7</v>
      </c>
      <c r="C336">
        <v>35840</v>
      </c>
      <c r="D336">
        <v>256</v>
      </c>
      <c r="E336">
        <v>2</v>
      </c>
      <c r="F336">
        <v>8</v>
      </c>
      <c r="G336">
        <v>810.26</v>
      </c>
      <c r="H336" s="59">
        <v>37.881</v>
      </c>
      <c r="I336" s="27">
        <v>45484</v>
      </c>
      <c r="J336" s="53">
        <v>0.31660879629629629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 s="66">
        <f t="shared" si="415"/>
        <v>37.9114</v>
      </c>
      <c r="Y336">
        <v>2</v>
      </c>
      <c r="Z336" t="s">
        <v>7</v>
      </c>
      <c r="AA336">
        <v>35840</v>
      </c>
      <c r="AB336">
        <v>256</v>
      </c>
      <c r="AC336">
        <v>2</v>
      </c>
      <c r="AD336">
        <v>8</v>
      </c>
      <c r="AE336">
        <v>731.82</v>
      </c>
      <c r="AF336" s="48">
        <v>41.941000000000003</v>
      </c>
      <c r="AG336" s="27">
        <v>45501</v>
      </c>
      <c r="AH336" s="53">
        <v>0.63717592592592598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 s="66">
        <f t="shared" si="508"/>
        <v>42.948</v>
      </c>
      <c r="AW336">
        <v>2</v>
      </c>
      <c r="AX336" t="s">
        <v>7</v>
      </c>
      <c r="AY336">
        <v>35840</v>
      </c>
      <c r="AZ336">
        <v>256</v>
      </c>
      <c r="BA336">
        <v>2</v>
      </c>
      <c r="BB336">
        <v>8</v>
      </c>
      <c r="BC336">
        <v>1033.9100000000001</v>
      </c>
      <c r="BD336" s="61">
        <v>29.686</v>
      </c>
      <c r="BE336" s="27">
        <v>45491</v>
      </c>
      <c r="BF336" s="53">
        <v>0.30129629629629628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 s="8">
        <f t="shared" si="509"/>
        <v>29.5336</v>
      </c>
      <c r="BU336">
        <v>114</v>
      </c>
      <c r="BV336" t="s">
        <v>70</v>
      </c>
      <c r="BW336">
        <v>38144</v>
      </c>
      <c r="BX336">
        <v>224</v>
      </c>
      <c r="BY336">
        <v>1</v>
      </c>
      <c r="BZ336">
        <v>16</v>
      </c>
      <c r="CA336">
        <v>947.86</v>
      </c>
      <c r="CB336">
        <v>38.840000000000003</v>
      </c>
      <c r="CQ336" s="54">
        <f t="shared" ref="CQ336" si="511">CQ335</f>
        <v>39.562166666666663</v>
      </c>
    </row>
    <row r="337" spans="1:95">
      <c r="A337">
        <v>3</v>
      </c>
      <c r="B337" t="s">
        <v>7</v>
      </c>
      <c r="C337">
        <v>35840</v>
      </c>
      <c r="D337">
        <v>256</v>
      </c>
      <c r="E337">
        <v>2</v>
      </c>
      <c r="F337">
        <v>8</v>
      </c>
      <c r="G337">
        <v>803.22</v>
      </c>
      <c r="H337" s="59">
        <v>38.212000000000003</v>
      </c>
      <c r="I337" s="27">
        <v>45485</v>
      </c>
      <c r="J337" s="53">
        <v>0.17964120370370371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 s="66">
        <f t="shared" si="415"/>
        <v>37.9114</v>
      </c>
      <c r="Y337">
        <v>3</v>
      </c>
      <c r="Z337" t="s">
        <v>7</v>
      </c>
      <c r="AA337">
        <v>35840</v>
      </c>
      <c r="AB337">
        <v>256</v>
      </c>
      <c r="AC337">
        <v>2</v>
      </c>
      <c r="AD337">
        <v>8</v>
      </c>
      <c r="AE337">
        <v>701.83</v>
      </c>
      <c r="AF337" s="48">
        <v>43.732999999999997</v>
      </c>
      <c r="AG337" s="27">
        <v>45502</v>
      </c>
      <c r="AH337" s="53">
        <v>0.43128472222222225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 s="66">
        <f t="shared" si="508"/>
        <v>42.948</v>
      </c>
      <c r="AW337">
        <v>3</v>
      </c>
      <c r="AX337" t="s">
        <v>7</v>
      </c>
      <c r="AY337">
        <v>35840</v>
      </c>
      <c r="AZ337">
        <v>256</v>
      </c>
      <c r="BA337">
        <v>2</v>
      </c>
      <c r="BB337">
        <v>8</v>
      </c>
      <c r="BC337">
        <v>1047.5899999999999</v>
      </c>
      <c r="BD337" s="61">
        <v>29.298999999999999</v>
      </c>
      <c r="BE337" s="27">
        <v>45492</v>
      </c>
      <c r="BF337" s="53">
        <v>0.38642361111111112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 s="8">
        <f t="shared" si="509"/>
        <v>29.5336</v>
      </c>
      <c r="BU337">
        <v>185</v>
      </c>
      <c r="BV337" t="s">
        <v>70</v>
      </c>
      <c r="BW337">
        <v>38144</v>
      </c>
      <c r="BX337">
        <v>224</v>
      </c>
      <c r="BY337">
        <v>1</v>
      </c>
      <c r="BZ337">
        <v>16</v>
      </c>
      <c r="CA337">
        <v>930.75</v>
      </c>
      <c r="CB337">
        <v>39.554000000000002</v>
      </c>
      <c r="CQ337" s="54">
        <f t="shared" si="414"/>
        <v>39.562166666666663</v>
      </c>
    </row>
    <row r="338" spans="1:95">
      <c r="A338">
        <v>4</v>
      </c>
      <c r="B338" t="s">
        <v>7</v>
      </c>
      <c r="C338">
        <v>35840</v>
      </c>
      <c r="D338">
        <v>256</v>
      </c>
      <c r="E338">
        <v>2</v>
      </c>
      <c r="F338">
        <v>8</v>
      </c>
      <c r="G338">
        <v>826.57</v>
      </c>
      <c r="H338" s="59">
        <v>37.133000000000003</v>
      </c>
      <c r="I338" s="27">
        <v>45486</v>
      </c>
      <c r="J338" s="53">
        <v>6.1238425925925925E-2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 s="66">
        <f t="shared" si="415"/>
        <v>37.9114</v>
      </c>
      <c r="Y338">
        <v>4</v>
      </c>
      <c r="Z338" t="s">
        <v>7</v>
      </c>
      <c r="AA338">
        <v>35840</v>
      </c>
      <c r="AB338">
        <v>256</v>
      </c>
      <c r="AC338">
        <v>2</v>
      </c>
      <c r="AD338">
        <v>8</v>
      </c>
      <c r="AE338" s="1">
        <v>706.18</v>
      </c>
      <c r="AF338" s="48">
        <v>43.463000000000001</v>
      </c>
      <c r="AG338" s="27">
        <v>45503</v>
      </c>
      <c r="AH338" s="53">
        <v>0.22616898148148148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 s="66">
        <f t="shared" si="508"/>
        <v>42.948</v>
      </c>
      <c r="AW338">
        <v>4</v>
      </c>
      <c r="AX338" t="s">
        <v>7</v>
      </c>
      <c r="AY338">
        <v>35840</v>
      </c>
      <c r="AZ338">
        <v>256</v>
      </c>
      <c r="BA338">
        <v>2</v>
      </c>
      <c r="BB338">
        <v>8</v>
      </c>
      <c r="BC338">
        <v>1036.6500000000001</v>
      </c>
      <c r="BD338" s="61">
        <v>29.608000000000001</v>
      </c>
      <c r="BE338" s="27">
        <v>45493</v>
      </c>
      <c r="BF338" s="53">
        <v>0.47151620370370373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 s="8">
        <f t="shared" si="509"/>
        <v>29.5336</v>
      </c>
      <c r="BU338">
        <v>256</v>
      </c>
      <c r="BV338" t="s">
        <v>70</v>
      </c>
      <c r="BW338">
        <v>38144</v>
      </c>
      <c r="BX338">
        <v>224</v>
      </c>
      <c r="BY338">
        <v>1</v>
      </c>
      <c r="BZ338">
        <v>16</v>
      </c>
      <c r="CA338">
        <v>925.8</v>
      </c>
      <c r="CB338">
        <v>39.765999999999998</v>
      </c>
      <c r="CQ338" s="54">
        <f t="shared" ref="CQ338:CQ400" si="512">CQ337</f>
        <v>39.562166666666663</v>
      </c>
    </row>
    <row r="339" spans="1:95">
      <c r="A339">
        <v>0</v>
      </c>
      <c r="B339" t="s">
        <v>7</v>
      </c>
      <c r="C339">
        <v>37888</v>
      </c>
      <c r="D339">
        <v>256</v>
      </c>
      <c r="E339">
        <v>2</v>
      </c>
      <c r="F339">
        <v>8</v>
      </c>
      <c r="G339" s="1">
        <v>963.12</v>
      </c>
      <c r="H339" s="59">
        <v>37.649000000000001</v>
      </c>
      <c r="I339" s="27">
        <v>45482</v>
      </c>
      <c r="J339" s="53">
        <v>0.87502314814814819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 s="66">
        <f t="shared" ref="W339" si="513">AVERAGE(H339:H343)</f>
        <v>37.390799999999999</v>
      </c>
      <c r="Y339">
        <v>0</v>
      </c>
      <c r="Z339" t="s">
        <v>7</v>
      </c>
      <c r="AA339">
        <v>37888</v>
      </c>
      <c r="AB339">
        <v>256</v>
      </c>
      <c r="AC339">
        <v>2</v>
      </c>
      <c r="AD339">
        <v>8</v>
      </c>
      <c r="AE339">
        <v>800.88</v>
      </c>
      <c r="AF339" s="48">
        <v>45.276000000000003</v>
      </c>
      <c r="AG339" s="27">
        <v>45499</v>
      </c>
      <c r="AH339" s="53">
        <v>0.98197916666666663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 s="66">
        <f t="shared" ref="AU339" si="514">AVERAGE(AF339:AF343)</f>
        <v>45.135199999999998</v>
      </c>
      <c r="AW339">
        <v>0</v>
      </c>
      <c r="AX339" t="s">
        <v>7</v>
      </c>
      <c r="AY339">
        <v>37888</v>
      </c>
      <c r="AZ339">
        <v>256</v>
      </c>
      <c r="BA339">
        <v>2</v>
      </c>
      <c r="BB339">
        <v>8</v>
      </c>
      <c r="BC339">
        <v>1179.54</v>
      </c>
      <c r="BD339" s="61">
        <v>30.742000000000001</v>
      </c>
      <c r="BE339" s="27">
        <v>45489</v>
      </c>
      <c r="BF339" s="53">
        <v>0.17983796296296295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 s="8">
        <f t="shared" ref="BS339" si="515">AVERAGE(BD339:BD343)</f>
        <v>30.751599999999996</v>
      </c>
      <c r="BU339">
        <v>327</v>
      </c>
      <c r="BV339" t="s">
        <v>70</v>
      </c>
      <c r="BW339">
        <v>38144</v>
      </c>
      <c r="BX339">
        <v>224</v>
      </c>
      <c r="BY339">
        <v>1</v>
      </c>
      <c r="BZ339">
        <v>16</v>
      </c>
      <c r="CA339">
        <v>930.58</v>
      </c>
      <c r="CB339">
        <v>39.561</v>
      </c>
      <c r="CQ339" s="54">
        <f t="shared" si="512"/>
        <v>39.562166666666663</v>
      </c>
    </row>
    <row r="340" spans="1:95">
      <c r="A340">
        <v>1</v>
      </c>
      <c r="B340" t="s">
        <v>7</v>
      </c>
      <c r="C340">
        <v>37888</v>
      </c>
      <c r="D340">
        <v>256</v>
      </c>
      <c r="E340">
        <v>2</v>
      </c>
      <c r="F340">
        <v>8</v>
      </c>
      <c r="G340">
        <v>964.92</v>
      </c>
      <c r="H340" s="59">
        <v>37.579000000000001</v>
      </c>
      <c r="I340" s="27">
        <v>45483</v>
      </c>
      <c r="J340" s="53">
        <v>0.74016203703703709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 s="66">
        <f t="shared" ref="W340:W363" si="516">W339</f>
        <v>37.390799999999999</v>
      </c>
      <c r="Y340">
        <v>1</v>
      </c>
      <c r="Z340" t="s">
        <v>7</v>
      </c>
      <c r="AA340">
        <v>37888</v>
      </c>
      <c r="AB340">
        <v>256</v>
      </c>
      <c r="AC340">
        <v>2</v>
      </c>
      <c r="AD340">
        <v>8</v>
      </c>
      <c r="AE340">
        <v>814.29</v>
      </c>
      <c r="AF340" s="48">
        <v>44.530999999999999</v>
      </c>
      <c r="AG340" s="27">
        <v>45501</v>
      </c>
      <c r="AH340" s="53">
        <v>0.1038425925925926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 s="66">
        <f t="shared" ref="AU340" si="517">AU339</f>
        <v>45.135199999999998</v>
      </c>
      <c r="AW340">
        <v>1</v>
      </c>
      <c r="AX340" t="s">
        <v>7</v>
      </c>
      <c r="AY340">
        <v>37888</v>
      </c>
      <c r="AZ340">
        <v>256</v>
      </c>
      <c r="BA340">
        <v>2</v>
      </c>
      <c r="BB340">
        <v>8</v>
      </c>
      <c r="BC340">
        <v>1185.75</v>
      </c>
      <c r="BD340" s="61">
        <v>30.581</v>
      </c>
      <c r="BE340" s="27">
        <v>45490</v>
      </c>
      <c r="BF340" s="53">
        <v>0.57346064814814812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 s="8">
        <f t="shared" ref="BS340" si="518">BS339</f>
        <v>30.751599999999996</v>
      </c>
      <c r="BU340">
        <v>398</v>
      </c>
      <c r="BV340" t="s">
        <v>70</v>
      </c>
      <c r="BW340">
        <v>38144</v>
      </c>
      <c r="BX340">
        <v>224</v>
      </c>
      <c r="BY340">
        <v>1</v>
      </c>
      <c r="BZ340">
        <v>16</v>
      </c>
      <c r="CA340">
        <v>925.25</v>
      </c>
      <c r="CB340">
        <v>39.789000000000001</v>
      </c>
      <c r="CQ340" s="54">
        <f t="shared" si="512"/>
        <v>39.562166666666663</v>
      </c>
    </row>
    <row r="341" spans="1:95">
      <c r="A341">
        <v>2</v>
      </c>
      <c r="B341" t="s">
        <v>7</v>
      </c>
      <c r="C341">
        <v>37888</v>
      </c>
      <c r="D341">
        <v>256</v>
      </c>
      <c r="E341">
        <v>2</v>
      </c>
      <c r="F341">
        <v>8</v>
      </c>
      <c r="G341">
        <v>964.11</v>
      </c>
      <c r="H341" s="59">
        <v>37.610999999999997</v>
      </c>
      <c r="I341" s="27">
        <v>45484</v>
      </c>
      <c r="J341" s="53">
        <v>0.60255787037037034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 s="66">
        <f t="shared" si="516"/>
        <v>37.390799999999999</v>
      </c>
      <c r="Y341">
        <v>2</v>
      </c>
      <c r="Z341" t="s">
        <v>7</v>
      </c>
      <c r="AA341">
        <v>37888</v>
      </c>
      <c r="AB341">
        <v>256</v>
      </c>
      <c r="AC341">
        <v>2</v>
      </c>
      <c r="AD341">
        <v>8</v>
      </c>
      <c r="AE341" s="1">
        <v>796.19</v>
      </c>
      <c r="AF341" s="48">
        <v>45.542999999999999</v>
      </c>
      <c r="AG341" s="27">
        <v>45501</v>
      </c>
      <c r="AH341" s="53">
        <v>0.89871527777777782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 s="66">
        <f t="shared" si="508"/>
        <v>45.135199999999998</v>
      </c>
      <c r="AW341">
        <v>2</v>
      </c>
      <c r="AX341" t="s">
        <v>7</v>
      </c>
      <c r="AY341">
        <v>37888</v>
      </c>
      <c r="AZ341">
        <v>256</v>
      </c>
      <c r="BA341">
        <v>2</v>
      </c>
      <c r="BB341">
        <v>8</v>
      </c>
      <c r="BC341">
        <v>1173.8900000000001</v>
      </c>
      <c r="BD341" s="61">
        <v>30.89</v>
      </c>
      <c r="BE341" s="27">
        <v>45491</v>
      </c>
      <c r="BF341" s="53">
        <v>0.65908564814814818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 s="8">
        <f t="shared" si="509"/>
        <v>30.751599999999996</v>
      </c>
      <c r="BU341">
        <v>20</v>
      </c>
      <c r="BV341" t="s">
        <v>70</v>
      </c>
      <c r="BW341">
        <v>35968</v>
      </c>
      <c r="BX341">
        <v>224</v>
      </c>
      <c r="BY341">
        <v>2</v>
      </c>
      <c r="BZ341">
        <v>8</v>
      </c>
      <c r="CA341">
        <v>766.29</v>
      </c>
      <c r="CB341">
        <v>40.81</v>
      </c>
      <c r="CQ341" s="54">
        <f t="shared" ref="CQ341" si="519">AVERAGE(CB341:CB346)</f>
        <v>40.153833333333331</v>
      </c>
    </row>
    <row r="342" spans="1:95">
      <c r="A342">
        <v>3</v>
      </c>
      <c r="B342" t="s">
        <v>7</v>
      </c>
      <c r="C342">
        <v>37888</v>
      </c>
      <c r="D342">
        <v>256</v>
      </c>
      <c r="E342">
        <v>2</v>
      </c>
      <c r="F342">
        <v>8</v>
      </c>
      <c r="G342">
        <v>974.89</v>
      </c>
      <c r="H342" s="59">
        <v>37.195</v>
      </c>
      <c r="I342" s="27">
        <v>45485</v>
      </c>
      <c r="J342" s="53">
        <v>0.46695601851851853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 s="66">
        <f t="shared" si="516"/>
        <v>37.390799999999999</v>
      </c>
      <c r="Y342">
        <v>3</v>
      </c>
      <c r="Z342" t="s">
        <v>7</v>
      </c>
      <c r="AA342">
        <v>37888</v>
      </c>
      <c r="AB342">
        <v>256</v>
      </c>
      <c r="AC342">
        <v>2</v>
      </c>
      <c r="AD342">
        <v>8</v>
      </c>
      <c r="AE342">
        <v>803.91</v>
      </c>
      <c r="AF342" s="48">
        <v>45.106000000000002</v>
      </c>
      <c r="AG342" s="27">
        <v>45502</v>
      </c>
      <c r="AH342" s="53">
        <v>0.69253472222222223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 s="66">
        <f t="shared" si="508"/>
        <v>45.135199999999998</v>
      </c>
      <c r="AW342">
        <v>3</v>
      </c>
      <c r="AX342" t="s">
        <v>7</v>
      </c>
      <c r="AY342">
        <v>37888</v>
      </c>
      <c r="AZ342">
        <v>256</v>
      </c>
      <c r="BA342">
        <v>2</v>
      </c>
      <c r="BB342">
        <v>8</v>
      </c>
      <c r="BC342">
        <v>1186.08</v>
      </c>
      <c r="BD342" s="61">
        <v>30.571999999999999</v>
      </c>
      <c r="BE342" s="27">
        <v>45492</v>
      </c>
      <c r="BF342" s="53">
        <v>0.74431712962962959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 s="8">
        <f t="shared" si="509"/>
        <v>30.751599999999996</v>
      </c>
      <c r="BU342">
        <v>91</v>
      </c>
      <c r="BV342" t="s">
        <v>70</v>
      </c>
      <c r="BW342">
        <v>35968</v>
      </c>
      <c r="BX342">
        <v>224</v>
      </c>
      <c r="BY342">
        <v>2</v>
      </c>
      <c r="BZ342">
        <v>8</v>
      </c>
      <c r="CA342">
        <v>769.89</v>
      </c>
      <c r="CB342">
        <v>40.619</v>
      </c>
      <c r="CQ342" s="54">
        <f t="shared" ref="CQ342" si="520">CQ341</f>
        <v>40.153833333333331</v>
      </c>
    </row>
    <row r="343" spans="1:95">
      <c r="A343">
        <v>4</v>
      </c>
      <c r="B343" t="s">
        <v>7</v>
      </c>
      <c r="C343">
        <v>37888</v>
      </c>
      <c r="D343">
        <v>256</v>
      </c>
      <c r="E343">
        <v>2</v>
      </c>
      <c r="F343">
        <v>8</v>
      </c>
      <c r="G343">
        <v>982.16</v>
      </c>
      <c r="H343" s="59">
        <v>36.92</v>
      </c>
      <c r="I343" s="27">
        <v>45486</v>
      </c>
      <c r="J343" s="53">
        <v>0.35516203703703703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 s="66">
        <f t="shared" si="516"/>
        <v>37.390799999999999</v>
      </c>
      <c r="Y343">
        <v>4</v>
      </c>
      <c r="Z343" t="s">
        <v>7</v>
      </c>
      <c r="AA343">
        <v>37888</v>
      </c>
      <c r="AB343">
        <v>256</v>
      </c>
      <c r="AC343">
        <v>2</v>
      </c>
      <c r="AD343">
        <v>8</v>
      </c>
      <c r="AE343">
        <v>801.87</v>
      </c>
      <c r="AF343" s="48">
        <v>45.22</v>
      </c>
      <c r="AG343" s="27">
        <v>45503</v>
      </c>
      <c r="AH343" s="53">
        <v>0.48804398148148148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 s="66">
        <f t="shared" si="508"/>
        <v>45.135199999999998</v>
      </c>
      <c r="AW343">
        <v>4</v>
      </c>
      <c r="AX343" t="s">
        <v>7</v>
      </c>
      <c r="AY343">
        <v>37888</v>
      </c>
      <c r="AZ343">
        <v>256</v>
      </c>
      <c r="BA343">
        <v>2</v>
      </c>
      <c r="BB343">
        <v>8</v>
      </c>
      <c r="BC343">
        <v>1170.72</v>
      </c>
      <c r="BD343" s="61">
        <v>30.972999999999999</v>
      </c>
      <c r="BE343" s="27">
        <v>45493</v>
      </c>
      <c r="BF343" s="53">
        <v>0.82966435185185183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 s="8">
        <f t="shared" si="509"/>
        <v>30.751599999999996</v>
      </c>
      <c r="BU343">
        <v>162</v>
      </c>
      <c r="BV343" t="s">
        <v>70</v>
      </c>
      <c r="BW343">
        <v>35968</v>
      </c>
      <c r="BX343">
        <v>224</v>
      </c>
      <c r="BY343">
        <v>2</v>
      </c>
      <c r="BZ343">
        <v>8</v>
      </c>
      <c r="CA343">
        <v>778.42</v>
      </c>
      <c r="CB343">
        <v>40.173999999999999</v>
      </c>
      <c r="CQ343" s="54">
        <f t="shared" si="512"/>
        <v>40.153833333333331</v>
      </c>
    </row>
    <row r="344" spans="1:95">
      <c r="A344">
        <v>0</v>
      </c>
      <c r="B344" t="s">
        <v>7</v>
      </c>
      <c r="C344">
        <v>39936</v>
      </c>
      <c r="D344">
        <v>256</v>
      </c>
      <c r="E344">
        <v>2</v>
      </c>
      <c r="F344">
        <v>8</v>
      </c>
      <c r="G344" s="1">
        <v>1090.29</v>
      </c>
      <c r="H344" s="59">
        <v>38.948</v>
      </c>
      <c r="I344" s="27">
        <v>45483</v>
      </c>
      <c r="J344" s="53">
        <v>0.20254629629629631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 s="66">
        <f t="shared" ref="W344" si="521">AVERAGE(H344:H348)</f>
        <v>38.640799999999999</v>
      </c>
      <c r="Y344">
        <v>0</v>
      </c>
      <c r="Z344" t="s">
        <v>7</v>
      </c>
      <c r="AA344">
        <v>39936</v>
      </c>
      <c r="AB344">
        <v>256</v>
      </c>
      <c r="AC344">
        <v>2</v>
      </c>
      <c r="AD344">
        <v>8</v>
      </c>
      <c r="AE344" s="1">
        <v>934.07</v>
      </c>
      <c r="AF344" s="48">
        <v>45.462000000000003</v>
      </c>
      <c r="AG344" s="27">
        <v>45500</v>
      </c>
      <c r="AH344" s="53">
        <v>0.28583333333333333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 s="66">
        <f t="shared" ref="AU344" si="522">AVERAGE(AF344:AF348)</f>
        <v>44.809600000000003</v>
      </c>
      <c r="AW344">
        <v>0</v>
      </c>
      <c r="AX344" t="s">
        <v>7</v>
      </c>
      <c r="AY344">
        <v>39936</v>
      </c>
      <c r="AZ344">
        <v>256</v>
      </c>
      <c r="BA344">
        <v>2</v>
      </c>
      <c r="BB344">
        <v>8</v>
      </c>
      <c r="BC344">
        <v>1350.61</v>
      </c>
      <c r="BD344" s="61">
        <v>31.440999999999999</v>
      </c>
      <c r="BE344" s="27">
        <v>45489</v>
      </c>
      <c r="BF344" s="53">
        <v>0.58990740740740744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 s="8">
        <f t="shared" ref="BS344" si="523">AVERAGE(BD344:BD348)</f>
        <v>31.450599999999998</v>
      </c>
      <c r="BU344">
        <v>233</v>
      </c>
      <c r="BV344" t="s">
        <v>70</v>
      </c>
      <c r="BW344">
        <v>35968</v>
      </c>
      <c r="BX344">
        <v>224</v>
      </c>
      <c r="BY344">
        <v>2</v>
      </c>
      <c r="BZ344">
        <v>8</v>
      </c>
      <c r="CA344">
        <v>791.72</v>
      </c>
      <c r="CB344">
        <v>39.499000000000002</v>
      </c>
      <c r="CQ344" s="54">
        <f t="shared" si="512"/>
        <v>40.153833333333331</v>
      </c>
    </row>
    <row r="345" spans="1:95">
      <c r="A345">
        <v>1</v>
      </c>
      <c r="B345" t="s">
        <v>7</v>
      </c>
      <c r="C345">
        <v>39936</v>
      </c>
      <c r="D345">
        <v>256</v>
      </c>
      <c r="E345">
        <v>2</v>
      </c>
      <c r="F345">
        <v>8</v>
      </c>
      <c r="G345">
        <v>1081.95</v>
      </c>
      <c r="H345" s="59">
        <v>39.247999999999998</v>
      </c>
      <c r="I345" s="27">
        <v>45484</v>
      </c>
      <c r="J345" s="53">
        <v>6.745370370370371E-2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 s="66">
        <f t="shared" ref="W345" si="524">W344</f>
        <v>38.640799999999999</v>
      </c>
      <c r="Y345">
        <v>1</v>
      </c>
      <c r="Z345" t="s">
        <v>7</v>
      </c>
      <c r="AA345">
        <v>39936</v>
      </c>
      <c r="AB345">
        <v>256</v>
      </c>
      <c r="AC345">
        <v>2</v>
      </c>
      <c r="AD345">
        <v>8</v>
      </c>
      <c r="AE345">
        <v>951.75</v>
      </c>
      <c r="AF345" s="48">
        <v>44.616999999999997</v>
      </c>
      <c r="AG345" s="27">
        <v>45501</v>
      </c>
      <c r="AH345" s="53">
        <v>0.40770833333333334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 s="66">
        <f t="shared" ref="AU345" si="525">AU344</f>
        <v>44.809600000000003</v>
      </c>
      <c r="AW345">
        <v>1</v>
      </c>
      <c r="AX345" t="s">
        <v>7</v>
      </c>
      <c r="AY345">
        <v>39936</v>
      </c>
      <c r="AZ345">
        <v>256</v>
      </c>
      <c r="BA345">
        <v>2</v>
      </c>
      <c r="BB345">
        <v>8</v>
      </c>
      <c r="BC345">
        <v>1353.14</v>
      </c>
      <c r="BD345" s="61">
        <v>31.382000000000001</v>
      </c>
      <c r="BE345" s="27">
        <v>45490</v>
      </c>
      <c r="BF345" s="53">
        <v>0.98313657407407407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 s="8">
        <f t="shared" ref="BS345" si="526">BS344</f>
        <v>31.450599999999998</v>
      </c>
      <c r="BU345">
        <v>304</v>
      </c>
      <c r="BV345" t="s">
        <v>70</v>
      </c>
      <c r="BW345">
        <v>35968</v>
      </c>
      <c r="BX345">
        <v>224</v>
      </c>
      <c r="BY345">
        <v>2</v>
      </c>
      <c r="BZ345">
        <v>8</v>
      </c>
      <c r="CA345">
        <v>795.99</v>
      </c>
      <c r="CB345">
        <v>39.286999999999999</v>
      </c>
      <c r="CQ345" s="54">
        <f t="shared" si="512"/>
        <v>40.153833333333331</v>
      </c>
    </row>
    <row r="346" spans="1:95">
      <c r="A346">
        <v>2</v>
      </c>
      <c r="B346" t="s">
        <v>7</v>
      </c>
      <c r="C346">
        <v>39936</v>
      </c>
      <c r="D346">
        <v>256</v>
      </c>
      <c r="E346">
        <v>2</v>
      </c>
      <c r="F346">
        <v>8</v>
      </c>
      <c r="G346">
        <v>1089.28</v>
      </c>
      <c r="H346" s="59">
        <v>38.984000000000002</v>
      </c>
      <c r="I346" s="27">
        <v>45484</v>
      </c>
      <c r="J346" s="53">
        <v>0.93012731481481481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 s="66">
        <f t="shared" si="516"/>
        <v>38.640799999999999</v>
      </c>
      <c r="Y346">
        <v>2</v>
      </c>
      <c r="Z346" t="s">
        <v>7</v>
      </c>
      <c r="AA346">
        <v>39936</v>
      </c>
      <c r="AB346">
        <v>256</v>
      </c>
      <c r="AC346">
        <v>2</v>
      </c>
      <c r="AD346">
        <v>8</v>
      </c>
      <c r="AE346">
        <v>944.12</v>
      </c>
      <c r="AF346" s="48">
        <v>44.978000000000002</v>
      </c>
      <c r="AG346" s="27">
        <v>45502</v>
      </c>
      <c r="AH346" s="53">
        <v>0.20282407407407407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 s="66">
        <f t="shared" si="508"/>
        <v>44.809600000000003</v>
      </c>
      <c r="AW346">
        <v>2</v>
      </c>
      <c r="AX346" t="s">
        <v>7</v>
      </c>
      <c r="AY346">
        <v>39936</v>
      </c>
      <c r="AZ346">
        <v>256</v>
      </c>
      <c r="BA346">
        <v>2</v>
      </c>
      <c r="BB346">
        <v>8</v>
      </c>
      <c r="BC346">
        <v>1358.69</v>
      </c>
      <c r="BD346" s="61">
        <v>31.254000000000001</v>
      </c>
      <c r="BE346" s="27">
        <v>45492</v>
      </c>
      <c r="BF346" s="53">
        <v>6.8495370370370373E-2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 s="8">
        <f t="shared" si="509"/>
        <v>31.450599999999998</v>
      </c>
      <c r="BU346">
        <v>375</v>
      </c>
      <c r="BV346" t="s">
        <v>70</v>
      </c>
      <c r="BW346">
        <v>35968</v>
      </c>
      <c r="BX346">
        <v>224</v>
      </c>
      <c r="BY346">
        <v>2</v>
      </c>
      <c r="BZ346">
        <v>8</v>
      </c>
      <c r="CA346">
        <v>771.51</v>
      </c>
      <c r="CB346">
        <v>40.533999999999999</v>
      </c>
      <c r="CQ346" s="54">
        <f t="shared" si="512"/>
        <v>40.153833333333331</v>
      </c>
    </row>
    <row r="347" spans="1:95">
      <c r="A347">
        <v>3</v>
      </c>
      <c r="B347" t="s">
        <v>7</v>
      </c>
      <c r="C347">
        <v>39936</v>
      </c>
      <c r="D347">
        <v>256</v>
      </c>
      <c r="E347">
        <v>2</v>
      </c>
      <c r="F347">
        <v>8</v>
      </c>
      <c r="G347">
        <v>1112.5999999999999</v>
      </c>
      <c r="H347" s="59">
        <v>38.167000000000002</v>
      </c>
      <c r="I347" s="27">
        <v>45485</v>
      </c>
      <c r="J347" s="53">
        <v>0.80439814814814814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 s="66">
        <f t="shared" si="516"/>
        <v>38.640799999999999</v>
      </c>
      <c r="Y347">
        <v>3</v>
      </c>
      <c r="Z347" t="s">
        <v>7</v>
      </c>
      <c r="AA347">
        <v>39936</v>
      </c>
      <c r="AB347">
        <v>256</v>
      </c>
      <c r="AC347">
        <v>2</v>
      </c>
      <c r="AD347">
        <v>8</v>
      </c>
      <c r="AE347">
        <v>952</v>
      </c>
      <c r="AF347" s="48">
        <v>44.606000000000002</v>
      </c>
      <c r="AG347" s="27">
        <v>45502</v>
      </c>
      <c r="AH347" s="53">
        <v>0.99760416666666663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 s="66">
        <f t="shared" si="508"/>
        <v>44.809600000000003</v>
      </c>
      <c r="AW347">
        <v>3</v>
      </c>
      <c r="AX347" t="s">
        <v>7</v>
      </c>
      <c r="AY347">
        <v>39936</v>
      </c>
      <c r="AZ347">
        <v>256</v>
      </c>
      <c r="BA347">
        <v>2</v>
      </c>
      <c r="BB347">
        <v>8</v>
      </c>
      <c r="BC347">
        <v>1351.31</v>
      </c>
      <c r="BD347" s="61">
        <v>31.425000000000001</v>
      </c>
      <c r="BE347" s="27">
        <v>45493</v>
      </c>
      <c r="BF347" s="53">
        <v>0.15378472222222223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 s="8">
        <f t="shared" si="509"/>
        <v>31.450599999999998</v>
      </c>
      <c r="BU347">
        <v>44</v>
      </c>
      <c r="BV347" t="s">
        <v>70</v>
      </c>
      <c r="BW347">
        <v>38144</v>
      </c>
      <c r="BX347">
        <v>224</v>
      </c>
      <c r="BY347">
        <v>2</v>
      </c>
      <c r="BZ347">
        <v>8</v>
      </c>
      <c r="CA347">
        <v>884.54</v>
      </c>
      <c r="CB347">
        <v>41.62</v>
      </c>
      <c r="CQ347" s="54">
        <f t="shared" ref="CQ347" si="527">AVERAGE(CB347:CB352)</f>
        <v>41.100666666666669</v>
      </c>
    </row>
    <row r="348" spans="1:95">
      <c r="A348">
        <v>4</v>
      </c>
      <c r="B348" t="s">
        <v>7</v>
      </c>
      <c r="C348">
        <v>39936</v>
      </c>
      <c r="D348">
        <v>256</v>
      </c>
      <c r="E348">
        <v>2</v>
      </c>
      <c r="F348">
        <v>8</v>
      </c>
      <c r="G348">
        <v>1121.71</v>
      </c>
      <c r="H348" s="59">
        <v>37.856999999999999</v>
      </c>
      <c r="I348" s="27">
        <v>45486</v>
      </c>
      <c r="J348" s="53">
        <v>0.69271990740740741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 s="66">
        <f t="shared" si="516"/>
        <v>38.640799999999999</v>
      </c>
      <c r="Y348">
        <v>4</v>
      </c>
      <c r="Z348" t="s">
        <v>7</v>
      </c>
      <c r="AA348">
        <v>39936</v>
      </c>
      <c r="AB348">
        <v>256</v>
      </c>
      <c r="AC348">
        <v>2</v>
      </c>
      <c r="AD348">
        <v>8</v>
      </c>
      <c r="AE348">
        <v>956.74</v>
      </c>
      <c r="AF348" s="48">
        <v>44.384999999999998</v>
      </c>
      <c r="AG348" s="27">
        <v>45503</v>
      </c>
      <c r="AH348" s="53">
        <v>0.79268518518518516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 s="66">
        <f t="shared" si="508"/>
        <v>44.809600000000003</v>
      </c>
      <c r="AW348">
        <v>4</v>
      </c>
      <c r="AX348" t="s">
        <v>7</v>
      </c>
      <c r="AY348">
        <v>39936</v>
      </c>
      <c r="AZ348">
        <v>256</v>
      </c>
      <c r="BA348">
        <v>2</v>
      </c>
      <c r="BB348">
        <v>8</v>
      </c>
      <c r="BC348">
        <v>1337.43</v>
      </c>
      <c r="BD348" s="61">
        <v>31.751000000000001</v>
      </c>
      <c r="BE348" s="27">
        <v>45494</v>
      </c>
      <c r="BF348" s="53">
        <v>0.23967592592592593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 s="8">
        <f t="shared" si="509"/>
        <v>31.450599999999998</v>
      </c>
      <c r="BU348">
        <v>115</v>
      </c>
      <c r="BV348" t="s">
        <v>70</v>
      </c>
      <c r="BW348">
        <v>38144</v>
      </c>
      <c r="BX348">
        <v>224</v>
      </c>
      <c r="BY348">
        <v>2</v>
      </c>
      <c r="BZ348">
        <v>8</v>
      </c>
      <c r="CA348">
        <v>887.39</v>
      </c>
      <c r="CB348">
        <v>41.487000000000002</v>
      </c>
      <c r="CQ348" s="54">
        <f t="shared" ref="CQ348" si="528">CQ347</f>
        <v>41.100666666666669</v>
      </c>
    </row>
    <row r="349" spans="1:95">
      <c r="A349">
        <v>0</v>
      </c>
      <c r="B349" t="s">
        <v>7</v>
      </c>
      <c r="C349">
        <v>35840</v>
      </c>
      <c r="D349">
        <v>256</v>
      </c>
      <c r="E349">
        <v>4</v>
      </c>
      <c r="F349">
        <v>4</v>
      </c>
      <c r="G349" s="1">
        <v>789.02</v>
      </c>
      <c r="H349" s="59">
        <v>38.9</v>
      </c>
      <c r="I349" s="27">
        <v>45482</v>
      </c>
      <c r="J349" s="53">
        <v>0.60085648148148152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 s="66">
        <f t="shared" ref="W349" si="529">AVERAGE(H349:H353)</f>
        <v>38.563400000000001</v>
      </c>
      <c r="Y349">
        <v>0</v>
      </c>
      <c r="Z349" t="s">
        <v>7</v>
      </c>
      <c r="AA349">
        <v>35840</v>
      </c>
      <c r="AB349">
        <v>256</v>
      </c>
      <c r="AC349">
        <v>4</v>
      </c>
      <c r="AD349">
        <v>4</v>
      </c>
      <c r="AE349">
        <v>752.7</v>
      </c>
      <c r="AF349" s="48">
        <v>40.777000000000001</v>
      </c>
      <c r="AG349" s="27">
        <v>45499</v>
      </c>
      <c r="AH349" s="53">
        <v>0.73031250000000003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 s="66">
        <f t="shared" ref="AU349" si="530">AVERAGE(AF349:AF353)</f>
        <v>41.213000000000001</v>
      </c>
      <c r="AW349">
        <v>0</v>
      </c>
      <c r="AX349" t="s">
        <v>7</v>
      </c>
      <c r="AY349">
        <v>35840</v>
      </c>
      <c r="AZ349">
        <v>256</v>
      </c>
      <c r="BA349">
        <v>4</v>
      </c>
      <c r="BB349">
        <v>4</v>
      </c>
      <c r="BC349">
        <v>1085.8499999999999</v>
      </c>
      <c r="BD349" s="61">
        <v>28.265999999999998</v>
      </c>
      <c r="BE349" s="27">
        <v>45488</v>
      </c>
      <c r="BF349" s="53">
        <v>0.83516203703703706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 s="8">
        <f t="shared" ref="BS349" si="531">AVERAGE(BD349:BD353)</f>
        <v>28.149799999999999</v>
      </c>
      <c r="BU349">
        <v>186</v>
      </c>
      <c r="BV349" t="s">
        <v>70</v>
      </c>
      <c r="BW349">
        <v>38144</v>
      </c>
      <c r="BX349">
        <v>224</v>
      </c>
      <c r="BY349">
        <v>2</v>
      </c>
      <c r="BZ349">
        <v>8</v>
      </c>
      <c r="CA349">
        <v>892.33</v>
      </c>
      <c r="CB349">
        <v>41.256999999999998</v>
      </c>
      <c r="CQ349" s="54">
        <f t="shared" si="512"/>
        <v>41.100666666666669</v>
      </c>
    </row>
    <row r="350" spans="1:95">
      <c r="A350">
        <v>1</v>
      </c>
      <c r="B350" t="s">
        <v>7</v>
      </c>
      <c r="C350">
        <v>35840</v>
      </c>
      <c r="D350">
        <v>256</v>
      </c>
      <c r="E350">
        <v>4</v>
      </c>
      <c r="F350">
        <v>4</v>
      </c>
      <c r="G350">
        <v>795.24</v>
      </c>
      <c r="H350" s="59">
        <v>38.595999999999997</v>
      </c>
      <c r="I350" s="27">
        <v>45483</v>
      </c>
      <c r="J350" s="53">
        <v>0.46326388888888886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 s="66">
        <f t="shared" ref="W350" si="532">W349</f>
        <v>38.563400000000001</v>
      </c>
      <c r="Y350">
        <v>1</v>
      </c>
      <c r="Z350" t="s">
        <v>7</v>
      </c>
      <c r="AA350">
        <v>35840</v>
      </c>
      <c r="AB350">
        <v>256</v>
      </c>
      <c r="AC350">
        <v>4</v>
      </c>
      <c r="AD350">
        <v>4</v>
      </c>
      <c r="AE350" s="1">
        <v>748.1</v>
      </c>
      <c r="AF350" s="48">
        <v>41.027999999999999</v>
      </c>
      <c r="AG350" s="27">
        <v>45500</v>
      </c>
      <c r="AH350" s="53">
        <v>0.85193287037037035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 s="66">
        <f t="shared" ref="AU350" si="533">AU349</f>
        <v>41.213000000000001</v>
      </c>
      <c r="AW350">
        <v>1</v>
      </c>
      <c r="AX350" t="s">
        <v>7</v>
      </c>
      <c r="AY350">
        <v>35840</v>
      </c>
      <c r="AZ350">
        <v>256</v>
      </c>
      <c r="BA350">
        <v>4</v>
      </c>
      <c r="BB350">
        <v>4</v>
      </c>
      <c r="BC350">
        <v>1097.9100000000001</v>
      </c>
      <c r="BD350" s="61">
        <v>27.956</v>
      </c>
      <c r="BE350" s="27">
        <v>45490</v>
      </c>
      <c r="BF350" s="53">
        <v>0.22863425925925926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 s="8">
        <f t="shared" ref="BS350" si="534">BS349</f>
        <v>28.149799999999999</v>
      </c>
      <c r="BU350">
        <v>257</v>
      </c>
      <c r="BV350" t="s">
        <v>70</v>
      </c>
      <c r="BW350">
        <v>38144</v>
      </c>
      <c r="BX350">
        <v>224</v>
      </c>
      <c r="BY350">
        <v>2</v>
      </c>
      <c r="BZ350">
        <v>8</v>
      </c>
      <c r="CA350">
        <v>905.81</v>
      </c>
      <c r="CB350">
        <v>40.643000000000001</v>
      </c>
      <c r="CQ350" s="54">
        <f t="shared" si="512"/>
        <v>41.100666666666669</v>
      </c>
    </row>
    <row r="351" spans="1:95">
      <c r="A351">
        <v>2</v>
      </c>
      <c r="B351" t="s">
        <v>7</v>
      </c>
      <c r="C351">
        <v>35840</v>
      </c>
      <c r="D351">
        <v>256</v>
      </c>
      <c r="E351">
        <v>4</v>
      </c>
      <c r="F351">
        <v>4</v>
      </c>
      <c r="G351">
        <v>788.89</v>
      </c>
      <c r="H351" s="59">
        <v>38.906999999999996</v>
      </c>
      <c r="I351" s="27">
        <v>45484</v>
      </c>
      <c r="J351" s="53">
        <v>0.32598379629629631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 s="66">
        <f t="shared" si="516"/>
        <v>38.563400000000001</v>
      </c>
      <c r="Y351">
        <v>2</v>
      </c>
      <c r="Z351" t="s">
        <v>7</v>
      </c>
      <c r="AA351">
        <v>35840</v>
      </c>
      <c r="AB351">
        <v>256</v>
      </c>
      <c r="AC351">
        <v>4</v>
      </c>
      <c r="AD351">
        <v>4</v>
      </c>
      <c r="AE351">
        <v>736.48</v>
      </c>
      <c r="AF351" s="48">
        <v>41.676000000000002</v>
      </c>
      <c r="AG351" s="27">
        <v>45501</v>
      </c>
      <c r="AH351" s="53">
        <v>0.64596064814814813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 s="66">
        <f t="shared" si="508"/>
        <v>41.213000000000001</v>
      </c>
      <c r="AW351">
        <v>2</v>
      </c>
      <c r="AX351" t="s">
        <v>7</v>
      </c>
      <c r="AY351">
        <v>35840</v>
      </c>
      <c r="AZ351">
        <v>256</v>
      </c>
      <c r="BA351">
        <v>4</v>
      </c>
      <c r="BB351">
        <v>4</v>
      </c>
      <c r="BC351">
        <v>1089.76</v>
      </c>
      <c r="BD351" s="61">
        <v>28.164999999999999</v>
      </c>
      <c r="BE351" s="27">
        <v>45491</v>
      </c>
      <c r="BF351" s="53">
        <v>0.31468750000000001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 s="8">
        <f t="shared" si="509"/>
        <v>28.149799999999999</v>
      </c>
      <c r="BU351">
        <v>328</v>
      </c>
      <c r="BV351" t="s">
        <v>70</v>
      </c>
      <c r="BW351">
        <v>38144</v>
      </c>
      <c r="BX351">
        <v>224</v>
      </c>
      <c r="BY351">
        <v>2</v>
      </c>
      <c r="BZ351">
        <v>8</v>
      </c>
      <c r="CA351">
        <v>896.25</v>
      </c>
      <c r="CB351">
        <v>41.076999999999998</v>
      </c>
      <c r="CQ351" s="54">
        <f t="shared" si="512"/>
        <v>41.100666666666669</v>
      </c>
    </row>
    <row r="352" spans="1:95">
      <c r="A352">
        <v>3</v>
      </c>
      <c r="B352" t="s">
        <v>7</v>
      </c>
      <c r="C352">
        <v>35840</v>
      </c>
      <c r="D352">
        <v>256</v>
      </c>
      <c r="E352">
        <v>4</v>
      </c>
      <c r="F352">
        <v>4</v>
      </c>
      <c r="G352">
        <v>796.42</v>
      </c>
      <c r="H352" s="59">
        <v>38.539000000000001</v>
      </c>
      <c r="I352" s="27">
        <v>45485</v>
      </c>
      <c r="J352" s="53">
        <v>0.18910879629629629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 s="66">
        <f t="shared" si="516"/>
        <v>38.563400000000001</v>
      </c>
      <c r="Y352">
        <v>3</v>
      </c>
      <c r="Z352" t="s">
        <v>7</v>
      </c>
      <c r="AA352">
        <v>35840</v>
      </c>
      <c r="AB352">
        <v>256</v>
      </c>
      <c r="AC352">
        <v>4</v>
      </c>
      <c r="AD352">
        <v>4</v>
      </c>
      <c r="AE352">
        <v>745.4</v>
      </c>
      <c r="AF352" s="48">
        <v>41.177</v>
      </c>
      <c r="AG352" s="27">
        <v>45502</v>
      </c>
      <c r="AH352" s="53">
        <v>0.44016203703703705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 s="66">
        <f t="shared" si="508"/>
        <v>41.213000000000001</v>
      </c>
      <c r="AW352">
        <v>3</v>
      </c>
      <c r="AX352" t="s">
        <v>7</v>
      </c>
      <c r="AY352">
        <v>35840</v>
      </c>
      <c r="AZ352">
        <v>256</v>
      </c>
      <c r="BA352">
        <v>4</v>
      </c>
      <c r="BB352">
        <v>4</v>
      </c>
      <c r="BC352">
        <v>1083.3800000000001</v>
      </c>
      <c r="BD352" s="61">
        <v>28.331</v>
      </c>
      <c r="BE352" s="27">
        <v>45492</v>
      </c>
      <c r="BF352" s="53">
        <v>0.3997337962962963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 s="8">
        <f t="shared" si="509"/>
        <v>28.149799999999999</v>
      </c>
      <c r="BU352">
        <v>399</v>
      </c>
      <c r="BV352" t="s">
        <v>70</v>
      </c>
      <c r="BW352">
        <v>38144</v>
      </c>
      <c r="BX352">
        <v>224</v>
      </c>
      <c r="BY352">
        <v>2</v>
      </c>
      <c r="BZ352">
        <v>8</v>
      </c>
      <c r="CA352">
        <v>908.55</v>
      </c>
      <c r="CB352">
        <v>40.520000000000003</v>
      </c>
      <c r="CQ352" s="54">
        <f t="shared" si="512"/>
        <v>41.100666666666669</v>
      </c>
    </row>
    <row r="353" spans="1:95">
      <c r="A353">
        <v>4</v>
      </c>
      <c r="B353" t="s">
        <v>7</v>
      </c>
      <c r="C353">
        <v>35840</v>
      </c>
      <c r="D353">
        <v>256</v>
      </c>
      <c r="E353">
        <v>4</v>
      </c>
      <c r="F353">
        <v>4</v>
      </c>
      <c r="G353">
        <v>810.37</v>
      </c>
      <c r="H353" s="59">
        <v>37.875</v>
      </c>
      <c r="I353" s="27">
        <v>45486</v>
      </c>
      <c r="J353" s="53">
        <v>7.0879629629629626E-2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 s="66">
        <f t="shared" si="516"/>
        <v>38.563400000000001</v>
      </c>
      <c r="Y353">
        <v>4</v>
      </c>
      <c r="Z353" t="s">
        <v>7</v>
      </c>
      <c r="AA353">
        <v>35840</v>
      </c>
      <c r="AB353">
        <v>256</v>
      </c>
      <c r="AC353">
        <v>4</v>
      </c>
      <c r="AD353">
        <v>4</v>
      </c>
      <c r="AE353">
        <v>741.25</v>
      </c>
      <c r="AF353" s="48">
        <v>41.406999999999996</v>
      </c>
      <c r="AG353" s="27">
        <v>45503</v>
      </c>
      <c r="AH353" s="53">
        <v>0.23499999999999999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 s="66">
        <f t="shared" si="508"/>
        <v>41.213000000000001</v>
      </c>
      <c r="AW353">
        <v>4</v>
      </c>
      <c r="AX353" t="s">
        <v>7</v>
      </c>
      <c r="AY353">
        <v>35840</v>
      </c>
      <c r="AZ353">
        <v>256</v>
      </c>
      <c r="BA353">
        <v>4</v>
      </c>
      <c r="BB353">
        <v>4</v>
      </c>
      <c r="BC353">
        <v>1094.95</v>
      </c>
      <c r="BD353" s="61">
        <v>28.030999999999999</v>
      </c>
      <c r="BE353" s="27">
        <v>45493</v>
      </c>
      <c r="BF353" s="53">
        <v>0.48496527777777776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 s="8">
        <f t="shared" si="509"/>
        <v>28.149799999999999</v>
      </c>
      <c r="BU353">
        <v>67</v>
      </c>
      <c r="BV353" t="s">
        <v>70</v>
      </c>
      <c r="BW353">
        <v>40320</v>
      </c>
      <c r="BX353">
        <v>224</v>
      </c>
      <c r="BY353">
        <v>2</v>
      </c>
      <c r="BZ353">
        <v>8</v>
      </c>
      <c r="CA353">
        <v>1041.54</v>
      </c>
      <c r="CB353">
        <v>41.957999999999998</v>
      </c>
      <c r="CQ353" s="54">
        <f t="shared" ref="CQ353" si="535">AVERAGE(CB353:CB358)</f>
        <v>41.912166666666671</v>
      </c>
    </row>
    <row r="354" spans="1:95">
      <c r="A354">
        <v>0</v>
      </c>
      <c r="B354" t="s">
        <v>7</v>
      </c>
      <c r="C354">
        <v>37888</v>
      </c>
      <c r="D354">
        <v>256</v>
      </c>
      <c r="E354">
        <v>4</v>
      </c>
      <c r="F354">
        <v>4</v>
      </c>
      <c r="G354" s="1">
        <v>917.96</v>
      </c>
      <c r="H354" s="59">
        <v>39.502000000000002</v>
      </c>
      <c r="I354" s="27">
        <v>45482</v>
      </c>
      <c r="J354" s="53">
        <v>0.88591435185185186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s="66">
        <f t="shared" ref="W354" si="536">AVERAGE(H354:H358)</f>
        <v>39.238999999999997</v>
      </c>
      <c r="Y354">
        <v>0</v>
      </c>
      <c r="Z354" t="s">
        <v>7</v>
      </c>
      <c r="AA354">
        <v>37888</v>
      </c>
      <c r="AB354">
        <v>256</v>
      </c>
      <c r="AC354">
        <v>4</v>
      </c>
      <c r="AD354">
        <v>4</v>
      </c>
      <c r="AE354">
        <v>861.08</v>
      </c>
      <c r="AF354" s="48">
        <v>42.110999999999997</v>
      </c>
      <c r="AG354" s="27">
        <v>45499</v>
      </c>
      <c r="AH354" s="53">
        <v>0.99223379629629627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 s="66">
        <f t="shared" ref="AU354" si="537">AVERAGE(AF354:AF358)</f>
        <v>41.375399999999999</v>
      </c>
      <c r="AW354">
        <v>0</v>
      </c>
      <c r="AX354" t="s">
        <v>7</v>
      </c>
      <c r="AY354">
        <v>37888</v>
      </c>
      <c r="AZ354">
        <v>256</v>
      </c>
      <c r="BA354">
        <v>4</v>
      </c>
      <c r="BB354">
        <v>4</v>
      </c>
      <c r="BC354">
        <v>1235.19</v>
      </c>
      <c r="BD354" s="61">
        <v>29.356999999999999</v>
      </c>
      <c r="BE354" s="27">
        <v>45489</v>
      </c>
      <c r="BF354" s="53">
        <v>0.19503472222222223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 s="8">
        <f t="shared" ref="BS354" si="538">AVERAGE(BD354:BD358)</f>
        <v>29.052800000000001</v>
      </c>
      <c r="BU354">
        <v>138</v>
      </c>
      <c r="BV354" t="s">
        <v>70</v>
      </c>
      <c r="BW354">
        <v>40320</v>
      </c>
      <c r="BX354">
        <v>224</v>
      </c>
      <c r="BY354">
        <v>2</v>
      </c>
      <c r="BZ354">
        <v>8</v>
      </c>
      <c r="CA354">
        <v>1042</v>
      </c>
      <c r="CB354">
        <v>41.94</v>
      </c>
      <c r="CQ354" s="54">
        <f t="shared" ref="CQ354" si="539">CQ353</f>
        <v>41.912166666666671</v>
      </c>
    </row>
    <row r="355" spans="1:95">
      <c r="A355">
        <v>1</v>
      </c>
      <c r="B355" t="s">
        <v>7</v>
      </c>
      <c r="C355">
        <v>37888</v>
      </c>
      <c r="D355">
        <v>256</v>
      </c>
      <c r="E355">
        <v>4</v>
      </c>
      <c r="F355">
        <v>4</v>
      </c>
      <c r="G355">
        <v>916.02</v>
      </c>
      <c r="H355" s="59">
        <v>39.585000000000001</v>
      </c>
      <c r="I355" s="27">
        <v>45483</v>
      </c>
      <c r="J355" s="53">
        <v>0.75103009259259257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 s="66">
        <f t="shared" ref="W355" si="540">W354</f>
        <v>39.238999999999997</v>
      </c>
      <c r="Y355">
        <v>1</v>
      </c>
      <c r="Z355" t="s">
        <v>7</v>
      </c>
      <c r="AA355">
        <v>37888</v>
      </c>
      <c r="AB355">
        <v>256</v>
      </c>
      <c r="AC355">
        <v>4</v>
      </c>
      <c r="AD355">
        <v>4</v>
      </c>
      <c r="AE355">
        <v>885.35</v>
      </c>
      <c r="AF355" s="48">
        <v>40.957000000000001</v>
      </c>
      <c r="AG355" s="27">
        <v>45501</v>
      </c>
      <c r="AH355" s="53">
        <v>0.114375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 s="66">
        <f t="shared" ref="AU355" si="541">AU354</f>
        <v>41.375399999999999</v>
      </c>
      <c r="AW355">
        <v>1</v>
      </c>
      <c r="AX355" t="s">
        <v>7</v>
      </c>
      <c r="AY355">
        <v>37888</v>
      </c>
      <c r="AZ355">
        <v>256</v>
      </c>
      <c r="BA355">
        <v>4</v>
      </c>
      <c r="BB355">
        <v>4</v>
      </c>
      <c r="BC355">
        <v>1236.77</v>
      </c>
      <c r="BD355" s="61">
        <v>29.318999999999999</v>
      </c>
      <c r="BE355" s="27">
        <v>45490</v>
      </c>
      <c r="BF355" s="53">
        <v>0.58863425925925927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 s="8">
        <f t="shared" ref="BS355" si="542">BS354</f>
        <v>29.052800000000001</v>
      </c>
      <c r="BU355">
        <v>209</v>
      </c>
      <c r="BV355" t="s">
        <v>70</v>
      </c>
      <c r="BW355">
        <v>40320</v>
      </c>
      <c r="BX355">
        <v>224</v>
      </c>
      <c r="BY355">
        <v>2</v>
      </c>
      <c r="BZ355">
        <v>8</v>
      </c>
      <c r="CA355">
        <v>1033.4100000000001</v>
      </c>
      <c r="CB355">
        <v>42.289000000000001</v>
      </c>
      <c r="CQ355" s="54">
        <f t="shared" si="512"/>
        <v>41.912166666666671</v>
      </c>
    </row>
    <row r="356" spans="1:95">
      <c r="A356">
        <v>2</v>
      </c>
      <c r="B356" t="s">
        <v>7</v>
      </c>
      <c r="C356">
        <v>37888</v>
      </c>
      <c r="D356">
        <v>256</v>
      </c>
      <c r="E356">
        <v>4</v>
      </c>
      <c r="F356">
        <v>4</v>
      </c>
      <c r="G356">
        <v>912.33</v>
      </c>
      <c r="H356" s="59">
        <v>39.744999999999997</v>
      </c>
      <c r="I356" s="27">
        <v>45484</v>
      </c>
      <c r="J356" s="53">
        <v>0.61337962962962966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 s="66">
        <f t="shared" si="516"/>
        <v>39.238999999999997</v>
      </c>
      <c r="Y356">
        <v>2</v>
      </c>
      <c r="Z356" t="s">
        <v>7</v>
      </c>
      <c r="AA356">
        <v>37888</v>
      </c>
      <c r="AB356">
        <v>256</v>
      </c>
      <c r="AC356">
        <v>4</v>
      </c>
      <c r="AD356">
        <v>4</v>
      </c>
      <c r="AE356">
        <v>861.47</v>
      </c>
      <c r="AF356" s="48">
        <v>42.091999999999999</v>
      </c>
      <c r="AG356" s="27">
        <v>45501</v>
      </c>
      <c r="AH356" s="53">
        <v>0.90896990740740746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 s="66">
        <f t="shared" si="508"/>
        <v>41.375399999999999</v>
      </c>
      <c r="AW356">
        <v>2</v>
      </c>
      <c r="AX356" t="s">
        <v>7</v>
      </c>
      <c r="AY356">
        <v>37888</v>
      </c>
      <c r="AZ356">
        <v>256</v>
      </c>
      <c r="BA356">
        <v>4</v>
      </c>
      <c r="BB356">
        <v>4</v>
      </c>
      <c r="BC356">
        <v>1242.44</v>
      </c>
      <c r="BD356" s="61">
        <v>29.184999999999999</v>
      </c>
      <c r="BE356" s="27">
        <v>45491</v>
      </c>
      <c r="BF356" s="53">
        <v>0.67432870370370368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 s="8">
        <f t="shared" si="509"/>
        <v>29.052800000000001</v>
      </c>
      <c r="BU356">
        <v>280</v>
      </c>
      <c r="BV356" t="s">
        <v>70</v>
      </c>
      <c r="BW356">
        <v>40320</v>
      </c>
      <c r="BX356">
        <v>224</v>
      </c>
      <c r="BY356">
        <v>2</v>
      </c>
      <c r="BZ356">
        <v>8</v>
      </c>
      <c r="CA356">
        <v>1035.47</v>
      </c>
      <c r="CB356">
        <v>42.204000000000001</v>
      </c>
      <c r="CQ356" s="54">
        <f t="shared" si="512"/>
        <v>41.912166666666671</v>
      </c>
    </row>
    <row r="357" spans="1:95">
      <c r="A357">
        <v>3</v>
      </c>
      <c r="B357" t="s">
        <v>7</v>
      </c>
      <c r="C357">
        <v>37888</v>
      </c>
      <c r="D357">
        <v>256</v>
      </c>
      <c r="E357">
        <v>4</v>
      </c>
      <c r="F357">
        <v>4</v>
      </c>
      <c r="G357">
        <v>935.71</v>
      </c>
      <c r="H357" s="59">
        <v>38.753</v>
      </c>
      <c r="I357" s="27">
        <v>45485</v>
      </c>
      <c r="J357" s="53">
        <v>0.47806712962962961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 s="66">
        <f t="shared" si="516"/>
        <v>39.238999999999997</v>
      </c>
      <c r="Y357">
        <v>3</v>
      </c>
      <c r="Z357" t="s">
        <v>7</v>
      </c>
      <c r="AA357">
        <v>37888</v>
      </c>
      <c r="AB357">
        <v>256</v>
      </c>
      <c r="AC357">
        <v>4</v>
      </c>
      <c r="AD357">
        <v>4</v>
      </c>
      <c r="AE357">
        <v>917.64</v>
      </c>
      <c r="AF357" s="48">
        <v>39.515000000000001</v>
      </c>
      <c r="AG357" s="27">
        <v>45502</v>
      </c>
      <c r="AH357" s="53">
        <v>0.70343750000000005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 s="66">
        <f t="shared" si="508"/>
        <v>41.375399999999999</v>
      </c>
      <c r="AW357">
        <v>3</v>
      </c>
      <c r="AX357" t="s">
        <v>7</v>
      </c>
      <c r="AY357">
        <v>37888</v>
      </c>
      <c r="AZ357">
        <v>256</v>
      </c>
      <c r="BA357">
        <v>4</v>
      </c>
      <c r="BB357">
        <v>4</v>
      </c>
      <c r="BC357">
        <v>1250.4000000000001</v>
      </c>
      <c r="BD357" s="61">
        <v>28.998999999999999</v>
      </c>
      <c r="BE357" s="27">
        <v>45492</v>
      </c>
      <c r="BF357" s="53">
        <v>0.75966435185185188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 s="8">
        <f t="shared" si="509"/>
        <v>29.052800000000001</v>
      </c>
      <c r="BU357">
        <v>351</v>
      </c>
      <c r="BV357" t="s">
        <v>70</v>
      </c>
      <c r="BW357">
        <v>40320</v>
      </c>
      <c r="BX357">
        <v>224</v>
      </c>
      <c r="BY357">
        <v>2</v>
      </c>
      <c r="BZ357">
        <v>8</v>
      </c>
      <c r="CA357">
        <v>1050.5899999999999</v>
      </c>
      <c r="CB357">
        <v>41.597000000000001</v>
      </c>
      <c r="CQ357" s="54">
        <f t="shared" si="512"/>
        <v>41.912166666666671</v>
      </c>
    </row>
    <row r="358" spans="1:95">
      <c r="A358">
        <v>4</v>
      </c>
      <c r="B358" t="s">
        <v>7</v>
      </c>
      <c r="C358">
        <v>37888</v>
      </c>
      <c r="D358">
        <v>256</v>
      </c>
      <c r="E358">
        <v>4</v>
      </c>
      <c r="F358">
        <v>4</v>
      </c>
      <c r="G358">
        <v>939.15</v>
      </c>
      <c r="H358" s="59">
        <v>38.61</v>
      </c>
      <c r="I358" s="27">
        <v>45486</v>
      </c>
      <c r="J358" s="53">
        <v>0.36631944444444442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s="66">
        <f t="shared" si="516"/>
        <v>39.238999999999997</v>
      </c>
      <c r="Y358">
        <v>4</v>
      </c>
      <c r="Z358" t="s">
        <v>7</v>
      </c>
      <c r="AA358">
        <v>37888</v>
      </c>
      <c r="AB358">
        <v>256</v>
      </c>
      <c r="AC358">
        <v>4</v>
      </c>
      <c r="AD358">
        <v>4</v>
      </c>
      <c r="AE358" s="1">
        <v>859.22</v>
      </c>
      <c r="AF358" s="48">
        <v>42.201999999999998</v>
      </c>
      <c r="AG358" s="27">
        <v>45503</v>
      </c>
      <c r="AH358" s="53">
        <v>0.4982638888888889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 s="66">
        <f t="shared" si="508"/>
        <v>41.375399999999999</v>
      </c>
      <c r="AW358">
        <v>4</v>
      </c>
      <c r="AX358" t="s">
        <v>7</v>
      </c>
      <c r="AY358">
        <v>37888</v>
      </c>
      <c r="AZ358">
        <v>256</v>
      </c>
      <c r="BA358">
        <v>4</v>
      </c>
      <c r="BB358">
        <v>4</v>
      </c>
      <c r="BC358">
        <v>1276.5999999999999</v>
      </c>
      <c r="BD358" s="61">
        <v>28.404</v>
      </c>
      <c r="BE358" s="27">
        <v>45493</v>
      </c>
      <c r="BF358" s="53">
        <v>0.84531250000000002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 s="8">
        <f t="shared" si="509"/>
        <v>29.052800000000001</v>
      </c>
      <c r="BU358">
        <v>422</v>
      </c>
      <c r="BV358" t="s">
        <v>70</v>
      </c>
      <c r="BW358">
        <v>40320</v>
      </c>
      <c r="BX358">
        <v>224</v>
      </c>
      <c r="BY358">
        <v>2</v>
      </c>
      <c r="BZ358">
        <v>8</v>
      </c>
      <c r="CA358">
        <v>1053.43</v>
      </c>
      <c r="CB358">
        <v>41.484999999999999</v>
      </c>
      <c r="CQ358" s="54">
        <f t="shared" si="512"/>
        <v>41.912166666666671</v>
      </c>
    </row>
    <row r="359" spans="1:95">
      <c r="A359">
        <v>0</v>
      </c>
      <c r="B359" t="s">
        <v>7</v>
      </c>
      <c r="C359">
        <v>39936</v>
      </c>
      <c r="D359">
        <v>256</v>
      </c>
      <c r="E359">
        <v>4</v>
      </c>
      <c r="F359">
        <v>4</v>
      </c>
      <c r="G359" s="1">
        <v>1069.95</v>
      </c>
      <c r="H359" s="59">
        <v>39.688000000000002</v>
      </c>
      <c r="I359" s="27">
        <v>45483</v>
      </c>
      <c r="J359" s="53">
        <v>0.2152199074074074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 s="66">
        <f t="shared" ref="W359" si="543">AVERAGE(H359:H363)</f>
        <v>39.383600000000001</v>
      </c>
      <c r="Y359">
        <v>0</v>
      </c>
      <c r="Z359" t="s">
        <v>7</v>
      </c>
      <c r="AA359">
        <v>39936</v>
      </c>
      <c r="AB359">
        <v>256</v>
      </c>
      <c r="AC359">
        <v>4</v>
      </c>
      <c r="AD359">
        <v>4</v>
      </c>
      <c r="AE359">
        <v>1034.21</v>
      </c>
      <c r="AF359" s="48">
        <v>41.06</v>
      </c>
      <c r="AG359" s="27">
        <v>45500</v>
      </c>
      <c r="AH359" s="53">
        <v>0.29811342592592593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 s="66">
        <f t="shared" ref="AU359" si="544">AVERAGE(AF359:AF363)</f>
        <v>42.132800000000003</v>
      </c>
      <c r="AW359">
        <v>0</v>
      </c>
      <c r="AX359" t="s">
        <v>7</v>
      </c>
      <c r="AY359">
        <v>39936</v>
      </c>
      <c r="AZ359">
        <v>256</v>
      </c>
      <c r="BA359">
        <v>4</v>
      </c>
      <c r="BB359">
        <v>4</v>
      </c>
      <c r="BC359">
        <v>1412.88</v>
      </c>
      <c r="BD359" s="61">
        <v>30.055</v>
      </c>
      <c r="BE359" s="27">
        <v>45489</v>
      </c>
      <c r="BF359" s="53">
        <v>0.60724537037037041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 s="8">
        <f t="shared" ref="BS359" si="545">AVERAGE(BD359:BD363)</f>
        <v>30.0182</v>
      </c>
      <c r="BU359">
        <v>21</v>
      </c>
      <c r="BV359" t="s">
        <v>70</v>
      </c>
      <c r="BW359">
        <v>35968</v>
      </c>
      <c r="BX359">
        <v>224</v>
      </c>
      <c r="BY359">
        <v>4</v>
      </c>
      <c r="BZ359">
        <v>4</v>
      </c>
      <c r="CA359">
        <v>817.73</v>
      </c>
      <c r="CB359">
        <v>38.241999999999997</v>
      </c>
      <c r="CQ359" s="54">
        <f t="shared" ref="CQ359" si="546">AVERAGE(CB359:CB364)</f>
        <v>37.261166666666668</v>
      </c>
    </row>
    <row r="360" spans="1:95">
      <c r="A360">
        <v>1</v>
      </c>
      <c r="B360" t="s">
        <v>7</v>
      </c>
      <c r="C360">
        <v>39936</v>
      </c>
      <c r="D360">
        <v>256</v>
      </c>
      <c r="E360">
        <v>4</v>
      </c>
      <c r="F360">
        <v>4</v>
      </c>
      <c r="G360">
        <v>1065.6600000000001</v>
      </c>
      <c r="H360" s="59">
        <v>39.847999999999999</v>
      </c>
      <c r="I360" s="27">
        <v>45484</v>
      </c>
      <c r="J360" s="53">
        <v>8.0081018518518524E-2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 s="66">
        <f t="shared" ref="W360" si="547">W359</f>
        <v>39.383600000000001</v>
      </c>
      <c r="Y360">
        <v>1</v>
      </c>
      <c r="Z360" t="s">
        <v>7</v>
      </c>
      <c r="AA360">
        <v>39936</v>
      </c>
      <c r="AB360">
        <v>256</v>
      </c>
      <c r="AC360">
        <v>4</v>
      </c>
      <c r="AD360">
        <v>4</v>
      </c>
      <c r="AE360">
        <v>995.22</v>
      </c>
      <c r="AF360" s="48">
        <v>42.668999999999997</v>
      </c>
      <c r="AG360" s="27">
        <v>45501</v>
      </c>
      <c r="AH360" s="53">
        <v>0.41953703703703704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 s="66">
        <f t="shared" ref="AU360" si="548">AU359</f>
        <v>42.132800000000003</v>
      </c>
      <c r="AW360">
        <v>1</v>
      </c>
      <c r="AX360" t="s">
        <v>7</v>
      </c>
      <c r="AY360">
        <v>39936</v>
      </c>
      <c r="AZ360">
        <v>256</v>
      </c>
      <c r="BA360">
        <v>4</v>
      </c>
      <c r="BB360">
        <v>4</v>
      </c>
      <c r="BC360">
        <v>1423.36</v>
      </c>
      <c r="BD360" s="61">
        <v>29.834</v>
      </c>
      <c r="BE360" s="27">
        <v>45491</v>
      </c>
      <c r="BF360" s="53">
        <v>5.7870370370370367E-4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 s="8">
        <f t="shared" ref="BS360" si="549">BS359</f>
        <v>30.0182</v>
      </c>
      <c r="BU360">
        <v>92</v>
      </c>
      <c r="BV360" t="s">
        <v>70</v>
      </c>
      <c r="BW360">
        <v>35968</v>
      </c>
      <c r="BX360">
        <v>224</v>
      </c>
      <c r="BY360">
        <v>4</v>
      </c>
      <c r="BZ360">
        <v>4</v>
      </c>
      <c r="CA360">
        <v>847.72</v>
      </c>
      <c r="CB360">
        <v>36.89</v>
      </c>
      <c r="CQ360" s="54">
        <f t="shared" ref="CQ360" si="550">CQ359</f>
        <v>37.261166666666668</v>
      </c>
    </row>
    <row r="361" spans="1:95">
      <c r="A361">
        <v>2</v>
      </c>
      <c r="B361" t="s">
        <v>7</v>
      </c>
      <c r="C361">
        <v>39936</v>
      </c>
      <c r="D361">
        <v>256</v>
      </c>
      <c r="E361">
        <v>4</v>
      </c>
      <c r="F361">
        <v>4</v>
      </c>
      <c r="G361">
        <v>1070.1199999999999</v>
      </c>
      <c r="H361" s="59">
        <v>39.682000000000002</v>
      </c>
      <c r="I361" s="27">
        <v>45484</v>
      </c>
      <c r="J361" s="53">
        <v>0.94281250000000005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 s="66">
        <f t="shared" si="516"/>
        <v>39.383600000000001</v>
      </c>
      <c r="Y361">
        <v>2</v>
      </c>
      <c r="Z361" t="s">
        <v>7</v>
      </c>
      <c r="AA361">
        <v>39936</v>
      </c>
      <c r="AB361">
        <v>256</v>
      </c>
      <c r="AC361">
        <v>4</v>
      </c>
      <c r="AD361">
        <v>4</v>
      </c>
      <c r="AE361" s="1">
        <v>1000.58</v>
      </c>
      <c r="AF361" s="48">
        <v>42.44</v>
      </c>
      <c r="AG361" s="27">
        <v>45502</v>
      </c>
      <c r="AH361" s="53">
        <v>0.21471064814814814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 s="66">
        <f t="shared" si="508"/>
        <v>42.132800000000003</v>
      </c>
      <c r="AW361">
        <v>2</v>
      </c>
      <c r="AX361" t="s">
        <v>7</v>
      </c>
      <c r="AY361">
        <v>39936</v>
      </c>
      <c r="AZ361">
        <v>256</v>
      </c>
      <c r="BA361">
        <v>4</v>
      </c>
      <c r="BB361">
        <v>4</v>
      </c>
      <c r="BC361">
        <v>1410.73</v>
      </c>
      <c r="BD361" s="61">
        <v>30.100999999999999</v>
      </c>
      <c r="BE361" s="27">
        <v>45492</v>
      </c>
      <c r="BF361" s="53">
        <v>8.5787037037037037E-2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 s="8">
        <f t="shared" si="509"/>
        <v>30.0182</v>
      </c>
      <c r="BU361">
        <v>163</v>
      </c>
      <c r="BV361" t="s">
        <v>70</v>
      </c>
      <c r="BW361">
        <v>35968</v>
      </c>
      <c r="BX361">
        <v>224</v>
      </c>
      <c r="BY361">
        <v>4</v>
      </c>
      <c r="BZ361">
        <v>4</v>
      </c>
      <c r="CA361">
        <v>870.35</v>
      </c>
      <c r="CB361">
        <v>35.93</v>
      </c>
      <c r="CQ361" s="54">
        <f t="shared" si="512"/>
        <v>37.261166666666668</v>
      </c>
    </row>
    <row r="362" spans="1:95">
      <c r="A362">
        <v>3</v>
      </c>
      <c r="B362" t="s">
        <v>7</v>
      </c>
      <c r="C362">
        <v>39936</v>
      </c>
      <c r="D362">
        <v>256</v>
      </c>
      <c r="E362">
        <v>4</v>
      </c>
      <c r="F362">
        <v>4</v>
      </c>
      <c r="G362">
        <v>1089.46</v>
      </c>
      <c r="H362" s="59">
        <v>38.978000000000002</v>
      </c>
      <c r="I362" s="27">
        <v>45485</v>
      </c>
      <c r="J362" s="53">
        <v>0.81731481481481483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 s="66">
        <f t="shared" si="516"/>
        <v>39.383600000000001</v>
      </c>
      <c r="Y362">
        <v>3</v>
      </c>
      <c r="Z362" t="s">
        <v>7</v>
      </c>
      <c r="AA362">
        <v>39936</v>
      </c>
      <c r="AB362">
        <v>256</v>
      </c>
      <c r="AC362">
        <v>4</v>
      </c>
      <c r="AD362">
        <v>4</v>
      </c>
      <c r="AE362">
        <v>1010.94</v>
      </c>
      <c r="AF362" s="48">
        <v>42.005000000000003</v>
      </c>
      <c r="AG362" s="27">
        <v>45503</v>
      </c>
      <c r="AH362" s="53">
        <v>9.618055555555555E-3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 s="66">
        <f t="shared" si="508"/>
        <v>42.132800000000003</v>
      </c>
      <c r="AW362">
        <v>3</v>
      </c>
      <c r="AX362" t="s">
        <v>7</v>
      </c>
      <c r="AY362">
        <v>39936</v>
      </c>
      <c r="AZ362">
        <v>256</v>
      </c>
      <c r="BA362">
        <v>4</v>
      </c>
      <c r="BB362">
        <v>4</v>
      </c>
      <c r="BC362">
        <v>1410.55</v>
      </c>
      <c r="BD362" s="61">
        <v>30.105</v>
      </c>
      <c r="BE362" s="27">
        <v>45493</v>
      </c>
      <c r="BF362" s="53">
        <v>0.17106481481481481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 s="8">
        <f t="shared" si="509"/>
        <v>30.0182</v>
      </c>
      <c r="BU362">
        <v>234</v>
      </c>
      <c r="BV362" t="s">
        <v>70</v>
      </c>
      <c r="BW362">
        <v>35968</v>
      </c>
      <c r="BX362">
        <v>224</v>
      </c>
      <c r="BY362">
        <v>4</v>
      </c>
      <c r="BZ362">
        <v>4</v>
      </c>
      <c r="CA362">
        <v>821.26</v>
      </c>
      <c r="CB362">
        <v>38.078000000000003</v>
      </c>
      <c r="CQ362" s="54">
        <f t="shared" si="512"/>
        <v>37.261166666666668</v>
      </c>
    </row>
    <row r="363" spans="1:95">
      <c r="A363">
        <v>4</v>
      </c>
      <c r="B363" t="s">
        <v>7</v>
      </c>
      <c r="C363">
        <v>39936</v>
      </c>
      <c r="D363">
        <v>256</v>
      </c>
      <c r="E363">
        <v>4</v>
      </c>
      <c r="F363">
        <v>4</v>
      </c>
      <c r="G363">
        <v>1096.6400000000001</v>
      </c>
      <c r="H363" s="59">
        <v>38.722000000000001</v>
      </c>
      <c r="I363" s="27">
        <v>45486</v>
      </c>
      <c r="J363" s="53">
        <v>0.70572916666666663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 s="66">
        <f t="shared" si="516"/>
        <v>39.383600000000001</v>
      </c>
      <c r="Y363">
        <v>4</v>
      </c>
      <c r="Z363" t="s">
        <v>7</v>
      </c>
      <c r="AA363">
        <v>39936</v>
      </c>
      <c r="AB363">
        <v>256</v>
      </c>
      <c r="AC363">
        <v>4</v>
      </c>
      <c r="AD363">
        <v>4</v>
      </c>
      <c r="AE363">
        <v>999.41</v>
      </c>
      <c r="AF363" s="48">
        <v>42.49</v>
      </c>
      <c r="AG363" s="27">
        <v>45503</v>
      </c>
      <c r="AH363" s="53">
        <v>0.80456018518518524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 s="66">
        <f t="shared" si="508"/>
        <v>42.132800000000003</v>
      </c>
      <c r="AW363">
        <v>4</v>
      </c>
      <c r="AX363" t="s">
        <v>7</v>
      </c>
      <c r="AY363">
        <v>39936</v>
      </c>
      <c r="AZ363">
        <v>256</v>
      </c>
      <c r="BA363">
        <v>4</v>
      </c>
      <c r="BB363">
        <v>4</v>
      </c>
      <c r="BC363">
        <v>1415.67</v>
      </c>
      <c r="BD363" s="61">
        <v>29.995999999999999</v>
      </c>
      <c r="BE363" s="27">
        <v>45494</v>
      </c>
      <c r="BF363" s="53">
        <v>0.25701388888888888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 s="8">
        <f t="shared" si="509"/>
        <v>30.0182</v>
      </c>
      <c r="BU363">
        <v>305</v>
      </c>
      <c r="BV363" t="s">
        <v>70</v>
      </c>
      <c r="BW363">
        <v>35968</v>
      </c>
      <c r="BX363">
        <v>224</v>
      </c>
      <c r="BY363">
        <v>4</v>
      </c>
      <c r="BZ363">
        <v>4</v>
      </c>
      <c r="CA363">
        <v>831.84</v>
      </c>
      <c r="CB363">
        <v>37.594000000000001</v>
      </c>
      <c r="CQ363" s="54">
        <f t="shared" si="512"/>
        <v>37.261166666666668</v>
      </c>
    </row>
    <row r="364" spans="1:95">
      <c r="W364" s="54"/>
      <c r="AU364" s="54"/>
      <c r="AW364">
        <v>0</v>
      </c>
      <c r="AX364" t="s">
        <v>7</v>
      </c>
      <c r="AY364">
        <v>36960</v>
      </c>
      <c r="AZ364">
        <v>120</v>
      </c>
      <c r="BA364">
        <v>2</v>
      </c>
      <c r="BB364">
        <v>8</v>
      </c>
      <c r="BC364">
        <v>1031.3900000000001</v>
      </c>
      <c r="BD364" s="61">
        <v>32.637</v>
      </c>
      <c r="BE364" s="27">
        <v>45489</v>
      </c>
      <c r="BF364" s="53">
        <v>0.65012731481481478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 s="8">
        <f t="shared" ref="BS364" si="551">AVERAGE(BD364:BD368)</f>
        <v>32.705999999999996</v>
      </c>
      <c r="BU364">
        <v>376</v>
      </c>
      <c r="BV364" t="s">
        <v>70</v>
      </c>
      <c r="BW364">
        <v>35968</v>
      </c>
      <c r="BX364">
        <v>224</v>
      </c>
      <c r="BY364">
        <v>4</v>
      </c>
      <c r="BZ364">
        <v>4</v>
      </c>
      <c r="CA364">
        <v>849.02</v>
      </c>
      <c r="CB364">
        <v>36.832999999999998</v>
      </c>
      <c r="CQ364" s="54">
        <f t="shared" si="512"/>
        <v>37.261166666666668</v>
      </c>
    </row>
    <row r="365" spans="1:95">
      <c r="W365" s="54"/>
      <c r="AU365" s="54"/>
      <c r="AW365">
        <v>1</v>
      </c>
      <c r="AX365" t="s">
        <v>7</v>
      </c>
      <c r="AY365">
        <v>36960</v>
      </c>
      <c r="AZ365">
        <v>120</v>
      </c>
      <c r="BA365">
        <v>2</v>
      </c>
      <c r="BB365">
        <v>8</v>
      </c>
      <c r="BC365">
        <v>1026.6400000000001</v>
      </c>
      <c r="BD365" s="61">
        <v>32.787999999999997</v>
      </c>
      <c r="BE365" s="27">
        <v>45489</v>
      </c>
      <c r="BF365" s="53">
        <v>0.66288194444444448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 s="8">
        <f t="shared" ref="BS365" si="552">BS364</f>
        <v>32.705999999999996</v>
      </c>
      <c r="BU365">
        <v>45</v>
      </c>
      <c r="BV365" t="s">
        <v>70</v>
      </c>
      <c r="BW365">
        <v>38144</v>
      </c>
      <c r="BX365">
        <v>224</v>
      </c>
      <c r="BY365">
        <v>4</v>
      </c>
      <c r="BZ365">
        <v>4</v>
      </c>
      <c r="CA365">
        <v>938.66</v>
      </c>
      <c r="CB365">
        <v>39.220999999999997</v>
      </c>
      <c r="CQ365" s="54">
        <f t="shared" ref="CQ365" si="553">AVERAGE(CB365:CB370)</f>
        <v>38.889000000000003</v>
      </c>
    </row>
    <row r="366" spans="1:95">
      <c r="W366" s="54"/>
      <c r="AU366" s="54"/>
      <c r="AW366">
        <v>2</v>
      </c>
      <c r="AX366" t="s">
        <v>7</v>
      </c>
      <c r="AY366">
        <v>36960</v>
      </c>
      <c r="AZ366">
        <v>120</v>
      </c>
      <c r="BA366">
        <v>2</v>
      </c>
      <c r="BB366">
        <v>8</v>
      </c>
      <c r="BC366">
        <v>1030.42</v>
      </c>
      <c r="BD366" s="61">
        <v>32.667000000000002</v>
      </c>
      <c r="BE366" s="27">
        <v>45489</v>
      </c>
      <c r="BF366" s="53">
        <v>0.67568287037037034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 s="8">
        <f>BS365</f>
        <v>32.705999999999996</v>
      </c>
      <c r="BU366">
        <v>116</v>
      </c>
      <c r="BV366" t="s">
        <v>70</v>
      </c>
      <c r="BW366">
        <v>38144</v>
      </c>
      <c r="BX366">
        <v>224</v>
      </c>
      <c r="BY366">
        <v>4</v>
      </c>
      <c r="BZ366">
        <v>4</v>
      </c>
      <c r="CA366">
        <v>950.39</v>
      </c>
      <c r="CB366">
        <v>38.737000000000002</v>
      </c>
      <c r="CQ366" s="54">
        <f t="shared" ref="CQ366" si="554">CQ365</f>
        <v>38.889000000000003</v>
      </c>
    </row>
    <row r="367" spans="1:95">
      <c r="W367" s="54"/>
      <c r="AU367" s="54"/>
      <c r="AW367">
        <v>3</v>
      </c>
      <c r="AX367" t="s">
        <v>7</v>
      </c>
      <c r="AY367">
        <v>36960</v>
      </c>
      <c r="AZ367">
        <v>120</v>
      </c>
      <c r="BA367">
        <v>2</v>
      </c>
      <c r="BB367">
        <v>8</v>
      </c>
      <c r="BC367">
        <v>1028.97</v>
      </c>
      <c r="BD367" s="61">
        <v>32.713999999999999</v>
      </c>
      <c r="BE367" s="27">
        <v>45489</v>
      </c>
      <c r="BF367" s="53">
        <v>0.73871527777777779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 s="8">
        <f>BS366</f>
        <v>32.705999999999996</v>
      </c>
      <c r="BU367">
        <v>187</v>
      </c>
      <c r="BV367" t="s">
        <v>70</v>
      </c>
      <c r="BW367">
        <v>38144</v>
      </c>
      <c r="BX367">
        <v>224</v>
      </c>
      <c r="BY367">
        <v>4</v>
      </c>
      <c r="BZ367">
        <v>4</v>
      </c>
      <c r="CA367">
        <v>951.7</v>
      </c>
      <c r="CB367">
        <v>38.683999999999997</v>
      </c>
      <c r="CQ367" s="54">
        <f t="shared" si="512"/>
        <v>38.889000000000003</v>
      </c>
    </row>
    <row r="368" spans="1:95">
      <c r="W368" s="54"/>
      <c r="AU368" s="54"/>
      <c r="AW368">
        <v>4</v>
      </c>
      <c r="AX368" t="s">
        <v>7</v>
      </c>
      <c r="AY368">
        <v>36960</v>
      </c>
      <c r="AZ368">
        <v>120</v>
      </c>
      <c r="BA368">
        <v>2</v>
      </c>
      <c r="BB368">
        <v>8</v>
      </c>
      <c r="BC368">
        <v>1028.6500000000001</v>
      </c>
      <c r="BD368" s="61">
        <v>32.723999999999997</v>
      </c>
      <c r="BE368" s="27">
        <v>45489</v>
      </c>
      <c r="BF368" s="53">
        <v>0.75146990740740738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 s="8">
        <f>BS367</f>
        <v>32.705999999999996</v>
      </c>
      <c r="BU368">
        <v>258</v>
      </c>
      <c r="BV368" t="s">
        <v>70</v>
      </c>
      <c r="BW368">
        <v>38144</v>
      </c>
      <c r="BX368">
        <v>224</v>
      </c>
      <c r="BY368">
        <v>4</v>
      </c>
      <c r="BZ368">
        <v>4</v>
      </c>
      <c r="CA368">
        <v>943.28</v>
      </c>
      <c r="CB368">
        <v>39.029000000000003</v>
      </c>
      <c r="CQ368" s="54">
        <f t="shared" si="512"/>
        <v>38.889000000000003</v>
      </c>
    </row>
    <row r="369" spans="23:95">
      <c r="W369" s="54"/>
      <c r="AU369" s="54"/>
      <c r="BU369">
        <v>329</v>
      </c>
      <c r="BV369" t="s">
        <v>70</v>
      </c>
      <c r="BW369">
        <v>38144</v>
      </c>
      <c r="BX369">
        <v>224</v>
      </c>
      <c r="BY369">
        <v>4</v>
      </c>
      <c r="BZ369">
        <v>4</v>
      </c>
      <c r="CA369">
        <v>948.08</v>
      </c>
      <c r="CB369">
        <v>38.831000000000003</v>
      </c>
      <c r="CQ369" s="54">
        <f t="shared" si="512"/>
        <v>38.889000000000003</v>
      </c>
    </row>
    <row r="370" spans="23:95">
      <c r="W370" s="54"/>
      <c r="AU370" s="54"/>
      <c r="BU370">
        <v>400</v>
      </c>
      <c r="BV370" t="s">
        <v>70</v>
      </c>
      <c r="BW370">
        <v>38144</v>
      </c>
      <c r="BX370">
        <v>224</v>
      </c>
      <c r="BY370">
        <v>4</v>
      </c>
      <c r="BZ370">
        <v>4</v>
      </c>
      <c r="CA370">
        <v>948.07</v>
      </c>
      <c r="CB370">
        <v>38.832000000000001</v>
      </c>
      <c r="CQ370" s="54">
        <f t="shared" si="512"/>
        <v>38.889000000000003</v>
      </c>
    </row>
    <row r="371" spans="23:95">
      <c r="W371" s="54"/>
      <c r="AU371" s="54"/>
      <c r="BU371">
        <v>68</v>
      </c>
      <c r="BV371" t="s">
        <v>70</v>
      </c>
      <c r="BW371">
        <v>40320</v>
      </c>
      <c r="BX371">
        <v>224</v>
      </c>
      <c r="BY371">
        <v>4</v>
      </c>
      <c r="BZ371">
        <v>4</v>
      </c>
      <c r="CA371">
        <v>1099.43</v>
      </c>
      <c r="CB371">
        <v>39.749000000000002</v>
      </c>
      <c r="CQ371" s="54">
        <f t="shared" ref="CQ371" si="555">AVERAGE(CB371:CB376)</f>
        <v>39.832333333333338</v>
      </c>
    </row>
    <row r="372" spans="23:95">
      <c r="W372" s="54"/>
      <c r="AU372" s="54"/>
      <c r="BU372">
        <v>139</v>
      </c>
      <c r="BV372" t="s">
        <v>70</v>
      </c>
      <c r="BW372">
        <v>40320</v>
      </c>
      <c r="BX372">
        <v>224</v>
      </c>
      <c r="BY372">
        <v>4</v>
      </c>
      <c r="BZ372">
        <v>4</v>
      </c>
      <c r="CA372">
        <v>1097.73</v>
      </c>
      <c r="CB372">
        <v>39.811</v>
      </c>
      <c r="CQ372" s="54">
        <f t="shared" ref="CQ372" si="556">CQ371</f>
        <v>39.832333333333338</v>
      </c>
    </row>
    <row r="373" spans="23:95">
      <c r="W373" s="54"/>
      <c r="AU373" s="54"/>
      <c r="BU373">
        <v>210</v>
      </c>
      <c r="BV373" t="s">
        <v>70</v>
      </c>
      <c r="BW373">
        <v>40320</v>
      </c>
      <c r="BX373">
        <v>224</v>
      </c>
      <c r="BY373">
        <v>4</v>
      </c>
      <c r="BZ373">
        <v>4</v>
      </c>
      <c r="CA373">
        <v>1100.81</v>
      </c>
      <c r="CB373">
        <v>39.698999999999998</v>
      </c>
      <c r="CQ373" s="54">
        <f t="shared" si="512"/>
        <v>39.832333333333338</v>
      </c>
    </row>
    <row r="374" spans="23:95">
      <c r="W374" s="54"/>
      <c r="AU374" s="54"/>
      <c r="BU374">
        <v>281</v>
      </c>
      <c r="BV374" t="s">
        <v>70</v>
      </c>
      <c r="BW374">
        <v>40320</v>
      </c>
      <c r="BX374">
        <v>224</v>
      </c>
      <c r="BY374">
        <v>4</v>
      </c>
      <c r="BZ374">
        <v>4</v>
      </c>
      <c r="CA374">
        <v>1090.51</v>
      </c>
      <c r="CB374">
        <v>40.073999999999998</v>
      </c>
      <c r="CQ374" s="54">
        <f t="shared" si="512"/>
        <v>39.832333333333338</v>
      </c>
    </row>
    <row r="375" spans="23:95">
      <c r="W375" s="54"/>
      <c r="AU375" s="54"/>
      <c r="BU375">
        <v>352</v>
      </c>
      <c r="BV375" t="s">
        <v>70</v>
      </c>
      <c r="BW375">
        <v>40320</v>
      </c>
      <c r="BX375">
        <v>224</v>
      </c>
      <c r="BY375">
        <v>4</v>
      </c>
      <c r="BZ375">
        <v>4</v>
      </c>
      <c r="CA375">
        <v>1098.33</v>
      </c>
      <c r="CB375">
        <v>39.789000000000001</v>
      </c>
      <c r="CQ375" s="54">
        <f t="shared" si="512"/>
        <v>39.832333333333338</v>
      </c>
    </row>
    <row r="376" spans="23:95">
      <c r="W376" s="54"/>
      <c r="AU376" s="54"/>
      <c r="BU376">
        <v>423</v>
      </c>
      <c r="BV376" t="s">
        <v>70</v>
      </c>
      <c r="BW376">
        <v>40320</v>
      </c>
      <c r="BX376">
        <v>224</v>
      </c>
      <c r="BY376">
        <v>4</v>
      </c>
      <c r="BZ376">
        <v>4</v>
      </c>
      <c r="CA376">
        <v>1096.05</v>
      </c>
      <c r="CB376">
        <v>39.872</v>
      </c>
      <c r="CQ376" s="54">
        <f t="shared" si="512"/>
        <v>39.832333333333338</v>
      </c>
    </row>
    <row r="377" spans="23:95">
      <c r="W377" s="54"/>
      <c r="AU377" s="54"/>
      <c r="BU377">
        <v>22</v>
      </c>
      <c r="BV377" t="s">
        <v>70</v>
      </c>
      <c r="BW377">
        <v>35968</v>
      </c>
      <c r="BX377">
        <v>256</v>
      </c>
      <c r="BY377">
        <v>1</v>
      </c>
      <c r="BZ377">
        <v>16</v>
      </c>
      <c r="CA377">
        <v>772.6</v>
      </c>
      <c r="CB377">
        <v>39.726999999999997</v>
      </c>
      <c r="CQ377" s="54">
        <f t="shared" ref="CQ377" si="557">AVERAGE(CB377:CB382)</f>
        <v>38.832833333333333</v>
      </c>
    </row>
    <row r="378" spans="23:95">
      <c r="W378" s="54"/>
      <c r="AU378" s="54"/>
      <c r="BU378">
        <v>93</v>
      </c>
      <c r="BV378" t="s">
        <v>70</v>
      </c>
      <c r="BW378">
        <v>35968</v>
      </c>
      <c r="BX378">
        <v>256</v>
      </c>
      <c r="BY378">
        <v>1</v>
      </c>
      <c r="BZ378">
        <v>16</v>
      </c>
      <c r="CA378">
        <v>779.37</v>
      </c>
      <c r="CB378">
        <v>39.381999999999998</v>
      </c>
      <c r="CQ378" s="54">
        <f t="shared" ref="CQ378" si="558">CQ377</f>
        <v>38.832833333333333</v>
      </c>
    </row>
    <row r="379" spans="23:95">
      <c r="W379" s="54"/>
      <c r="AU379" s="54"/>
      <c r="BU379">
        <v>164</v>
      </c>
      <c r="BV379" t="s">
        <v>70</v>
      </c>
      <c r="BW379">
        <v>35968</v>
      </c>
      <c r="BX379">
        <v>256</v>
      </c>
      <c r="BY379">
        <v>1</v>
      </c>
      <c r="BZ379">
        <v>16</v>
      </c>
      <c r="CA379">
        <v>789.61</v>
      </c>
      <c r="CB379">
        <v>38.871000000000002</v>
      </c>
      <c r="CQ379" s="54">
        <f t="shared" si="512"/>
        <v>38.832833333333333</v>
      </c>
    </row>
    <row r="380" spans="23:95">
      <c r="W380" s="54"/>
      <c r="AU380" s="54"/>
      <c r="BU380">
        <v>235</v>
      </c>
      <c r="BV380" t="s">
        <v>70</v>
      </c>
      <c r="BW380">
        <v>35968</v>
      </c>
      <c r="BX380">
        <v>256</v>
      </c>
      <c r="BY380">
        <v>1</v>
      </c>
      <c r="BZ380">
        <v>16</v>
      </c>
      <c r="CA380">
        <v>780.13</v>
      </c>
      <c r="CB380">
        <v>39.344000000000001</v>
      </c>
      <c r="CQ380" s="54">
        <f t="shared" si="512"/>
        <v>38.832833333333333</v>
      </c>
    </row>
    <row r="381" spans="23:95">
      <c r="W381" s="54"/>
      <c r="AU381" s="54"/>
      <c r="BU381">
        <v>306</v>
      </c>
      <c r="BV381" t="s">
        <v>70</v>
      </c>
      <c r="BW381">
        <v>35968</v>
      </c>
      <c r="BX381">
        <v>256</v>
      </c>
      <c r="BY381">
        <v>1</v>
      </c>
      <c r="BZ381">
        <v>16</v>
      </c>
      <c r="CA381">
        <v>799.28</v>
      </c>
      <c r="CB381">
        <v>38.401000000000003</v>
      </c>
      <c r="CQ381" s="54">
        <f t="shared" si="512"/>
        <v>38.832833333333333</v>
      </c>
    </row>
    <row r="382" spans="23:95">
      <c r="W382" s="54"/>
      <c r="AU382" s="54"/>
      <c r="BU382">
        <v>377</v>
      </c>
      <c r="BV382" t="s">
        <v>70</v>
      </c>
      <c r="BW382">
        <v>35968</v>
      </c>
      <c r="BX382">
        <v>256</v>
      </c>
      <c r="BY382">
        <v>1</v>
      </c>
      <c r="BZ382">
        <v>16</v>
      </c>
      <c r="CA382">
        <v>823.49</v>
      </c>
      <c r="CB382">
        <v>37.271999999999998</v>
      </c>
      <c r="CQ382" s="54">
        <f t="shared" si="512"/>
        <v>38.832833333333333</v>
      </c>
    </row>
    <row r="383" spans="23:95">
      <c r="W383" s="54"/>
      <c r="AU383" s="54"/>
      <c r="BU383">
        <v>46</v>
      </c>
      <c r="BV383" t="s">
        <v>70</v>
      </c>
      <c r="BW383">
        <v>38144</v>
      </c>
      <c r="BX383">
        <v>256</v>
      </c>
      <c r="BY383">
        <v>1</v>
      </c>
      <c r="BZ383">
        <v>16</v>
      </c>
      <c r="CA383">
        <v>942.08</v>
      </c>
      <c r="CB383">
        <v>39.276000000000003</v>
      </c>
      <c r="CQ383" s="54">
        <f t="shared" ref="CQ383" si="559">AVERAGE(CB383:CB388)</f>
        <v>38.935500000000005</v>
      </c>
    </row>
    <row r="384" spans="23:95">
      <c r="W384" s="54"/>
      <c r="AU384" s="54"/>
      <c r="BU384">
        <v>117</v>
      </c>
      <c r="BV384" t="s">
        <v>70</v>
      </c>
      <c r="BW384">
        <v>38144</v>
      </c>
      <c r="BX384">
        <v>256</v>
      </c>
      <c r="BY384">
        <v>1</v>
      </c>
      <c r="BZ384">
        <v>16</v>
      </c>
      <c r="CA384">
        <v>944.12</v>
      </c>
      <c r="CB384">
        <v>39.191000000000003</v>
      </c>
      <c r="CQ384" s="54">
        <f t="shared" ref="CQ384" si="560">CQ383</f>
        <v>38.935500000000005</v>
      </c>
    </row>
    <row r="385" spans="23:95">
      <c r="W385" s="54"/>
      <c r="AU385" s="54"/>
      <c r="BU385">
        <v>188</v>
      </c>
      <c r="BV385" t="s">
        <v>70</v>
      </c>
      <c r="BW385">
        <v>38144</v>
      </c>
      <c r="BX385">
        <v>256</v>
      </c>
      <c r="BY385">
        <v>1</v>
      </c>
      <c r="BZ385">
        <v>16</v>
      </c>
      <c r="CA385">
        <v>948.65</v>
      </c>
      <c r="CB385">
        <v>39.003999999999998</v>
      </c>
      <c r="CQ385" s="54">
        <f t="shared" si="512"/>
        <v>38.935500000000005</v>
      </c>
    </row>
    <row r="386" spans="23:95">
      <c r="W386" s="54"/>
      <c r="AU386" s="54"/>
      <c r="BU386">
        <v>259</v>
      </c>
      <c r="BV386" t="s">
        <v>70</v>
      </c>
      <c r="BW386">
        <v>38144</v>
      </c>
      <c r="BX386">
        <v>256</v>
      </c>
      <c r="BY386">
        <v>1</v>
      </c>
      <c r="BZ386">
        <v>16</v>
      </c>
      <c r="CA386">
        <v>966.84</v>
      </c>
      <c r="CB386">
        <v>38.270000000000003</v>
      </c>
      <c r="CQ386" s="54">
        <f t="shared" si="512"/>
        <v>38.935500000000005</v>
      </c>
    </row>
    <row r="387" spans="23:95">
      <c r="W387" s="54"/>
      <c r="AU387" s="54"/>
      <c r="BU387">
        <v>330</v>
      </c>
      <c r="BV387" t="s">
        <v>70</v>
      </c>
      <c r="BW387">
        <v>38144</v>
      </c>
      <c r="BX387">
        <v>256</v>
      </c>
      <c r="BY387">
        <v>1</v>
      </c>
      <c r="BZ387">
        <v>16</v>
      </c>
      <c r="CA387">
        <v>953.48</v>
      </c>
      <c r="CB387">
        <v>38.805999999999997</v>
      </c>
      <c r="CQ387" s="54">
        <f t="shared" si="512"/>
        <v>38.935500000000005</v>
      </c>
    </row>
    <row r="388" spans="23:95">
      <c r="W388" s="54"/>
      <c r="AU388" s="54"/>
      <c r="BU388">
        <v>401</v>
      </c>
      <c r="BV388" t="s">
        <v>70</v>
      </c>
      <c r="BW388">
        <v>38144</v>
      </c>
      <c r="BX388">
        <v>256</v>
      </c>
      <c r="BY388">
        <v>1</v>
      </c>
      <c r="BZ388">
        <v>16</v>
      </c>
      <c r="CA388">
        <v>947.13</v>
      </c>
      <c r="CB388">
        <v>39.066000000000003</v>
      </c>
      <c r="CQ388" s="54">
        <f t="shared" si="512"/>
        <v>38.935500000000005</v>
      </c>
    </row>
    <row r="389" spans="23:95">
      <c r="W389" s="54"/>
      <c r="AU389" s="54"/>
      <c r="BU389">
        <v>69</v>
      </c>
      <c r="BV389" t="s">
        <v>70</v>
      </c>
      <c r="BW389">
        <v>40320</v>
      </c>
      <c r="BX389">
        <v>256</v>
      </c>
      <c r="BY389">
        <v>1</v>
      </c>
      <c r="BZ389">
        <v>16</v>
      </c>
      <c r="CA389">
        <v>1094.6099999999999</v>
      </c>
      <c r="CB389">
        <v>40.305</v>
      </c>
      <c r="CQ389" s="54">
        <f t="shared" ref="CQ389" si="561">AVERAGE(CB389:CB394)</f>
        <v>39.899666666666668</v>
      </c>
    </row>
    <row r="390" spans="23:95">
      <c r="W390" s="54"/>
      <c r="AU390" s="54"/>
      <c r="BU390">
        <v>140</v>
      </c>
      <c r="BV390" t="s">
        <v>70</v>
      </c>
      <c r="BW390">
        <v>40320</v>
      </c>
      <c r="BX390">
        <v>256</v>
      </c>
      <c r="BY390">
        <v>1</v>
      </c>
      <c r="BZ390">
        <v>16</v>
      </c>
      <c r="CA390">
        <v>1106.1500000000001</v>
      </c>
      <c r="CB390">
        <v>39.884999999999998</v>
      </c>
      <c r="CQ390" s="54">
        <f t="shared" ref="CQ390" si="562">CQ389</f>
        <v>39.899666666666668</v>
      </c>
    </row>
    <row r="391" spans="23:95">
      <c r="W391" s="54"/>
      <c r="AU391" s="54"/>
      <c r="BU391">
        <v>211</v>
      </c>
      <c r="BV391" t="s">
        <v>70</v>
      </c>
      <c r="BW391">
        <v>40320</v>
      </c>
      <c r="BX391">
        <v>256</v>
      </c>
      <c r="BY391">
        <v>1</v>
      </c>
      <c r="BZ391">
        <v>16</v>
      </c>
      <c r="CA391">
        <v>1115.17</v>
      </c>
      <c r="CB391">
        <v>39.561999999999998</v>
      </c>
      <c r="CQ391" s="54">
        <f t="shared" si="512"/>
        <v>39.899666666666668</v>
      </c>
    </row>
    <row r="392" spans="23:95">
      <c r="W392" s="54"/>
      <c r="AU392" s="54"/>
      <c r="BU392">
        <v>282</v>
      </c>
      <c r="BV392" t="s">
        <v>70</v>
      </c>
      <c r="BW392">
        <v>40320</v>
      </c>
      <c r="BX392">
        <v>256</v>
      </c>
      <c r="BY392">
        <v>1</v>
      </c>
      <c r="BZ392">
        <v>16</v>
      </c>
      <c r="CA392">
        <v>1094.49</v>
      </c>
      <c r="CB392">
        <v>40.31</v>
      </c>
      <c r="CQ392" s="54">
        <f t="shared" si="512"/>
        <v>39.899666666666668</v>
      </c>
    </row>
    <row r="393" spans="23:95">
      <c r="W393" s="54"/>
      <c r="AU393" s="54"/>
      <c r="BU393">
        <v>353</v>
      </c>
      <c r="BV393" t="s">
        <v>70</v>
      </c>
      <c r="BW393">
        <v>40320</v>
      </c>
      <c r="BX393">
        <v>256</v>
      </c>
      <c r="BY393">
        <v>1</v>
      </c>
      <c r="BZ393">
        <v>16</v>
      </c>
      <c r="CA393">
        <v>1105.4100000000001</v>
      </c>
      <c r="CB393">
        <v>39.911999999999999</v>
      </c>
      <c r="CQ393" s="54">
        <f t="shared" si="512"/>
        <v>39.899666666666668</v>
      </c>
    </row>
    <row r="394" spans="23:95">
      <c r="W394" s="54"/>
      <c r="AU394" s="54"/>
      <c r="BU394">
        <v>424</v>
      </c>
      <c r="BV394" t="s">
        <v>70</v>
      </c>
      <c r="BW394">
        <v>40320</v>
      </c>
      <c r="BX394">
        <v>256</v>
      </c>
      <c r="BY394">
        <v>1</v>
      </c>
      <c r="BZ394">
        <v>16</v>
      </c>
      <c r="CA394">
        <v>1119.0999999999999</v>
      </c>
      <c r="CB394">
        <v>39.423999999999999</v>
      </c>
      <c r="CQ394" s="54">
        <f t="shared" si="512"/>
        <v>39.899666666666668</v>
      </c>
    </row>
    <row r="395" spans="23:95">
      <c r="W395" s="54"/>
      <c r="AU395" s="54"/>
      <c r="BU395">
        <v>23</v>
      </c>
      <c r="BV395" t="s">
        <v>70</v>
      </c>
      <c r="BW395">
        <v>35968</v>
      </c>
      <c r="BX395">
        <v>256</v>
      </c>
      <c r="BY395">
        <v>2</v>
      </c>
      <c r="BZ395">
        <v>8</v>
      </c>
      <c r="CA395">
        <v>761.56</v>
      </c>
      <c r="CB395">
        <v>40.302999999999997</v>
      </c>
      <c r="CQ395" s="54">
        <f t="shared" ref="CQ395" si="563">AVERAGE(CB395:CB400)</f>
        <v>39.708833333333331</v>
      </c>
    </row>
    <row r="396" spans="23:95">
      <c r="W396" s="54"/>
      <c r="AU396" s="54"/>
      <c r="BU396">
        <v>94</v>
      </c>
      <c r="BV396" t="s">
        <v>70</v>
      </c>
      <c r="BW396">
        <v>35968</v>
      </c>
      <c r="BX396">
        <v>256</v>
      </c>
      <c r="BY396">
        <v>2</v>
      </c>
      <c r="BZ396">
        <v>8</v>
      </c>
      <c r="CA396">
        <v>768.56</v>
      </c>
      <c r="CB396">
        <v>39.936</v>
      </c>
      <c r="CQ396" s="54">
        <f t="shared" ref="CQ396" si="564">CQ395</f>
        <v>39.708833333333331</v>
      </c>
    </row>
    <row r="397" spans="23:95">
      <c r="W397" s="54"/>
      <c r="AU397" s="54"/>
      <c r="BU397">
        <v>165</v>
      </c>
      <c r="BV397" t="s">
        <v>70</v>
      </c>
      <c r="BW397">
        <v>35968</v>
      </c>
      <c r="BX397">
        <v>256</v>
      </c>
      <c r="BY397">
        <v>2</v>
      </c>
      <c r="BZ397">
        <v>8</v>
      </c>
      <c r="CA397">
        <v>797.02</v>
      </c>
      <c r="CB397">
        <v>38.51</v>
      </c>
      <c r="CQ397" s="54">
        <f t="shared" si="512"/>
        <v>39.708833333333331</v>
      </c>
    </row>
    <row r="398" spans="23:95">
      <c r="W398" s="54"/>
      <c r="AU398" s="54"/>
      <c r="BU398">
        <v>236</v>
      </c>
      <c r="BV398" t="s">
        <v>70</v>
      </c>
      <c r="BW398">
        <v>35968</v>
      </c>
      <c r="BX398">
        <v>256</v>
      </c>
      <c r="BY398">
        <v>2</v>
      </c>
      <c r="BZ398">
        <v>8</v>
      </c>
      <c r="CA398">
        <v>772.14</v>
      </c>
      <c r="CB398">
        <v>39.750999999999998</v>
      </c>
      <c r="CQ398" s="54">
        <f t="shared" si="512"/>
        <v>39.708833333333331</v>
      </c>
    </row>
    <row r="399" spans="23:95">
      <c r="W399" s="54"/>
      <c r="AU399" s="54"/>
      <c r="BU399">
        <v>307</v>
      </c>
      <c r="BV399" t="s">
        <v>70</v>
      </c>
      <c r="BW399">
        <v>35968</v>
      </c>
      <c r="BX399">
        <v>256</v>
      </c>
      <c r="BY399">
        <v>2</v>
      </c>
      <c r="BZ399">
        <v>8</v>
      </c>
      <c r="CA399">
        <v>769.63</v>
      </c>
      <c r="CB399">
        <v>39.880000000000003</v>
      </c>
      <c r="CQ399" s="54">
        <f t="shared" si="512"/>
        <v>39.708833333333331</v>
      </c>
    </row>
    <row r="400" spans="23:95">
      <c r="W400" s="54"/>
      <c r="AU400" s="54"/>
      <c r="BU400">
        <v>378</v>
      </c>
      <c r="BV400" t="s">
        <v>70</v>
      </c>
      <c r="BW400">
        <v>35968</v>
      </c>
      <c r="BX400">
        <v>256</v>
      </c>
      <c r="BY400">
        <v>2</v>
      </c>
      <c r="BZ400">
        <v>8</v>
      </c>
      <c r="CA400">
        <v>769.77</v>
      </c>
      <c r="CB400">
        <v>39.872999999999998</v>
      </c>
      <c r="CQ400" s="54">
        <f t="shared" si="512"/>
        <v>39.708833333333331</v>
      </c>
    </row>
    <row r="401" spans="23:95">
      <c r="W401" s="54"/>
      <c r="AU401" s="54"/>
      <c r="BU401">
        <v>47</v>
      </c>
      <c r="BV401" t="s">
        <v>70</v>
      </c>
      <c r="BW401">
        <v>38144</v>
      </c>
      <c r="BX401">
        <v>256</v>
      </c>
      <c r="BY401">
        <v>2</v>
      </c>
      <c r="BZ401">
        <v>8</v>
      </c>
      <c r="CA401">
        <v>916.7</v>
      </c>
      <c r="CB401">
        <v>40.363</v>
      </c>
      <c r="CQ401" s="54">
        <f t="shared" ref="CQ401" si="565">AVERAGE(CB401:CB406)</f>
        <v>39.167833333333334</v>
      </c>
    </row>
    <row r="402" spans="23:95">
      <c r="W402" s="54"/>
      <c r="AU402" s="54"/>
      <c r="BU402">
        <v>118</v>
      </c>
      <c r="BV402" t="s">
        <v>70</v>
      </c>
      <c r="BW402">
        <v>38144</v>
      </c>
      <c r="BX402">
        <v>256</v>
      </c>
      <c r="BY402">
        <v>2</v>
      </c>
      <c r="BZ402">
        <v>8</v>
      </c>
      <c r="CA402">
        <v>992.84</v>
      </c>
      <c r="CB402">
        <v>37.268000000000001</v>
      </c>
      <c r="CQ402" s="54">
        <f t="shared" ref="CQ402:CQ430" si="566">CQ401</f>
        <v>39.167833333333334</v>
      </c>
    </row>
    <row r="403" spans="23:95">
      <c r="W403" s="54"/>
      <c r="AU403" s="54"/>
      <c r="BU403">
        <v>189</v>
      </c>
      <c r="BV403" t="s">
        <v>70</v>
      </c>
      <c r="BW403">
        <v>38144</v>
      </c>
      <c r="BX403">
        <v>256</v>
      </c>
      <c r="BY403">
        <v>2</v>
      </c>
      <c r="BZ403">
        <v>8</v>
      </c>
      <c r="CA403">
        <v>951.91</v>
      </c>
      <c r="CB403">
        <v>38.869999999999997</v>
      </c>
      <c r="CQ403" s="54">
        <f t="shared" si="566"/>
        <v>39.167833333333334</v>
      </c>
    </row>
    <row r="404" spans="23:95">
      <c r="W404" s="54"/>
      <c r="AU404" s="54"/>
      <c r="BU404">
        <v>260</v>
      </c>
      <c r="BV404" t="s">
        <v>70</v>
      </c>
      <c r="BW404">
        <v>38144</v>
      </c>
      <c r="BX404">
        <v>256</v>
      </c>
      <c r="BY404">
        <v>2</v>
      </c>
      <c r="BZ404">
        <v>8</v>
      </c>
      <c r="CA404">
        <v>960.76</v>
      </c>
      <c r="CB404">
        <v>38.512</v>
      </c>
      <c r="CQ404" s="54">
        <f t="shared" si="566"/>
        <v>39.167833333333334</v>
      </c>
    </row>
    <row r="405" spans="23:95">
      <c r="W405" s="54"/>
      <c r="AU405" s="54"/>
      <c r="BU405">
        <v>331</v>
      </c>
      <c r="BV405" t="s">
        <v>70</v>
      </c>
      <c r="BW405">
        <v>38144</v>
      </c>
      <c r="BX405">
        <v>256</v>
      </c>
      <c r="BY405">
        <v>2</v>
      </c>
      <c r="BZ405">
        <v>8</v>
      </c>
      <c r="CA405">
        <v>936.58</v>
      </c>
      <c r="CB405">
        <v>39.506</v>
      </c>
      <c r="CQ405" s="54">
        <f t="shared" si="566"/>
        <v>39.167833333333334</v>
      </c>
    </row>
    <row r="406" spans="23:95">
      <c r="W406" s="54"/>
      <c r="AU406" s="54"/>
      <c r="BU406">
        <v>402</v>
      </c>
      <c r="BV406" t="s">
        <v>70</v>
      </c>
      <c r="BW406">
        <v>38144</v>
      </c>
      <c r="BX406">
        <v>256</v>
      </c>
      <c r="BY406">
        <v>2</v>
      </c>
      <c r="BZ406">
        <v>8</v>
      </c>
      <c r="CA406">
        <v>913.89</v>
      </c>
      <c r="CB406">
        <v>40.488</v>
      </c>
      <c r="CQ406" s="54">
        <f t="shared" si="566"/>
        <v>39.167833333333334</v>
      </c>
    </row>
    <row r="407" spans="23:95">
      <c r="W407" s="54"/>
      <c r="AU407" s="54"/>
      <c r="BU407">
        <v>70</v>
      </c>
      <c r="BV407" t="s">
        <v>70</v>
      </c>
      <c r="BW407">
        <v>40320</v>
      </c>
      <c r="BX407">
        <v>256</v>
      </c>
      <c r="BY407">
        <v>2</v>
      </c>
      <c r="BZ407">
        <v>8</v>
      </c>
      <c r="CA407">
        <v>1074.28</v>
      </c>
      <c r="CB407">
        <v>41.067999999999998</v>
      </c>
      <c r="CQ407" s="54">
        <f t="shared" ref="CQ407" si="567">AVERAGE(CB407:CB412)</f>
        <v>41.082333333333331</v>
      </c>
    </row>
    <row r="408" spans="23:95">
      <c r="W408" s="54"/>
      <c r="AU408" s="54"/>
      <c r="BU408">
        <v>141</v>
      </c>
      <c r="BV408" t="s">
        <v>70</v>
      </c>
      <c r="BW408">
        <v>40320</v>
      </c>
      <c r="BX408">
        <v>256</v>
      </c>
      <c r="BY408">
        <v>2</v>
      </c>
      <c r="BZ408">
        <v>8</v>
      </c>
      <c r="CA408">
        <v>1084.9100000000001</v>
      </c>
      <c r="CB408">
        <v>40.665999999999997</v>
      </c>
      <c r="CQ408" s="54">
        <f t="shared" ref="CQ408" si="568">CQ407</f>
        <v>41.082333333333331</v>
      </c>
    </row>
    <row r="409" spans="23:95">
      <c r="W409" s="54"/>
      <c r="AU409" s="54"/>
      <c r="BU409">
        <v>212</v>
      </c>
      <c r="BV409" t="s">
        <v>70</v>
      </c>
      <c r="BW409">
        <v>40320</v>
      </c>
      <c r="BX409">
        <v>256</v>
      </c>
      <c r="BY409">
        <v>2</v>
      </c>
      <c r="BZ409">
        <v>8</v>
      </c>
      <c r="CA409">
        <v>1079.81</v>
      </c>
      <c r="CB409">
        <v>40.857999999999997</v>
      </c>
      <c r="CQ409" s="54">
        <f t="shared" si="566"/>
        <v>41.082333333333331</v>
      </c>
    </row>
    <row r="410" spans="23:95">
      <c r="W410" s="54"/>
      <c r="AU410" s="54"/>
      <c r="BU410">
        <v>283</v>
      </c>
      <c r="BV410" t="s">
        <v>70</v>
      </c>
      <c r="BW410">
        <v>40320</v>
      </c>
      <c r="BX410">
        <v>256</v>
      </c>
      <c r="BY410">
        <v>2</v>
      </c>
      <c r="BZ410">
        <v>8</v>
      </c>
      <c r="CA410">
        <v>1062.3599999999999</v>
      </c>
      <c r="CB410">
        <v>41.529000000000003</v>
      </c>
      <c r="CQ410" s="54">
        <f t="shared" si="566"/>
        <v>41.082333333333331</v>
      </c>
    </row>
    <row r="411" spans="23:95">
      <c r="W411" s="54"/>
      <c r="AU411" s="54"/>
      <c r="BU411">
        <v>354</v>
      </c>
      <c r="BV411" t="s">
        <v>70</v>
      </c>
      <c r="BW411">
        <v>40320</v>
      </c>
      <c r="BX411">
        <v>256</v>
      </c>
      <c r="BY411">
        <v>2</v>
      </c>
      <c r="BZ411">
        <v>8</v>
      </c>
      <c r="CA411">
        <v>1049.5</v>
      </c>
      <c r="CB411">
        <v>42.037999999999997</v>
      </c>
      <c r="CQ411" s="54">
        <f t="shared" si="566"/>
        <v>41.082333333333331</v>
      </c>
    </row>
    <row r="412" spans="23:95">
      <c r="W412" s="54"/>
      <c r="AU412" s="54"/>
      <c r="BU412">
        <v>425</v>
      </c>
      <c r="BV412" t="s">
        <v>70</v>
      </c>
      <c r="BW412">
        <v>40320</v>
      </c>
      <c r="BX412">
        <v>256</v>
      </c>
      <c r="BY412">
        <v>2</v>
      </c>
      <c r="BZ412">
        <v>8</v>
      </c>
      <c r="CA412">
        <v>1093.8</v>
      </c>
      <c r="CB412">
        <v>40.335000000000001</v>
      </c>
      <c r="CQ412" s="54">
        <f t="shared" si="566"/>
        <v>41.082333333333331</v>
      </c>
    </row>
    <row r="413" spans="23:95">
      <c r="W413" s="54"/>
      <c r="AU413" s="54"/>
      <c r="BU413">
        <v>24</v>
      </c>
      <c r="BV413" t="s">
        <v>70</v>
      </c>
      <c r="BW413">
        <v>35968</v>
      </c>
      <c r="BX413">
        <v>256</v>
      </c>
      <c r="BY413">
        <v>4</v>
      </c>
      <c r="BZ413">
        <v>4</v>
      </c>
      <c r="CA413">
        <v>820.27</v>
      </c>
      <c r="CB413">
        <v>37.417999999999999</v>
      </c>
      <c r="CQ413" s="54">
        <f t="shared" ref="CQ413" si="569">AVERAGE(CB413:CB418)</f>
        <v>36.767166666666668</v>
      </c>
    </row>
    <row r="414" spans="23:95">
      <c r="W414" s="54"/>
      <c r="AU414" s="54"/>
      <c r="BU414">
        <v>95</v>
      </c>
      <c r="BV414" t="s">
        <v>70</v>
      </c>
      <c r="BW414">
        <v>35968</v>
      </c>
      <c r="BX414">
        <v>256</v>
      </c>
      <c r="BY414">
        <v>4</v>
      </c>
      <c r="BZ414">
        <v>4</v>
      </c>
      <c r="CA414">
        <v>875.32</v>
      </c>
      <c r="CB414">
        <v>35.064999999999998</v>
      </c>
      <c r="CQ414" s="54">
        <f t="shared" ref="CQ414" si="570">CQ413</f>
        <v>36.767166666666668</v>
      </c>
    </row>
    <row r="415" spans="23:95">
      <c r="W415" s="54"/>
      <c r="AU415" s="54"/>
      <c r="BU415">
        <v>166</v>
      </c>
      <c r="BV415" t="s">
        <v>70</v>
      </c>
      <c r="BW415">
        <v>35968</v>
      </c>
      <c r="BX415">
        <v>256</v>
      </c>
      <c r="BY415">
        <v>4</v>
      </c>
      <c r="BZ415">
        <v>4</v>
      </c>
      <c r="CA415">
        <v>808.45</v>
      </c>
      <c r="CB415">
        <v>37.965000000000003</v>
      </c>
      <c r="CQ415" s="54">
        <f t="shared" si="566"/>
        <v>36.767166666666668</v>
      </c>
    </row>
    <row r="416" spans="23:95">
      <c r="W416" s="54"/>
      <c r="AU416" s="54"/>
      <c r="BU416">
        <v>237</v>
      </c>
      <c r="BV416" t="s">
        <v>70</v>
      </c>
      <c r="BW416">
        <v>35968</v>
      </c>
      <c r="BX416">
        <v>256</v>
      </c>
      <c r="BY416">
        <v>4</v>
      </c>
      <c r="BZ416">
        <v>4</v>
      </c>
      <c r="CA416">
        <v>817.57</v>
      </c>
      <c r="CB416">
        <v>37.542000000000002</v>
      </c>
      <c r="CQ416" s="54">
        <f t="shared" si="566"/>
        <v>36.767166666666668</v>
      </c>
    </row>
    <row r="417" spans="23:95">
      <c r="W417" s="54"/>
      <c r="AU417" s="54"/>
      <c r="BU417">
        <v>308</v>
      </c>
      <c r="BV417" t="s">
        <v>70</v>
      </c>
      <c r="BW417">
        <v>35968</v>
      </c>
      <c r="BX417">
        <v>256</v>
      </c>
      <c r="BY417">
        <v>4</v>
      </c>
      <c r="BZ417">
        <v>4</v>
      </c>
      <c r="CA417">
        <v>828.25</v>
      </c>
      <c r="CB417">
        <v>37.058</v>
      </c>
      <c r="CQ417" s="54">
        <f t="shared" si="566"/>
        <v>36.767166666666668</v>
      </c>
    </row>
    <row r="418" spans="23:95">
      <c r="W418" s="54"/>
      <c r="AU418" s="54"/>
      <c r="BU418">
        <v>379</v>
      </c>
      <c r="BV418" t="s">
        <v>70</v>
      </c>
      <c r="BW418">
        <v>35968</v>
      </c>
      <c r="BX418">
        <v>256</v>
      </c>
      <c r="BY418">
        <v>4</v>
      </c>
      <c r="BZ418">
        <v>4</v>
      </c>
      <c r="CA418">
        <v>863.25</v>
      </c>
      <c r="CB418">
        <v>35.555</v>
      </c>
      <c r="CQ418" s="54">
        <f t="shared" si="566"/>
        <v>36.767166666666668</v>
      </c>
    </row>
    <row r="419" spans="23:95">
      <c r="W419" s="54"/>
      <c r="AU419" s="54"/>
      <c r="BU419">
        <v>48</v>
      </c>
      <c r="BV419" t="s">
        <v>70</v>
      </c>
      <c r="BW419">
        <v>38144</v>
      </c>
      <c r="BX419">
        <v>256</v>
      </c>
      <c r="BY419">
        <v>4</v>
      </c>
      <c r="BZ419">
        <v>4</v>
      </c>
      <c r="CA419">
        <v>948.09</v>
      </c>
      <c r="CB419">
        <v>39.027000000000001</v>
      </c>
      <c r="CQ419" s="54">
        <f t="shared" ref="CQ419" si="571">AVERAGE(CB419:CB424)</f>
        <v>38.595166666666664</v>
      </c>
    </row>
    <row r="420" spans="23:95">
      <c r="W420" s="54"/>
      <c r="AU420" s="54"/>
      <c r="BU420">
        <v>119</v>
      </c>
      <c r="BV420" t="s">
        <v>70</v>
      </c>
      <c r="BW420">
        <v>38144</v>
      </c>
      <c r="BX420">
        <v>256</v>
      </c>
      <c r="BY420">
        <v>4</v>
      </c>
      <c r="BZ420">
        <v>4</v>
      </c>
      <c r="CA420">
        <v>986.89</v>
      </c>
      <c r="CB420">
        <v>37.491999999999997</v>
      </c>
      <c r="CQ420" s="54">
        <f t="shared" ref="CQ420" si="572">CQ419</f>
        <v>38.595166666666664</v>
      </c>
    </row>
    <row r="421" spans="23:95">
      <c r="W421" s="54"/>
      <c r="AU421" s="54"/>
      <c r="BU421">
        <v>190</v>
      </c>
      <c r="BV421" t="s">
        <v>70</v>
      </c>
      <c r="BW421">
        <v>38144</v>
      </c>
      <c r="BX421">
        <v>256</v>
      </c>
      <c r="BY421">
        <v>4</v>
      </c>
      <c r="BZ421">
        <v>4</v>
      </c>
      <c r="CA421">
        <v>950.14</v>
      </c>
      <c r="CB421">
        <v>38.942999999999998</v>
      </c>
      <c r="CQ421" s="54">
        <f t="shared" si="566"/>
        <v>38.595166666666664</v>
      </c>
    </row>
    <row r="422" spans="23:95">
      <c r="W422" s="54"/>
      <c r="AU422" s="54"/>
      <c r="BU422">
        <v>261</v>
      </c>
      <c r="BV422" t="s">
        <v>70</v>
      </c>
      <c r="BW422">
        <v>38144</v>
      </c>
      <c r="BX422">
        <v>256</v>
      </c>
      <c r="BY422">
        <v>4</v>
      </c>
      <c r="BZ422">
        <v>4</v>
      </c>
      <c r="CA422">
        <v>961.65</v>
      </c>
      <c r="CB422">
        <v>38.476999999999997</v>
      </c>
      <c r="CQ422" s="54">
        <f t="shared" si="566"/>
        <v>38.595166666666664</v>
      </c>
    </row>
    <row r="423" spans="23:95">
      <c r="W423" s="54"/>
      <c r="AU423" s="54"/>
      <c r="BU423">
        <v>332</v>
      </c>
      <c r="BV423" t="s">
        <v>70</v>
      </c>
      <c r="BW423">
        <v>38144</v>
      </c>
      <c r="BX423">
        <v>256</v>
      </c>
      <c r="BY423">
        <v>4</v>
      </c>
      <c r="BZ423">
        <v>4</v>
      </c>
      <c r="CA423">
        <v>956.74</v>
      </c>
      <c r="CB423">
        <v>38.673999999999999</v>
      </c>
      <c r="CQ423" s="54">
        <f t="shared" si="566"/>
        <v>38.595166666666664</v>
      </c>
    </row>
    <row r="424" spans="23:95">
      <c r="W424" s="54"/>
      <c r="AU424" s="54"/>
      <c r="BU424">
        <v>403</v>
      </c>
      <c r="BV424" t="s">
        <v>70</v>
      </c>
      <c r="BW424">
        <v>38144</v>
      </c>
      <c r="BX424">
        <v>256</v>
      </c>
      <c r="BY424">
        <v>4</v>
      </c>
      <c r="BZ424">
        <v>4</v>
      </c>
      <c r="CA424">
        <v>949.77</v>
      </c>
      <c r="CB424">
        <v>38.957999999999998</v>
      </c>
      <c r="CQ424" s="54">
        <f t="shared" si="566"/>
        <v>38.595166666666664</v>
      </c>
    </row>
    <row r="425" spans="23:95">
      <c r="W425" s="54"/>
      <c r="AU425" s="54"/>
      <c r="BU425">
        <v>71</v>
      </c>
      <c r="BV425" t="s">
        <v>70</v>
      </c>
      <c r="BW425">
        <v>40320</v>
      </c>
      <c r="BX425">
        <v>256</v>
      </c>
      <c r="BY425">
        <v>4</v>
      </c>
      <c r="BZ425">
        <v>4</v>
      </c>
      <c r="CA425">
        <v>1127.3499999999999</v>
      </c>
      <c r="CB425">
        <v>39.134999999999998</v>
      </c>
      <c r="CQ425" s="54">
        <f t="shared" ref="CQ425" si="573">AVERAGE(CB425:CB430)</f>
        <v>39.284833333333331</v>
      </c>
    </row>
    <row r="426" spans="23:95">
      <c r="W426" s="54"/>
      <c r="AU426" s="54"/>
      <c r="BU426">
        <v>142</v>
      </c>
      <c r="BV426" t="s">
        <v>70</v>
      </c>
      <c r="BW426">
        <v>40320</v>
      </c>
      <c r="BX426">
        <v>256</v>
      </c>
      <c r="BY426">
        <v>4</v>
      </c>
      <c r="BZ426">
        <v>4</v>
      </c>
      <c r="CA426">
        <v>1109.94</v>
      </c>
      <c r="CB426">
        <v>39.749000000000002</v>
      </c>
      <c r="CQ426" s="54">
        <f t="shared" ref="CQ426" si="574">CQ425</f>
        <v>39.284833333333331</v>
      </c>
    </row>
    <row r="427" spans="23:95">
      <c r="W427" s="54"/>
      <c r="AU427" s="54"/>
      <c r="BU427">
        <v>213</v>
      </c>
      <c r="BV427" t="s">
        <v>70</v>
      </c>
      <c r="BW427">
        <v>40320</v>
      </c>
      <c r="BX427">
        <v>256</v>
      </c>
      <c r="BY427">
        <v>4</v>
      </c>
      <c r="BZ427">
        <v>4</v>
      </c>
      <c r="CA427">
        <v>1111.0999999999999</v>
      </c>
      <c r="CB427">
        <v>39.707000000000001</v>
      </c>
      <c r="CQ427" s="54">
        <f t="shared" si="566"/>
        <v>39.284833333333331</v>
      </c>
    </row>
    <row r="428" spans="23:95">
      <c r="W428" s="54"/>
      <c r="AU428" s="54"/>
      <c r="BU428">
        <v>284</v>
      </c>
      <c r="BV428" t="s">
        <v>70</v>
      </c>
      <c r="BW428">
        <v>40320</v>
      </c>
      <c r="BX428">
        <v>256</v>
      </c>
      <c r="BY428">
        <v>4</v>
      </c>
      <c r="BZ428">
        <v>4</v>
      </c>
      <c r="CA428">
        <v>1123.1300000000001</v>
      </c>
      <c r="CB428">
        <v>39.281999999999996</v>
      </c>
      <c r="CQ428" s="54">
        <f t="shared" si="566"/>
        <v>39.284833333333331</v>
      </c>
    </row>
    <row r="429" spans="23:95">
      <c r="W429" s="54"/>
      <c r="AU429" s="54"/>
      <c r="BU429">
        <v>355</v>
      </c>
      <c r="BV429" t="s">
        <v>70</v>
      </c>
      <c r="BW429">
        <v>40320</v>
      </c>
      <c r="BX429">
        <v>256</v>
      </c>
      <c r="BY429">
        <v>4</v>
      </c>
      <c r="BZ429">
        <v>4</v>
      </c>
      <c r="CA429">
        <v>1133.81</v>
      </c>
      <c r="CB429">
        <v>38.911999999999999</v>
      </c>
      <c r="CQ429" s="54">
        <f t="shared" si="566"/>
        <v>39.284833333333331</v>
      </c>
    </row>
    <row r="430" spans="23:95">
      <c r="W430" s="54"/>
      <c r="AU430" s="54"/>
      <c r="BU430">
        <v>426</v>
      </c>
      <c r="BV430" t="s">
        <v>70</v>
      </c>
      <c r="BW430">
        <v>40320</v>
      </c>
      <c r="BX430">
        <v>256</v>
      </c>
      <c r="BY430">
        <v>4</v>
      </c>
      <c r="BZ430">
        <v>4</v>
      </c>
      <c r="CA430">
        <v>1133.47</v>
      </c>
      <c r="CB430">
        <v>38.923999999999999</v>
      </c>
      <c r="CQ430" s="54">
        <f t="shared" si="566"/>
        <v>39.284833333333331</v>
      </c>
    </row>
    <row r="792" spans="71:71">
      <c r="BS792" s="8"/>
    </row>
    <row r="793" spans="71:71">
      <c r="BS793" s="8"/>
    </row>
    <row r="794" spans="71:71">
      <c r="BS794" s="8"/>
    </row>
    <row r="795" spans="71:71">
      <c r="BS795" s="8"/>
    </row>
    <row r="796" spans="71:71">
      <c r="BS796" s="8"/>
    </row>
  </sheetData>
  <sortState xmlns:xlrd2="http://schemas.microsoft.com/office/spreadsheetml/2017/richdata2" ref="AW4:BR363">
    <sortCondition ref="AZ4:AZ363"/>
    <sortCondition ref="BA4:BA363"/>
    <sortCondition ref="AY4:AY363"/>
    <sortCondition ref="AW4:AW363"/>
  </sortState>
  <mergeCells count="32">
    <mergeCell ref="Y1:AB1"/>
    <mergeCell ref="AI1:AT1"/>
    <mergeCell ref="AU1:AU3"/>
    <mergeCell ref="Y2:Z2"/>
    <mergeCell ref="AI2:AK2"/>
    <mergeCell ref="AL2:AN2"/>
    <mergeCell ref="AO2:AQ2"/>
    <mergeCell ref="AR2:AT2"/>
    <mergeCell ref="A1:D1"/>
    <mergeCell ref="K1:V1"/>
    <mergeCell ref="W1:W3"/>
    <mergeCell ref="A2:B2"/>
    <mergeCell ref="K2:M2"/>
    <mergeCell ref="N2:P2"/>
    <mergeCell ref="Q2:S2"/>
    <mergeCell ref="T2:V2"/>
    <mergeCell ref="AW1:AZ1"/>
    <mergeCell ref="BG1:BR1"/>
    <mergeCell ref="BS1:BS3"/>
    <mergeCell ref="AW2:AX2"/>
    <mergeCell ref="BG2:BI2"/>
    <mergeCell ref="BJ2:BL2"/>
    <mergeCell ref="BM2:BO2"/>
    <mergeCell ref="BP2:BR2"/>
    <mergeCell ref="BU1:BX1"/>
    <mergeCell ref="CE1:CP1"/>
    <mergeCell ref="CQ1:CQ3"/>
    <mergeCell ref="BU2:BV2"/>
    <mergeCell ref="CE2:CG2"/>
    <mergeCell ref="CH2:CJ2"/>
    <mergeCell ref="CK2:CM2"/>
    <mergeCell ref="CN2:CP2"/>
  </mergeCells>
  <conditionalFormatting sqref="BS4:BS368 CQ5:CQ430 AU4:AU363 W4:W3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A0CC-0EE5-4C35-BC66-BD4B549F8289}">
  <dimension ref="A1:AG308"/>
  <sheetViews>
    <sheetView workbookViewId="0">
      <selection activeCell="Z19" sqref="Z19"/>
    </sheetView>
  </sheetViews>
  <sheetFormatPr defaultRowHeight="15"/>
  <cols>
    <col min="5" max="5" width="16.42578125" bestFit="1" customWidth="1"/>
    <col min="11" max="11" width="16.42578125" bestFit="1" customWidth="1"/>
    <col min="17" max="17" width="16.42578125" bestFit="1" customWidth="1"/>
    <col min="20" max="20" width="11.85546875" bestFit="1" customWidth="1"/>
    <col min="21" max="21" width="11.85546875" customWidth="1"/>
  </cols>
  <sheetData>
    <row r="1" spans="1:33">
      <c r="A1" s="82" t="s">
        <v>136</v>
      </c>
      <c r="B1" s="82"/>
      <c r="C1" s="82"/>
      <c r="D1" s="82"/>
      <c r="E1" s="82"/>
      <c r="G1" s="82" t="s">
        <v>114</v>
      </c>
      <c r="H1" s="82"/>
      <c r="I1" s="82"/>
      <c r="J1" s="82"/>
      <c r="K1" s="82"/>
      <c r="M1" s="82" t="s">
        <v>140</v>
      </c>
      <c r="N1" s="82"/>
      <c r="O1" s="82"/>
      <c r="P1" s="82"/>
      <c r="Q1" s="82"/>
    </row>
    <row r="2" spans="1:33">
      <c r="A2" s="44">
        <f>INDEX(A4:A500,MATCH(MAX(E4:E500),E4:E500,0))</f>
        <v>19040</v>
      </c>
      <c r="B2" s="44">
        <f>INDEX(B4:B500,MATCH(MAX(E4:E500),E4:E500,0))</f>
        <v>160</v>
      </c>
      <c r="C2" s="44">
        <f>INDEX(C4:C500,MATCH(MAX(E4:E500),E4:E500,0))</f>
        <v>1</v>
      </c>
      <c r="D2" s="44">
        <f>INDEX(D4:D500,MATCH(MAX(E4:E500),E4:E500,0))</f>
        <v>4</v>
      </c>
      <c r="E2" s="30">
        <f>MAX(E4:E500)</f>
        <v>11.672999999999998</v>
      </c>
      <c r="G2" s="44">
        <f>INDEX(G4:G500,MATCH(MAX(K4:K500),K4:K500,0))</f>
        <v>20096</v>
      </c>
      <c r="H2" s="44">
        <f>INDEX(H4:H500,MATCH(MAX(K4:K500),K4:K500,0))</f>
        <v>128</v>
      </c>
      <c r="I2" s="44">
        <f>INDEX(I4:I500,MATCH(MAX(K4:K500),K4:K500,0))</f>
        <v>1</v>
      </c>
      <c r="J2" s="44">
        <f>INDEX(J4:J500,MATCH(MAX(K4:K500),K4:K500,0))</f>
        <v>4</v>
      </c>
      <c r="K2" s="30">
        <f>MAX(K4:K500)</f>
        <v>12.922599999999999</v>
      </c>
      <c r="M2" s="44">
        <f>INDEX(M4:M500,MATCH(MAX(Q4:Q500),Q4:Q500,0))</f>
        <v>20096</v>
      </c>
      <c r="N2" s="44">
        <f>INDEX(N4:N500,MATCH(MAX(Q4:Q500),Q4:Q500,0))</f>
        <v>128</v>
      </c>
      <c r="O2" s="44">
        <f>INDEX(O4:O500,MATCH(MAX(Q4:Q500),Q4:Q500,0))</f>
        <v>1</v>
      </c>
      <c r="P2" s="44">
        <f>INDEX(P4:P500,MATCH(MAX(Q4:Q500),Q4:Q500,0))</f>
        <v>4</v>
      </c>
      <c r="Q2" s="30">
        <f>MAX(Q4:Q500)</f>
        <v>13.006600000000001</v>
      </c>
    </row>
    <row r="3" spans="1:33">
      <c r="A3" s="39" t="s">
        <v>1</v>
      </c>
      <c r="B3" s="39" t="s">
        <v>2</v>
      </c>
      <c r="C3" s="39" t="s">
        <v>3</v>
      </c>
      <c r="D3" s="44" t="s">
        <v>4</v>
      </c>
      <c r="E3" s="39" t="s">
        <v>113</v>
      </c>
      <c r="G3" s="39" t="s">
        <v>1</v>
      </c>
      <c r="H3" s="39" t="s">
        <v>2</v>
      </c>
      <c r="I3" s="39" t="s">
        <v>3</v>
      </c>
      <c r="J3" s="44" t="s">
        <v>4</v>
      </c>
      <c r="K3" s="39" t="s">
        <v>113</v>
      </c>
      <c r="M3" s="39" t="s">
        <v>1</v>
      </c>
      <c r="N3" s="39" t="s">
        <v>2</v>
      </c>
      <c r="O3" s="39" t="s">
        <v>3</v>
      </c>
      <c r="P3" s="44" t="s">
        <v>4</v>
      </c>
      <c r="Q3" s="39" t="s">
        <v>113</v>
      </c>
      <c r="S3" t="s">
        <v>1</v>
      </c>
      <c r="T3" t="s">
        <v>183</v>
      </c>
      <c r="V3" t="s">
        <v>2</v>
      </c>
      <c r="W3" t="s">
        <v>3</v>
      </c>
      <c r="X3" t="s">
        <v>4</v>
      </c>
      <c r="Y3" t="s">
        <v>113</v>
      </c>
      <c r="AA3" t="s">
        <v>1</v>
      </c>
      <c r="AB3" t="s">
        <v>183</v>
      </c>
      <c r="AD3" t="s">
        <v>2</v>
      </c>
      <c r="AE3" t="s">
        <v>3</v>
      </c>
      <c r="AF3" t="s">
        <v>4</v>
      </c>
      <c r="AG3" t="s">
        <v>113</v>
      </c>
    </row>
    <row r="4" spans="1:33">
      <c r="A4" cm="1">
        <f t="array" ref="A4:E308">_xlfn.CHOOSECOLS(_xlfn._xlws.FILTER('1 node, params, RAW'!A4:N500,'1 node, params, RAW'!A4:A500=0),3,4,5,6,14)</f>
        <v>17984</v>
      </c>
      <c r="B4">
        <v>32</v>
      </c>
      <c r="C4">
        <v>1</v>
      </c>
      <c r="D4">
        <v>4</v>
      </c>
      <c r="E4">
        <v>6.8726399999999996</v>
      </c>
      <c r="G4" cm="1">
        <f t="array" ref="G4:K308">_xlfn.CHOOSECOLS(_xlfn._xlws.FILTER('1 node, params, RAW'!Q4:AD500,'1 node, params, RAW'!Q4:Q500=0),3,4,5,6,14)</f>
        <v>17984</v>
      </c>
      <c r="H4">
        <v>32</v>
      </c>
      <c r="I4">
        <v>1</v>
      </c>
      <c r="J4">
        <v>4</v>
      </c>
      <c r="K4">
        <v>7.46272</v>
      </c>
      <c r="M4" cm="1">
        <f t="array" ref="M4:Q308">_xlfn.CHOOSECOLS(_xlfn._xlws.FILTER('1 node, params, RAW'!AF4:AS500,'1 node, params, RAW'!AF4:AF500=0),3,4,5,6,14)</f>
        <v>20096</v>
      </c>
      <c r="N4">
        <v>128</v>
      </c>
      <c r="O4">
        <v>1</v>
      </c>
      <c r="P4">
        <v>4</v>
      </c>
      <c r="Q4">
        <v>13.006600000000001</v>
      </c>
      <c r="S4">
        <v>17984</v>
      </c>
      <c r="T4">
        <f t="shared" ref="T4:T51" si="0">IF(ABS(S4-17984)&lt;ABS(S4-19072),IF(ABS(S4-17984)&lt;ABS(S4-20160),17984,20160),IF(ABS(S4-19072)&lt;ABS(S4-20160),19072,20160))</f>
        <v>17984</v>
      </c>
      <c r="U4">
        <v>17984</v>
      </c>
      <c r="V4">
        <v>32</v>
      </c>
      <c r="W4">
        <v>1</v>
      </c>
      <c r="X4">
        <v>4</v>
      </c>
      <c r="Y4">
        <v>6.8726399999999996</v>
      </c>
      <c r="AA4">
        <v>17984</v>
      </c>
      <c r="AB4">
        <f t="shared" ref="AB4:AB51" si="1">IF(ABS(AA4-17984)&lt;ABS(AA4-19072),IF(ABS(AA4-17984)&lt;ABS(AA4-20160),17984,20160),IF(ABS(AA4-19072)&lt;ABS(AA4-20160),19072,20160))</f>
        <v>17984</v>
      </c>
      <c r="AC4">
        <v>17984</v>
      </c>
      <c r="AD4">
        <v>32</v>
      </c>
      <c r="AE4">
        <v>1</v>
      </c>
      <c r="AF4">
        <v>4</v>
      </c>
      <c r="AG4">
        <v>7.4731799999999993</v>
      </c>
    </row>
    <row r="5" spans="1:33">
      <c r="A5">
        <v>19072</v>
      </c>
      <c r="B5">
        <v>32</v>
      </c>
      <c r="C5">
        <v>1</v>
      </c>
      <c r="D5">
        <v>4</v>
      </c>
      <c r="E5">
        <v>7.0233000000000008</v>
      </c>
      <c r="G5">
        <v>19072</v>
      </c>
      <c r="H5">
        <v>32</v>
      </c>
      <c r="I5">
        <v>1</v>
      </c>
      <c r="J5">
        <v>4</v>
      </c>
      <c r="K5">
        <v>7.8489800000000001</v>
      </c>
      <c r="M5">
        <v>19072</v>
      </c>
      <c r="N5">
        <v>128</v>
      </c>
      <c r="O5">
        <v>1</v>
      </c>
      <c r="P5">
        <v>4</v>
      </c>
      <c r="Q5">
        <v>12.961400000000001</v>
      </c>
      <c r="S5">
        <v>19072</v>
      </c>
      <c r="T5">
        <f t="shared" si="0"/>
        <v>19072</v>
      </c>
      <c r="U5">
        <v>19072</v>
      </c>
      <c r="V5">
        <v>32</v>
      </c>
      <c r="W5">
        <v>1</v>
      </c>
      <c r="X5">
        <v>4</v>
      </c>
      <c r="Y5">
        <v>7.0233000000000008</v>
      </c>
      <c r="AA5">
        <v>19072</v>
      </c>
      <c r="AB5">
        <f t="shared" si="1"/>
        <v>19072</v>
      </c>
      <c r="AC5">
        <v>19072</v>
      </c>
      <c r="AD5">
        <v>32</v>
      </c>
      <c r="AE5">
        <v>1</v>
      </c>
      <c r="AF5">
        <v>4</v>
      </c>
      <c r="AG5">
        <v>7.8392999999999997</v>
      </c>
    </row>
    <row r="6" spans="1:33">
      <c r="A6">
        <v>20160</v>
      </c>
      <c r="B6">
        <v>32</v>
      </c>
      <c r="C6">
        <v>1</v>
      </c>
      <c r="D6">
        <v>4</v>
      </c>
      <c r="E6">
        <v>6.9230199999999993</v>
      </c>
      <c r="G6">
        <v>20160</v>
      </c>
      <c r="H6">
        <v>32</v>
      </c>
      <c r="I6">
        <v>1</v>
      </c>
      <c r="J6">
        <v>4</v>
      </c>
      <c r="K6">
        <v>7.6701999999999995</v>
      </c>
      <c r="M6">
        <v>19008</v>
      </c>
      <c r="N6">
        <v>192</v>
      </c>
      <c r="O6">
        <v>1</v>
      </c>
      <c r="P6">
        <v>4</v>
      </c>
      <c r="Q6">
        <v>12.860199999999997</v>
      </c>
      <c r="S6">
        <v>20160</v>
      </c>
      <c r="T6">
        <f t="shared" si="0"/>
        <v>20160</v>
      </c>
      <c r="U6">
        <v>20160</v>
      </c>
      <c r="V6">
        <v>32</v>
      </c>
      <c r="W6">
        <v>1</v>
      </c>
      <c r="X6">
        <v>4</v>
      </c>
      <c r="Y6">
        <v>6.9230199999999993</v>
      </c>
      <c r="AA6">
        <v>20160</v>
      </c>
      <c r="AB6">
        <f t="shared" si="1"/>
        <v>20160</v>
      </c>
      <c r="AC6">
        <v>20160</v>
      </c>
      <c r="AD6">
        <v>32</v>
      </c>
      <c r="AE6">
        <v>1</v>
      </c>
      <c r="AF6">
        <v>4</v>
      </c>
      <c r="AG6">
        <v>7.6669999999999998</v>
      </c>
    </row>
    <row r="7" spans="1:33">
      <c r="A7">
        <v>17984</v>
      </c>
      <c r="B7">
        <v>32</v>
      </c>
      <c r="C7">
        <v>2</v>
      </c>
      <c r="D7">
        <v>2</v>
      </c>
      <c r="E7">
        <v>6.8487999999999998</v>
      </c>
      <c r="G7">
        <v>17984</v>
      </c>
      <c r="H7">
        <v>32</v>
      </c>
      <c r="I7">
        <v>2</v>
      </c>
      <c r="J7">
        <v>2</v>
      </c>
      <c r="K7">
        <v>7.6518800000000002</v>
      </c>
      <c r="M7">
        <v>20160</v>
      </c>
      <c r="N7">
        <v>192</v>
      </c>
      <c r="O7">
        <v>1</v>
      </c>
      <c r="P7">
        <v>4</v>
      </c>
      <c r="Q7">
        <v>12.789399999999999</v>
      </c>
      <c r="S7">
        <v>17984</v>
      </c>
      <c r="T7">
        <f t="shared" si="0"/>
        <v>17984</v>
      </c>
      <c r="U7">
        <v>17984</v>
      </c>
      <c r="V7">
        <v>64</v>
      </c>
      <c r="W7">
        <v>1</v>
      </c>
      <c r="X7">
        <v>4</v>
      </c>
      <c r="Y7">
        <v>10.1258</v>
      </c>
      <c r="AA7">
        <v>17984</v>
      </c>
      <c r="AB7">
        <f t="shared" si="1"/>
        <v>17984</v>
      </c>
      <c r="AC7">
        <v>17984</v>
      </c>
      <c r="AD7">
        <v>64</v>
      </c>
      <c r="AE7">
        <v>1</v>
      </c>
      <c r="AF7">
        <v>4</v>
      </c>
      <c r="AG7">
        <v>11.7486</v>
      </c>
    </row>
    <row r="8" spans="1:33">
      <c r="A8">
        <v>19072</v>
      </c>
      <c r="B8">
        <v>32</v>
      </c>
      <c r="C8">
        <v>2</v>
      </c>
      <c r="D8">
        <v>2</v>
      </c>
      <c r="E8">
        <v>6.9460600000000001</v>
      </c>
      <c r="G8">
        <v>19072</v>
      </c>
      <c r="H8">
        <v>32</v>
      </c>
      <c r="I8">
        <v>2</v>
      </c>
      <c r="J8">
        <v>2</v>
      </c>
      <c r="K8">
        <v>7.7467600000000001</v>
      </c>
      <c r="M8">
        <v>19008</v>
      </c>
      <c r="N8">
        <v>96</v>
      </c>
      <c r="O8">
        <v>1</v>
      </c>
      <c r="P8">
        <v>4</v>
      </c>
      <c r="Q8">
        <v>12.779</v>
      </c>
      <c r="S8">
        <v>19072</v>
      </c>
      <c r="T8">
        <f t="shared" si="0"/>
        <v>19072</v>
      </c>
      <c r="U8">
        <v>19072</v>
      </c>
      <c r="V8">
        <v>64</v>
      </c>
      <c r="W8">
        <v>1</v>
      </c>
      <c r="X8">
        <v>4</v>
      </c>
      <c r="Y8">
        <v>10.278</v>
      </c>
      <c r="AA8">
        <v>19072</v>
      </c>
      <c r="AB8">
        <f t="shared" si="1"/>
        <v>19072</v>
      </c>
      <c r="AC8">
        <v>19072</v>
      </c>
      <c r="AD8">
        <v>64</v>
      </c>
      <c r="AE8">
        <v>1</v>
      </c>
      <c r="AF8">
        <v>4</v>
      </c>
      <c r="AG8">
        <v>11.950799999999999</v>
      </c>
    </row>
    <row r="9" spans="1:33">
      <c r="A9">
        <v>20160</v>
      </c>
      <c r="B9">
        <v>32</v>
      </c>
      <c r="C9">
        <v>2</v>
      </c>
      <c r="D9">
        <v>2</v>
      </c>
      <c r="E9">
        <v>6.7942599999999995</v>
      </c>
      <c r="G9">
        <v>20160</v>
      </c>
      <c r="H9">
        <v>32</v>
      </c>
      <c r="I9">
        <v>2</v>
      </c>
      <c r="J9">
        <v>2</v>
      </c>
      <c r="K9">
        <v>7.5147199999999996</v>
      </c>
      <c r="M9">
        <v>17920</v>
      </c>
      <c r="N9">
        <v>128</v>
      </c>
      <c r="O9">
        <v>1</v>
      </c>
      <c r="P9">
        <v>4</v>
      </c>
      <c r="Q9">
        <v>12.766</v>
      </c>
      <c r="S9">
        <v>20160</v>
      </c>
      <c r="T9">
        <f t="shared" si="0"/>
        <v>20160</v>
      </c>
      <c r="U9">
        <v>20160</v>
      </c>
      <c r="V9">
        <v>64</v>
      </c>
      <c r="W9">
        <v>1</v>
      </c>
      <c r="X9">
        <v>4</v>
      </c>
      <c r="Y9">
        <v>10.085600000000001</v>
      </c>
      <c r="AA9">
        <v>20160</v>
      </c>
      <c r="AB9">
        <f t="shared" si="1"/>
        <v>20160</v>
      </c>
      <c r="AC9">
        <v>20160</v>
      </c>
      <c r="AD9">
        <v>64</v>
      </c>
      <c r="AE9">
        <v>1</v>
      </c>
      <c r="AF9">
        <v>4</v>
      </c>
      <c r="AG9">
        <v>11.840199999999999</v>
      </c>
    </row>
    <row r="10" spans="1:33">
      <c r="A10">
        <v>17984</v>
      </c>
      <c r="B10">
        <v>64</v>
      </c>
      <c r="C10">
        <v>1</v>
      </c>
      <c r="D10">
        <v>4</v>
      </c>
      <c r="E10">
        <v>10.1258</v>
      </c>
      <c r="G10">
        <v>17984</v>
      </c>
      <c r="H10">
        <v>64</v>
      </c>
      <c r="I10">
        <v>1</v>
      </c>
      <c r="J10">
        <v>4</v>
      </c>
      <c r="K10">
        <v>11.690000000000001</v>
      </c>
      <c r="M10">
        <v>19040</v>
      </c>
      <c r="N10">
        <v>224</v>
      </c>
      <c r="O10">
        <v>1</v>
      </c>
      <c r="P10">
        <v>4</v>
      </c>
      <c r="Q10">
        <v>12.729800000000001</v>
      </c>
      <c r="S10">
        <v>17952</v>
      </c>
      <c r="T10">
        <f t="shared" si="0"/>
        <v>17984</v>
      </c>
      <c r="U10">
        <v>17984</v>
      </c>
      <c r="V10">
        <v>96</v>
      </c>
      <c r="W10">
        <v>1</v>
      </c>
      <c r="X10">
        <v>4</v>
      </c>
      <c r="Y10">
        <v>9.6265600000000013</v>
      </c>
      <c r="AA10">
        <v>17952</v>
      </c>
      <c r="AB10">
        <f t="shared" si="1"/>
        <v>17984</v>
      </c>
      <c r="AC10">
        <v>17984</v>
      </c>
      <c r="AD10">
        <v>96</v>
      </c>
      <c r="AE10">
        <v>1</v>
      </c>
      <c r="AF10">
        <v>4</v>
      </c>
      <c r="AG10">
        <v>12.646799999999999</v>
      </c>
    </row>
    <row r="11" spans="1:33">
      <c r="A11">
        <v>19072</v>
      </c>
      <c r="B11">
        <v>64</v>
      </c>
      <c r="C11">
        <v>1</v>
      </c>
      <c r="D11">
        <v>4</v>
      </c>
      <c r="E11">
        <v>10.278</v>
      </c>
      <c r="G11">
        <v>19072</v>
      </c>
      <c r="H11">
        <v>64</v>
      </c>
      <c r="I11">
        <v>1</v>
      </c>
      <c r="J11">
        <v>4</v>
      </c>
      <c r="K11">
        <v>11.9558</v>
      </c>
      <c r="M11">
        <v>18944</v>
      </c>
      <c r="N11">
        <v>256</v>
      </c>
      <c r="O11">
        <v>1</v>
      </c>
      <c r="P11">
        <v>4</v>
      </c>
      <c r="Q11">
        <v>12.710400000000002</v>
      </c>
      <c r="S11">
        <v>19008</v>
      </c>
      <c r="T11">
        <f t="shared" si="0"/>
        <v>19072</v>
      </c>
      <c r="U11">
        <v>19072</v>
      </c>
      <c r="V11">
        <v>96</v>
      </c>
      <c r="W11">
        <v>1</v>
      </c>
      <c r="X11">
        <v>4</v>
      </c>
      <c r="Y11">
        <v>9.8672600000000017</v>
      </c>
      <c r="AA11">
        <v>19008</v>
      </c>
      <c r="AB11">
        <f t="shared" si="1"/>
        <v>19072</v>
      </c>
      <c r="AC11">
        <v>19072</v>
      </c>
      <c r="AD11">
        <v>96</v>
      </c>
      <c r="AE11">
        <v>1</v>
      </c>
      <c r="AF11">
        <v>4</v>
      </c>
      <c r="AG11">
        <v>12.779</v>
      </c>
    </row>
    <row r="12" spans="1:33">
      <c r="A12">
        <v>20160</v>
      </c>
      <c r="B12">
        <v>64</v>
      </c>
      <c r="C12">
        <v>1</v>
      </c>
      <c r="D12">
        <v>4</v>
      </c>
      <c r="E12">
        <v>10.085600000000001</v>
      </c>
      <c r="G12">
        <v>20160</v>
      </c>
      <c r="H12">
        <v>64</v>
      </c>
      <c r="I12">
        <v>1</v>
      </c>
      <c r="J12">
        <v>4</v>
      </c>
      <c r="K12">
        <v>11.8858</v>
      </c>
      <c r="M12">
        <v>17856</v>
      </c>
      <c r="N12">
        <v>192</v>
      </c>
      <c r="O12">
        <v>1</v>
      </c>
      <c r="P12">
        <v>4</v>
      </c>
      <c r="Q12">
        <v>12.6838</v>
      </c>
      <c r="S12">
        <v>20160</v>
      </c>
      <c r="T12">
        <f t="shared" si="0"/>
        <v>20160</v>
      </c>
      <c r="U12">
        <v>20160</v>
      </c>
      <c r="V12">
        <v>96</v>
      </c>
      <c r="W12">
        <v>1</v>
      </c>
      <c r="X12">
        <v>4</v>
      </c>
      <c r="Y12">
        <v>9.7688400000000009</v>
      </c>
      <c r="AA12">
        <v>20160</v>
      </c>
      <c r="AB12">
        <f t="shared" si="1"/>
        <v>20160</v>
      </c>
      <c r="AC12">
        <v>20160</v>
      </c>
      <c r="AD12">
        <v>96</v>
      </c>
      <c r="AE12">
        <v>1</v>
      </c>
      <c r="AF12">
        <v>4</v>
      </c>
      <c r="AG12">
        <v>12.540000000000001</v>
      </c>
    </row>
    <row r="13" spans="1:33">
      <c r="A13">
        <v>17984</v>
      </c>
      <c r="B13">
        <v>64</v>
      </c>
      <c r="C13">
        <v>2</v>
      </c>
      <c r="D13">
        <v>2</v>
      </c>
      <c r="E13">
        <v>9.8255799999999986</v>
      </c>
      <c r="G13">
        <v>17984</v>
      </c>
      <c r="H13">
        <v>64</v>
      </c>
      <c r="I13">
        <v>2</v>
      </c>
      <c r="J13">
        <v>2</v>
      </c>
      <c r="K13">
        <v>11.602</v>
      </c>
      <c r="M13">
        <v>20160</v>
      </c>
      <c r="N13">
        <v>224</v>
      </c>
      <c r="O13">
        <v>1</v>
      </c>
      <c r="P13">
        <v>4</v>
      </c>
      <c r="Q13">
        <v>12.657599999999999</v>
      </c>
      <c r="S13">
        <v>17920</v>
      </c>
      <c r="T13">
        <f t="shared" si="0"/>
        <v>17984</v>
      </c>
      <c r="U13">
        <v>17984</v>
      </c>
      <c r="V13">
        <v>128</v>
      </c>
      <c r="W13">
        <v>1</v>
      </c>
      <c r="X13">
        <v>4</v>
      </c>
      <c r="Y13">
        <v>10.04222</v>
      </c>
      <c r="AA13">
        <v>17920</v>
      </c>
      <c r="AB13">
        <f t="shared" si="1"/>
        <v>17984</v>
      </c>
      <c r="AC13">
        <v>17984</v>
      </c>
      <c r="AD13">
        <v>128</v>
      </c>
      <c r="AE13">
        <v>1</v>
      </c>
      <c r="AF13">
        <v>4</v>
      </c>
      <c r="AG13">
        <v>12.766</v>
      </c>
    </row>
    <row r="14" spans="1:33">
      <c r="A14">
        <v>19072</v>
      </c>
      <c r="B14">
        <v>64</v>
      </c>
      <c r="C14">
        <v>2</v>
      </c>
      <c r="D14">
        <v>2</v>
      </c>
      <c r="E14">
        <v>10.065800000000001</v>
      </c>
      <c r="G14">
        <v>19072</v>
      </c>
      <c r="H14">
        <v>64</v>
      </c>
      <c r="I14">
        <v>2</v>
      </c>
      <c r="J14">
        <v>2</v>
      </c>
      <c r="K14">
        <v>11.6942</v>
      </c>
      <c r="M14">
        <v>19968</v>
      </c>
      <c r="N14">
        <v>256</v>
      </c>
      <c r="O14">
        <v>1</v>
      </c>
      <c r="P14">
        <v>4</v>
      </c>
      <c r="Q14">
        <v>12.654</v>
      </c>
      <c r="S14">
        <v>19072</v>
      </c>
      <c r="T14">
        <f t="shared" si="0"/>
        <v>19072</v>
      </c>
      <c r="U14">
        <v>19072</v>
      </c>
      <c r="V14">
        <v>128</v>
      </c>
      <c r="W14">
        <v>1</v>
      </c>
      <c r="X14">
        <v>4</v>
      </c>
      <c r="Y14">
        <v>10.746599999999999</v>
      </c>
      <c r="AA14">
        <v>19072</v>
      </c>
      <c r="AB14">
        <f t="shared" si="1"/>
        <v>19072</v>
      </c>
      <c r="AC14">
        <v>19072</v>
      </c>
      <c r="AD14">
        <v>128</v>
      </c>
      <c r="AE14">
        <v>1</v>
      </c>
      <c r="AF14">
        <v>4</v>
      </c>
      <c r="AG14">
        <v>12.961400000000001</v>
      </c>
    </row>
    <row r="15" spans="1:33">
      <c r="A15">
        <v>20160</v>
      </c>
      <c r="B15">
        <v>64</v>
      </c>
      <c r="C15">
        <v>2</v>
      </c>
      <c r="D15">
        <v>2</v>
      </c>
      <c r="E15">
        <v>10.029799999999998</v>
      </c>
      <c r="G15">
        <v>20160</v>
      </c>
      <c r="H15">
        <v>64</v>
      </c>
      <c r="I15">
        <v>2</v>
      </c>
      <c r="J15">
        <v>2</v>
      </c>
      <c r="K15">
        <v>11.609800000000002</v>
      </c>
      <c r="M15">
        <v>17952</v>
      </c>
      <c r="N15">
        <v>96</v>
      </c>
      <c r="O15">
        <v>1</v>
      </c>
      <c r="P15">
        <v>4</v>
      </c>
      <c r="Q15">
        <v>12.646799999999999</v>
      </c>
      <c r="S15">
        <v>20096</v>
      </c>
      <c r="T15">
        <f t="shared" si="0"/>
        <v>20160</v>
      </c>
      <c r="U15">
        <v>20160</v>
      </c>
      <c r="V15">
        <v>128</v>
      </c>
      <c r="W15">
        <v>1</v>
      </c>
      <c r="X15">
        <v>4</v>
      </c>
      <c r="Y15">
        <v>10.788599999999999</v>
      </c>
      <c r="AA15">
        <v>20096</v>
      </c>
      <c r="AB15">
        <f t="shared" si="1"/>
        <v>20160</v>
      </c>
      <c r="AC15">
        <v>20160</v>
      </c>
      <c r="AD15">
        <v>128</v>
      </c>
      <c r="AE15">
        <v>1</v>
      </c>
      <c r="AF15">
        <v>4</v>
      </c>
      <c r="AG15">
        <v>13.006600000000001</v>
      </c>
    </row>
    <row r="16" spans="1:33">
      <c r="A16">
        <v>17952</v>
      </c>
      <c r="B16">
        <v>96</v>
      </c>
      <c r="C16">
        <v>1</v>
      </c>
      <c r="D16">
        <v>4</v>
      </c>
      <c r="E16">
        <v>9.6265600000000013</v>
      </c>
      <c r="G16">
        <v>17952</v>
      </c>
      <c r="H16">
        <v>96</v>
      </c>
      <c r="I16">
        <v>1</v>
      </c>
      <c r="J16">
        <v>4</v>
      </c>
      <c r="K16">
        <v>12.642199999999999</v>
      </c>
      <c r="M16">
        <v>19072</v>
      </c>
      <c r="N16">
        <v>128</v>
      </c>
      <c r="O16">
        <v>2</v>
      </c>
      <c r="P16">
        <v>2</v>
      </c>
      <c r="Q16">
        <v>12.6206</v>
      </c>
      <c r="S16">
        <v>17920</v>
      </c>
      <c r="T16">
        <f t="shared" si="0"/>
        <v>17984</v>
      </c>
      <c r="U16">
        <v>17984</v>
      </c>
      <c r="V16">
        <v>160</v>
      </c>
      <c r="W16">
        <v>1</v>
      </c>
      <c r="X16">
        <v>4</v>
      </c>
      <c r="Y16">
        <v>10.887</v>
      </c>
      <c r="AA16">
        <v>17920</v>
      </c>
      <c r="AB16">
        <f t="shared" si="1"/>
        <v>17984</v>
      </c>
      <c r="AC16">
        <v>17984</v>
      </c>
      <c r="AD16">
        <v>160</v>
      </c>
      <c r="AE16">
        <v>1</v>
      </c>
      <c r="AF16">
        <v>4</v>
      </c>
      <c r="AG16">
        <v>12.3612</v>
      </c>
    </row>
    <row r="17" spans="1:33">
      <c r="A17">
        <v>19008</v>
      </c>
      <c r="B17">
        <v>96</v>
      </c>
      <c r="C17">
        <v>1</v>
      </c>
      <c r="D17">
        <v>4</v>
      </c>
      <c r="E17">
        <v>9.8672600000000017</v>
      </c>
      <c r="G17">
        <v>19008</v>
      </c>
      <c r="H17">
        <v>96</v>
      </c>
      <c r="I17">
        <v>1</v>
      </c>
      <c r="J17">
        <v>4</v>
      </c>
      <c r="K17">
        <v>12.710599999999999</v>
      </c>
      <c r="M17">
        <v>17920</v>
      </c>
      <c r="N17">
        <v>224</v>
      </c>
      <c r="O17">
        <v>1</v>
      </c>
      <c r="P17">
        <v>4</v>
      </c>
      <c r="Q17">
        <v>12.583600000000001</v>
      </c>
      <c r="S17">
        <v>19040</v>
      </c>
      <c r="T17">
        <f t="shared" si="0"/>
        <v>19072</v>
      </c>
      <c r="U17">
        <v>19072</v>
      </c>
      <c r="V17">
        <v>160</v>
      </c>
      <c r="W17">
        <v>1</v>
      </c>
      <c r="X17">
        <v>4</v>
      </c>
      <c r="Y17">
        <v>11.672999999999998</v>
      </c>
      <c r="AA17">
        <v>19040</v>
      </c>
      <c r="AB17">
        <f t="shared" si="1"/>
        <v>19072</v>
      </c>
      <c r="AC17">
        <v>19072</v>
      </c>
      <c r="AD17">
        <v>160</v>
      </c>
      <c r="AE17">
        <v>1</v>
      </c>
      <c r="AF17">
        <v>4</v>
      </c>
      <c r="AG17">
        <v>12.519600000000001</v>
      </c>
    </row>
    <row r="18" spans="1:33">
      <c r="A18">
        <v>20160</v>
      </c>
      <c r="B18">
        <v>96</v>
      </c>
      <c r="C18">
        <v>1</v>
      </c>
      <c r="D18">
        <v>4</v>
      </c>
      <c r="E18">
        <v>9.7688400000000009</v>
      </c>
      <c r="G18">
        <v>20160</v>
      </c>
      <c r="H18">
        <v>96</v>
      </c>
      <c r="I18">
        <v>1</v>
      </c>
      <c r="J18">
        <v>4</v>
      </c>
      <c r="K18">
        <v>12.776199999999999</v>
      </c>
      <c r="M18">
        <v>17920</v>
      </c>
      <c r="N18">
        <v>256</v>
      </c>
      <c r="O18">
        <v>1</v>
      </c>
      <c r="P18">
        <v>4</v>
      </c>
      <c r="Q18">
        <v>12.576000000000002</v>
      </c>
      <c r="S18">
        <v>20160</v>
      </c>
      <c r="T18">
        <f t="shared" si="0"/>
        <v>20160</v>
      </c>
      <c r="U18">
        <v>20160</v>
      </c>
      <c r="V18">
        <v>160</v>
      </c>
      <c r="W18">
        <v>1</v>
      </c>
      <c r="X18">
        <v>4</v>
      </c>
      <c r="Y18">
        <v>11.657399999999999</v>
      </c>
      <c r="AA18">
        <v>20160</v>
      </c>
      <c r="AB18">
        <f t="shared" si="1"/>
        <v>20160</v>
      </c>
      <c r="AC18">
        <v>20160</v>
      </c>
      <c r="AD18">
        <v>160</v>
      </c>
      <c r="AE18">
        <v>1</v>
      </c>
      <c r="AF18">
        <v>4</v>
      </c>
      <c r="AG18">
        <v>12.5244</v>
      </c>
    </row>
    <row r="19" spans="1:33">
      <c r="A19">
        <v>17952</v>
      </c>
      <c r="B19">
        <v>96</v>
      </c>
      <c r="C19">
        <v>2</v>
      </c>
      <c r="D19">
        <v>2</v>
      </c>
      <c r="E19">
        <v>10.421799999999999</v>
      </c>
      <c r="G19">
        <v>17952</v>
      </c>
      <c r="H19">
        <v>96</v>
      </c>
      <c r="I19">
        <v>2</v>
      </c>
      <c r="J19">
        <v>2</v>
      </c>
      <c r="K19">
        <v>12.354600000000001</v>
      </c>
      <c r="M19">
        <v>20160</v>
      </c>
      <c r="N19">
        <v>96</v>
      </c>
      <c r="O19">
        <v>1</v>
      </c>
      <c r="P19">
        <v>4</v>
      </c>
      <c r="Q19">
        <v>12.540000000000001</v>
      </c>
      <c r="S19">
        <v>17856</v>
      </c>
      <c r="T19">
        <f t="shared" si="0"/>
        <v>17984</v>
      </c>
      <c r="U19">
        <v>17984</v>
      </c>
      <c r="V19">
        <v>192</v>
      </c>
      <c r="W19">
        <v>1</v>
      </c>
      <c r="X19">
        <v>4</v>
      </c>
      <c r="Y19">
        <v>11.1442</v>
      </c>
      <c r="AA19">
        <v>17856</v>
      </c>
      <c r="AB19">
        <f t="shared" si="1"/>
        <v>17984</v>
      </c>
      <c r="AC19">
        <v>17984</v>
      </c>
      <c r="AD19">
        <v>192</v>
      </c>
      <c r="AE19">
        <v>1</v>
      </c>
      <c r="AF19">
        <v>4</v>
      </c>
      <c r="AG19">
        <v>12.6838</v>
      </c>
    </row>
    <row r="20" spans="1:33">
      <c r="A20">
        <v>19008</v>
      </c>
      <c r="B20">
        <v>96</v>
      </c>
      <c r="C20">
        <v>2</v>
      </c>
      <c r="D20">
        <v>2</v>
      </c>
      <c r="E20">
        <v>10.5764</v>
      </c>
      <c r="G20">
        <v>19008</v>
      </c>
      <c r="H20">
        <v>96</v>
      </c>
      <c r="I20">
        <v>2</v>
      </c>
      <c r="J20">
        <v>2</v>
      </c>
      <c r="K20">
        <v>12.4298</v>
      </c>
      <c r="M20">
        <v>20160</v>
      </c>
      <c r="N20">
        <v>160</v>
      </c>
      <c r="O20">
        <v>1</v>
      </c>
      <c r="P20">
        <v>4</v>
      </c>
      <c r="Q20">
        <v>12.5244</v>
      </c>
      <c r="S20">
        <v>19008</v>
      </c>
      <c r="T20">
        <f t="shared" si="0"/>
        <v>19072</v>
      </c>
      <c r="U20">
        <v>19072</v>
      </c>
      <c r="V20">
        <v>192</v>
      </c>
      <c r="W20">
        <v>1</v>
      </c>
      <c r="X20">
        <v>4</v>
      </c>
      <c r="Y20">
        <v>11.289</v>
      </c>
      <c r="AA20">
        <v>19008</v>
      </c>
      <c r="AB20">
        <f t="shared" si="1"/>
        <v>19072</v>
      </c>
      <c r="AC20">
        <v>19072</v>
      </c>
      <c r="AD20">
        <v>192</v>
      </c>
      <c r="AE20">
        <v>1</v>
      </c>
      <c r="AF20">
        <v>4</v>
      </c>
      <c r="AG20">
        <v>12.860199999999997</v>
      </c>
    </row>
    <row r="21" spans="1:33">
      <c r="A21">
        <v>20160</v>
      </c>
      <c r="B21">
        <v>96</v>
      </c>
      <c r="C21">
        <v>2</v>
      </c>
      <c r="D21">
        <v>2</v>
      </c>
      <c r="E21">
        <v>10.398</v>
      </c>
      <c r="G21">
        <v>20160</v>
      </c>
      <c r="H21">
        <v>96</v>
      </c>
      <c r="I21">
        <v>2</v>
      </c>
      <c r="J21">
        <v>2</v>
      </c>
      <c r="K21">
        <v>12.4658</v>
      </c>
      <c r="M21">
        <v>19040</v>
      </c>
      <c r="N21">
        <v>160</v>
      </c>
      <c r="O21">
        <v>1</v>
      </c>
      <c r="P21">
        <v>4</v>
      </c>
      <c r="Q21">
        <v>12.519600000000001</v>
      </c>
      <c r="S21">
        <v>20160</v>
      </c>
      <c r="T21">
        <f t="shared" si="0"/>
        <v>20160</v>
      </c>
      <c r="U21">
        <v>20160</v>
      </c>
      <c r="V21">
        <v>192</v>
      </c>
      <c r="W21">
        <v>1</v>
      </c>
      <c r="X21">
        <v>4</v>
      </c>
      <c r="Y21">
        <v>11.3056</v>
      </c>
      <c r="AA21">
        <v>20160</v>
      </c>
      <c r="AB21">
        <f t="shared" si="1"/>
        <v>20160</v>
      </c>
      <c r="AC21">
        <v>20160</v>
      </c>
      <c r="AD21">
        <v>192</v>
      </c>
      <c r="AE21">
        <v>1</v>
      </c>
      <c r="AF21">
        <v>4</v>
      </c>
      <c r="AG21">
        <v>12.789399999999999</v>
      </c>
    </row>
    <row r="22" spans="1:33">
      <c r="A22">
        <v>17920</v>
      </c>
      <c r="B22">
        <v>128</v>
      </c>
      <c r="C22">
        <v>1</v>
      </c>
      <c r="D22">
        <v>4</v>
      </c>
      <c r="E22">
        <v>10.04222</v>
      </c>
      <c r="G22">
        <v>17920</v>
      </c>
      <c r="H22">
        <v>128</v>
      </c>
      <c r="I22">
        <v>1</v>
      </c>
      <c r="J22">
        <v>4</v>
      </c>
      <c r="K22">
        <v>12.669999999999998</v>
      </c>
      <c r="M22">
        <v>20160</v>
      </c>
      <c r="N22">
        <v>192</v>
      </c>
      <c r="O22">
        <v>2</v>
      </c>
      <c r="P22">
        <v>2</v>
      </c>
      <c r="Q22">
        <v>12.503399999999999</v>
      </c>
      <c r="S22">
        <v>17920</v>
      </c>
      <c r="T22">
        <f t="shared" si="0"/>
        <v>17984</v>
      </c>
      <c r="U22">
        <v>17984</v>
      </c>
      <c r="V22">
        <v>224</v>
      </c>
      <c r="W22">
        <v>1</v>
      </c>
      <c r="X22">
        <v>4</v>
      </c>
      <c r="Y22">
        <v>10.725599999999998</v>
      </c>
      <c r="AA22">
        <v>17920</v>
      </c>
      <c r="AB22">
        <f t="shared" si="1"/>
        <v>17984</v>
      </c>
      <c r="AC22">
        <v>17984</v>
      </c>
      <c r="AD22">
        <v>224</v>
      </c>
      <c r="AE22">
        <v>1</v>
      </c>
      <c r="AF22">
        <v>4</v>
      </c>
      <c r="AG22">
        <v>12.583600000000001</v>
      </c>
    </row>
    <row r="23" spans="1:33">
      <c r="A23">
        <v>19072</v>
      </c>
      <c r="B23">
        <v>128</v>
      </c>
      <c r="C23">
        <v>1</v>
      </c>
      <c r="D23">
        <v>4</v>
      </c>
      <c r="E23">
        <v>10.746599999999999</v>
      </c>
      <c r="G23">
        <v>19072</v>
      </c>
      <c r="H23">
        <v>128</v>
      </c>
      <c r="I23">
        <v>1</v>
      </c>
      <c r="J23">
        <v>4</v>
      </c>
      <c r="K23">
        <v>12.472200000000001</v>
      </c>
      <c r="M23">
        <v>20160</v>
      </c>
      <c r="N23">
        <v>96</v>
      </c>
      <c r="O23">
        <v>2</v>
      </c>
      <c r="P23">
        <v>2</v>
      </c>
      <c r="Q23">
        <v>12.458600000000001</v>
      </c>
      <c r="S23">
        <v>19040</v>
      </c>
      <c r="T23">
        <f t="shared" si="0"/>
        <v>19072</v>
      </c>
      <c r="U23">
        <v>19072</v>
      </c>
      <c r="V23">
        <v>224</v>
      </c>
      <c r="W23">
        <v>1</v>
      </c>
      <c r="X23">
        <v>4</v>
      </c>
      <c r="Y23">
        <v>11.3934</v>
      </c>
      <c r="AA23">
        <v>19040</v>
      </c>
      <c r="AB23">
        <f t="shared" si="1"/>
        <v>19072</v>
      </c>
      <c r="AC23">
        <v>19072</v>
      </c>
      <c r="AD23">
        <v>224</v>
      </c>
      <c r="AE23">
        <v>1</v>
      </c>
      <c r="AF23">
        <v>4</v>
      </c>
      <c r="AG23">
        <v>12.729800000000001</v>
      </c>
    </row>
    <row r="24" spans="1:33">
      <c r="A24">
        <v>20096</v>
      </c>
      <c r="B24">
        <v>128</v>
      </c>
      <c r="C24">
        <v>1</v>
      </c>
      <c r="D24">
        <v>4</v>
      </c>
      <c r="E24">
        <v>10.788599999999999</v>
      </c>
      <c r="G24">
        <v>20096</v>
      </c>
      <c r="H24">
        <v>128</v>
      </c>
      <c r="I24">
        <v>1</v>
      </c>
      <c r="J24">
        <v>4</v>
      </c>
      <c r="K24">
        <v>12.922599999999999</v>
      </c>
      <c r="M24">
        <v>19040</v>
      </c>
      <c r="N24">
        <v>224</v>
      </c>
      <c r="O24">
        <v>2</v>
      </c>
      <c r="P24">
        <v>2</v>
      </c>
      <c r="Q24">
        <v>12.4498</v>
      </c>
      <c r="S24">
        <v>20160</v>
      </c>
      <c r="T24">
        <f t="shared" si="0"/>
        <v>20160</v>
      </c>
      <c r="U24">
        <v>20160</v>
      </c>
      <c r="V24">
        <v>224</v>
      </c>
      <c r="W24">
        <v>1</v>
      </c>
      <c r="X24">
        <v>4</v>
      </c>
      <c r="Y24">
        <v>11.352799999999998</v>
      </c>
      <c r="AA24">
        <v>20160</v>
      </c>
      <c r="AB24">
        <f t="shared" si="1"/>
        <v>20160</v>
      </c>
      <c r="AC24">
        <v>20160</v>
      </c>
      <c r="AD24">
        <v>224</v>
      </c>
      <c r="AE24">
        <v>1</v>
      </c>
      <c r="AF24">
        <v>4</v>
      </c>
      <c r="AG24">
        <v>12.657599999999999</v>
      </c>
    </row>
    <row r="25" spans="1:33">
      <c r="A25">
        <v>17920</v>
      </c>
      <c r="B25">
        <v>128</v>
      </c>
      <c r="C25">
        <v>2</v>
      </c>
      <c r="D25">
        <v>2</v>
      </c>
      <c r="E25">
        <v>10.624600000000001</v>
      </c>
      <c r="G25">
        <v>17920</v>
      </c>
      <c r="H25">
        <v>128</v>
      </c>
      <c r="I25">
        <v>2</v>
      </c>
      <c r="J25">
        <v>2</v>
      </c>
      <c r="K25">
        <v>12.3642</v>
      </c>
      <c r="M25">
        <v>17952</v>
      </c>
      <c r="N25">
        <v>96</v>
      </c>
      <c r="O25">
        <v>2</v>
      </c>
      <c r="P25">
        <v>2</v>
      </c>
      <c r="Q25">
        <v>12.4032</v>
      </c>
      <c r="S25">
        <v>17920</v>
      </c>
      <c r="T25">
        <f t="shared" si="0"/>
        <v>17984</v>
      </c>
      <c r="U25">
        <v>17984</v>
      </c>
      <c r="V25">
        <v>256</v>
      </c>
      <c r="W25">
        <v>1</v>
      </c>
      <c r="X25">
        <v>4</v>
      </c>
      <c r="Y25">
        <v>10.541</v>
      </c>
      <c r="AA25">
        <v>17920</v>
      </c>
      <c r="AB25">
        <f t="shared" si="1"/>
        <v>17984</v>
      </c>
      <c r="AC25">
        <v>17984</v>
      </c>
      <c r="AD25">
        <v>256</v>
      </c>
      <c r="AE25">
        <v>1</v>
      </c>
      <c r="AF25">
        <v>4</v>
      </c>
      <c r="AG25">
        <v>12.576000000000002</v>
      </c>
    </row>
    <row r="26" spans="1:33">
      <c r="A26">
        <v>19072</v>
      </c>
      <c r="B26">
        <v>128</v>
      </c>
      <c r="C26">
        <v>2</v>
      </c>
      <c r="D26">
        <v>2</v>
      </c>
      <c r="E26">
        <v>10.786</v>
      </c>
      <c r="G26">
        <v>19072</v>
      </c>
      <c r="H26">
        <v>128</v>
      </c>
      <c r="I26">
        <v>2</v>
      </c>
      <c r="J26">
        <v>2</v>
      </c>
      <c r="K26">
        <v>12.428599999999999</v>
      </c>
      <c r="M26">
        <v>17920</v>
      </c>
      <c r="N26">
        <v>160</v>
      </c>
      <c r="O26">
        <v>1</v>
      </c>
      <c r="P26">
        <v>4</v>
      </c>
      <c r="Q26">
        <v>12.3612</v>
      </c>
      <c r="S26">
        <v>18944</v>
      </c>
      <c r="T26">
        <f t="shared" si="0"/>
        <v>19072</v>
      </c>
      <c r="U26">
        <v>19072</v>
      </c>
      <c r="V26">
        <v>256</v>
      </c>
      <c r="W26">
        <v>1</v>
      </c>
      <c r="X26">
        <v>4</v>
      </c>
      <c r="Y26">
        <v>10.3424</v>
      </c>
      <c r="AA26">
        <v>18944</v>
      </c>
      <c r="AB26">
        <f t="shared" si="1"/>
        <v>19072</v>
      </c>
      <c r="AC26">
        <v>19072</v>
      </c>
      <c r="AD26">
        <v>256</v>
      </c>
      <c r="AE26">
        <v>1</v>
      </c>
      <c r="AF26">
        <v>4</v>
      </c>
      <c r="AG26">
        <v>12.710400000000002</v>
      </c>
    </row>
    <row r="27" spans="1:33">
      <c r="A27">
        <v>20096</v>
      </c>
      <c r="B27">
        <v>128</v>
      </c>
      <c r="C27">
        <v>2</v>
      </c>
      <c r="D27">
        <v>2</v>
      </c>
      <c r="E27">
        <v>11.1082</v>
      </c>
      <c r="G27">
        <v>20096</v>
      </c>
      <c r="H27">
        <v>128</v>
      </c>
      <c r="I27">
        <v>2</v>
      </c>
      <c r="J27">
        <v>2</v>
      </c>
      <c r="K27">
        <v>12.497999999999999</v>
      </c>
      <c r="M27">
        <v>17856</v>
      </c>
      <c r="N27">
        <v>192</v>
      </c>
      <c r="O27">
        <v>2</v>
      </c>
      <c r="P27">
        <v>2</v>
      </c>
      <c r="Q27">
        <v>12.360799999999999</v>
      </c>
      <c r="S27">
        <v>19968</v>
      </c>
      <c r="T27">
        <f t="shared" si="0"/>
        <v>20160</v>
      </c>
      <c r="U27">
        <v>20160</v>
      </c>
      <c r="V27">
        <v>256</v>
      </c>
      <c r="W27">
        <v>1</v>
      </c>
      <c r="X27">
        <v>4</v>
      </c>
      <c r="Y27">
        <v>10.601400000000002</v>
      </c>
      <c r="AA27">
        <v>19968</v>
      </c>
      <c r="AB27">
        <f t="shared" si="1"/>
        <v>20160</v>
      </c>
      <c r="AC27">
        <v>20160</v>
      </c>
      <c r="AD27">
        <v>256</v>
      </c>
      <c r="AE27">
        <v>1</v>
      </c>
      <c r="AF27">
        <v>4</v>
      </c>
      <c r="AG27">
        <v>12.654</v>
      </c>
    </row>
    <row r="28" spans="1:33">
      <c r="A28">
        <v>17920</v>
      </c>
      <c r="B28">
        <v>160</v>
      </c>
      <c r="C28">
        <v>1</v>
      </c>
      <c r="D28">
        <v>4</v>
      </c>
      <c r="E28">
        <v>10.887</v>
      </c>
      <c r="G28">
        <v>17920</v>
      </c>
      <c r="H28">
        <v>160</v>
      </c>
      <c r="I28">
        <v>1</v>
      </c>
      <c r="J28">
        <v>4</v>
      </c>
      <c r="K28">
        <v>12.358599999999999</v>
      </c>
      <c r="M28">
        <v>20160</v>
      </c>
      <c r="N28">
        <v>224</v>
      </c>
      <c r="O28">
        <v>2</v>
      </c>
      <c r="P28">
        <v>2</v>
      </c>
      <c r="Q28">
        <v>12.352599999999999</v>
      </c>
      <c r="S28">
        <v>17984</v>
      </c>
      <c r="T28">
        <f t="shared" si="0"/>
        <v>17984</v>
      </c>
      <c r="U28">
        <v>17984</v>
      </c>
      <c r="V28">
        <v>32</v>
      </c>
      <c r="W28">
        <v>2</v>
      </c>
      <c r="X28">
        <v>2</v>
      </c>
      <c r="Y28">
        <v>6.8487999999999998</v>
      </c>
      <c r="AA28">
        <v>17984</v>
      </c>
      <c r="AB28">
        <f t="shared" si="1"/>
        <v>17984</v>
      </c>
      <c r="AC28">
        <v>17984</v>
      </c>
      <c r="AD28">
        <v>32</v>
      </c>
      <c r="AE28">
        <v>2</v>
      </c>
      <c r="AF28">
        <v>2</v>
      </c>
      <c r="AG28">
        <v>7.6558999999999999</v>
      </c>
    </row>
    <row r="29" spans="1:33">
      <c r="A29">
        <v>19040</v>
      </c>
      <c r="B29">
        <v>160</v>
      </c>
      <c r="C29">
        <v>1</v>
      </c>
      <c r="D29">
        <v>4</v>
      </c>
      <c r="E29">
        <v>11.672999999999998</v>
      </c>
      <c r="G29">
        <v>19040</v>
      </c>
      <c r="H29">
        <v>160</v>
      </c>
      <c r="I29">
        <v>1</v>
      </c>
      <c r="J29">
        <v>4</v>
      </c>
      <c r="K29">
        <v>12.504000000000001</v>
      </c>
      <c r="M29">
        <v>20096</v>
      </c>
      <c r="N29">
        <v>128</v>
      </c>
      <c r="O29">
        <v>2</v>
      </c>
      <c r="P29">
        <v>2</v>
      </c>
      <c r="Q29">
        <v>12.3406</v>
      </c>
      <c r="S29">
        <v>19072</v>
      </c>
      <c r="T29">
        <f t="shared" si="0"/>
        <v>19072</v>
      </c>
      <c r="U29">
        <v>19072</v>
      </c>
      <c r="V29">
        <v>32</v>
      </c>
      <c r="W29">
        <v>2</v>
      </c>
      <c r="X29">
        <v>2</v>
      </c>
      <c r="Y29">
        <v>6.9460600000000001</v>
      </c>
      <c r="AA29">
        <v>19072</v>
      </c>
      <c r="AB29">
        <f t="shared" si="1"/>
        <v>19072</v>
      </c>
      <c r="AC29">
        <v>19072</v>
      </c>
      <c r="AD29">
        <v>32</v>
      </c>
      <c r="AE29">
        <v>2</v>
      </c>
      <c r="AF29">
        <v>2</v>
      </c>
      <c r="AG29">
        <v>7.7670399999999997</v>
      </c>
    </row>
    <row r="30" spans="1:33">
      <c r="A30">
        <v>20160</v>
      </c>
      <c r="B30">
        <v>160</v>
      </c>
      <c r="C30">
        <v>1</v>
      </c>
      <c r="D30">
        <v>4</v>
      </c>
      <c r="E30">
        <v>11.657399999999999</v>
      </c>
      <c r="G30">
        <v>20160</v>
      </c>
      <c r="H30">
        <v>160</v>
      </c>
      <c r="I30">
        <v>1</v>
      </c>
      <c r="J30">
        <v>4</v>
      </c>
      <c r="K30">
        <v>12.477</v>
      </c>
      <c r="M30">
        <v>17920</v>
      </c>
      <c r="N30">
        <v>224</v>
      </c>
      <c r="O30">
        <v>2</v>
      </c>
      <c r="P30">
        <v>2</v>
      </c>
      <c r="Q30">
        <v>12.3368</v>
      </c>
      <c r="S30">
        <v>20160</v>
      </c>
      <c r="T30">
        <f t="shared" si="0"/>
        <v>20160</v>
      </c>
      <c r="U30">
        <v>20160</v>
      </c>
      <c r="V30">
        <v>32</v>
      </c>
      <c r="W30">
        <v>2</v>
      </c>
      <c r="X30">
        <v>2</v>
      </c>
      <c r="Y30">
        <v>6.7942599999999995</v>
      </c>
      <c r="AA30">
        <v>20160</v>
      </c>
      <c r="AB30">
        <f t="shared" si="1"/>
        <v>20160</v>
      </c>
      <c r="AC30">
        <v>20160</v>
      </c>
      <c r="AD30">
        <v>32</v>
      </c>
      <c r="AE30">
        <v>2</v>
      </c>
      <c r="AF30">
        <v>2</v>
      </c>
      <c r="AG30">
        <v>7.4978400000000009</v>
      </c>
    </row>
    <row r="31" spans="1:33">
      <c r="A31">
        <v>17920</v>
      </c>
      <c r="B31">
        <v>160</v>
      </c>
      <c r="C31">
        <v>2</v>
      </c>
      <c r="D31">
        <v>2</v>
      </c>
      <c r="E31">
        <v>11.3202</v>
      </c>
      <c r="G31">
        <v>17920</v>
      </c>
      <c r="H31">
        <v>160</v>
      </c>
      <c r="I31">
        <v>2</v>
      </c>
      <c r="J31">
        <v>2</v>
      </c>
      <c r="K31">
        <v>12.0352</v>
      </c>
      <c r="M31">
        <v>17920</v>
      </c>
      <c r="N31">
        <v>128</v>
      </c>
      <c r="O31">
        <v>2</v>
      </c>
      <c r="P31">
        <v>2</v>
      </c>
      <c r="Q31">
        <v>12.327199999999999</v>
      </c>
      <c r="S31">
        <v>17984</v>
      </c>
      <c r="T31">
        <f t="shared" si="0"/>
        <v>17984</v>
      </c>
      <c r="U31">
        <v>17984</v>
      </c>
      <c r="V31">
        <v>64</v>
      </c>
      <c r="W31">
        <v>2</v>
      </c>
      <c r="X31">
        <v>2</v>
      </c>
      <c r="Y31">
        <v>9.8255799999999986</v>
      </c>
      <c r="AA31">
        <v>17984</v>
      </c>
      <c r="AB31">
        <f t="shared" si="1"/>
        <v>17984</v>
      </c>
      <c r="AC31">
        <v>17984</v>
      </c>
      <c r="AD31">
        <v>64</v>
      </c>
      <c r="AE31">
        <v>2</v>
      </c>
      <c r="AF31">
        <v>2</v>
      </c>
      <c r="AG31">
        <v>11.646999999999998</v>
      </c>
    </row>
    <row r="32" spans="1:33">
      <c r="A32">
        <v>19040</v>
      </c>
      <c r="B32">
        <v>160</v>
      </c>
      <c r="C32">
        <v>2</v>
      </c>
      <c r="D32">
        <v>2</v>
      </c>
      <c r="E32">
        <v>11.594800000000001</v>
      </c>
      <c r="G32">
        <v>19040</v>
      </c>
      <c r="H32">
        <v>160</v>
      </c>
      <c r="I32">
        <v>2</v>
      </c>
      <c r="J32">
        <v>2</v>
      </c>
      <c r="K32">
        <v>12.0992</v>
      </c>
      <c r="M32">
        <v>19008</v>
      </c>
      <c r="N32">
        <v>96</v>
      </c>
      <c r="O32">
        <v>2</v>
      </c>
      <c r="P32">
        <v>2</v>
      </c>
      <c r="Q32">
        <v>12.275</v>
      </c>
      <c r="S32">
        <v>19072</v>
      </c>
      <c r="T32">
        <f t="shared" si="0"/>
        <v>19072</v>
      </c>
      <c r="U32">
        <v>19072</v>
      </c>
      <c r="V32">
        <v>64</v>
      </c>
      <c r="W32">
        <v>2</v>
      </c>
      <c r="X32">
        <v>2</v>
      </c>
      <c r="Y32">
        <v>10.065800000000001</v>
      </c>
      <c r="AA32">
        <v>19072</v>
      </c>
      <c r="AB32">
        <f t="shared" si="1"/>
        <v>19072</v>
      </c>
      <c r="AC32">
        <v>19072</v>
      </c>
      <c r="AD32">
        <v>64</v>
      </c>
      <c r="AE32">
        <v>2</v>
      </c>
      <c r="AF32">
        <v>2</v>
      </c>
      <c r="AG32">
        <v>11.6424</v>
      </c>
    </row>
    <row r="33" spans="1:33">
      <c r="A33">
        <v>20160</v>
      </c>
      <c r="B33">
        <v>160</v>
      </c>
      <c r="C33">
        <v>2</v>
      </c>
      <c r="D33">
        <v>2</v>
      </c>
      <c r="E33">
        <v>11.606399999999999</v>
      </c>
      <c r="G33">
        <v>20160</v>
      </c>
      <c r="H33">
        <v>160</v>
      </c>
      <c r="I33">
        <v>2</v>
      </c>
      <c r="J33">
        <v>2</v>
      </c>
      <c r="K33">
        <v>12.133599999999999</v>
      </c>
      <c r="M33">
        <v>18944</v>
      </c>
      <c r="N33">
        <v>256</v>
      </c>
      <c r="O33">
        <v>2</v>
      </c>
      <c r="P33">
        <v>2</v>
      </c>
      <c r="Q33">
        <v>12.248999999999999</v>
      </c>
      <c r="S33">
        <v>20160</v>
      </c>
      <c r="T33">
        <f t="shared" si="0"/>
        <v>20160</v>
      </c>
      <c r="U33">
        <v>20160</v>
      </c>
      <c r="V33">
        <v>64</v>
      </c>
      <c r="W33">
        <v>2</v>
      </c>
      <c r="X33">
        <v>2</v>
      </c>
      <c r="Y33">
        <v>10.029799999999998</v>
      </c>
      <c r="AA33">
        <v>20160</v>
      </c>
      <c r="AB33">
        <f t="shared" si="1"/>
        <v>20160</v>
      </c>
      <c r="AC33">
        <v>20160</v>
      </c>
      <c r="AD33">
        <v>64</v>
      </c>
      <c r="AE33">
        <v>2</v>
      </c>
      <c r="AF33">
        <v>2</v>
      </c>
      <c r="AG33">
        <v>11.6516</v>
      </c>
    </row>
    <row r="34" spans="1:33">
      <c r="A34">
        <v>17856</v>
      </c>
      <c r="B34">
        <v>192</v>
      </c>
      <c r="C34">
        <v>1</v>
      </c>
      <c r="D34">
        <v>4</v>
      </c>
      <c r="E34">
        <v>11.1442</v>
      </c>
      <c r="G34">
        <v>17856</v>
      </c>
      <c r="H34">
        <v>192</v>
      </c>
      <c r="I34">
        <v>1</v>
      </c>
      <c r="J34">
        <v>4</v>
      </c>
      <c r="K34">
        <v>12.611799999999999</v>
      </c>
      <c r="M34">
        <v>19008</v>
      </c>
      <c r="N34">
        <v>192</v>
      </c>
      <c r="O34">
        <v>2</v>
      </c>
      <c r="P34">
        <v>2</v>
      </c>
      <c r="Q34">
        <v>12.203999999999999</v>
      </c>
      <c r="S34">
        <v>17952</v>
      </c>
      <c r="T34">
        <f t="shared" si="0"/>
        <v>17984</v>
      </c>
      <c r="U34">
        <v>17984</v>
      </c>
      <c r="V34">
        <v>96</v>
      </c>
      <c r="W34">
        <v>2</v>
      </c>
      <c r="X34">
        <v>2</v>
      </c>
      <c r="Y34">
        <v>10.421799999999999</v>
      </c>
      <c r="AA34">
        <v>17952</v>
      </c>
      <c r="AB34">
        <f t="shared" si="1"/>
        <v>17984</v>
      </c>
      <c r="AC34">
        <v>17984</v>
      </c>
      <c r="AD34">
        <v>96</v>
      </c>
      <c r="AE34">
        <v>2</v>
      </c>
      <c r="AF34">
        <v>2</v>
      </c>
      <c r="AG34">
        <v>12.4032</v>
      </c>
    </row>
    <row r="35" spans="1:33">
      <c r="A35">
        <v>19008</v>
      </c>
      <c r="B35">
        <v>192</v>
      </c>
      <c r="C35">
        <v>1</v>
      </c>
      <c r="D35">
        <v>4</v>
      </c>
      <c r="E35">
        <v>11.289</v>
      </c>
      <c r="G35">
        <v>19008</v>
      </c>
      <c r="H35">
        <v>192</v>
      </c>
      <c r="I35">
        <v>1</v>
      </c>
      <c r="J35">
        <v>4</v>
      </c>
      <c r="K35">
        <v>12.802000000000001</v>
      </c>
      <c r="M35">
        <v>17920</v>
      </c>
      <c r="N35">
        <v>256</v>
      </c>
      <c r="O35">
        <v>2</v>
      </c>
      <c r="P35">
        <v>2</v>
      </c>
      <c r="Q35">
        <v>12.157</v>
      </c>
      <c r="S35">
        <v>19008</v>
      </c>
      <c r="T35">
        <f t="shared" si="0"/>
        <v>19072</v>
      </c>
      <c r="U35">
        <v>19072</v>
      </c>
      <c r="V35">
        <v>96</v>
      </c>
      <c r="W35">
        <v>2</v>
      </c>
      <c r="X35">
        <v>2</v>
      </c>
      <c r="Y35">
        <v>10.5764</v>
      </c>
      <c r="AA35">
        <v>19008</v>
      </c>
      <c r="AB35">
        <f t="shared" si="1"/>
        <v>19072</v>
      </c>
      <c r="AC35">
        <v>19072</v>
      </c>
      <c r="AD35">
        <v>96</v>
      </c>
      <c r="AE35">
        <v>2</v>
      </c>
      <c r="AF35">
        <v>2</v>
      </c>
      <c r="AG35">
        <v>12.275</v>
      </c>
    </row>
    <row r="36" spans="1:33">
      <c r="A36">
        <v>20160</v>
      </c>
      <c r="B36">
        <v>192</v>
      </c>
      <c r="C36">
        <v>1</v>
      </c>
      <c r="D36">
        <v>4</v>
      </c>
      <c r="E36">
        <v>11.3056</v>
      </c>
      <c r="G36">
        <v>20160</v>
      </c>
      <c r="H36">
        <v>192</v>
      </c>
      <c r="I36">
        <v>1</v>
      </c>
      <c r="J36">
        <v>4</v>
      </c>
      <c r="K36">
        <v>12.7844</v>
      </c>
      <c r="M36">
        <v>19040</v>
      </c>
      <c r="N36">
        <v>160</v>
      </c>
      <c r="O36">
        <v>2</v>
      </c>
      <c r="P36">
        <v>2</v>
      </c>
      <c r="Q36">
        <v>12.143000000000001</v>
      </c>
      <c r="S36">
        <v>20160</v>
      </c>
      <c r="T36">
        <f t="shared" si="0"/>
        <v>20160</v>
      </c>
      <c r="U36">
        <v>20160</v>
      </c>
      <c r="V36">
        <v>96</v>
      </c>
      <c r="W36">
        <v>2</v>
      </c>
      <c r="X36">
        <v>2</v>
      </c>
      <c r="Y36">
        <v>10.398</v>
      </c>
      <c r="AA36">
        <v>20160</v>
      </c>
      <c r="AB36">
        <f t="shared" si="1"/>
        <v>20160</v>
      </c>
      <c r="AC36">
        <v>20160</v>
      </c>
      <c r="AD36">
        <v>96</v>
      </c>
      <c r="AE36">
        <v>2</v>
      </c>
      <c r="AF36">
        <v>2</v>
      </c>
      <c r="AG36">
        <v>12.458600000000001</v>
      </c>
    </row>
    <row r="37" spans="1:33">
      <c r="A37">
        <v>17856</v>
      </c>
      <c r="B37">
        <v>192</v>
      </c>
      <c r="C37">
        <v>2</v>
      </c>
      <c r="D37">
        <v>2</v>
      </c>
      <c r="E37">
        <v>11.434799999999999</v>
      </c>
      <c r="G37">
        <v>17856</v>
      </c>
      <c r="H37">
        <v>192</v>
      </c>
      <c r="I37">
        <v>2</v>
      </c>
      <c r="J37">
        <v>2</v>
      </c>
      <c r="K37">
        <v>12.322199999999999</v>
      </c>
      <c r="M37">
        <v>20160</v>
      </c>
      <c r="N37">
        <v>160</v>
      </c>
      <c r="O37">
        <v>2</v>
      </c>
      <c r="P37">
        <v>2</v>
      </c>
      <c r="Q37">
        <v>12.1294</v>
      </c>
      <c r="S37">
        <v>17920</v>
      </c>
      <c r="T37">
        <f t="shared" si="0"/>
        <v>17984</v>
      </c>
      <c r="U37">
        <v>17984</v>
      </c>
      <c r="V37">
        <v>128</v>
      </c>
      <c r="W37">
        <v>2</v>
      </c>
      <c r="X37">
        <v>2</v>
      </c>
      <c r="Y37">
        <v>10.624600000000001</v>
      </c>
      <c r="AA37">
        <v>17920</v>
      </c>
      <c r="AB37">
        <f t="shared" si="1"/>
        <v>17984</v>
      </c>
      <c r="AC37">
        <v>17984</v>
      </c>
      <c r="AD37">
        <v>128</v>
      </c>
      <c r="AE37">
        <v>2</v>
      </c>
      <c r="AF37">
        <v>2</v>
      </c>
      <c r="AG37">
        <v>12.327199999999999</v>
      </c>
    </row>
    <row r="38" spans="1:33">
      <c r="A38">
        <v>19008</v>
      </c>
      <c r="B38">
        <v>192</v>
      </c>
      <c r="C38">
        <v>2</v>
      </c>
      <c r="D38">
        <v>2</v>
      </c>
      <c r="E38">
        <v>11.365799999999998</v>
      </c>
      <c r="G38">
        <v>19008</v>
      </c>
      <c r="H38">
        <v>192</v>
      </c>
      <c r="I38">
        <v>2</v>
      </c>
      <c r="J38">
        <v>2</v>
      </c>
      <c r="K38">
        <v>12.428000000000001</v>
      </c>
      <c r="M38">
        <v>17920</v>
      </c>
      <c r="N38">
        <v>160</v>
      </c>
      <c r="O38">
        <v>2</v>
      </c>
      <c r="P38">
        <v>2</v>
      </c>
      <c r="Q38">
        <v>12.0434</v>
      </c>
      <c r="S38">
        <v>19072</v>
      </c>
      <c r="T38">
        <f t="shared" si="0"/>
        <v>19072</v>
      </c>
      <c r="U38">
        <v>19072</v>
      </c>
      <c r="V38">
        <v>128</v>
      </c>
      <c r="W38">
        <v>2</v>
      </c>
      <c r="X38">
        <v>2</v>
      </c>
      <c r="Y38">
        <v>10.786</v>
      </c>
      <c r="AA38">
        <v>19072</v>
      </c>
      <c r="AB38">
        <f t="shared" si="1"/>
        <v>19072</v>
      </c>
      <c r="AC38">
        <v>19072</v>
      </c>
      <c r="AD38">
        <v>128</v>
      </c>
      <c r="AE38">
        <v>2</v>
      </c>
      <c r="AF38">
        <v>2</v>
      </c>
      <c r="AG38">
        <v>12.6206</v>
      </c>
    </row>
    <row r="39" spans="1:33">
      <c r="A39">
        <v>20160</v>
      </c>
      <c r="B39">
        <v>192</v>
      </c>
      <c r="C39">
        <v>2</v>
      </c>
      <c r="D39">
        <v>2</v>
      </c>
      <c r="E39">
        <v>11.4686</v>
      </c>
      <c r="G39">
        <v>20160</v>
      </c>
      <c r="H39">
        <v>192</v>
      </c>
      <c r="I39">
        <v>2</v>
      </c>
      <c r="J39">
        <v>2</v>
      </c>
      <c r="K39">
        <v>12.4252</v>
      </c>
      <c r="M39">
        <v>19072</v>
      </c>
      <c r="N39">
        <v>64</v>
      </c>
      <c r="O39">
        <v>1</v>
      </c>
      <c r="P39">
        <v>4</v>
      </c>
      <c r="Q39">
        <v>11.950799999999999</v>
      </c>
      <c r="S39">
        <v>20096</v>
      </c>
      <c r="T39">
        <f t="shared" si="0"/>
        <v>20160</v>
      </c>
      <c r="U39">
        <v>20160</v>
      </c>
      <c r="V39">
        <v>128</v>
      </c>
      <c r="W39">
        <v>2</v>
      </c>
      <c r="X39">
        <v>2</v>
      </c>
      <c r="Y39">
        <v>11.1082</v>
      </c>
      <c r="AA39">
        <v>20096</v>
      </c>
      <c r="AB39">
        <f t="shared" si="1"/>
        <v>20160</v>
      </c>
      <c r="AC39">
        <v>20160</v>
      </c>
      <c r="AD39">
        <v>128</v>
      </c>
      <c r="AE39">
        <v>2</v>
      </c>
      <c r="AF39">
        <v>2</v>
      </c>
      <c r="AG39">
        <v>12.3406</v>
      </c>
    </row>
    <row r="40" spans="1:33">
      <c r="A40">
        <v>17920</v>
      </c>
      <c r="B40">
        <v>224</v>
      </c>
      <c r="C40">
        <v>1</v>
      </c>
      <c r="D40">
        <v>4</v>
      </c>
      <c r="E40">
        <v>10.725599999999998</v>
      </c>
      <c r="G40">
        <v>17920</v>
      </c>
      <c r="H40">
        <v>224</v>
      </c>
      <c r="I40">
        <v>1</v>
      </c>
      <c r="J40">
        <v>4</v>
      </c>
      <c r="K40">
        <v>12.504799999999999</v>
      </c>
      <c r="M40">
        <v>20160</v>
      </c>
      <c r="N40">
        <v>64</v>
      </c>
      <c r="O40">
        <v>1</v>
      </c>
      <c r="P40">
        <v>4</v>
      </c>
      <c r="Q40">
        <v>11.840199999999999</v>
      </c>
      <c r="S40">
        <v>17920</v>
      </c>
      <c r="T40">
        <f t="shared" si="0"/>
        <v>17984</v>
      </c>
      <c r="U40">
        <v>17984</v>
      </c>
      <c r="V40">
        <v>160</v>
      </c>
      <c r="W40">
        <v>2</v>
      </c>
      <c r="X40">
        <v>2</v>
      </c>
      <c r="Y40">
        <v>11.3202</v>
      </c>
      <c r="AA40">
        <v>17920</v>
      </c>
      <c r="AB40">
        <f t="shared" si="1"/>
        <v>17984</v>
      </c>
      <c r="AC40">
        <v>17984</v>
      </c>
      <c r="AD40">
        <v>160</v>
      </c>
      <c r="AE40">
        <v>2</v>
      </c>
      <c r="AF40">
        <v>2</v>
      </c>
      <c r="AG40">
        <v>12.0434</v>
      </c>
    </row>
    <row r="41" spans="1:33">
      <c r="A41">
        <v>19040</v>
      </c>
      <c r="B41">
        <v>224</v>
      </c>
      <c r="C41">
        <v>1</v>
      </c>
      <c r="D41">
        <v>4</v>
      </c>
      <c r="E41">
        <v>11.3934</v>
      </c>
      <c r="G41">
        <v>19040</v>
      </c>
      <c r="H41">
        <v>224</v>
      </c>
      <c r="I41">
        <v>1</v>
      </c>
      <c r="J41">
        <v>4</v>
      </c>
      <c r="K41">
        <v>12.702999999999999</v>
      </c>
      <c r="M41">
        <v>17984</v>
      </c>
      <c r="N41">
        <v>64</v>
      </c>
      <c r="O41">
        <v>1</v>
      </c>
      <c r="P41">
        <v>4</v>
      </c>
      <c r="Q41">
        <v>11.7486</v>
      </c>
      <c r="S41">
        <v>19040</v>
      </c>
      <c r="T41">
        <f t="shared" si="0"/>
        <v>19072</v>
      </c>
      <c r="U41">
        <v>19072</v>
      </c>
      <c r="V41">
        <v>160</v>
      </c>
      <c r="W41">
        <v>2</v>
      </c>
      <c r="X41">
        <v>2</v>
      </c>
      <c r="Y41">
        <v>11.594800000000001</v>
      </c>
      <c r="AA41">
        <v>19040</v>
      </c>
      <c r="AB41">
        <f t="shared" si="1"/>
        <v>19072</v>
      </c>
      <c r="AC41">
        <v>19072</v>
      </c>
      <c r="AD41">
        <v>160</v>
      </c>
      <c r="AE41">
        <v>2</v>
      </c>
      <c r="AF41">
        <v>2</v>
      </c>
      <c r="AG41">
        <v>12.143000000000001</v>
      </c>
    </row>
    <row r="42" spans="1:33">
      <c r="A42">
        <v>20160</v>
      </c>
      <c r="B42">
        <v>224</v>
      </c>
      <c r="C42">
        <v>1</v>
      </c>
      <c r="D42">
        <v>4</v>
      </c>
      <c r="E42">
        <v>11.352799999999998</v>
      </c>
      <c r="G42">
        <v>20160</v>
      </c>
      <c r="H42">
        <v>224</v>
      </c>
      <c r="I42">
        <v>1</v>
      </c>
      <c r="J42">
        <v>4</v>
      </c>
      <c r="K42">
        <v>12.5924</v>
      </c>
      <c r="M42">
        <v>19968</v>
      </c>
      <c r="N42">
        <v>256</v>
      </c>
      <c r="O42">
        <v>2</v>
      </c>
      <c r="P42">
        <v>2</v>
      </c>
      <c r="Q42">
        <v>11.743399999999999</v>
      </c>
      <c r="S42">
        <v>20160</v>
      </c>
      <c r="T42">
        <f t="shared" si="0"/>
        <v>20160</v>
      </c>
      <c r="U42">
        <v>20160</v>
      </c>
      <c r="V42">
        <v>160</v>
      </c>
      <c r="W42">
        <v>2</v>
      </c>
      <c r="X42">
        <v>2</v>
      </c>
      <c r="Y42">
        <v>11.606399999999999</v>
      </c>
      <c r="AA42">
        <v>20160</v>
      </c>
      <c r="AB42">
        <f t="shared" si="1"/>
        <v>20160</v>
      </c>
      <c r="AC42">
        <v>20160</v>
      </c>
      <c r="AD42">
        <v>160</v>
      </c>
      <c r="AE42">
        <v>2</v>
      </c>
      <c r="AF42">
        <v>2</v>
      </c>
      <c r="AG42">
        <v>12.1294</v>
      </c>
    </row>
    <row r="43" spans="1:33">
      <c r="A43">
        <v>17920</v>
      </c>
      <c r="B43">
        <v>224</v>
      </c>
      <c r="C43">
        <v>2</v>
      </c>
      <c r="D43">
        <v>2</v>
      </c>
      <c r="E43">
        <v>11.1624</v>
      </c>
      <c r="G43">
        <v>17920</v>
      </c>
      <c r="H43">
        <v>224</v>
      </c>
      <c r="I43">
        <v>2</v>
      </c>
      <c r="J43">
        <v>2</v>
      </c>
      <c r="K43">
        <v>12.303599999999999</v>
      </c>
      <c r="M43">
        <v>20160</v>
      </c>
      <c r="N43">
        <v>64</v>
      </c>
      <c r="O43">
        <v>2</v>
      </c>
      <c r="P43">
        <v>2</v>
      </c>
      <c r="Q43">
        <v>11.6516</v>
      </c>
      <c r="S43">
        <v>17856</v>
      </c>
      <c r="T43">
        <f t="shared" si="0"/>
        <v>17984</v>
      </c>
      <c r="U43">
        <v>17984</v>
      </c>
      <c r="V43">
        <v>192</v>
      </c>
      <c r="W43">
        <v>2</v>
      </c>
      <c r="X43">
        <v>2</v>
      </c>
      <c r="Y43">
        <v>11.434799999999999</v>
      </c>
      <c r="AA43">
        <v>17856</v>
      </c>
      <c r="AB43">
        <f t="shared" si="1"/>
        <v>17984</v>
      </c>
      <c r="AC43">
        <v>17984</v>
      </c>
      <c r="AD43">
        <v>192</v>
      </c>
      <c r="AE43">
        <v>2</v>
      </c>
      <c r="AF43">
        <v>2</v>
      </c>
      <c r="AG43">
        <v>12.360799999999999</v>
      </c>
    </row>
    <row r="44" spans="1:33">
      <c r="A44">
        <v>19040</v>
      </c>
      <c r="B44">
        <v>224</v>
      </c>
      <c r="C44">
        <v>2</v>
      </c>
      <c r="D44">
        <v>2</v>
      </c>
      <c r="E44">
        <v>11.488</v>
      </c>
      <c r="G44">
        <v>19040</v>
      </c>
      <c r="H44">
        <v>224</v>
      </c>
      <c r="I44">
        <v>2</v>
      </c>
      <c r="J44">
        <v>2</v>
      </c>
      <c r="K44">
        <v>12.4704</v>
      </c>
      <c r="M44">
        <v>17984</v>
      </c>
      <c r="N44">
        <v>64</v>
      </c>
      <c r="O44">
        <v>2</v>
      </c>
      <c r="P44">
        <v>2</v>
      </c>
      <c r="Q44">
        <v>11.646999999999998</v>
      </c>
      <c r="S44">
        <v>19008</v>
      </c>
      <c r="T44">
        <f t="shared" si="0"/>
        <v>19072</v>
      </c>
      <c r="U44">
        <v>19072</v>
      </c>
      <c r="V44">
        <v>192</v>
      </c>
      <c r="W44">
        <v>2</v>
      </c>
      <c r="X44">
        <v>2</v>
      </c>
      <c r="Y44">
        <v>11.365799999999998</v>
      </c>
      <c r="AA44">
        <v>19008</v>
      </c>
      <c r="AB44">
        <f t="shared" si="1"/>
        <v>19072</v>
      </c>
      <c r="AC44">
        <v>19072</v>
      </c>
      <c r="AD44">
        <v>192</v>
      </c>
      <c r="AE44">
        <v>2</v>
      </c>
      <c r="AF44">
        <v>2</v>
      </c>
      <c r="AG44">
        <v>12.203999999999999</v>
      </c>
    </row>
    <row r="45" spans="1:33">
      <c r="A45">
        <v>20160</v>
      </c>
      <c r="B45">
        <v>224</v>
      </c>
      <c r="C45">
        <v>2</v>
      </c>
      <c r="D45">
        <v>2</v>
      </c>
      <c r="E45">
        <v>11.428999999999998</v>
      </c>
      <c r="G45">
        <v>20160</v>
      </c>
      <c r="H45">
        <v>224</v>
      </c>
      <c r="I45">
        <v>2</v>
      </c>
      <c r="J45">
        <v>2</v>
      </c>
      <c r="K45">
        <v>12.196</v>
      </c>
      <c r="M45">
        <v>19072</v>
      </c>
      <c r="N45">
        <v>64</v>
      </c>
      <c r="O45">
        <v>2</v>
      </c>
      <c r="P45">
        <v>2</v>
      </c>
      <c r="Q45">
        <v>11.6424</v>
      </c>
      <c r="S45">
        <v>20160</v>
      </c>
      <c r="T45">
        <f t="shared" si="0"/>
        <v>20160</v>
      </c>
      <c r="U45">
        <v>20160</v>
      </c>
      <c r="V45">
        <v>192</v>
      </c>
      <c r="W45">
        <v>2</v>
      </c>
      <c r="X45">
        <v>2</v>
      </c>
      <c r="Y45">
        <v>11.4686</v>
      </c>
      <c r="AA45">
        <v>20160</v>
      </c>
      <c r="AB45">
        <f t="shared" si="1"/>
        <v>20160</v>
      </c>
      <c r="AC45">
        <v>20160</v>
      </c>
      <c r="AD45">
        <v>192</v>
      </c>
      <c r="AE45">
        <v>2</v>
      </c>
      <c r="AF45">
        <v>2</v>
      </c>
      <c r="AG45">
        <v>12.503399999999999</v>
      </c>
    </row>
    <row r="46" spans="1:33">
      <c r="A46">
        <v>17920</v>
      </c>
      <c r="B46">
        <v>256</v>
      </c>
      <c r="C46">
        <v>1</v>
      </c>
      <c r="D46">
        <v>4</v>
      </c>
      <c r="E46">
        <v>10.541</v>
      </c>
      <c r="G46">
        <v>17920</v>
      </c>
      <c r="H46">
        <v>256</v>
      </c>
      <c r="I46">
        <v>1</v>
      </c>
      <c r="J46">
        <v>4</v>
      </c>
      <c r="K46">
        <v>12.274199999999999</v>
      </c>
      <c r="M46">
        <v>19072</v>
      </c>
      <c r="N46">
        <v>32</v>
      </c>
      <c r="O46">
        <v>1</v>
      </c>
      <c r="P46">
        <v>4</v>
      </c>
      <c r="Q46">
        <v>7.8392999999999997</v>
      </c>
      <c r="S46">
        <v>17920</v>
      </c>
      <c r="T46">
        <f t="shared" si="0"/>
        <v>17984</v>
      </c>
      <c r="U46">
        <v>17984</v>
      </c>
      <c r="V46">
        <v>224</v>
      </c>
      <c r="W46">
        <v>2</v>
      </c>
      <c r="X46">
        <v>2</v>
      </c>
      <c r="Y46">
        <v>11.1624</v>
      </c>
      <c r="AA46">
        <v>17920</v>
      </c>
      <c r="AB46">
        <f t="shared" si="1"/>
        <v>17984</v>
      </c>
      <c r="AC46">
        <v>17984</v>
      </c>
      <c r="AD46">
        <v>224</v>
      </c>
      <c r="AE46">
        <v>2</v>
      </c>
      <c r="AF46">
        <v>2</v>
      </c>
      <c r="AG46">
        <v>12.3368</v>
      </c>
    </row>
    <row r="47" spans="1:33">
      <c r="A47">
        <v>18944</v>
      </c>
      <c r="B47">
        <v>256</v>
      </c>
      <c r="C47">
        <v>1</v>
      </c>
      <c r="D47">
        <v>4</v>
      </c>
      <c r="E47">
        <v>10.3424</v>
      </c>
      <c r="G47">
        <v>18944</v>
      </c>
      <c r="H47">
        <v>256</v>
      </c>
      <c r="I47">
        <v>1</v>
      </c>
      <c r="J47">
        <v>4</v>
      </c>
      <c r="K47">
        <v>12.648199999999999</v>
      </c>
      <c r="M47">
        <v>19072</v>
      </c>
      <c r="N47">
        <v>32</v>
      </c>
      <c r="O47">
        <v>2</v>
      </c>
      <c r="P47">
        <v>2</v>
      </c>
      <c r="Q47">
        <v>7.7670399999999997</v>
      </c>
      <c r="S47">
        <v>19040</v>
      </c>
      <c r="T47">
        <f t="shared" si="0"/>
        <v>19072</v>
      </c>
      <c r="U47">
        <v>19072</v>
      </c>
      <c r="V47">
        <v>224</v>
      </c>
      <c r="W47">
        <v>2</v>
      </c>
      <c r="X47">
        <v>2</v>
      </c>
      <c r="Y47">
        <v>11.488</v>
      </c>
      <c r="AA47">
        <v>19040</v>
      </c>
      <c r="AB47">
        <f t="shared" si="1"/>
        <v>19072</v>
      </c>
      <c r="AC47">
        <v>19072</v>
      </c>
      <c r="AD47">
        <v>224</v>
      </c>
      <c r="AE47">
        <v>2</v>
      </c>
      <c r="AF47">
        <v>2</v>
      </c>
      <c r="AG47">
        <v>12.4498</v>
      </c>
    </row>
    <row r="48" spans="1:33">
      <c r="A48">
        <v>19968</v>
      </c>
      <c r="B48">
        <v>256</v>
      </c>
      <c r="C48">
        <v>1</v>
      </c>
      <c r="D48">
        <v>4</v>
      </c>
      <c r="E48">
        <v>10.601400000000002</v>
      </c>
      <c r="G48">
        <v>19968</v>
      </c>
      <c r="H48">
        <v>256</v>
      </c>
      <c r="I48">
        <v>1</v>
      </c>
      <c r="J48">
        <v>4</v>
      </c>
      <c r="K48">
        <v>12.798399999999999</v>
      </c>
      <c r="M48">
        <v>20160</v>
      </c>
      <c r="N48">
        <v>32</v>
      </c>
      <c r="O48">
        <v>1</v>
      </c>
      <c r="P48">
        <v>4</v>
      </c>
      <c r="Q48">
        <v>7.6669999999999998</v>
      </c>
      <c r="S48">
        <v>20160</v>
      </c>
      <c r="T48">
        <f t="shared" si="0"/>
        <v>20160</v>
      </c>
      <c r="U48">
        <v>20160</v>
      </c>
      <c r="V48">
        <v>224</v>
      </c>
      <c r="W48">
        <v>2</v>
      </c>
      <c r="X48">
        <v>2</v>
      </c>
      <c r="Y48">
        <v>11.428999999999998</v>
      </c>
      <c r="AA48">
        <v>20160</v>
      </c>
      <c r="AB48">
        <f t="shared" si="1"/>
        <v>20160</v>
      </c>
      <c r="AC48">
        <v>20160</v>
      </c>
      <c r="AD48">
        <v>224</v>
      </c>
      <c r="AE48">
        <v>2</v>
      </c>
      <c r="AF48">
        <v>2</v>
      </c>
      <c r="AG48">
        <v>12.352599999999999</v>
      </c>
    </row>
    <row r="49" spans="1:33">
      <c r="A49">
        <v>17920</v>
      </c>
      <c r="B49">
        <v>256</v>
      </c>
      <c r="C49">
        <v>2</v>
      </c>
      <c r="D49">
        <v>2</v>
      </c>
      <c r="E49">
        <v>10.949199999999999</v>
      </c>
      <c r="G49">
        <v>17920</v>
      </c>
      <c r="H49">
        <v>256</v>
      </c>
      <c r="I49">
        <v>2</v>
      </c>
      <c r="J49">
        <v>2</v>
      </c>
      <c r="K49">
        <v>11.9526</v>
      </c>
      <c r="M49">
        <v>17984</v>
      </c>
      <c r="N49">
        <v>32</v>
      </c>
      <c r="O49">
        <v>2</v>
      </c>
      <c r="P49">
        <v>2</v>
      </c>
      <c r="Q49">
        <v>7.6558999999999999</v>
      </c>
      <c r="S49">
        <v>17920</v>
      </c>
      <c r="T49">
        <f t="shared" si="0"/>
        <v>17984</v>
      </c>
      <c r="U49">
        <v>17984</v>
      </c>
      <c r="V49">
        <v>256</v>
      </c>
      <c r="W49">
        <v>2</v>
      </c>
      <c r="X49">
        <v>2</v>
      </c>
      <c r="Y49">
        <v>10.949199999999999</v>
      </c>
      <c r="AA49">
        <v>17920</v>
      </c>
      <c r="AB49">
        <f t="shared" si="1"/>
        <v>17984</v>
      </c>
      <c r="AC49">
        <v>17984</v>
      </c>
      <c r="AD49">
        <v>256</v>
      </c>
      <c r="AE49">
        <v>2</v>
      </c>
      <c r="AF49">
        <v>2</v>
      </c>
      <c r="AG49">
        <v>12.157</v>
      </c>
    </row>
    <row r="50" spans="1:33">
      <c r="A50">
        <v>18944</v>
      </c>
      <c r="B50">
        <v>256</v>
      </c>
      <c r="C50">
        <v>2</v>
      </c>
      <c r="D50">
        <v>2</v>
      </c>
      <c r="E50">
        <v>11.074999999999999</v>
      </c>
      <c r="G50">
        <v>18944</v>
      </c>
      <c r="H50">
        <v>256</v>
      </c>
      <c r="I50">
        <v>2</v>
      </c>
      <c r="J50">
        <v>2</v>
      </c>
      <c r="K50">
        <v>12.143800000000001</v>
      </c>
      <c r="M50">
        <v>20160</v>
      </c>
      <c r="N50">
        <v>32</v>
      </c>
      <c r="O50">
        <v>2</v>
      </c>
      <c r="P50">
        <v>2</v>
      </c>
      <c r="Q50">
        <v>7.4978400000000009</v>
      </c>
      <c r="S50">
        <v>18944</v>
      </c>
      <c r="T50">
        <f t="shared" si="0"/>
        <v>19072</v>
      </c>
      <c r="U50">
        <v>19072</v>
      </c>
      <c r="V50">
        <v>256</v>
      </c>
      <c r="W50">
        <v>2</v>
      </c>
      <c r="X50">
        <v>2</v>
      </c>
      <c r="Y50">
        <v>11.074999999999999</v>
      </c>
      <c r="AA50">
        <v>18944</v>
      </c>
      <c r="AB50">
        <f t="shared" si="1"/>
        <v>19072</v>
      </c>
      <c r="AC50">
        <v>19072</v>
      </c>
      <c r="AD50">
        <v>256</v>
      </c>
      <c r="AE50">
        <v>2</v>
      </c>
      <c r="AF50">
        <v>2</v>
      </c>
      <c r="AG50">
        <v>12.248999999999999</v>
      </c>
    </row>
    <row r="51" spans="1:33">
      <c r="A51">
        <v>19968</v>
      </c>
      <c r="B51">
        <v>256</v>
      </c>
      <c r="C51">
        <v>2</v>
      </c>
      <c r="D51">
        <v>2</v>
      </c>
      <c r="E51">
        <v>11.109</v>
      </c>
      <c r="G51">
        <v>19968</v>
      </c>
      <c r="H51">
        <v>256</v>
      </c>
      <c r="I51">
        <v>2</v>
      </c>
      <c r="J51">
        <v>2</v>
      </c>
      <c r="K51">
        <v>12.2422</v>
      </c>
      <c r="M51">
        <v>17984</v>
      </c>
      <c r="N51">
        <v>32</v>
      </c>
      <c r="O51">
        <v>1</v>
      </c>
      <c r="P51">
        <v>4</v>
      </c>
      <c r="Q51">
        <v>7.4731799999999993</v>
      </c>
      <c r="S51">
        <v>19968</v>
      </c>
      <c r="T51">
        <f t="shared" si="0"/>
        <v>20160</v>
      </c>
      <c r="U51">
        <v>20160</v>
      </c>
      <c r="V51">
        <v>256</v>
      </c>
      <c r="W51">
        <v>2</v>
      </c>
      <c r="X51">
        <v>2</v>
      </c>
      <c r="Y51">
        <v>11.109</v>
      </c>
      <c r="AA51">
        <v>19968</v>
      </c>
      <c r="AB51">
        <f t="shared" si="1"/>
        <v>20160</v>
      </c>
      <c r="AC51">
        <v>20160</v>
      </c>
      <c r="AD51">
        <v>256</v>
      </c>
      <c r="AE51">
        <v>2</v>
      </c>
      <c r="AF51">
        <v>2</v>
      </c>
      <c r="AG51">
        <v>11.743399999999999</v>
      </c>
    </row>
    <row r="52" spans="1:33">
      <c r="A52">
        <v>0</v>
      </c>
      <c r="B52">
        <v>0</v>
      </c>
      <c r="C52">
        <v>0</v>
      </c>
      <c r="D52">
        <v>0</v>
      </c>
      <c r="E52">
        <v>0</v>
      </c>
      <c r="G52">
        <v>0</v>
      </c>
      <c r="H52">
        <v>0</v>
      </c>
      <c r="I52">
        <v>0</v>
      </c>
      <c r="J52">
        <v>0</v>
      </c>
      <c r="K52">
        <v>0</v>
      </c>
      <c r="M52">
        <v>0</v>
      </c>
      <c r="N52">
        <v>0</v>
      </c>
      <c r="O52">
        <v>0</v>
      </c>
      <c r="P52">
        <v>0</v>
      </c>
      <c r="Q52">
        <v>11.788092916666674</v>
      </c>
    </row>
    <row r="53" spans="1:33">
      <c r="A53">
        <v>0</v>
      </c>
      <c r="B53">
        <v>0</v>
      </c>
      <c r="C53">
        <v>0</v>
      </c>
      <c r="D53">
        <v>0</v>
      </c>
      <c r="E53">
        <v>0</v>
      </c>
      <c r="G53">
        <v>0</v>
      </c>
      <c r="H53">
        <v>0</v>
      </c>
      <c r="I53">
        <v>0</v>
      </c>
      <c r="J53">
        <v>0</v>
      </c>
      <c r="K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33">
      <c r="A54">
        <v>0</v>
      </c>
      <c r="B54">
        <v>0</v>
      </c>
      <c r="C54">
        <v>0</v>
      </c>
      <c r="D54">
        <v>0</v>
      </c>
      <c r="E54">
        <v>0</v>
      </c>
      <c r="G54">
        <v>0</v>
      </c>
      <c r="H54">
        <v>0</v>
      </c>
      <c r="I54">
        <v>0</v>
      </c>
      <c r="J54">
        <v>0</v>
      </c>
      <c r="K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33">
      <c r="A55">
        <v>0</v>
      </c>
      <c r="B55">
        <v>0</v>
      </c>
      <c r="C55">
        <v>0</v>
      </c>
      <c r="D55">
        <v>0</v>
      </c>
      <c r="E55">
        <v>0</v>
      </c>
      <c r="G55">
        <v>0</v>
      </c>
      <c r="H55">
        <v>0</v>
      </c>
      <c r="I55">
        <v>0</v>
      </c>
      <c r="J55">
        <v>0</v>
      </c>
      <c r="K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33">
      <c r="A56">
        <v>0</v>
      </c>
      <c r="B56">
        <v>0</v>
      </c>
      <c r="C56">
        <v>0</v>
      </c>
      <c r="D56">
        <v>0</v>
      </c>
      <c r="E56">
        <v>0</v>
      </c>
      <c r="G56">
        <v>0</v>
      </c>
      <c r="H56">
        <v>0</v>
      </c>
      <c r="I56">
        <v>0</v>
      </c>
      <c r="J56">
        <v>0</v>
      </c>
      <c r="K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33">
      <c r="A57">
        <v>0</v>
      </c>
      <c r="B57">
        <v>0</v>
      </c>
      <c r="C57">
        <v>0</v>
      </c>
      <c r="D57">
        <v>0</v>
      </c>
      <c r="E57">
        <v>0</v>
      </c>
      <c r="G57">
        <v>0</v>
      </c>
      <c r="H57">
        <v>0</v>
      </c>
      <c r="I57">
        <v>0</v>
      </c>
      <c r="J57">
        <v>0</v>
      </c>
      <c r="K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33">
      <c r="A58">
        <v>0</v>
      </c>
      <c r="B58">
        <v>0</v>
      </c>
      <c r="C58">
        <v>0</v>
      </c>
      <c r="D58">
        <v>0</v>
      </c>
      <c r="E58">
        <v>0</v>
      </c>
      <c r="G58">
        <v>0</v>
      </c>
      <c r="H58">
        <v>0</v>
      </c>
      <c r="I58">
        <v>0</v>
      </c>
      <c r="J58">
        <v>0</v>
      </c>
      <c r="K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33">
      <c r="A59">
        <v>0</v>
      </c>
      <c r="B59">
        <v>0</v>
      </c>
      <c r="C59">
        <v>0</v>
      </c>
      <c r="D59">
        <v>0</v>
      </c>
      <c r="E59">
        <v>0</v>
      </c>
      <c r="G59">
        <v>0</v>
      </c>
      <c r="H59">
        <v>0</v>
      </c>
      <c r="I59">
        <v>0</v>
      </c>
      <c r="J59">
        <v>0</v>
      </c>
      <c r="K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33">
      <c r="A60">
        <v>0</v>
      </c>
      <c r="B60">
        <v>0</v>
      </c>
      <c r="C60">
        <v>0</v>
      </c>
      <c r="D60">
        <v>0</v>
      </c>
      <c r="E60">
        <v>0</v>
      </c>
      <c r="G60">
        <v>0</v>
      </c>
      <c r="H60">
        <v>0</v>
      </c>
      <c r="I60">
        <v>0</v>
      </c>
      <c r="J60">
        <v>0</v>
      </c>
      <c r="K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33">
      <c r="A61">
        <v>0</v>
      </c>
      <c r="B61">
        <v>0</v>
      </c>
      <c r="C61">
        <v>0</v>
      </c>
      <c r="D61">
        <v>0</v>
      </c>
      <c r="E61">
        <v>0</v>
      </c>
      <c r="G61">
        <v>0</v>
      </c>
      <c r="H61">
        <v>0</v>
      </c>
      <c r="I61">
        <v>0</v>
      </c>
      <c r="J61">
        <v>0</v>
      </c>
      <c r="K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33">
      <c r="A62">
        <v>0</v>
      </c>
      <c r="B62">
        <v>0</v>
      </c>
      <c r="C62">
        <v>0</v>
      </c>
      <c r="D62">
        <v>0</v>
      </c>
      <c r="E62">
        <v>0</v>
      </c>
      <c r="G62">
        <v>0</v>
      </c>
      <c r="H62">
        <v>0</v>
      </c>
      <c r="I62">
        <v>0</v>
      </c>
      <c r="J62">
        <v>0</v>
      </c>
      <c r="K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33">
      <c r="A63">
        <v>0</v>
      </c>
      <c r="B63">
        <v>0</v>
      </c>
      <c r="C63">
        <v>0</v>
      </c>
      <c r="D63">
        <v>0</v>
      </c>
      <c r="E63">
        <v>0</v>
      </c>
      <c r="G63">
        <v>0</v>
      </c>
      <c r="H63">
        <v>0</v>
      </c>
      <c r="I63">
        <v>0</v>
      </c>
      <c r="J63">
        <v>0</v>
      </c>
      <c r="K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33">
      <c r="A64">
        <v>0</v>
      </c>
      <c r="B64">
        <v>0</v>
      </c>
      <c r="C64">
        <v>0</v>
      </c>
      <c r="D64">
        <v>0</v>
      </c>
      <c r="E64">
        <v>0</v>
      </c>
      <c r="G64">
        <v>0</v>
      </c>
      <c r="H64">
        <v>0</v>
      </c>
      <c r="I64">
        <v>0</v>
      </c>
      <c r="J64">
        <v>0</v>
      </c>
      <c r="K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>
        <v>0</v>
      </c>
      <c r="B65">
        <v>0</v>
      </c>
      <c r="C65">
        <v>0</v>
      </c>
      <c r="D65">
        <v>0</v>
      </c>
      <c r="E65">
        <v>0</v>
      </c>
      <c r="G65">
        <v>0</v>
      </c>
      <c r="H65">
        <v>0</v>
      </c>
      <c r="I65">
        <v>0</v>
      </c>
      <c r="J65">
        <v>0</v>
      </c>
      <c r="K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>
        <v>0</v>
      </c>
      <c r="B66">
        <v>0</v>
      </c>
      <c r="C66">
        <v>0</v>
      </c>
      <c r="D66">
        <v>0</v>
      </c>
      <c r="E66">
        <v>0</v>
      </c>
      <c r="G66">
        <v>0</v>
      </c>
      <c r="H66">
        <v>0</v>
      </c>
      <c r="I66">
        <v>0</v>
      </c>
      <c r="J66">
        <v>0</v>
      </c>
      <c r="K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>
        <v>0</v>
      </c>
      <c r="B67">
        <v>0</v>
      </c>
      <c r="C67">
        <v>0</v>
      </c>
      <c r="D67">
        <v>0</v>
      </c>
      <c r="E67">
        <v>0</v>
      </c>
      <c r="G67">
        <v>0</v>
      </c>
      <c r="H67">
        <v>0</v>
      </c>
      <c r="I67">
        <v>0</v>
      </c>
      <c r="J67">
        <v>0</v>
      </c>
      <c r="K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>
        <v>0</v>
      </c>
      <c r="B68">
        <v>0</v>
      </c>
      <c r="C68">
        <v>0</v>
      </c>
      <c r="D68">
        <v>0</v>
      </c>
      <c r="E68">
        <v>0</v>
      </c>
      <c r="G68">
        <v>0</v>
      </c>
      <c r="H68">
        <v>0</v>
      </c>
      <c r="I68">
        <v>0</v>
      </c>
      <c r="J68">
        <v>0</v>
      </c>
      <c r="K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>
        <v>0</v>
      </c>
      <c r="B69">
        <v>0</v>
      </c>
      <c r="C69">
        <v>0</v>
      </c>
      <c r="D69">
        <v>0</v>
      </c>
      <c r="E69">
        <v>0</v>
      </c>
      <c r="G69">
        <v>0</v>
      </c>
      <c r="H69">
        <v>0</v>
      </c>
      <c r="I69">
        <v>0</v>
      </c>
      <c r="J69">
        <v>0</v>
      </c>
      <c r="K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>
        <v>0</v>
      </c>
      <c r="B70">
        <v>0</v>
      </c>
      <c r="C70">
        <v>0</v>
      </c>
      <c r="D70">
        <v>0</v>
      </c>
      <c r="E70">
        <v>0</v>
      </c>
      <c r="G70">
        <v>0</v>
      </c>
      <c r="H70">
        <v>0</v>
      </c>
      <c r="I70">
        <v>0</v>
      </c>
      <c r="J70">
        <v>0</v>
      </c>
      <c r="K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>
        <v>0</v>
      </c>
      <c r="B71">
        <v>0</v>
      </c>
      <c r="C71">
        <v>0</v>
      </c>
      <c r="D71">
        <v>0</v>
      </c>
      <c r="E71">
        <v>0</v>
      </c>
      <c r="G71">
        <v>0</v>
      </c>
      <c r="H71">
        <v>0</v>
      </c>
      <c r="I71">
        <v>0</v>
      </c>
      <c r="J71">
        <v>0</v>
      </c>
      <c r="K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>
        <v>0</v>
      </c>
      <c r="B72">
        <v>0</v>
      </c>
      <c r="C72">
        <v>0</v>
      </c>
      <c r="D72">
        <v>0</v>
      </c>
      <c r="E72">
        <v>0</v>
      </c>
      <c r="G72">
        <v>0</v>
      </c>
      <c r="H72">
        <v>0</v>
      </c>
      <c r="I72">
        <v>0</v>
      </c>
      <c r="J72">
        <v>0</v>
      </c>
      <c r="K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>
        <v>0</v>
      </c>
      <c r="B73">
        <v>0</v>
      </c>
      <c r="C73">
        <v>0</v>
      </c>
      <c r="D73">
        <v>0</v>
      </c>
      <c r="E73">
        <v>0</v>
      </c>
      <c r="G73">
        <v>0</v>
      </c>
      <c r="H73">
        <v>0</v>
      </c>
      <c r="I73">
        <v>0</v>
      </c>
      <c r="J73">
        <v>0</v>
      </c>
      <c r="K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>
        <v>0</v>
      </c>
      <c r="B74">
        <v>0</v>
      </c>
      <c r="C74">
        <v>0</v>
      </c>
      <c r="D74">
        <v>0</v>
      </c>
      <c r="E74">
        <v>0</v>
      </c>
      <c r="G74">
        <v>0</v>
      </c>
      <c r="H74">
        <v>0</v>
      </c>
      <c r="I74">
        <v>0</v>
      </c>
      <c r="J74">
        <v>0</v>
      </c>
      <c r="K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>
        <v>0</v>
      </c>
      <c r="B75">
        <v>0</v>
      </c>
      <c r="C75">
        <v>0</v>
      </c>
      <c r="D75">
        <v>0</v>
      </c>
      <c r="E75">
        <v>0</v>
      </c>
      <c r="G75">
        <v>0</v>
      </c>
      <c r="H75">
        <v>0</v>
      </c>
      <c r="I75">
        <v>0</v>
      </c>
      <c r="J75">
        <v>0</v>
      </c>
      <c r="K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>
        <v>0</v>
      </c>
      <c r="B76">
        <v>0</v>
      </c>
      <c r="C76">
        <v>0</v>
      </c>
      <c r="D76">
        <v>0</v>
      </c>
      <c r="E76">
        <v>0</v>
      </c>
      <c r="G76">
        <v>0</v>
      </c>
      <c r="H76">
        <v>0</v>
      </c>
      <c r="I76">
        <v>0</v>
      </c>
      <c r="J76">
        <v>0</v>
      </c>
      <c r="K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>
        <v>0</v>
      </c>
      <c r="B77">
        <v>0</v>
      </c>
      <c r="C77">
        <v>0</v>
      </c>
      <c r="D77">
        <v>0</v>
      </c>
      <c r="E77">
        <v>0</v>
      </c>
      <c r="G77">
        <v>0</v>
      </c>
      <c r="H77">
        <v>0</v>
      </c>
      <c r="I77">
        <v>0</v>
      </c>
      <c r="J77">
        <v>0</v>
      </c>
      <c r="K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>
      <c r="A78">
        <v>0</v>
      </c>
      <c r="B78">
        <v>0</v>
      </c>
      <c r="C78">
        <v>0</v>
      </c>
      <c r="D78">
        <v>0</v>
      </c>
      <c r="E78">
        <v>0</v>
      </c>
      <c r="G78">
        <v>0</v>
      </c>
      <c r="H78">
        <v>0</v>
      </c>
      <c r="I78">
        <v>0</v>
      </c>
      <c r="J78">
        <v>0</v>
      </c>
      <c r="K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>
        <v>0</v>
      </c>
      <c r="B79">
        <v>0</v>
      </c>
      <c r="C79">
        <v>0</v>
      </c>
      <c r="D79">
        <v>0</v>
      </c>
      <c r="E79">
        <v>0</v>
      </c>
      <c r="G79">
        <v>0</v>
      </c>
      <c r="H79">
        <v>0</v>
      </c>
      <c r="I79">
        <v>0</v>
      </c>
      <c r="J79">
        <v>0</v>
      </c>
      <c r="K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>
      <c r="A80">
        <v>0</v>
      </c>
      <c r="B80">
        <v>0</v>
      </c>
      <c r="C80">
        <v>0</v>
      </c>
      <c r="D80">
        <v>0</v>
      </c>
      <c r="E80">
        <v>0</v>
      </c>
      <c r="G80">
        <v>0</v>
      </c>
      <c r="H80">
        <v>0</v>
      </c>
      <c r="I80">
        <v>0</v>
      </c>
      <c r="J80">
        <v>0</v>
      </c>
      <c r="K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>
      <c r="A81">
        <v>0</v>
      </c>
      <c r="B81">
        <v>0</v>
      </c>
      <c r="C81">
        <v>0</v>
      </c>
      <c r="D81">
        <v>0</v>
      </c>
      <c r="E81">
        <v>0</v>
      </c>
      <c r="G81">
        <v>0</v>
      </c>
      <c r="H81">
        <v>0</v>
      </c>
      <c r="I81">
        <v>0</v>
      </c>
      <c r="J81">
        <v>0</v>
      </c>
      <c r="K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>
        <v>0</v>
      </c>
      <c r="B82">
        <v>0</v>
      </c>
      <c r="C82">
        <v>0</v>
      </c>
      <c r="D82">
        <v>0</v>
      </c>
      <c r="E82">
        <v>0</v>
      </c>
      <c r="G82">
        <v>0</v>
      </c>
      <c r="H82">
        <v>0</v>
      </c>
      <c r="I82">
        <v>0</v>
      </c>
      <c r="J82">
        <v>0</v>
      </c>
      <c r="K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>
        <v>0</v>
      </c>
      <c r="B83">
        <v>0</v>
      </c>
      <c r="C83">
        <v>0</v>
      </c>
      <c r="D83">
        <v>0</v>
      </c>
      <c r="E83">
        <v>0</v>
      </c>
      <c r="G83">
        <v>0</v>
      </c>
      <c r="H83">
        <v>0</v>
      </c>
      <c r="I83">
        <v>0</v>
      </c>
      <c r="J83">
        <v>0</v>
      </c>
      <c r="K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>
        <v>0</v>
      </c>
      <c r="B84">
        <v>0</v>
      </c>
      <c r="C84">
        <v>0</v>
      </c>
      <c r="D84">
        <v>0</v>
      </c>
      <c r="E84">
        <v>0</v>
      </c>
      <c r="G84">
        <v>0</v>
      </c>
      <c r="H84">
        <v>0</v>
      </c>
      <c r="I84">
        <v>0</v>
      </c>
      <c r="J84">
        <v>0</v>
      </c>
      <c r="K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>
      <c r="A85">
        <v>0</v>
      </c>
      <c r="B85">
        <v>0</v>
      </c>
      <c r="C85">
        <v>0</v>
      </c>
      <c r="D85">
        <v>0</v>
      </c>
      <c r="E85">
        <v>0</v>
      </c>
      <c r="G85">
        <v>0</v>
      </c>
      <c r="H85">
        <v>0</v>
      </c>
      <c r="I85">
        <v>0</v>
      </c>
      <c r="J85">
        <v>0</v>
      </c>
      <c r="K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>
      <c r="A86">
        <v>0</v>
      </c>
      <c r="B86">
        <v>0</v>
      </c>
      <c r="C86">
        <v>0</v>
      </c>
      <c r="D86">
        <v>0</v>
      </c>
      <c r="E86">
        <v>0</v>
      </c>
      <c r="G86">
        <v>0</v>
      </c>
      <c r="H86">
        <v>0</v>
      </c>
      <c r="I86">
        <v>0</v>
      </c>
      <c r="J86">
        <v>0</v>
      </c>
      <c r="K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>
        <v>0</v>
      </c>
      <c r="B87">
        <v>0</v>
      </c>
      <c r="C87">
        <v>0</v>
      </c>
      <c r="D87">
        <v>0</v>
      </c>
      <c r="E87">
        <v>0</v>
      </c>
      <c r="G87">
        <v>0</v>
      </c>
      <c r="H87">
        <v>0</v>
      </c>
      <c r="I87">
        <v>0</v>
      </c>
      <c r="J87">
        <v>0</v>
      </c>
      <c r="K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>
        <v>0</v>
      </c>
      <c r="B88">
        <v>0</v>
      </c>
      <c r="C88">
        <v>0</v>
      </c>
      <c r="D88">
        <v>0</v>
      </c>
      <c r="E88">
        <v>0</v>
      </c>
      <c r="G88">
        <v>0</v>
      </c>
      <c r="H88">
        <v>0</v>
      </c>
      <c r="I88">
        <v>0</v>
      </c>
      <c r="J88">
        <v>0</v>
      </c>
      <c r="K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>
        <v>0</v>
      </c>
      <c r="B89">
        <v>0</v>
      </c>
      <c r="C89">
        <v>0</v>
      </c>
      <c r="D89">
        <v>0</v>
      </c>
      <c r="E89">
        <v>0</v>
      </c>
      <c r="G89">
        <v>0</v>
      </c>
      <c r="H89">
        <v>0</v>
      </c>
      <c r="I89">
        <v>0</v>
      </c>
      <c r="J89">
        <v>0</v>
      </c>
      <c r="K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>
      <c r="A90">
        <v>0</v>
      </c>
      <c r="B90">
        <v>0</v>
      </c>
      <c r="C90">
        <v>0</v>
      </c>
      <c r="D90">
        <v>0</v>
      </c>
      <c r="E90">
        <v>0</v>
      </c>
      <c r="G90">
        <v>0</v>
      </c>
      <c r="H90">
        <v>0</v>
      </c>
      <c r="I90">
        <v>0</v>
      </c>
      <c r="J90">
        <v>0</v>
      </c>
      <c r="K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>
        <v>0</v>
      </c>
      <c r="B91">
        <v>0</v>
      </c>
      <c r="C91">
        <v>0</v>
      </c>
      <c r="D91">
        <v>0</v>
      </c>
      <c r="E91">
        <v>0</v>
      </c>
      <c r="G91">
        <v>0</v>
      </c>
      <c r="H91">
        <v>0</v>
      </c>
      <c r="I91">
        <v>0</v>
      </c>
      <c r="J91">
        <v>0</v>
      </c>
      <c r="K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>
        <v>0</v>
      </c>
      <c r="B92">
        <v>0</v>
      </c>
      <c r="C92">
        <v>0</v>
      </c>
      <c r="D92">
        <v>0</v>
      </c>
      <c r="E92">
        <v>0</v>
      </c>
      <c r="G92">
        <v>0</v>
      </c>
      <c r="H92">
        <v>0</v>
      </c>
      <c r="I92">
        <v>0</v>
      </c>
      <c r="J92">
        <v>0</v>
      </c>
      <c r="K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>
      <c r="A93">
        <v>0</v>
      </c>
      <c r="B93">
        <v>0</v>
      </c>
      <c r="C93">
        <v>0</v>
      </c>
      <c r="D93">
        <v>0</v>
      </c>
      <c r="E93">
        <v>0</v>
      </c>
      <c r="G93">
        <v>0</v>
      </c>
      <c r="H93">
        <v>0</v>
      </c>
      <c r="I93">
        <v>0</v>
      </c>
      <c r="J93">
        <v>0</v>
      </c>
      <c r="K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>
        <v>0</v>
      </c>
      <c r="B94">
        <v>0</v>
      </c>
      <c r="C94">
        <v>0</v>
      </c>
      <c r="D94">
        <v>0</v>
      </c>
      <c r="E94">
        <v>0</v>
      </c>
      <c r="G94">
        <v>0</v>
      </c>
      <c r="H94">
        <v>0</v>
      </c>
      <c r="I94">
        <v>0</v>
      </c>
      <c r="J94">
        <v>0</v>
      </c>
      <c r="K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>
        <v>0</v>
      </c>
      <c r="B95">
        <v>0</v>
      </c>
      <c r="C95">
        <v>0</v>
      </c>
      <c r="D95">
        <v>0</v>
      </c>
      <c r="E95">
        <v>0</v>
      </c>
      <c r="G95">
        <v>0</v>
      </c>
      <c r="H95">
        <v>0</v>
      </c>
      <c r="I95">
        <v>0</v>
      </c>
      <c r="J95">
        <v>0</v>
      </c>
      <c r="K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>
        <v>0</v>
      </c>
      <c r="B96">
        <v>0</v>
      </c>
      <c r="C96">
        <v>0</v>
      </c>
      <c r="D96">
        <v>0</v>
      </c>
      <c r="E96">
        <v>0</v>
      </c>
      <c r="G96">
        <v>0</v>
      </c>
      <c r="H96">
        <v>0</v>
      </c>
      <c r="I96">
        <v>0</v>
      </c>
      <c r="J96">
        <v>0</v>
      </c>
      <c r="K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>
      <c r="A97">
        <v>0</v>
      </c>
      <c r="B97">
        <v>0</v>
      </c>
      <c r="C97">
        <v>0</v>
      </c>
      <c r="D97">
        <v>0</v>
      </c>
      <c r="E97">
        <v>0</v>
      </c>
      <c r="G97">
        <v>0</v>
      </c>
      <c r="H97">
        <v>0</v>
      </c>
      <c r="I97">
        <v>0</v>
      </c>
      <c r="J97">
        <v>0</v>
      </c>
      <c r="K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>
        <v>0</v>
      </c>
      <c r="B98">
        <v>0</v>
      </c>
      <c r="C98">
        <v>0</v>
      </c>
      <c r="D98">
        <v>0</v>
      </c>
      <c r="E98">
        <v>0</v>
      </c>
      <c r="G98">
        <v>0</v>
      </c>
      <c r="H98">
        <v>0</v>
      </c>
      <c r="I98">
        <v>0</v>
      </c>
      <c r="J98">
        <v>0</v>
      </c>
      <c r="K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>
      <c r="A99">
        <v>0</v>
      </c>
      <c r="B99">
        <v>0</v>
      </c>
      <c r="C99">
        <v>0</v>
      </c>
      <c r="D99">
        <v>0</v>
      </c>
      <c r="E99">
        <v>0</v>
      </c>
      <c r="G99">
        <v>0</v>
      </c>
      <c r="H99">
        <v>0</v>
      </c>
      <c r="I99">
        <v>0</v>
      </c>
      <c r="J99">
        <v>0</v>
      </c>
      <c r="K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>
      <c r="A100">
        <v>0</v>
      </c>
      <c r="B100">
        <v>0</v>
      </c>
      <c r="C100">
        <v>0</v>
      </c>
      <c r="D100">
        <v>0</v>
      </c>
      <c r="E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>
        <v>0</v>
      </c>
      <c r="B101">
        <v>0</v>
      </c>
      <c r="C101">
        <v>0</v>
      </c>
      <c r="D101">
        <v>0</v>
      </c>
      <c r="E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>
      <c r="A102">
        <v>0</v>
      </c>
      <c r="B102">
        <v>0</v>
      </c>
      <c r="C102">
        <v>0</v>
      </c>
      <c r="D102">
        <v>0</v>
      </c>
      <c r="E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>
        <v>0</v>
      </c>
      <c r="B103">
        <v>0</v>
      </c>
      <c r="C103">
        <v>0</v>
      </c>
      <c r="D103">
        <v>0</v>
      </c>
      <c r="E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>
        <v>0</v>
      </c>
      <c r="B104">
        <v>0</v>
      </c>
      <c r="C104">
        <v>0</v>
      </c>
      <c r="D104">
        <v>0</v>
      </c>
      <c r="E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>
      <c r="A105">
        <v>0</v>
      </c>
      <c r="B105">
        <v>0</v>
      </c>
      <c r="C105">
        <v>0</v>
      </c>
      <c r="D105">
        <v>0</v>
      </c>
      <c r="E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>
        <v>0</v>
      </c>
      <c r="B106">
        <v>0</v>
      </c>
      <c r="C106">
        <v>0</v>
      </c>
      <c r="D106">
        <v>0</v>
      </c>
      <c r="E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>
        <v>0</v>
      </c>
      <c r="B107">
        <v>0</v>
      </c>
      <c r="C107">
        <v>0</v>
      </c>
      <c r="D107">
        <v>0</v>
      </c>
      <c r="E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>
      <c r="A108">
        <v>0</v>
      </c>
      <c r="B108">
        <v>0</v>
      </c>
      <c r="C108">
        <v>0</v>
      </c>
      <c r="D108">
        <v>0</v>
      </c>
      <c r="E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>
        <v>0</v>
      </c>
      <c r="B109">
        <v>0</v>
      </c>
      <c r="C109">
        <v>0</v>
      </c>
      <c r="D109">
        <v>0</v>
      </c>
      <c r="E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>
        <v>0</v>
      </c>
      <c r="B110">
        <v>0</v>
      </c>
      <c r="C110">
        <v>0</v>
      </c>
      <c r="D110">
        <v>0</v>
      </c>
      <c r="E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>
      <c r="A111">
        <v>0</v>
      </c>
      <c r="B111">
        <v>0</v>
      </c>
      <c r="C111">
        <v>0</v>
      </c>
      <c r="D111">
        <v>0</v>
      </c>
      <c r="E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>
      <c r="A112">
        <v>0</v>
      </c>
      <c r="B112">
        <v>0</v>
      </c>
      <c r="C112">
        <v>0</v>
      </c>
      <c r="D112">
        <v>0</v>
      </c>
      <c r="E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>
      <c r="A113">
        <v>0</v>
      </c>
      <c r="B113">
        <v>0</v>
      </c>
      <c r="C113">
        <v>0</v>
      </c>
      <c r="D113">
        <v>0</v>
      </c>
      <c r="E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>
      <c r="A114">
        <v>0</v>
      </c>
      <c r="B114">
        <v>0</v>
      </c>
      <c r="C114">
        <v>0</v>
      </c>
      <c r="D114">
        <v>0</v>
      </c>
      <c r="E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>
      <c r="A115">
        <v>0</v>
      </c>
      <c r="B115">
        <v>0</v>
      </c>
      <c r="C115">
        <v>0</v>
      </c>
      <c r="D115">
        <v>0</v>
      </c>
      <c r="E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>
      <c r="A116">
        <v>0</v>
      </c>
      <c r="B116">
        <v>0</v>
      </c>
      <c r="C116">
        <v>0</v>
      </c>
      <c r="D116">
        <v>0</v>
      </c>
      <c r="E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>
      <c r="A117">
        <v>0</v>
      </c>
      <c r="B117">
        <v>0</v>
      </c>
      <c r="C117">
        <v>0</v>
      </c>
      <c r="D117">
        <v>0</v>
      </c>
      <c r="E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>
      <c r="A118">
        <v>0</v>
      </c>
      <c r="B118">
        <v>0</v>
      </c>
      <c r="C118">
        <v>0</v>
      </c>
      <c r="D118">
        <v>0</v>
      </c>
      <c r="E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>
        <v>0</v>
      </c>
      <c r="B119">
        <v>0</v>
      </c>
      <c r="C119">
        <v>0</v>
      </c>
      <c r="D119">
        <v>0</v>
      </c>
      <c r="E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>
      <c r="A120">
        <v>0</v>
      </c>
      <c r="B120">
        <v>0</v>
      </c>
      <c r="C120">
        <v>0</v>
      </c>
      <c r="D120">
        <v>0</v>
      </c>
      <c r="E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>
        <v>0</v>
      </c>
      <c r="B121">
        <v>0</v>
      </c>
      <c r="C121">
        <v>0</v>
      </c>
      <c r="D121">
        <v>0</v>
      </c>
      <c r="E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>
      <c r="A122">
        <v>0</v>
      </c>
      <c r="B122">
        <v>0</v>
      </c>
      <c r="C122">
        <v>0</v>
      </c>
      <c r="D122">
        <v>0</v>
      </c>
      <c r="E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>
      <c r="A123">
        <v>0</v>
      </c>
      <c r="B123">
        <v>0</v>
      </c>
      <c r="C123">
        <v>0</v>
      </c>
      <c r="D123">
        <v>0</v>
      </c>
      <c r="E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>
      <c r="A124">
        <v>0</v>
      </c>
      <c r="B124">
        <v>0</v>
      </c>
      <c r="C124">
        <v>0</v>
      </c>
      <c r="D124">
        <v>0</v>
      </c>
      <c r="E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>
      <c r="A125">
        <v>0</v>
      </c>
      <c r="B125">
        <v>0</v>
      </c>
      <c r="C125">
        <v>0</v>
      </c>
      <c r="D125">
        <v>0</v>
      </c>
      <c r="E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>
      <c r="A126">
        <v>0</v>
      </c>
      <c r="B126">
        <v>0</v>
      </c>
      <c r="C126">
        <v>0</v>
      </c>
      <c r="D126">
        <v>0</v>
      </c>
      <c r="E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>
      <c r="A127">
        <v>0</v>
      </c>
      <c r="B127">
        <v>0</v>
      </c>
      <c r="C127">
        <v>0</v>
      </c>
      <c r="D127">
        <v>0</v>
      </c>
      <c r="E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>
      <c r="A128">
        <v>0</v>
      </c>
      <c r="B128">
        <v>0</v>
      </c>
      <c r="C128">
        <v>0</v>
      </c>
      <c r="D128">
        <v>0</v>
      </c>
      <c r="E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>
      <c r="A129">
        <v>0</v>
      </c>
      <c r="B129">
        <v>0</v>
      </c>
      <c r="C129">
        <v>0</v>
      </c>
      <c r="D129">
        <v>0</v>
      </c>
      <c r="E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>
      <c r="A130">
        <v>0</v>
      </c>
      <c r="B130">
        <v>0</v>
      </c>
      <c r="C130">
        <v>0</v>
      </c>
      <c r="D130">
        <v>0</v>
      </c>
      <c r="E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>
      <c r="A131">
        <v>0</v>
      </c>
      <c r="B131">
        <v>0</v>
      </c>
      <c r="C131">
        <v>0</v>
      </c>
      <c r="D131">
        <v>0</v>
      </c>
      <c r="E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>
      <c r="A132">
        <v>0</v>
      </c>
      <c r="B132">
        <v>0</v>
      </c>
      <c r="C132">
        <v>0</v>
      </c>
      <c r="D132">
        <v>0</v>
      </c>
      <c r="E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>
      <c r="A133">
        <v>0</v>
      </c>
      <c r="B133">
        <v>0</v>
      </c>
      <c r="C133">
        <v>0</v>
      </c>
      <c r="D133">
        <v>0</v>
      </c>
      <c r="E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>
      <c r="A134">
        <v>0</v>
      </c>
      <c r="B134">
        <v>0</v>
      </c>
      <c r="C134">
        <v>0</v>
      </c>
      <c r="D134">
        <v>0</v>
      </c>
      <c r="E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>
      <c r="A135">
        <v>0</v>
      </c>
      <c r="B135">
        <v>0</v>
      </c>
      <c r="C135">
        <v>0</v>
      </c>
      <c r="D135">
        <v>0</v>
      </c>
      <c r="E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>
        <v>0</v>
      </c>
      <c r="B136">
        <v>0</v>
      </c>
      <c r="C136">
        <v>0</v>
      </c>
      <c r="D136">
        <v>0</v>
      </c>
      <c r="E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>
      <c r="A137">
        <v>0</v>
      </c>
      <c r="B137">
        <v>0</v>
      </c>
      <c r="C137">
        <v>0</v>
      </c>
      <c r="D137">
        <v>0</v>
      </c>
      <c r="E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>
      <c r="A138">
        <v>0</v>
      </c>
      <c r="B138">
        <v>0</v>
      </c>
      <c r="C138">
        <v>0</v>
      </c>
      <c r="D138">
        <v>0</v>
      </c>
      <c r="E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>
      <c r="A139">
        <v>0</v>
      </c>
      <c r="B139">
        <v>0</v>
      </c>
      <c r="C139">
        <v>0</v>
      </c>
      <c r="D139">
        <v>0</v>
      </c>
      <c r="E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>
      <c r="A140">
        <v>0</v>
      </c>
      <c r="B140">
        <v>0</v>
      </c>
      <c r="C140">
        <v>0</v>
      </c>
      <c r="D140">
        <v>0</v>
      </c>
      <c r="E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>
      <c r="A141">
        <v>0</v>
      </c>
      <c r="B141">
        <v>0</v>
      </c>
      <c r="C141">
        <v>0</v>
      </c>
      <c r="D141">
        <v>0</v>
      </c>
      <c r="E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>
      <c r="A142">
        <v>0</v>
      </c>
      <c r="B142">
        <v>0</v>
      </c>
      <c r="C142">
        <v>0</v>
      </c>
      <c r="D142">
        <v>0</v>
      </c>
      <c r="E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>
        <v>0</v>
      </c>
      <c r="B143">
        <v>0</v>
      </c>
      <c r="C143">
        <v>0</v>
      </c>
      <c r="D143">
        <v>0</v>
      </c>
      <c r="E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>
      <c r="A144">
        <v>0</v>
      </c>
      <c r="B144">
        <v>0</v>
      </c>
      <c r="C144">
        <v>0</v>
      </c>
      <c r="D144">
        <v>0</v>
      </c>
      <c r="E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>
      <c r="A145">
        <v>0</v>
      </c>
      <c r="B145">
        <v>0</v>
      </c>
      <c r="C145">
        <v>0</v>
      </c>
      <c r="D145">
        <v>0</v>
      </c>
      <c r="E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>
      <c r="A146">
        <v>0</v>
      </c>
      <c r="B146">
        <v>0</v>
      </c>
      <c r="C146">
        <v>0</v>
      </c>
      <c r="D146">
        <v>0</v>
      </c>
      <c r="E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>
      <c r="A147">
        <v>0</v>
      </c>
      <c r="B147">
        <v>0</v>
      </c>
      <c r="C147">
        <v>0</v>
      </c>
      <c r="D147">
        <v>0</v>
      </c>
      <c r="E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>
      <c r="A148">
        <v>0</v>
      </c>
      <c r="B148">
        <v>0</v>
      </c>
      <c r="C148">
        <v>0</v>
      </c>
      <c r="D148">
        <v>0</v>
      </c>
      <c r="E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>
      <c r="A149">
        <v>0</v>
      </c>
      <c r="B149">
        <v>0</v>
      </c>
      <c r="C149">
        <v>0</v>
      </c>
      <c r="D149">
        <v>0</v>
      </c>
      <c r="E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>
        <v>0</v>
      </c>
      <c r="B150">
        <v>0</v>
      </c>
      <c r="C150">
        <v>0</v>
      </c>
      <c r="D150">
        <v>0</v>
      </c>
      <c r="E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>
      <c r="A151">
        <v>0</v>
      </c>
      <c r="B151">
        <v>0</v>
      </c>
      <c r="C151">
        <v>0</v>
      </c>
      <c r="D151">
        <v>0</v>
      </c>
      <c r="E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>
      <c r="A152">
        <v>0</v>
      </c>
      <c r="B152">
        <v>0</v>
      </c>
      <c r="C152">
        <v>0</v>
      </c>
      <c r="D152">
        <v>0</v>
      </c>
      <c r="E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>
      <c r="A153">
        <v>0</v>
      </c>
      <c r="B153">
        <v>0</v>
      </c>
      <c r="C153">
        <v>0</v>
      </c>
      <c r="D153">
        <v>0</v>
      </c>
      <c r="E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>
      <c r="A154">
        <v>0</v>
      </c>
      <c r="B154">
        <v>0</v>
      </c>
      <c r="C154">
        <v>0</v>
      </c>
      <c r="D154">
        <v>0</v>
      </c>
      <c r="E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>
      <c r="A155">
        <v>0</v>
      </c>
      <c r="B155">
        <v>0</v>
      </c>
      <c r="C155">
        <v>0</v>
      </c>
      <c r="D155">
        <v>0</v>
      </c>
      <c r="E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>
      <c r="A156">
        <v>0</v>
      </c>
      <c r="B156">
        <v>0</v>
      </c>
      <c r="C156">
        <v>0</v>
      </c>
      <c r="D156">
        <v>0</v>
      </c>
      <c r="E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>
      <c r="A157">
        <v>0</v>
      </c>
      <c r="B157">
        <v>0</v>
      </c>
      <c r="C157">
        <v>0</v>
      </c>
      <c r="D157">
        <v>0</v>
      </c>
      <c r="E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>
      <c r="A158">
        <v>0</v>
      </c>
      <c r="B158">
        <v>0</v>
      </c>
      <c r="C158">
        <v>0</v>
      </c>
      <c r="D158">
        <v>0</v>
      </c>
      <c r="E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>
      <c r="A159">
        <v>0</v>
      </c>
      <c r="B159">
        <v>0</v>
      </c>
      <c r="C159">
        <v>0</v>
      </c>
      <c r="D159">
        <v>0</v>
      </c>
      <c r="E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>
      <c r="A160">
        <v>0</v>
      </c>
      <c r="B160">
        <v>0</v>
      </c>
      <c r="C160">
        <v>0</v>
      </c>
      <c r="D160">
        <v>0</v>
      </c>
      <c r="E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>
      <c r="A161">
        <v>0</v>
      </c>
      <c r="B161">
        <v>0</v>
      </c>
      <c r="C161">
        <v>0</v>
      </c>
      <c r="D161">
        <v>0</v>
      </c>
      <c r="E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>
      <c r="A162">
        <v>0</v>
      </c>
      <c r="B162">
        <v>0</v>
      </c>
      <c r="C162">
        <v>0</v>
      </c>
      <c r="D162">
        <v>0</v>
      </c>
      <c r="E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>
      <c r="A163">
        <v>0</v>
      </c>
      <c r="B163">
        <v>0</v>
      </c>
      <c r="C163">
        <v>0</v>
      </c>
      <c r="D163">
        <v>0</v>
      </c>
      <c r="E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>
      <c r="A164">
        <v>0</v>
      </c>
      <c r="B164">
        <v>0</v>
      </c>
      <c r="C164">
        <v>0</v>
      </c>
      <c r="D164">
        <v>0</v>
      </c>
      <c r="E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>
      <c r="A165">
        <v>0</v>
      </c>
      <c r="B165">
        <v>0</v>
      </c>
      <c r="C165">
        <v>0</v>
      </c>
      <c r="D165">
        <v>0</v>
      </c>
      <c r="E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>
      <c r="A166">
        <v>0</v>
      </c>
      <c r="B166">
        <v>0</v>
      </c>
      <c r="C166">
        <v>0</v>
      </c>
      <c r="D166">
        <v>0</v>
      </c>
      <c r="E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>
      <c r="A167">
        <v>0</v>
      </c>
      <c r="B167">
        <v>0</v>
      </c>
      <c r="C167">
        <v>0</v>
      </c>
      <c r="D167">
        <v>0</v>
      </c>
      <c r="E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>
      <c r="A168">
        <v>0</v>
      </c>
      <c r="B168">
        <v>0</v>
      </c>
      <c r="C168">
        <v>0</v>
      </c>
      <c r="D168">
        <v>0</v>
      </c>
      <c r="E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>
      <c r="A169">
        <v>0</v>
      </c>
      <c r="B169">
        <v>0</v>
      </c>
      <c r="C169">
        <v>0</v>
      </c>
      <c r="D169">
        <v>0</v>
      </c>
      <c r="E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>
      <c r="A170">
        <v>0</v>
      </c>
      <c r="B170">
        <v>0</v>
      </c>
      <c r="C170">
        <v>0</v>
      </c>
      <c r="D170">
        <v>0</v>
      </c>
      <c r="E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>
      <c r="A171">
        <v>0</v>
      </c>
      <c r="B171">
        <v>0</v>
      </c>
      <c r="C171">
        <v>0</v>
      </c>
      <c r="D171">
        <v>0</v>
      </c>
      <c r="E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>
      <c r="A172">
        <v>0</v>
      </c>
      <c r="B172">
        <v>0</v>
      </c>
      <c r="C172">
        <v>0</v>
      </c>
      <c r="D172">
        <v>0</v>
      </c>
      <c r="E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>
      <c r="A173">
        <v>0</v>
      </c>
      <c r="B173">
        <v>0</v>
      </c>
      <c r="C173">
        <v>0</v>
      </c>
      <c r="D173">
        <v>0</v>
      </c>
      <c r="E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>
      <c r="A174">
        <v>0</v>
      </c>
      <c r="B174">
        <v>0</v>
      </c>
      <c r="C174">
        <v>0</v>
      </c>
      <c r="D174">
        <v>0</v>
      </c>
      <c r="E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>
      <c r="A175">
        <v>0</v>
      </c>
      <c r="B175">
        <v>0</v>
      </c>
      <c r="C175">
        <v>0</v>
      </c>
      <c r="D175">
        <v>0</v>
      </c>
      <c r="E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>
      <c r="A176">
        <v>0</v>
      </c>
      <c r="B176">
        <v>0</v>
      </c>
      <c r="C176">
        <v>0</v>
      </c>
      <c r="D176">
        <v>0</v>
      </c>
      <c r="E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>
      <c r="A177">
        <v>0</v>
      </c>
      <c r="B177">
        <v>0</v>
      </c>
      <c r="C177">
        <v>0</v>
      </c>
      <c r="D177">
        <v>0</v>
      </c>
      <c r="E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>
      <c r="A178">
        <v>0</v>
      </c>
      <c r="B178">
        <v>0</v>
      </c>
      <c r="C178">
        <v>0</v>
      </c>
      <c r="D178">
        <v>0</v>
      </c>
      <c r="E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>
      <c r="A179">
        <v>0</v>
      </c>
      <c r="B179">
        <v>0</v>
      </c>
      <c r="C179">
        <v>0</v>
      </c>
      <c r="D179">
        <v>0</v>
      </c>
      <c r="E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>
      <c r="A180">
        <v>0</v>
      </c>
      <c r="B180">
        <v>0</v>
      </c>
      <c r="C180">
        <v>0</v>
      </c>
      <c r="D180">
        <v>0</v>
      </c>
      <c r="E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>
      <c r="A181">
        <v>0</v>
      </c>
      <c r="B181">
        <v>0</v>
      </c>
      <c r="C181">
        <v>0</v>
      </c>
      <c r="D181">
        <v>0</v>
      </c>
      <c r="E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>
      <c r="A182">
        <v>0</v>
      </c>
      <c r="B182">
        <v>0</v>
      </c>
      <c r="C182">
        <v>0</v>
      </c>
      <c r="D182">
        <v>0</v>
      </c>
      <c r="E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>
      <c r="A183">
        <v>0</v>
      </c>
      <c r="B183">
        <v>0</v>
      </c>
      <c r="C183">
        <v>0</v>
      </c>
      <c r="D183">
        <v>0</v>
      </c>
      <c r="E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>
      <c r="A184">
        <v>0</v>
      </c>
      <c r="B184">
        <v>0</v>
      </c>
      <c r="C184">
        <v>0</v>
      </c>
      <c r="D184">
        <v>0</v>
      </c>
      <c r="E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>
      <c r="A185">
        <v>0</v>
      </c>
      <c r="B185">
        <v>0</v>
      </c>
      <c r="C185">
        <v>0</v>
      </c>
      <c r="D185">
        <v>0</v>
      </c>
      <c r="E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>
      <c r="A186">
        <v>0</v>
      </c>
      <c r="B186">
        <v>0</v>
      </c>
      <c r="C186">
        <v>0</v>
      </c>
      <c r="D186">
        <v>0</v>
      </c>
      <c r="E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>
      <c r="A187">
        <v>0</v>
      </c>
      <c r="B187">
        <v>0</v>
      </c>
      <c r="C187">
        <v>0</v>
      </c>
      <c r="D187">
        <v>0</v>
      </c>
      <c r="E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>
      <c r="A188">
        <v>0</v>
      </c>
      <c r="B188">
        <v>0</v>
      </c>
      <c r="C188">
        <v>0</v>
      </c>
      <c r="D188">
        <v>0</v>
      </c>
      <c r="E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>
      <c r="A189">
        <v>0</v>
      </c>
      <c r="B189">
        <v>0</v>
      </c>
      <c r="C189">
        <v>0</v>
      </c>
      <c r="D189">
        <v>0</v>
      </c>
      <c r="E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>
      <c r="A190">
        <v>0</v>
      </c>
      <c r="B190">
        <v>0</v>
      </c>
      <c r="C190">
        <v>0</v>
      </c>
      <c r="D190">
        <v>0</v>
      </c>
      <c r="E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>
      <c r="A191">
        <v>0</v>
      </c>
      <c r="B191">
        <v>0</v>
      </c>
      <c r="C191">
        <v>0</v>
      </c>
      <c r="D191">
        <v>0</v>
      </c>
      <c r="E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>
      <c r="A192">
        <v>0</v>
      </c>
      <c r="B192">
        <v>0</v>
      </c>
      <c r="C192">
        <v>0</v>
      </c>
      <c r="D192">
        <v>0</v>
      </c>
      <c r="E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>
      <c r="A193">
        <v>0</v>
      </c>
      <c r="B193">
        <v>0</v>
      </c>
      <c r="C193">
        <v>0</v>
      </c>
      <c r="D193">
        <v>0</v>
      </c>
      <c r="E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>
      <c r="A194">
        <v>0</v>
      </c>
      <c r="B194">
        <v>0</v>
      </c>
      <c r="C194">
        <v>0</v>
      </c>
      <c r="D194">
        <v>0</v>
      </c>
      <c r="E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>
      <c r="A195">
        <v>0</v>
      </c>
      <c r="B195">
        <v>0</v>
      </c>
      <c r="C195">
        <v>0</v>
      </c>
      <c r="D195">
        <v>0</v>
      </c>
      <c r="E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>
      <c r="A196">
        <v>0</v>
      </c>
      <c r="B196">
        <v>0</v>
      </c>
      <c r="C196">
        <v>0</v>
      </c>
      <c r="D196">
        <v>0</v>
      </c>
      <c r="E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>
      <c r="A197">
        <v>0</v>
      </c>
      <c r="B197">
        <v>0</v>
      </c>
      <c r="C197">
        <v>0</v>
      </c>
      <c r="D197">
        <v>0</v>
      </c>
      <c r="E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>
      <c r="A198">
        <v>0</v>
      </c>
      <c r="B198">
        <v>0</v>
      </c>
      <c r="C198">
        <v>0</v>
      </c>
      <c r="D198">
        <v>0</v>
      </c>
      <c r="E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>
      <c r="A199">
        <v>0</v>
      </c>
      <c r="B199">
        <v>0</v>
      </c>
      <c r="C199">
        <v>0</v>
      </c>
      <c r="D199">
        <v>0</v>
      </c>
      <c r="E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>
      <c r="A200">
        <v>0</v>
      </c>
      <c r="B200">
        <v>0</v>
      </c>
      <c r="C200">
        <v>0</v>
      </c>
      <c r="D200">
        <v>0</v>
      </c>
      <c r="E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>
      <c r="A201">
        <v>0</v>
      </c>
      <c r="B201">
        <v>0</v>
      </c>
      <c r="C201">
        <v>0</v>
      </c>
      <c r="D201">
        <v>0</v>
      </c>
      <c r="E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>
      <c r="A202">
        <v>0</v>
      </c>
      <c r="B202">
        <v>0</v>
      </c>
      <c r="C202">
        <v>0</v>
      </c>
      <c r="D202">
        <v>0</v>
      </c>
      <c r="E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>
      <c r="A203">
        <v>0</v>
      </c>
      <c r="B203">
        <v>0</v>
      </c>
      <c r="C203">
        <v>0</v>
      </c>
      <c r="D203">
        <v>0</v>
      </c>
      <c r="E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>
      <c r="A204">
        <v>0</v>
      </c>
      <c r="B204">
        <v>0</v>
      </c>
      <c r="C204">
        <v>0</v>
      </c>
      <c r="D204">
        <v>0</v>
      </c>
      <c r="E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>
      <c r="A205">
        <v>0</v>
      </c>
      <c r="B205">
        <v>0</v>
      </c>
      <c r="C205">
        <v>0</v>
      </c>
      <c r="D205">
        <v>0</v>
      </c>
      <c r="E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>
      <c r="A206">
        <v>0</v>
      </c>
      <c r="B206">
        <v>0</v>
      </c>
      <c r="C206">
        <v>0</v>
      </c>
      <c r="D206">
        <v>0</v>
      </c>
      <c r="E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>
      <c r="A207">
        <v>0</v>
      </c>
      <c r="B207">
        <v>0</v>
      </c>
      <c r="C207">
        <v>0</v>
      </c>
      <c r="D207">
        <v>0</v>
      </c>
      <c r="E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>
      <c r="A208">
        <v>0</v>
      </c>
      <c r="B208">
        <v>0</v>
      </c>
      <c r="C208">
        <v>0</v>
      </c>
      <c r="D208">
        <v>0</v>
      </c>
      <c r="E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>
      <c r="A209">
        <v>0</v>
      </c>
      <c r="B209">
        <v>0</v>
      </c>
      <c r="C209">
        <v>0</v>
      </c>
      <c r="D209">
        <v>0</v>
      </c>
      <c r="E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>
      <c r="A210">
        <v>0</v>
      </c>
      <c r="B210">
        <v>0</v>
      </c>
      <c r="C210">
        <v>0</v>
      </c>
      <c r="D210">
        <v>0</v>
      </c>
      <c r="E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>
      <c r="A211">
        <v>0</v>
      </c>
      <c r="B211">
        <v>0</v>
      </c>
      <c r="C211">
        <v>0</v>
      </c>
      <c r="D211">
        <v>0</v>
      </c>
      <c r="E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>
      <c r="A212">
        <v>0</v>
      </c>
      <c r="B212">
        <v>0</v>
      </c>
      <c r="C212">
        <v>0</v>
      </c>
      <c r="D212">
        <v>0</v>
      </c>
      <c r="E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>
      <c r="A213">
        <v>0</v>
      </c>
      <c r="B213">
        <v>0</v>
      </c>
      <c r="C213">
        <v>0</v>
      </c>
      <c r="D213">
        <v>0</v>
      </c>
      <c r="E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>
      <c r="A214">
        <v>0</v>
      </c>
      <c r="B214">
        <v>0</v>
      </c>
      <c r="C214">
        <v>0</v>
      </c>
      <c r="D214">
        <v>0</v>
      </c>
      <c r="E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>
      <c r="A215">
        <v>0</v>
      </c>
      <c r="B215">
        <v>0</v>
      </c>
      <c r="C215">
        <v>0</v>
      </c>
      <c r="D215">
        <v>0</v>
      </c>
      <c r="E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>
      <c r="A216">
        <v>0</v>
      </c>
      <c r="B216">
        <v>0</v>
      </c>
      <c r="C216">
        <v>0</v>
      </c>
      <c r="D216">
        <v>0</v>
      </c>
      <c r="E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>
      <c r="A217">
        <v>0</v>
      </c>
      <c r="B217">
        <v>0</v>
      </c>
      <c r="C217">
        <v>0</v>
      </c>
      <c r="D217">
        <v>0</v>
      </c>
      <c r="E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>
      <c r="A218">
        <v>0</v>
      </c>
      <c r="B218">
        <v>0</v>
      </c>
      <c r="C218">
        <v>0</v>
      </c>
      <c r="D218">
        <v>0</v>
      </c>
      <c r="E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>
      <c r="A219">
        <v>0</v>
      </c>
      <c r="B219">
        <v>0</v>
      </c>
      <c r="C219">
        <v>0</v>
      </c>
      <c r="D219">
        <v>0</v>
      </c>
      <c r="E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>
      <c r="A220">
        <v>0</v>
      </c>
      <c r="B220">
        <v>0</v>
      </c>
      <c r="C220">
        <v>0</v>
      </c>
      <c r="D220">
        <v>0</v>
      </c>
      <c r="E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>
      <c r="A221">
        <v>0</v>
      </c>
      <c r="B221">
        <v>0</v>
      </c>
      <c r="C221">
        <v>0</v>
      </c>
      <c r="D221">
        <v>0</v>
      </c>
      <c r="E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>
      <c r="A222">
        <v>0</v>
      </c>
      <c r="B222">
        <v>0</v>
      </c>
      <c r="C222">
        <v>0</v>
      </c>
      <c r="D222">
        <v>0</v>
      </c>
      <c r="E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>
      <c r="A223">
        <v>0</v>
      </c>
      <c r="B223">
        <v>0</v>
      </c>
      <c r="C223">
        <v>0</v>
      </c>
      <c r="D223">
        <v>0</v>
      </c>
      <c r="E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>
      <c r="A224">
        <v>0</v>
      </c>
      <c r="B224">
        <v>0</v>
      </c>
      <c r="C224">
        <v>0</v>
      </c>
      <c r="D224">
        <v>0</v>
      </c>
      <c r="E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>
      <c r="A225">
        <v>0</v>
      </c>
      <c r="B225">
        <v>0</v>
      </c>
      <c r="C225">
        <v>0</v>
      </c>
      <c r="D225">
        <v>0</v>
      </c>
      <c r="E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>
      <c r="A226">
        <v>0</v>
      </c>
      <c r="B226">
        <v>0</v>
      </c>
      <c r="C226">
        <v>0</v>
      </c>
      <c r="D226">
        <v>0</v>
      </c>
      <c r="E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>
      <c r="A227">
        <v>0</v>
      </c>
      <c r="B227">
        <v>0</v>
      </c>
      <c r="C227">
        <v>0</v>
      </c>
      <c r="D227">
        <v>0</v>
      </c>
      <c r="E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>
      <c r="A228">
        <v>0</v>
      </c>
      <c r="B228">
        <v>0</v>
      </c>
      <c r="C228">
        <v>0</v>
      </c>
      <c r="D228">
        <v>0</v>
      </c>
      <c r="E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>
      <c r="A229">
        <v>0</v>
      </c>
      <c r="B229">
        <v>0</v>
      </c>
      <c r="C229">
        <v>0</v>
      </c>
      <c r="D229">
        <v>0</v>
      </c>
      <c r="E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>
      <c r="A230">
        <v>0</v>
      </c>
      <c r="B230">
        <v>0</v>
      </c>
      <c r="C230">
        <v>0</v>
      </c>
      <c r="D230">
        <v>0</v>
      </c>
      <c r="E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>
      <c r="A231">
        <v>0</v>
      </c>
      <c r="B231">
        <v>0</v>
      </c>
      <c r="C231">
        <v>0</v>
      </c>
      <c r="D231">
        <v>0</v>
      </c>
      <c r="E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>
      <c r="A232">
        <v>0</v>
      </c>
      <c r="B232">
        <v>0</v>
      </c>
      <c r="C232">
        <v>0</v>
      </c>
      <c r="D232">
        <v>0</v>
      </c>
      <c r="E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>
      <c r="A233">
        <v>0</v>
      </c>
      <c r="B233">
        <v>0</v>
      </c>
      <c r="C233">
        <v>0</v>
      </c>
      <c r="D233">
        <v>0</v>
      </c>
      <c r="E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>
      <c r="A234">
        <v>0</v>
      </c>
      <c r="B234">
        <v>0</v>
      </c>
      <c r="C234">
        <v>0</v>
      </c>
      <c r="D234">
        <v>0</v>
      </c>
      <c r="E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>
      <c r="A235">
        <v>0</v>
      </c>
      <c r="B235">
        <v>0</v>
      </c>
      <c r="C235">
        <v>0</v>
      </c>
      <c r="D235">
        <v>0</v>
      </c>
      <c r="E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>
      <c r="A236">
        <v>0</v>
      </c>
      <c r="B236">
        <v>0</v>
      </c>
      <c r="C236">
        <v>0</v>
      </c>
      <c r="D236">
        <v>0</v>
      </c>
      <c r="E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>
      <c r="A237">
        <v>0</v>
      </c>
      <c r="B237">
        <v>0</v>
      </c>
      <c r="C237">
        <v>0</v>
      </c>
      <c r="D237">
        <v>0</v>
      </c>
      <c r="E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>
      <c r="A238">
        <v>0</v>
      </c>
      <c r="B238">
        <v>0</v>
      </c>
      <c r="C238">
        <v>0</v>
      </c>
      <c r="D238">
        <v>0</v>
      </c>
      <c r="E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>
      <c r="A239">
        <v>0</v>
      </c>
      <c r="B239">
        <v>0</v>
      </c>
      <c r="C239">
        <v>0</v>
      </c>
      <c r="D239">
        <v>0</v>
      </c>
      <c r="E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>
      <c r="A240">
        <v>0</v>
      </c>
      <c r="B240">
        <v>0</v>
      </c>
      <c r="C240">
        <v>0</v>
      </c>
      <c r="D240">
        <v>0</v>
      </c>
      <c r="E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>
      <c r="A241">
        <v>0</v>
      </c>
      <c r="B241">
        <v>0</v>
      </c>
      <c r="C241">
        <v>0</v>
      </c>
      <c r="D241">
        <v>0</v>
      </c>
      <c r="E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>
      <c r="A242">
        <v>0</v>
      </c>
      <c r="B242">
        <v>0</v>
      </c>
      <c r="C242">
        <v>0</v>
      </c>
      <c r="D242">
        <v>0</v>
      </c>
      <c r="E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>
      <c r="A243">
        <v>0</v>
      </c>
      <c r="B243">
        <v>0</v>
      </c>
      <c r="C243">
        <v>0</v>
      </c>
      <c r="D243">
        <v>0</v>
      </c>
      <c r="E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>
      <c r="A244">
        <v>0</v>
      </c>
      <c r="B244">
        <v>0</v>
      </c>
      <c r="C244">
        <v>0</v>
      </c>
      <c r="D244">
        <v>0</v>
      </c>
      <c r="E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>
      <c r="A245">
        <v>0</v>
      </c>
      <c r="B245">
        <v>0</v>
      </c>
      <c r="C245">
        <v>0</v>
      </c>
      <c r="D245">
        <v>0</v>
      </c>
      <c r="E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>
      <c r="A246">
        <v>0</v>
      </c>
      <c r="B246">
        <v>0</v>
      </c>
      <c r="C246">
        <v>0</v>
      </c>
      <c r="D246">
        <v>0</v>
      </c>
      <c r="E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>
      <c r="A247">
        <v>0</v>
      </c>
      <c r="B247">
        <v>0</v>
      </c>
      <c r="C247">
        <v>0</v>
      </c>
      <c r="D247">
        <v>0</v>
      </c>
      <c r="E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>
      <c r="A248">
        <v>0</v>
      </c>
      <c r="B248">
        <v>0</v>
      </c>
      <c r="C248">
        <v>0</v>
      </c>
      <c r="D248">
        <v>0</v>
      </c>
      <c r="E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>
      <c r="A249">
        <v>0</v>
      </c>
      <c r="B249">
        <v>0</v>
      </c>
      <c r="C249">
        <v>0</v>
      </c>
      <c r="D249">
        <v>0</v>
      </c>
      <c r="E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>
      <c r="A250">
        <v>0</v>
      </c>
      <c r="B250">
        <v>0</v>
      </c>
      <c r="C250">
        <v>0</v>
      </c>
      <c r="D250">
        <v>0</v>
      </c>
      <c r="E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>
      <c r="A251">
        <v>0</v>
      </c>
      <c r="B251">
        <v>0</v>
      </c>
      <c r="C251">
        <v>0</v>
      </c>
      <c r="D251">
        <v>0</v>
      </c>
      <c r="E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>
      <c r="A252">
        <v>0</v>
      </c>
      <c r="B252">
        <v>0</v>
      </c>
      <c r="C252">
        <v>0</v>
      </c>
      <c r="D252">
        <v>0</v>
      </c>
      <c r="E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>
      <c r="A253">
        <v>0</v>
      </c>
      <c r="B253">
        <v>0</v>
      </c>
      <c r="C253">
        <v>0</v>
      </c>
      <c r="D253">
        <v>0</v>
      </c>
      <c r="E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>
      <c r="A254">
        <v>0</v>
      </c>
      <c r="B254">
        <v>0</v>
      </c>
      <c r="C254">
        <v>0</v>
      </c>
      <c r="D254">
        <v>0</v>
      </c>
      <c r="E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>
      <c r="A255">
        <v>0</v>
      </c>
      <c r="B255">
        <v>0</v>
      </c>
      <c r="C255">
        <v>0</v>
      </c>
      <c r="D255">
        <v>0</v>
      </c>
      <c r="E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>
      <c r="A256">
        <v>0</v>
      </c>
      <c r="B256">
        <v>0</v>
      </c>
      <c r="C256">
        <v>0</v>
      </c>
      <c r="D256">
        <v>0</v>
      </c>
      <c r="E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>
      <c r="A257">
        <v>0</v>
      </c>
      <c r="B257">
        <v>0</v>
      </c>
      <c r="C257">
        <v>0</v>
      </c>
      <c r="D257">
        <v>0</v>
      </c>
      <c r="E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>
      <c r="A258">
        <v>0</v>
      </c>
      <c r="B258">
        <v>0</v>
      </c>
      <c r="C258">
        <v>0</v>
      </c>
      <c r="D258">
        <v>0</v>
      </c>
      <c r="E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>
      <c r="A259">
        <v>0</v>
      </c>
      <c r="B259">
        <v>0</v>
      </c>
      <c r="C259">
        <v>0</v>
      </c>
      <c r="D259">
        <v>0</v>
      </c>
      <c r="E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>
      <c r="A260">
        <v>0</v>
      </c>
      <c r="B260">
        <v>0</v>
      </c>
      <c r="C260">
        <v>0</v>
      </c>
      <c r="D260">
        <v>0</v>
      </c>
      <c r="E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>
      <c r="A261">
        <v>0</v>
      </c>
      <c r="B261">
        <v>0</v>
      </c>
      <c r="C261">
        <v>0</v>
      </c>
      <c r="D261">
        <v>0</v>
      </c>
      <c r="E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>
      <c r="A262">
        <v>0</v>
      </c>
      <c r="B262">
        <v>0</v>
      </c>
      <c r="C262">
        <v>0</v>
      </c>
      <c r="D262">
        <v>0</v>
      </c>
      <c r="E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>
      <c r="A263">
        <v>0</v>
      </c>
      <c r="B263">
        <v>0</v>
      </c>
      <c r="C263">
        <v>0</v>
      </c>
      <c r="D263">
        <v>0</v>
      </c>
      <c r="E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>
      <c r="A264">
        <v>0</v>
      </c>
      <c r="B264">
        <v>0</v>
      </c>
      <c r="C264">
        <v>0</v>
      </c>
      <c r="D264">
        <v>0</v>
      </c>
      <c r="E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>
      <c r="A265">
        <v>0</v>
      </c>
      <c r="B265">
        <v>0</v>
      </c>
      <c r="C265">
        <v>0</v>
      </c>
      <c r="D265">
        <v>0</v>
      </c>
      <c r="E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>
      <c r="A266">
        <v>0</v>
      </c>
      <c r="B266">
        <v>0</v>
      </c>
      <c r="C266">
        <v>0</v>
      </c>
      <c r="D266">
        <v>0</v>
      </c>
      <c r="E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>
      <c r="A267">
        <v>0</v>
      </c>
      <c r="B267">
        <v>0</v>
      </c>
      <c r="C267">
        <v>0</v>
      </c>
      <c r="D267">
        <v>0</v>
      </c>
      <c r="E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>
      <c r="A268">
        <v>0</v>
      </c>
      <c r="B268">
        <v>0</v>
      </c>
      <c r="C268">
        <v>0</v>
      </c>
      <c r="D268">
        <v>0</v>
      </c>
      <c r="E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>
      <c r="A269">
        <v>0</v>
      </c>
      <c r="B269">
        <v>0</v>
      </c>
      <c r="C269">
        <v>0</v>
      </c>
      <c r="D269">
        <v>0</v>
      </c>
      <c r="E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>
      <c r="A270">
        <v>0</v>
      </c>
      <c r="B270">
        <v>0</v>
      </c>
      <c r="C270">
        <v>0</v>
      </c>
      <c r="D270">
        <v>0</v>
      </c>
      <c r="E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>
      <c r="A271">
        <v>0</v>
      </c>
      <c r="B271">
        <v>0</v>
      </c>
      <c r="C271">
        <v>0</v>
      </c>
      <c r="D271">
        <v>0</v>
      </c>
      <c r="E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>
      <c r="A272">
        <v>0</v>
      </c>
      <c r="B272">
        <v>0</v>
      </c>
      <c r="C272">
        <v>0</v>
      </c>
      <c r="D272">
        <v>0</v>
      </c>
      <c r="E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>
      <c r="A273">
        <v>0</v>
      </c>
      <c r="B273">
        <v>0</v>
      </c>
      <c r="C273">
        <v>0</v>
      </c>
      <c r="D273">
        <v>0</v>
      </c>
      <c r="E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>
      <c r="A274">
        <v>0</v>
      </c>
      <c r="B274">
        <v>0</v>
      </c>
      <c r="C274">
        <v>0</v>
      </c>
      <c r="D274">
        <v>0</v>
      </c>
      <c r="E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>
      <c r="A275">
        <v>0</v>
      </c>
      <c r="B275">
        <v>0</v>
      </c>
      <c r="C275">
        <v>0</v>
      </c>
      <c r="D275">
        <v>0</v>
      </c>
      <c r="E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>
      <c r="A276">
        <v>0</v>
      </c>
      <c r="B276">
        <v>0</v>
      </c>
      <c r="C276">
        <v>0</v>
      </c>
      <c r="D276">
        <v>0</v>
      </c>
      <c r="E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>
      <c r="A277">
        <v>0</v>
      </c>
      <c r="B277">
        <v>0</v>
      </c>
      <c r="C277">
        <v>0</v>
      </c>
      <c r="D277">
        <v>0</v>
      </c>
      <c r="E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>
      <c r="A278">
        <v>0</v>
      </c>
      <c r="B278">
        <v>0</v>
      </c>
      <c r="C278">
        <v>0</v>
      </c>
      <c r="D278">
        <v>0</v>
      </c>
      <c r="E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>
      <c r="A279">
        <v>0</v>
      </c>
      <c r="B279">
        <v>0</v>
      </c>
      <c r="C279">
        <v>0</v>
      </c>
      <c r="D279">
        <v>0</v>
      </c>
      <c r="E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>
      <c r="A280">
        <v>0</v>
      </c>
      <c r="B280">
        <v>0</v>
      </c>
      <c r="C280">
        <v>0</v>
      </c>
      <c r="D280">
        <v>0</v>
      </c>
      <c r="E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>
      <c r="A281">
        <v>0</v>
      </c>
      <c r="B281">
        <v>0</v>
      </c>
      <c r="C281">
        <v>0</v>
      </c>
      <c r="D281">
        <v>0</v>
      </c>
      <c r="E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>
      <c r="A282">
        <v>0</v>
      </c>
      <c r="B282">
        <v>0</v>
      </c>
      <c r="C282">
        <v>0</v>
      </c>
      <c r="D282">
        <v>0</v>
      </c>
      <c r="E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>
      <c r="A283">
        <v>0</v>
      </c>
      <c r="B283">
        <v>0</v>
      </c>
      <c r="C283">
        <v>0</v>
      </c>
      <c r="D283">
        <v>0</v>
      </c>
      <c r="E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>
      <c r="A284">
        <v>0</v>
      </c>
      <c r="B284">
        <v>0</v>
      </c>
      <c r="C284">
        <v>0</v>
      </c>
      <c r="D284">
        <v>0</v>
      </c>
      <c r="E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>
      <c r="A285">
        <v>0</v>
      </c>
      <c r="B285">
        <v>0</v>
      </c>
      <c r="C285">
        <v>0</v>
      </c>
      <c r="D285">
        <v>0</v>
      </c>
      <c r="E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>
      <c r="A286">
        <v>0</v>
      </c>
      <c r="B286">
        <v>0</v>
      </c>
      <c r="C286">
        <v>0</v>
      </c>
      <c r="D286">
        <v>0</v>
      </c>
      <c r="E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>
      <c r="A287">
        <v>0</v>
      </c>
      <c r="B287">
        <v>0</v>
      </c>
      <c r="C287">
        <v>0</v>
      </c>
      <c r="D287">
        <v>0</v>
      </c>
      <c r="E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>
      <c r="A288">
        <v>0</v>
      </c>
      <c r="B288">
        <v>0</v>
      </c>
      <c r="C288">
        <v>0</v>
      </c>
      <c r="D288">
        <v>0</v>
      </c>
      <c r="E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>
      <c r="A289">
        <v>0</v>
      </c>
      <c r="B289">
        <v>0</v>
      </c>
      <c r="C289">
        <v>0</v>
      </c>
      <c r="D289">
        <v>0</v>
      </c>
      <c r="E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>
      <c r="A290">
        <v>0</v>
      </c>
      <c r="B290">
        <v>0</v>
      </c>
      <c r="C290">
        <v>0</v>
      </c>
      <c r="D290">
        <v>0</v>
      </c>
      <c r="E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>
      <c r="A291">
        <v>0</v>
      </c>
      <c r="B291">
        <v>0</v>
      </c>
      <c r="C291">
        <v>0</v>
      </c>
      <c r="D291">
        <v>0</v>
      </c>
      <c r="E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>
      <c r="A292">
        <v>0</v>
      </c>
      <c r="B292">
        <v>0</v>
      </c>
      <c r="C292">
        <v>0</v>
      </c>
      <c r="D292">
        <v>0</v>
      </c>
      <c r="E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>
      <c r="A293">
        <v>0</v>
      </c>
      <c r="B293">
        <v>0</v>
      </c>
      <c r="C293">
        <v>0</v>
      </c>
      <c r="D293">
        <v>0</v>
      </c>
      <c r="E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>
      <c r="A294">
        <v>0</v>
      </c>
      <c r="B294">
        <v>0</v>
      </c>
      <c r="C294">
        <v>0</v>
      </c>
      <c r="D294">
        <v>0</v>
      </c>
      <c r="E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>
      <c r="A295">
        <v>0</v>
      </c>
      <c r="B295">
        <v>0</v>
      </c>
      <c r="C295">
        <v>0</v>
      </c>
      <c r="D295">
        <v>0</v>
      </c>
      <c r="E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>
      <c r="A296">
        <v>0</v>
      </c>
      <c r="B296">
        <v>0</v>
      </c>
      <c r="C296">
        <v>0</v>
      </c>
      <c r="D296">
        <v>0</v>
      </c>
      <c r="E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>
      <c r="A297">
        <v>0</v>
      </c>
      <c r="B297">
        <v>0</v>
      </c>
      <c r="C297">
        <v>0</v>
      </c>
      <c r="D297">
        <v>0</v>
      </c>
      <c r="E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>
      <c r="A298">
        <v>0</v>
      </c>
      <c r="B298">
        <v>0</v>
      </c>
      <c r="C298">
        <v>0</v>
      </c>
      <c r="D298">
        <v>0</v>
      </c>
      <c r="E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>
      <c r="A299">
        <v>0</v>
      </c>
      <c r="B299">
        <v>0</v>
      </c>
      <c r="C299">
        <v>0</v>
      </c>
      <c r="D299">
        <v>0</v>
      </c>
      <c r="E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>
      <c r="A300">
        <v>0</v>
      </c>
      <c r="B300">
        <v>0</v>
      </c>
      <c r="C300">
        <v>0</v>
      </c>
      <c r="D300">
        <v>0</v>
      </c>
      <c r="E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>
      <c r="A301">
        <v>0</v>
      </c>
      <c r="B301">
        <v>0</v>
      </c>
      <c r="C301">
        <v>0</v>
      </c>
      <c r="D301">
        <v>0</v>
      </c>
      <c r="E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>
      <c r="A302">
        <v>0</v>
      </c>
      <c r="B302">
        <v>0</v>
      </c>
      <c r="C302">
        <v>0</v>
      </c>
      <c r="D302">
        <v>0</v>
      </c>
      <c r="E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>
      <c r="A303">
        <v>0</v>
      </c>
      <c r="B303">
        <v>0</v>
      </c>
      <c r="C303">
        <v>0</v>
      </c>
      <c r="D303">
        <v>0</v>
      </c>
      <c r="E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>
      <c r="A304">
        <v>0</v>
      </c>
      <c r="B304">
        <v>0</v>
      </c>
      <c r="C304">
        <v>0</v>
      </c>
      <c r="D304">
        <v>0</v>
      </c>
      <c r="E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>
      <c r="A305">
        <v>0</v>
      </c>
      <c r="B305">
        <v>0</v>
      </c>
      <c r="C305">
        <v>0</v>
      </c>
      <c r="D305">
        <v>0</v>
      </c>
      <c r="E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>
      <c r="A306">
        <v>0</v>
      </c>
      <c r="B306">
        <v>0</v>
      </c>
      <c r="C306">
        <v>0</v>
      </c>
      <c r="D306">
        <v>0</v>
      </c>
      <c r="E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>
      <c r="A307">
        <v>0</v>
      </c>
      <c r="B307">
        <v>0</v>
      </c>
      <c r="C307">
        <v>0</v>
      </c>
      <c r="D307">
        <v>0</v>
      </c>
      <c r="E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>
      <c r="A308">
        <v>0</v>
      </c>
      <c r="B308">
        <v>0</v>
      </c>
      <c r="C308">
        <v>0</v>
      </c>
      <c r="D308">
        <v>0</v>
      </c>
      <c r="E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</sheetData>
  <sortState xmlns:xlrd2="http://schemas.microsoft.com/office/spreadsheetml/2017/richdata2" ref="AA4:AG51">
    <sortCondition ref="AE4:AE51"/>
    <sortCondition ref="AD4:AD51"/>
    <sortCondition ref="AC4:AC51"/>
  </sortState>
  <mergeCells count="3">
    <mergeCell ref="A1:E1"/>
    <mergeCell ref="G1:K1"/>
    <mergeCell ref="M1:Q1"/>
  </mergeCells>
  <conditionalFormatting sqref="E1:E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F1A0-D0CA-4671-9613-4364DFF96E0B}">
  <dimension ref="A1:AF212"/>
  <sheetViews>
    <sheetView zoomScale="85" zoomScaleNormal="85" workbookViewId="0">
      <selection activeCell="AB4" sqref="AB4:AF75"/>
    </sheetView>
  </sheetViews>
  <sheetFormatPr defaultRowHeight="15"/>
  <cols>
    <col min="5" max="5" width="16.42578125" bestFit="1" customWidth="1"/>
    <col min="11" max="11" width="16.42578125" bestFit="1" customWidth="1"/>
    <col min="17" max="17" width="16.42578125" bestFit="1" customWidth="1"/>
  </cols>
  <sheetData>
    <row r="1" spans="1:32">
      <c r="A1" s="82" t="s">
        <v>100</v>
      </c>
      <c r="B1" s="82"/>
      <c r="C1" s="82"/>
      <c r="D1" s="82"/>
      <c r="E1" s="82"/>
      <c r="G1" s="82" t="s">
        <v>114</v>
      </c>
      <c r="H1" s="82"/>
      <c r="I1" s="82"/>
      <c r="J1" s="82"/>
      <c r="K1" s="82"/>
      <c r="M1" s="82" t="s">
        <v>177</v>
      </c>
      <c r="N1" s="82"/>
      <c r="O1" s="82"/>
      <c r="P1" s="82"/>
      <c r="Q1" s="82"/>
    </row>
    <row r="2" spans="1:32">
      <c r="A2" s="44">
        <f>INDEX(A4:A500,MATCH(MAX(E4:E500),E4:E500,0))</f>
        <v>40160</v>
      </c>
      <c r="B2" s="44">
        <f>INDEX(B4:B500,MATCH(MAX(E4:E500),E4:E500,0))</f>
        <v>160</v>
      </c>
      <c r="C2" s="44">
        <f>INDEX(C4:C500,MATCH(MAX(E4:E500),E4:E500,0))</f>
        <v>4</v>
      </c>
      <c r="D2" s="44">
        <f>INDEX(D4:D500,MATCH(MAX(E4:E500),E4:E500,0))</f>
        <v>4</v>
      </c>
      <c r="E2" s="30">
        <f>MAX(E4:E500)</f>
        <v>41.390200000000007</v>
      </c>
      <c r="G2" s="44">
        <f>INDEX(G4:G500,MATCH(MAX(K4:K500),K4:K500,0))</f>
        <v>40064</v>
      </c>
      <c r="H2" s="44">
        <f>INDEX(H4:H500,MATCH(MAX(K4:K500),K4:K500,0))</f>
        <v>128</v>
      </c>
      <c r="I2" s="44">
        <f>INDEX(I4:I500,MATCH(MAX(K4:K500),K4:K500,0))</f>
        <v>2</v>
      </c>
      <c r="J2" s="44">
        <f>INDEX(J4:J500,MATCH(MAX(K4:K500),K4:K500,0))</f>
        <v>8</v>
      </c>
      <c r="K2" s="30">
        <f>MAX(K4:K500)</f>
        <v>45.218400000000003</v>
      </c>
      <c r="M2" s="44">
        <f>INDEX(M4:M500,MATCH(MAX(Q4:Q500),Q4:Q500,0))</f>
        <v>40064</v>
      </c>
      <c r="N2" s="44">
        <f>INDEX(N4:N500,MATCH(MAX(Q4:Q500),Q4:Q500,0))</f>
        <v>128</v>
      </c>
      <c r="O2" s="44">
        <f>INDEX(O4:O500,MATCH(MAX(Q4:Q500),Q4:Q500,0))</f>
        <v>1</v>
      </c>
      <c r="P2" s="44">
        <f>INDEX(P4:P500,MATCH(MAX(Q4:Q500),Q4:Q500,0))</f>
        <v>16</v>
      </c>
      <c r="Q2" s="30">
        <f>MAX(Q4:Q500)</f>
        <v>35.224000000000004</v>
      </c>
    </row>
    <row r="3" spans="1:32">
      <c r="A3" s="39" t="s">
        <v>1</v>
      </c>
      <c r="B3" s="39" t="s">
        <v>2</v>
      </c>
      <c r="C3" s="39" t="s">
        <v>3</v>
      </c>
      <c r="D3" s="44" t="s">
        <v>4</v>
      </c>
      <c r="E3" s="39" t="s">
        <v>113</v>
      </c>
      <c r="G3" s="39" t="s">
        <v>1</v>
      </c>
      <c r="H3" s="39" t="s">
        <v>2</v>
      </c>
      <c r="I3" s="39" t="s">
        <v>3</v>
      </c>
      <c r="J3" s="44" t="s">
        <v>4</v>
      </c>
      <c r="K3" s="39" t="s">
        <v>113</v>
      </c>
      <c r="M3" s="39" t="s">
        <v>1</v>
      </c>
      <c r="N3" s="39" t="s">
        <v>2</v>
      </c>
      <c r="O3" s="39" t="s">
        <v>3</v>
      </c>
      <c r="P3" s="44" t="s">
        <v>4</v>
      </c>
      <c r="Q3" s="39" t="s">
        <v>113</v>
      </c>
      <c r="T3" t="s">
        <v>1</v>
      </c>
      <c r="V3" t="s">
        <v>2</v>
      </c>
      <c r="W3" t="s">
        <v>3</v>
      </c>
      <c r="X3" t="s">
        <v>4</v>
      </c>
      <c r="Y3" t="s">
        <v>113</v>
      </c>
      <c r="AA3" t="s">
        <v>1</v>
      </c>
      <c r="AC3" t="s">
        <v>2</v>
      </c>
      <c r="AD3" t="s">
        <v>3</v>
      </c>
      <c r="AE3" t="s">
        <v>4</v>
      </c>
      <c r="AF3" t="s">
        <v>113</v>
      </c>
    </row>
    <row r="4" spans="1:32">
      <c r="A4" cm="1">
        <f t="array" ref="A4:E212">_xlfn.CHOOSECOLS(_xlfn._xlws.FILTER('4 node, params, RAW'!A4:W500,'4 node, params, RAW'!A4:A500=0),3,4,5,6,23)</f>
        <v>36000</v>
      </c>
      <c r="B4">
        <v>32</v>
      </c>
      <c r="C4">
        <v>1</v>
      </c>
      <c r="D4">
        <v>16</v>
      </c>
      <c r="E4">
        <v>25.883199999999999</v>
      </c>
      <c r="G4" cm="1">
        <f t="array" ref="G4:K212">_xlfn.CHOOSECOLS(_xlfn._xlws.FILTER('4 node, params, RAW'!Y4:AU500,'4 node, params, RAW'!Y4:Y500=0),3,4,5,6,23)</f>
        <v>36000</v>
      </c>
      <c r="H4">
        <v>32</v>
      </c>
      <c r="I4">
        <v>1</v>
      </c>
      <c r="J4">
        <v>16</v>
      </c>
      <c r="K4">
        <v>28.092000000000002</v>
      </c>
      <c r="M4" cm="1">
        <f t="array" ref="M4:Q134">_xlfn.CHOOSECOLS(_xlfn._xlws.FILTER('4 node, params, RAW'!AW4:BS426,'4 node, params, RAW'!AW4:AW426=0),3,4,5,6,23)</f>
        <v>36000</v>
      </c>
      <c r="N4">
        <v>32</v>
      </c>
      <c r="O4">
        <v>1</v>
      </c>
      <c r="P4">
        <v>16</v>
      </c>
      <c r="Q4">
        <v>23.752600000000001</v>
      </c>
      <c r="T4">
        <v>36000</v>
      </c>
      <c r="U4">
        <f>IF(ABS(T4-36000)&lt;ABS(T4-38080),IF(ABS(T4-36000)&lt;ABS(T4-40160),36000,40160),IF(ABS(T4-38080)&lt;ABS(T4-40160),38080,40160))</f>
        <v>36000</v>
      </c>
      <c r="V4">
        <v>32</v>
      </c>
      <c r="W4">
        <v>1</v>
      </c>
      <c r="X4">
        <v>16</v>
      </c>
      <c r="Y4">
        <v>25.883199999999999</v>
      </c>
      <c r="AA4">
        <v>36000</v>
      </c>
      <c r="AB4">
        <f>IF(ABS(AA4-36000)&lt;ABS(AA4-38080),IF(ABS(AA4-36000)&lt;ABS(AA4-40160),36000,40160),IF(ABS(AA4-38080)&lt;ABS(AA4-40160),38080,40160))</f>
        <v>36000</v>
      </c>
      <c r="AC4">
        <v>32</v>
      </c>
      <c r="AD4">
        <v>1</v>
      </c>
      <c r="AE4">
        <v>16</v>
      </c>
      <c r="AF4">
        <v>28.092000000000002</v>
      </c>
    </row>
    <row r="5" spans="1:32">
      <c r="A5">
        <v>38080</v>
      </c>
      <c r="B5">
        <v>32</v>
      </c>
      <c r="C5">
        <v>1</v>
      </c>
      <c r="D5">
        <v>16</v>
      </c>
      <c r="E5">
        <v>25.642000000000003</v>
      </c>
      <c r="G5">
        <v>38080</v>
      </c>
      <c r="H5">
        <v>32</v>
      </c>
      <c r="I5">
        <v>1</v>
      </c>
      <c r="J5">
        <v>16</v>
      </c>
      <c r="K5">
        <v>27.536999999999999</v>
      </c>
      <c r="M5">
        <v>38080</v>
      </c>
      <c r="N5">
        <v>32</v>
      </c>
      <c r="O5">
        <v>1</v>
      </c>
      <c r="P5">
        <v>16</v>
      </c>
      <c r="Q5">
        <v>23.735599999999998</v>
      </c>
      <c r="T5">
        <v>38080</v>
      </c>
      <c r="U5">
        <f t="shared" ref="U5:U68" si="0">IF(ABS(T5-36000)&lt;ABS(T5-38080),IF(ABS(T5-36000)&lt;ABS(T5-40160),36000,40160),IF(ABS(T5-38080)&lt;ABS(T5-40160),38080,40160))</f>
        <v>38080</v>
      </c>
      <c r="V5">
        <v>32</v>
      </c>
      <c r="W5">
        <v>1</v>
      </c>
      <c r="X5">
        <v>16</v>
      </c>
      <c r="Y5">
        <v>25.642000000000003</v>
      </c>
      <c r="AA5">
        <v>38080</v>
      </c>
      <c r="AB5">
        <f t="shared" ref="AB5:AB68" si="1">IF(ABS(AA5-36000)&lt;ABS(AA5-38080),IF(ABS(AA5-36000)&lt;ABS(AA5-40160),36000,40160),IF(ABS(AA5-38080)&lt;ABS(AA5-40160),38080,40160))</f>
        <v>38080</v>
      </c>
      <c r="AC5">
        <v>32</v>
      </c>
      <c r="AD5">
        <v>1</v>
      </c>
      <c r="AE5">
        <v>16</v>
      </c>
      <c r="AF5">
        <v>27.536999999999999</v>
      </c>
    </row>
    <row r="6" spans="1:32">
      <c r="A6">
        <v>40160</v>
      </c>
      <c r="B6">
        <v>32</v>
      </c>
      <c r="C6">
        <v>1</v>
      </c>
      <c r="D6">
        <v>16</v>
      </c>
      <c r="E6">
        <v>25.820999999999998</v>
      </c>
      <c r="G6">
        <v>40160</v>
      </c>
      <c r="H6">
        <v>32</v>
      </c>
      <c r="I6">
        <v>1</v>
      </c>
      <c r="J6">
        <v>16</v>
      </c>
      <c r="K6">
        <v>28.027800000000003</v>
      </c>
      <c r="M6">
        <v>40160</v>
      </c>
      <c r="N6">
        <v>32</v>
      </c>
      <c r="O6">
        <v>1</v>
      </c>
      <c r="P6">
        <v>16</v>
      </c>
      <c r="Q6">
        <v>24.372999999999998</v>
      </c>
      <c r="T6">
        <v>40160</v>
      </c>
      <c r="U6">
        <f t="shared" si="0"/>
        <v>40160</v>
      </c>
      <c r="V6">
        <v>32</v>
      </c>
      <c r="W6">
        <v>1</v>
      </c>
      <c r="X6">
        <v>16</v>
      </c>
      <c r="Y6">
        <v>25.820999999999998</v>
      </c>
      <c r="AA6">
        <v>40160</v>
      </c>
      <c r="AB6">
        <f t="shared" si="1"/>
        <v>40160</v>
      </c>
      <c r="AC6">
        <v>32</v>
      </c>
      <c r="AD6">
        <v>1</v>
      </c>
      <c r="AE6">
        <v>16</v>
      </c>
      <c r="AF6">
        <v>28.027800000000003</v>
      </c>
    </row>
    <row r="7" spans="1:32">
      <c r="A7">
        <v>36000</v>
      </c>
      <c r="B7">
        <v>32</v>
      </c>
      <c r="C7">
        <v>2</v>
      </c>
      <c r="D7">
        <v>8</v>
      </c>
      <c r="E7">
        <v>26.306399999999996</v>
      </c>
      <c r="G7">
        <v>36000</v>
      </c>
      <c r="H7">
        <v>32</v>
      </c>
      <c r="I7">
        <v>2</v>
      </c>
      <c r="J7">
        <v>8</v>
      </c>
      <c r="K7">
        <v>27.536399999999997</v>
      </c>
      <c r="M7">
        <v>36000</v>
      </c>
      <c r="N7">
        <v>32</v>
      </c>
      <c r="O7">
        <v>2</v>
      </c>
      <c r="P7">
        <v>8</v>
      </c>
      <c r="Q7">
        <v>22.455400000000004</v>
      </c>
      <c r="T7">
        <v>36000</v>
      </c>
      <c r="U7">
        <f t="shared" si="0"/>
        <v>36000</v>
      </c>
      <c r="V7">
        <v>32</v>
      </c>
      <c r="W7">
        <v>2</v>
      </c>
      <c r="X7">
        <v>8</v>
      </c>
      <c r="Y7">
        <v>26.306399999999996</v>
      </c>
      <c r="AA7">
        <v>36000</v>
      </c>
      <c r="AB7">
        <f t="shared" si="1"/>
        <v>36000</v>
      </c>
      <c r="AC7">
        <v>32</v>
      </c>
      <c r="AD7">
        <v>2</v>
      </c>
      <c r="AE7">
        <v>8</v>
      </c>
      <c r="AF7">
        <v>27.536399999999997</v>
      </c>
    </row>
    <row r="8" spans="1:32">
      <c r="A8">
        <v>38080</v>
      </c>
      <c r="B8">
        <v>32</v>
      </c>
      <c r="C8">
        <v>2</v>
      </c>
      <c r="D8">
        <v>8</v>
      </c>
      <c r="E8">
        <v>27.111599999999999</v>
      </c>
      <c r="G8">
        <v>38080</v>
      </c>
      <c r="H8">
        <v>32</v>
      </c>
      <c r="I8">
        <v>2</v>
      </c>
      <c r="J8">
        <v>8</v>
      </c>
      <c r="K8">
        <v>29.197800000000001</v>
      </c>
      <c r="M8">
        <v>38080</v>
      </c>
      <c r="N8">
        <v>32</v>
      </c>
      <c r="O8">
        <v>2</v>
      </c>
      <c r="P8">
        <v>8</v>
      </c>
      <c r="Q8">
        <v>23.872</v>
      </c>
      <c r="T8">
        <v>38080</v>
      </c>
      <c r="U8">
        <f t="shared" si="0"/>
        <v>38080</v>
      </c>
      <c r="V8">
        <v>32</v>
      </c>
      <c r="W8">
        <v>2</v>
      </c>
      <c r="X8">
        <v>8</v>
      </c>
      <c r="Y8">
        <v>27.111599999999999</v>
      </c>
      <c r="AA8">
        <v>38080</v>
      </c>
      <c r="AB8">
        <f t="shared" si="1"/>
        <v>38080</v>
      </c>
      <c r="AC8">
        <v>32</v>
      </c>
      <c r="AD8">
        <v>2</v>
      </c>
      <c r="AE8">
        <v>8</v>
      </c>
      <c r="AF8">
        <v>29.197800000000001</v>
      </c>
    </row>
    <row r="9" spans="1:32">
      <c r="A9">
        <v>40160</v>
      </c>
      <c r="B9">
        <v>32</v>
      </c>
      <c r="C9">
        <v>2</v>
      </c>
      <c r="D9">
        <v>8</v>
      </c>
      <c r="E9">
        <v>26.947600000000001</v>
      </c>
      <c r="G9">
        <v>40160</v>
      </c>
      <c r="H9">
        <v>32</v>
      </c>
      <c r="I9">
        <v>2</v>
      </c>
      <c r="J9">
        <v>8</v>
      </c>
      <c r="K9">
        <v>28.695800000000002</v>
      </c>
      <c r="M9">
        <v>40160</v>
      </c>
      <c r="N9">
        <v>32</v>
      </c>
      <c r="O9">
        <v>2</v>
      </c>
      <c r="P9">
        <v>8</v>
      </c>
      <c r="Q9">
        <v>23.959799999999998</v>
      </c>
      <c r="T9">
        <v>40160</v>
      </c>
      <c r="U9">
        <f t="shared" si="0"/>
        <v>40160</v>
      </c>
      <c r="V9">
        <v>32</v>
      </c>
      <c r="W9">
        <v>2</v>
      </c>
      <c r="X9">
        <v>8</v>
      </c>
      <c r="Y9">
        <v>26.947600000000001</v>
      </c>
      <c r="AA9">
        <v>40160</v>
      </c>
      <c r="AB9">
        <f t="shared" si="1"/>
        <v>40160</v>
      </c>
      <c r="AC9">
        <v>32</v>
      </c>
      <c r="AD9">
        <v>2</v>
      </c>
      <c r="AE9">
        <v>8</v>
      </c>
      <c r="AF9">
        <v>28.695800000000002</v>
      </c>
    </row>
    <row r="10" spans="1:32">
      <c r="A10">
        <v>36000</v>
      </c>
      <c r="B10">
        <v>32</v>
      </c>
      <c r="C10">
        <v>4</v>
      </c>
      <c r="D10">
        <v>4</v>
      </c>
      <c r="E10">
        <v>25.848399999999998</v>
      </c>
      <c r="G10">
        <v>36000</v>
      </c>
      <c r="H10">
        <v>32</v>
      </c>
      <c r="I10">
        <v>4</v>
      </c>
      <c r="J10">
        <v>4</v>
      </c>
      <c r="K10">
        <v>27.448599999999999</v>
      </c>
      <c r="M10">
        <v>36000</v>
      </c>
      <c r="N10">
        <v>32</v>
      </c>
      <c r="O10">
        <v>4</v>
      </c>
      <c r="P10">
        <v>4</v>
      </c>
      <c r="Q10">
        <v>22.3202</v>
      </c>
      <c r="T10">
        <v>36000</v>
      </c>
      <c r="U10">
        <f t="shared" si="0"/>
        <v>36000</v>
      </c>
      <c r="V10">
        <v>32</v>
      </c>
      <c r="W10">
        <v>4</v>
      </c>
      <c r="X10">
        <v>4</v>
      </c>
      <c r="Y10">
        <v>25.848399999999998</v>
      </c>
      <c r="AA10">
        <v>36000</v>
      </c>
      <c r="AB10">
        <f t="shared" si="1"/>
        <v>36000</v>
      </c>
      <c r="AC10">
        <v>32</v>
      </c>
      <c r="AD10">
        <v>4</v>
      </c>
      <c r="AE10">
        <v>4</v>
      </c>
      <c r="AF10">
        <v>27.448599999999999</v>
      </c>
    </row>
    <row r="11" spans="1:32">
      <c r="A11">
        <v>38080</v>
      </c>
      <c r="B11">
        <v>32</v>
      </c>
      <c r="C11">
        <v>4</v>
      </c>
      <c r="D11">
        <v>4</v>
      </c>
      <c r="E11">
        <v>26.345799999999997</v>
      </c>
      <c r="G11">
        <v>38080</v>
      </c>
      <c r="H11">
        <v>32</v>
      </c>
      <c r="I11">
        <v>4</v>
      </c>
      <c r="J11">
        <v>4</v>
      </c>
      <c r="K11">
        <v>27.963999999999999</v>
      </c>
      <c r="M11">
        <v>38080</v>
      </c>
      <c r="N11">
        <v>32</v>
      </c>
      <c r="O11">
        <v>4</v>
      </c>
      <c r="P11">
        <v>4</v>
      </c>
      <c r="Q11">
        <v>22.964199999999998</v>
      </c>
      <c r="T11">
        <v>38080</v>
      </c>
      <c r="U11">
        <f t="shared" si="0"/>
        <v>38080</v>
      </c>
      <c r="V11">
        <v>32</v>
      </c>
      <c r="W11">
        <v>4</v>
      </c>
      <c r="X11">
        <v>4</v>
      </c>
      <c r="Y11">
        <v>26.345799999999997</v>
      </c>
      <c r="AA11">
        <v>38080</v>
      </c>
      <c r="AB11">
        <f t="shared" si="1"/>
        <v>38080</v>
      </c>
      <c r="AC11">
        <v>32</v>
      </c>
      <c r="AD11">
        <v>4</v>
      </c>
      <c r="AE11">
        <v>4</v>
      </c>
      <c r="AF11">
        <v>27.963999999999999</v>
      </c>
    </row>
    <row r="12" spans="1:32">
      <c r="A12">
        <v>40160</v>
      </c>
      <c r="B12">
        <v>32</v>
      </c>
      <c r="C12">
        <v>4</v>
      </c>
      <c r="D12">
        <v>4</v>
      </c>
      <c r="E12">
        <v>26.1692</v>
      </c>
      <c r="G12">
        <v>40160</v>
      </c>
      <c r="H12">
        <v>32</v>
      </c>
      <c r="I12">
        <v>4</v>
      </c>
      <c r="J12">
        <v>4</v>
      </c>
      <c r="K12">
        <v>27.548999999999999</v>
      </c>
      <c r="M12">
        <v>40160</v>
      </c>
      <c r="N12">
        <v>32</v>
      </c>
      <c r="O12">
        <v>4</v>
      </c>
      <c r="P12">
        <v>4</v>
      </c>
      <c r="Q12">
        <v>22.979000000000003</v>
      </c>
      <c r="T12">
        <v>40160</v>
      </c>
      <c r="U12">
        <f t="shared" si="0"/>
        <v>40160</v>
      </c>
      <c r="V12">
        <v>32</v>
      </c>
      <c r="W12">
        <v>4</v>
      </c>
      <c r="X12">
        <v>4</v>
      </c>
      <c r="Y12">
        <v>26.1692</v>
      </c>
      <c r="AA12">
        <v>40160</v>
      </c>
      <c r="AB12">
        <f t="shared" si="1"/>
        <v>40160</v>
      </c>
      <c r="AC12">
        <v>32</v>
      </c>
      <c r="AD12">
        <v>4</v>
      </c>
      <c r="AE12">
        <v>4</v>
      </c>
      <c r="AF12">
        <v>27.548999999999999</v>
      </c>
    </row>
    <row r="13" spans="1:32">
      <c r="A13">
        <v>35968</v>
      </c>
      <c r="B13">
        <v>64</v>
      </c>
      <c r="C13">
        <v>1</v>
      </c>
      <c r="D13">
        <v>16</v>
      </c>
      <c r="E13">
        <v>36.826200000000007</v>
      </c>
      <c r="G13">
        <v>35968</v>
      </c>
      <c r="H13">
        <v>64</v>
      </c>
      <c r="I13">
        <v>1</v>
      </c>
      <c r="J13">
        <v>16</v>
      </c>
      <c r="K13">
        <v>39.628399999999999</v>
      </c>
      <c r="M13">
        <v>35968</v>
      </c>
      <c r="N13">
        <v>64</v>
      </c>
      <c r="O13">
        <v>1</v>
      </c>
      <c r="P13">
        <v>16</v>
      </c>
      <c r="Q13">
        <v>31.945999999999998</v>
      </c>
      <c r="T13">
        <v>35968</v>
      </c>
      <c r="U13">
        <f t="shared" si="0"/>
        <v>36000</v>
      </c>
      <c r="V13">
        <v>64</v>
      </c>
      <c r="W13">
        <v>1</v>
      </c>
      <c r="X13">
        <v>16</v>
      </c>
      <c r="Y13">
        <v>36.826200000000007</v>
      </c>
      <c r="AA13">
        <v>35968</v>
      </c>
      <c r="AB13">
        <f t="shared" si="1"/>
        <v>36000</v>
      </c>
      <c r="AC13">
        <v>64</v>
      </c>
      <c r="AD13">
        <v>1</v>
      </c>
      <c r="AE13">
        <v>16</v>
      </c>
      <c r="AF13">
        <v>39.628399999999999</v>
      </c>
    </row>
    <row r="14" spans="1:32">
      <c r="A14">
        <v>38080</v>
      </c>
      <c r="B14">
        <v>64</v>
      </c>
      <c r="C14">
        <v>1</v>
      </c>
      <c r="D14">
        <v>16</v>
      </c>
      <c r="E14">
        <v>37.024999999999999</v>
      </c>
      <c r="G14">
        <v>38080</v>
      </c>
      <c r="H14">
        <v>64</v>
      </c>
      <c r="I14">
        <v>1</v>
      </c>
      <c r="J14">
        <v>16</v>
      </c>
      <c r="K14">
        <v>39.834199999999996</v>
      </c>
      <c r="M14">
        <v>38080</v>
      </c>
      <c r="N14">
        <v>64</v>
      </c>
      <c r="O14">
        <v>1</v>
      </c>
      <c r="P14">
        <v>16</v>
      </c>
      <c r="Q14">
        <v>32.564399999999999</v>
      </c>
      <c r="T14">
        <v>38080</v>
      </c>
      <c r="U14">
        <f t="shared" si="0"/>
        <v>38080</v>
      </c>
      <c r="V14">
        <v>64</v>
      </c>
      <c r="W14">
        <v>1</v>
      </c>
      <c r="X14">
        <v>16</v>
      </c>
      <c r="Y14">
        <v>37.024999999999999</v>
      </c>
      <c r="AA14">
        <v>38080</v>
      </c>
      <c r="AB14">
        <f t="shared" si="1"/>
        <v>38080</v>
      </c>
      <c r="AC14">
        <v>64</v>
      </c>
      <c r="AD14">
        <v>1</v>
      </c>
      <c r="AE14">
        <v>16</v>
      </c>
      <c r="AF14">
        <v>39.834199999999996</v>
      </c>
    </row>
    <row r="15" spans="1:32">
      <c r="A15">
        <v>40128</v>
      </c>
      <c r="B15">
        <v>64</v>
      </c>
      <c r="C15">
        <v>1</v>
      </c>
      <c r="D15">
        <v>16</v>
      </c>
      <c r="E15">
        <v>37.244</v>
      </c>
      <c r="G15">
        <v>40128</v>
      </c>
      <c r="H15">
        <v>64</v>
      </c>
      <c r="I15">
        <v>1</v>
      </c>
      <c r="J15">
        <v>16</v>
      </c>
      <c r="K15">
        <v>40.449800000000003</v>
      </c>
      <c r="M15">
        <v>40128</v>
      </c>
      <c r="N15">
        <v>64</v>
      </c>
      <c r="O15">
        <v>1</v>
      </c>
      <c r="P15">
        <v>16</v>
      </c>
      <c r="Q15">
        <v>33.290799999999997</v>
      </c>
      <c r="T15">
        <v>40128</v>
      </c>
      <c r="U15">
        <f t="shared" si="0"/>
        <v>40160</v>
      </c>
      <c r="V15">
        <v>64</v>
      </c>
      <c r="W15">
        <v>1</v>
      </c>
      <c r="X15">
        <v>16</v>
      </c>
      <c r="Y15">
        <v>37.244</v>
      </c>
      <c r="AA15">
        <v>40128</v>
      </c>
      <c r="AB15">
        <f t="shared" si="1"/>
        <v>40160</v>
      </c>
      <c r="AC15">
        <v>64</v>
      </c>
      <c r="AD15">
        <v>1</v>
      </c>
      <c r="AE15">
        <v>16</v>
      </c>
      <c r="AF15">
        <v>40.449800000000003</v>
      </c>
    </row>
    <row r="16" spans="1:32">
      <c r="A16">
        <v>35968</v>
      </c>
      <c r="B16">
        <v>64</v>
      </c>
      <c r="C16">
        <v>2</v>
      </c>
      <c r="D16">
        <v>8</v>
      </c>
      <c r="E16">
        <v>37.062600000000003</v>
      </c>
      <c r="G16">
        <v>35968</v>
      </c>
      <c r="H16">
        <v>64</v>
      </c>
      <c r="I16">
        <v>2</v>
      </c>
      <c r="J16">
        <v>8</v>
      </c>
      <c r="K16">
        <v>40.939800000000005</v>
      </c>
      <c r="M16">
        <v>35968</v>
      </c>
      <c r="N16">
        <v>64</v>
      </c>
      <c r="O16">
        <v>2</v>
      </c>
      <c r="P16">
        <v>8</v>
      </c>
      <c r="Q16">
        <v>29.838600000000003</v>
      </c>
      <c r="T16">
        <v>35968</v>
      </c>
      <c r="U16">
        <f t="shared" si="0"/>
        <v>36000</v>
      </c>
      <c r="V16">
        <v>64</v>
      </c>
      <c r="W16">
        <v>2</v>
      </c>
      <c r="X16">
        <v>8</v>
      </c>
      <c r="Y16">
        <v>37.062600000000003</v>
      </c>
      <c r="AA16">
        <v>35968</v>
      </c>
      <c r="AB16">
        <f t="shared" si="1"/>
        <v>36000</v>
      </c>
      <c r="AC16">
        <v>64</v>
      </c>
      <c r="AD16">
        <v>2</v>
      </c>
      <c r="AE16">
        <v>8</v>
      </c>
      <c r="AF16">
        <v>40.939800000000005</v>
      </c>
    </row>
    <row r="17" spans="1:32">
      <c r="A17">
        <v>38080</v>
      </c>
      <c r="B17">
        <v>64</v>
      </c>
      <c r="C17">
        <v>2</v>
      </c>
      <c r="D17">
        <v>8</v>
      </c>
      <c r="E17">
        <v>37.890599999999999</v>
      </c>
      <c r="G17">
        <v>38080</v>
      </c>
      <c r="H17">
        <v>64</v>
      </c>
      <c r="I17">
        <v>2</v>
      </c>
      <c r="J17">
        <v>8</v>
      </c>
      <c r="K17">
        <v>42.027000000000001</v>
      </c>
      <c r="M17">
        <v>38080</v>
      </c>
      <c r="N17">
        <v>64</v>
      </c>
      <c r="O17">
        <v>2</v>
      </c>
      <c r="P17">
        <v>8</v>
      </c>
      <c r="Q17">
        <v>30.960799999999999</v>
      </c>
      <c r="T17">
        <v>38080</v>
      </c>
      <c r="U17">
        <f t="shared" si="0"/>
        <v>38080</v>
      </c>
      <c r="V17">
        <v>64</v>
      </c>
      <c r="W17">
        <v>2</v>
      </c>
      <c r="X17">
        <v>8</v>
      </c>
      <c r="Y17">
        <v>37.890599999999999</v>
      </c>
      <c r="AA17">
        <v>38080</v>
      </c>
      <c r="AB17">
        <f t="shared" si="1"/>
        <v>38080</v>
      </c>
      <c r="AC17">
        <v>64</v>
      </c>
      <c r="AD17">
        <v>2</v>
      </c>
      <c r="AE17">
        <v>8</v>
      </c>
      <c r="AF17">
        <v>42.027000000000001</v>
      </c>
    </row>
    <row r="18" spans="1:32">
      <c r="A18">
        <v>40128</v>
      </c>
      <c r="B18">
        <v>64</v>
      </c>
      <c r="C18">
        <v>2</v>
      </c>
      <c r="D18">
        <v>8</v>
      </c>
      <c r="E18">
        <v>38.261600000000001</v>
      </c>
      <c r="G18">
        <v>40128</v>
      </c>
      <c r="H18">
        <v>64</v>
      </c>
      <c r="I18">
        <v>2</v>
      </c>
      <c r="J18">
        <v>8</v>
      </c>
      <c r="K18">
        <v>42.1922</v>
      </c>
      <c r="M18">
        <v>40128</v>
      </c>
      <c r="N18">
        <v>64</v>
      </c>
      <c r="O18">
        <v>2</v>
      </c>
      <c r="P18">
        <v>8</v>
      </c>
      <c r="Q18">
        <v>31.729599999999998</v>
      </c>
      <c r="T18">
        <v>40128</v>
      </c>
      <c r="U18">
        <f t="shared" si="0"/>
        <v>40160</v>
      </c>
      <c r="V18">
        <v>64</v>
      </c>
      <c r="W18">
        <v>2</v>
      </c>
      <c r="X18">
        <v>8</v>
      </c>
      <c r="Y18">
        <v>38.261600000000001</v>
      </c>
      <c r="AA18">
        <v>40128</v>
      </c>
      <c r="AB18">
        <f t="shared" si="1"/>
        <v>40160</v>
      </c>
      <c r="AC18">
        <v>64</v>
      </c>
      <c r="AD18">
        <v>2</v>
      </c>
      <c r="AE18">
        <v>8</v>
      </c>
      <c r="AF18">
        <v>42.1922</v>
      </c>
    </row>
    <row r="19" spans="1:32">
      <c r="A19">
        <v>35968</v>
      </c>
      <c r="B19">
        <v>64</v>
      </c>
      <c r="C19">
        <v>4</v>
      </c>
      <c r="D19">
        <v>4</v>
      </c>
      <c r="E19">
        <v>35.228400000000001</v>
      </c>
      <c r="G19">
        <v>35968</v>
      </c>
      <c r="H19">
        <v>64</v>
      </c>
      <c r="I19">
        <v>4</v>
      </c>
      <c r="J19">
        <v>4</v>
      </c>
      <c r="K19">
        <v>39.039400000000001</v>
      </c>
      <c r="M19">
        <v>35968</v>
      </c>
      <c r="N19">
        <v>64</v>
      </c>
      <c r="O19">
        <v>4</v>
      </c>
      <c r="P19">
        <v>4</v>
      </c>
      <c r="Q19">
        <v>28.540199999999999</v>
      </c>
      <c r="T19">
        <v>35968</v>
      </c>
      <c r="U19">
        <f t="shared" si="0"/>
        <v>36000</v>
      </c>
      <c r="V19">
        <v>64</v>
      </c>
      <c r="W19">
        <v>4</v>
      </c>
      <c r="X19">
        <v>4</v>
      </c>
      <c r="Y19">
        <v>35.228400000000001</v>
      </c>
      <c r="AA19">
        <v>35968</v>
      </c>
      <c r="AB19">
        <f t="shared" si="1"/>
        <v>36000</v>
      </c>
      <c r="AC19">
        <v>64</v>
      </c>
      <c r="AD19">
        <v>4</v>
      </c>
      <c r="AE19">
        <v>4</v>
      </c>
      <c r="AF19">
        <v>39.039400000000001</v>
      </c>
    </row>
    <row r="20" spans="1:32">
      <c r="A20">
        <v>38080</v>
      </c>
      <c r="B20">
        <v>64</v>
      </c>
      <c r="C20">
        <v>4</v>
      </c>
      <c r="D20">
        <v>4</v>
      </c>
      <c r="E20">
        <v>35.693799999999996</v>
      </c>
      <c r="G20">
        <v>38080</v>
      </c>
      <c r="H20">
        <v>64</v>
      </c>
      <c r="I20">
        <v>4</v>
      </c>
      <c r="J20">
        <v>4</v>
      </c>
      <c r="K20">
        <v>39.7378</v>
      </c>
      <c r="M20">
        <v>38080</v>
      </c>
      <c r="N20">
        <v>64</v>
      </c>
      <c r="O20">
        <v>4</v>
      </c>
      <c r="P20">
        <v>4</v>
      </c>
      <c r="Q20">
        <v>29.427399999999999</v>
      </c>
      <c r="T20">
        <v>38080</v>
      </c>
      <c r="U20">
        <f t="shared" si="0"/>
        <v>38080</v>
      </c>
      <c r="V20">
        <v>64</v>
      </c>
      <c r="W20">
        <v>4</v>
      </c>
      <c r="X20">
        <v>4</v>
      </c>
      <c r="Y20">
        <v>35.693799999999996</v>
      </c>
      <c r="AA20">
        <v>38080</v>
      </c>
      <c r="AB20">
        <f t="shared" si="1"/>
        <v>38080</v>
      </c>
      <c r="AC20">
        <v>64</v>
      </c>
      <c r="AD20">
        <v>4</v>
      </c>
      <c r="AE20">
        <v>4</v>
      </c>
      <c r="AF20">
        <v>39.7378</v>
      </c>
    </row>
    <row r="21" spans="1:32">
      <c r="A21">
        <v>40128</v>
      </c>
      <c r="B21">
        <v>64</v>
      </c>
      <c r="C21">
        <v>4</v>
      </c>
      <c r="D21">
        <v>4</v>
      </c>
      <c r="E21">
        <v>36.488399999999999</v>
      </c>
      <c r="G21">
        <v>40128</v>
      </c>
      <c r="H21">
        <v>64</v>
      </c>
      <c r="I21">
        <v>4</v>
      </c>
      <c r="J21">
        <v>4</v>
      </c>
      <c r="K21">
        <v>39.871600000000001</v>
      </c>
      <c r="M21">
        <v>40128</v>
      </c>
      <c r="N21">
        <v>64</v>
      </c>
      <c r="O21">
        <v>4</v>
      </c>
      <c r="P21">
        <v>4</v>
      </c>
      <c r="Q21">
        <v>29.872399999999999</v>
      </c>
      <c r="T21">
        <v>40128</v>
      </c>
      <c r="U21">
        <f t="shared" si="0"/>
        <v>40160</v>
      </c>
      <c r="V21">
        <v>64</v>
      </c>
      <c r="W21">
        <v>4</v>
      </c>
      <c r="X21">
        <v>4</v>
      </c>
      <c r="Y21">
        <v>36.488399999999999</v>
      </c>
      <c r="AA21">
        <v>40128</v>
      </c>
      <c r="AB21">
        <f t="shared" si="1"/>
        <v>40160</v>
      </c>
      <c r="AC21">
        <v>64</v>
      </c>
      <c r="AD21">
        <v>4</v>
      </c>
      <c r="AE21">
        <v>4</v>
      </c>
      <c r="AF21">
        <v>39.871600000000001</v>
      </c>
    </row>
    <row r="22" spans="1:32">
      <c r="A22">
        <v>36000</v>
      </c>
      <c r="B22">
        <v>96</v>
      </c>
      <c r="C22">
        <v>1</v>
      </c>
      <c r="D22">
        <v>16</v>
      </c>
      <c r="E22">
        <v>35.958600000000004</v>
      </c>
      <c r="G22">
        <v>36000</v>
      </c>
      <c r="H22">
        <v>96</v>
      </c>
      <c r="I22">
        <v>1</v>
      </c>
      <c r="J22">
        <v>16</v>
      </c>
      <c r="K22">
        <v>42.007600000000004</v>
      </c>
      <c r="M22">
        <v>36000</v>
      </c>
      <c r="N22">
        <v>96</v>
      </c>
      <c r="O22">
        <v>1</v>
      </c>
      <c r="P22">
        <v>16</v>
      </c>
      <c r="Q22">
        <v>33.419799999999995</v>
      </c>
      <c r="T22">
        <v>36000</v>
      </c>
      <c r="U22">
        <f t="shared" si="0"/>
        <v>36000</v>
      </c>
      <c r="V22">
        <v>96</v>
      </c>
      <c r="W22">
        <v>1</v>
      </c>
      <c r="X22">
        <v>16</v>
      </c>
      <c r="Y22">
        <v>35.958600000000004</v>
      </c>
      <c r="AA22">
        <v>36000</v>
      </c>
      <c r="AB22">
        <f t="shared" si="1"/>
        <v>36000</v>
      </c>
      <c r="AC22">
        <v>96</v>
      </c>
      <c r="AD22">
        <v>1</v>
      </c>
      <c r="AE22">
        <v>16</v>
      </c>
      <c r="AF22">
        <v>42.007600000000004</v>
      </c>
    </row>
    <row r="23" spans="1:32">
      <c r="A23">
        <v>38016</v>
      </c>
      <c r="B23">
        <v>96</v>
      </c>
      <c r="C23">
        <v>1</v>
      </c>
      <c r="D23">
        <v>16</v>
      </c>
      <c r="E23">
        <v>36.255200000000002</v>
      </c>
      <c r="G23">
        <v>38016</v>
      </c>
      <c r="H23">
        <v>96</v>
      </c>
      <c r="I23">
        <v>1</v>
      </c>
      <c r="J23">
        <v>16</v>
      </c>
      <c r="K23">
        <v>43.2226</v>
      </c>
      <c r="M23">
        <v>38016</v>
      </c>
      <c r="N23">
        <v>96</v>
      </c>
      <c r="O23">
        <v>1</v>
      </c>
      <c r="P23">
        <v>16</v>
      </c>
      <c r="Q23">
        <v>34.351200000000006</v>
      </c>
      <c r="T23">
        <v>38016</v>
      </c>
      <c r="U23">
        <f t="shared" si="0"/>
        <v>38080</v>
      </c>
      <c r="V23">
        <v>96</v>
      </c>
      <c r="W23">
        <v>1</v>
      </c>
      <c r="X23">
        <v>16</v>
      </c>
      <c r="Y23">
        <v>36.255200000000002</v>
      </c>
      <c r="AA23">
        <v>38016</v>
      </c>
      <c r="AB23">
        <f t="shared" si="1"/>
        <v>38080</v>
      </c>
      <c r="AC23">
        <v>96</v>
      </c>
      <c r="AD23">
        <v>1</v>
      </c>
      <c r="AE23">
        <v>16</v>
      </c>
      <c r="AF23">
        <v>43.2226</v>
      </c>
    </row>
    <row r="24" spans="1:32">
      <c r="A24">
        <v>40128</v>
      </c>
      <c r="B24">
        <v>96</v>
      </c>
      <c r="C24">
        <v>1</v>
      </c>
      <c r="D24">
        <v>16</v>
      </c>
      <c r="E24">
        <v>36.202000000000005</v>
      </c>
      <c r="G24">
        <v>40128</v>
      </c>
      <c r="H24">
        <v>96</v>
      </c>
      <c r="I24">
        <v>1</v>
      </c>
      <c r="J24">
        <v>16</v>
      </c>
      <c r="K24">
        <v>43.191599999999994</v>
      </c>
      <c r="M24">
        <v>40128</v>
      </c>
      <c r="N24">
        <v>96</v>
      </c>
      <c r="O24">
        <v>1</v>
      </c>
      <c r="P24">
        <v>16</v>
      </c>
      <c r="Q24">
        <v>35.125399999999999</v>
      </c>
      <c r="T24">
        <v>40128</v>
      </c>
      <c r="U24">
        <f t="shared" si="0"/>
        <v>40160</v>
      </c>
      <c r="V24">
        <v>96</v>
      </c>
      <c r="W24">
        <v>1</v>
      </c>
      <c r="X24">
        <v>16</v>
      </c>
      <c r="Y24">
        <v>36.202000000000005</v>
      </c>
      <c r="AA24">
        <v>40128</v>
      </c>
      <c r="AB24">
        <f t="shared" si="1"/>
        <v>40160</v>
      </c>
      <c r="AC24">
        <v>96</v>
      </c>
      <c r="AD24">
        <v>1</v>
      </c>
      <c r="AE24">
        <v>16</v>
      </c>
      <c r="AF24">
        <v>43.191599999999994</v>
      </c>
    </row>
    <row r="25" spans="1:32">
      <c r="A25">
        <v>36000</v>
      </c>
      <c r="B25">
        <v>96</v>
      </c>
      <c r="C25">
        <v>2</v>
      </c>
      <c r="D25">
        <v>8</v>
      </c>
      <c r="E25">
        <v>33.711200000000005</v>
      </c>
      <c r="G25">
        <v>36000</v>
      </c>
      <c r="H25">
        <v>96</v>
      </c>
      <c r="I25">
        <v>2</v>
      </c>
      <c r="J25">
        <v>8</v>
      </c>
      <c r="K25">
        <v>44.076000000000008</v>
      </c>
      <c r="M25">
        <v>36000</v>
      </c>
      <c r="N25">
        <v>96</v>
      </c>
      <c r="O25">
        <v>2</v>
      </c>
      <c r="P25">
        <v>8</v>
      </c>
      <c r="Q25">
        <v>31.551800000000004</v>
      </c>
      <c r="T25">
        <v>36000</v>
      </c>
      <c r="U25">
        <f t="shared" si="0"/>
        <v>36000</v>
      </c>
      <c r="V25">
        <v>96</v>
      </c>
      <c r="W25">
        <v>2</v>
      </c>
      <c r="X25">
        <v>8</v>
      </c>
      <c r="Y25">
        <v>33.711200000000005</v>
      </c>
      <c r="AA25">
        <v>36000</v>
      </c>
      <c r="AB25">
        <f t="shared" si="1"/>
        <v>36000</v>
      </c>
      <c r="AC25">
        <v>96</v>
      </c>
      <c r="AD25">
        <v>2</v>
      </c>
      <c r="AE25">
        <v>8</v>
      </c>
      <c r="AF25">
        <v>44.076000000000008</v>
      </c>
    </row>
    <row r="26" spans="1:32">
      <c r="A26">
        <v>38016</v>
      </c>
      <c r="B26">
        <v>96</v>
      </c>
      <c r="C26">
        <v>2</v>
      </c>
      <c r="D26">
        <v>8</v>
      </c>
      <c r="E26">
        <v>35.146599999999999</v>
      </c>
      <c r="G26">
        <v>38016</v>
      </c>
      <c r="H26">
        <v>96</v>
      </c>
      <c r="I26">
        <v>2</v>
      </c>
      <c r="J26">
        <v>8</v>
      </c>
      <c r="K26">
        <v>44.773799999999994</v>
      </c>
      <c r="M26">
        <v>38016</v>
      </c>
      <c r="N26">
        <v>96</v>
      </c>
      <c r="O26">
        <v>2</v>
      </c>
      <c r="P26">
        <v>8</v>
      </c>
      <c r="Q26">
        <v>32.510400000000004</v>
      </c>
      <c r="T26">
        <v>38016</v>
      </c>
      <c r="U26">
        <f t="shared" si="0"/>
        <v>38080</v>
      </c>
      <c r="V26">
        <v>96</v>
      </c>
      <c r="W26">
        <v>2</v>
      </c>
      <c r="X26">
        <v>8</v>
      </c>
      <c r="Y26">
        <v>35.146599999999999</v>
      </c>
      <c r="AA26">
        <v>38016</v>
      </c>
      <c r="AB26">
        <f t="shared" si="1"/>
        <v>38080</v>
      </c>
      <c r="AC26">
        <v>96</v>
      </c>
      <c r="AD26">
        <v>2</v>
      </c>
      <c r="AE26">
        <v>8</v>
      </c>
      <c r="AF26">
        <v>44.773799999999994</v>
      </c>
    </row>
    <row r="27" spans="1:32">
      <c r="A27">
        <v>40128</v>
      </c>
      <c r="B27">
        <v>96</v>
      </c>
      <c r="C27">
        <v>2</v>
      </c>
      <c r="D27">
        <v>8</v>
      </c>
      <c r="E27">
        <v>36.089600000000004</v>
      </c>
      <c r="G27">
        <v>40128</v>
      </c>
      <c r="H27">
        <v>96</v>
      </c>
      <c r="I27">
        <v>2</v>
      </c>
      <c r="J27">
        <v>8</v>
      </c>
      <c r="K27">
        <v>45.105199999999996</v>
      </c>
      <c r="M27">
        <v>40128</v>
      </c>
      <c r="N27">
        <v>96</v>
      </c>
      <c r="O27">
        <v>2</v>
      </c>
      <c r="P27">
        <v>8</v>
      </c>
      <c r="Q27">
        <v>33.215800000000002</v>
      </c>
      <c r="T27">
        <v>40128</v>
      </c>
      <c r="U27">
        <f t="shared" si="0"/>
        <v>40160</v>
      </c>
      <c r="V27">
        <v>96</v>
      </c>
      <c r="W27">
        <v>2</v>
      </c>
      <c r="X27">
        <v>8</v>
      </c>
      <c r="Y27">
        <v>36.089600000000004</v>
      </c>
      <c r="AA27">
        <v>40128</v>
      </c>
      <c r="AB27">
        <f t="shared" si="1"/>
        <v>40160</v>
      </c>
      <c r="AC27">
        <v>96</v>
      </c>
      <c r="AD27">
        <v>2</v>
      </c>
      <c r="AE27">
        <v>8</v>
      </c>
      <c r="AF27">
        <v>45.105199999999996</v>
      </c>
    </row>
    <row r="28" spans="1:32">
      <c r="A28">
        <v>36000</v>
      </c>
      <c r="B28">
        <v>96</v>
      </c>
      <c r="C28">
        <v>4</v>
      </c>
      <c r="D28">
        <v>4</v>
      </c>
      <c r="E28">
        <v>36.658200000000001</v>
      </c>
      <c r="G28">
        <v>36000</v>
      </c>
      <c r="H28">
        <v>96</v>
      </c>
      <c r="I28">
        <v>4</v>
      </c>
      <c r="J28">
        <v>4</v>
      </c>
      <c r="K28">
        <v>41.680199999999999</v>
      </c>
      <c r="M28">
        <v>36000</v>
      </c>
      <c r="N28">
        <v>96</v>
      </c>
      <c r="O28">
        <v>4</v>
      </c>
      <c r="P28">
        <v>4</v>
      </c>
      <c r="Q28">
        <v>29.371799999999997</v>
      </c>
      <c r="T28">
        <v>36000</v>
      </c>
      <c r="U28">
        <f t="shared" si="0"/>
        <v>36000</v>
      </c>
      <c r="V28">
        <v>96</v>
      </c>
      <c r="W28">
        <v>4</v>
      </c>
      <c r="X28">
        <v>4</v>
      </c>
      <c r="Y28">
        <v>36.658200000000001</v>
      </c>
      <c r="AA28">
        <v>36000</v>
      </c>
      <c r="AB28">
        <f t="shared" si="1"/>
        <v>36000</v>
      </c>
      <c r="AC28">
        <v>96</v>
      </c>
      <c r="AD28">
        <v>4</v>
      </c>
      <c r="AE28">
        <v>4</v>
      </c>
      <c r="AF28">
        <v>41.680199999999999</v>
      </c>
    </row>
    <row r="29" spans="1:32">
      <c r="A29">
        <v>38016</v>
      </c>
      <c r="B29">
        <v>96</v>
      </c>
      <c r="C29">
        <v>4</v>
      </c>
      <c r="D29">
        <v>4</v>
      </c>
      <c r="E29">
        <v>36.874200000000002</v>
      </c>
      <c r="G29">
        <v>38016</v>
      </c>
      <c r="H29">
        <v>96</v>
      </c>
      <c r="I29">
        <v>4</v>
      </c>
      <c r="J29">
        <v>4</v>
      </c>
      <c r="K29">
        <v>42.063000000000002</v>
      </c>
      <c r="M29">
        <v>38016</v>
      </c>
      <c r="N29">
        <v>96</v>
      </c>
      <c r="O29">
        <v>4</v>
      </c>
      <c r="P29">
        <v>4</v>
      </c>
      <c r="Q29">
        <v>30.160200000000003</v>
      </c>
      <c r="T29">
        <v>38016</v>
      </c>
      <c r="U29">
        <f t="shared" si="0"/>
        <v>38080</v>
      </c>
      <c r="V29">
        <v>96</v>
      </c>
      <c r="W29">
        <v>4</v>
      </c>
      <c r="X29">
        <v>4</v>
      </c>
      <c r="Y29">
        <v>36.874200000000002</v>
      </c>
      <c r="AA29">
        <v>38016</v>
      </c>
      <c r="AB29">
        <f t="shared" si="1"/>
        <v>38080</v>
      </c>
      <c r="AC29">
        <v>96</v>
      </c>
      <c r="AD29">
        <v>4</v>
      </c>
      <c r="AE29">
        <v>4</v>
      </c>
      <c r="AF29">
        <v>42.063000000000002</v>
      </c>
    </row>
    <row r="30" spans="1:32">
      <c r="A30">
        <v>40128</v>
      </c>
      <c r="B30">
        <v>96</v>
      </c>
      <c r="C30">
        <v>4</v>
      </c>
      <c r="D30">
        <v>4</v>
      </c>
      <c r="E30">
        <v>37.1494</v>
      </c>
      <c r="G30">
        <v>40128</v>
      </c>
      <c r="H30">
        <v>96</v>
      </c>
      <c r="I30">
        <v>4</v>
      </c>
      <c r="J30">
        <v>4</v>
      </c>
      <c r="K30">
        <v>42.409199999999998</v>
      </c>
      <c r="M30">
        <v>40128</v>
      </c>
      <c r="N30">
        <v>96</v>
      </c>
      <c r="O30">
        <v>4</v>
      </c>
      <c r="P30">
        <v>4</v>
      </c>
      <c r="Q30">
        <v>31.068199999999997</v>
      </c>
      <c r="T30">
        <v>40128</v>
      </c>
      <c r="U30">
        <f t="shared" si="0"/>
        <v>40160</v>
      </c>
      <c r="V30">
        <v>96</v>
      </c>
      <c r="W30">
        <v>4</v>
      </c>
      <c r="X30">
        <v>4</v>
      </c>
      <c r="Y30">
        <v>37.1494</v>
      </c>
      <c r="AA30">
        <v>40128</v>
      </c>
      <c r="AB30">
        <f t="shared" si="1"/>
        <v>40160</v>
      </c>
      <c r="AC30">
        <v>96</v>
      </c>
      <c r="AD30">
        <v>4</v>
      </c>
      <c r="AE30">
        <v>4</v>
      </c>
      <c r="AF30">
        <v>42.409199999999998</v>
      </c>
    </row>
    <row r="31" spans="1:32">
      <c r="A31">
        <v>35968</v>
      </c>
      <c r="B31">
        <v>128</v>
      </c>
      <c r="C31">
        <v>1</v>
      </c>
      <c r="D31">
        <v>16</v>
      </c>
      <c r="E31">
        <v>38.288800000000002</v>
      </c>
      <c r="G31">
        <v>35968</v>
      </c>
      <c r="H31">
        <v>128</v>
      </c>
      <c r="I31">
        <v>1</v>
      </c>
      <c r="J31">
        <v>16</v>
      </c>
      <c r="K31">
        <v>41.903399999999998</v>
      </c>
      <c r="M31">
        <v>35968</v>
      </c>
      <c r="N31">
        <v>128</v>
      </c>
      <c r="O31">
        <v>1</v>
      </c>
      <c r="P31">
        <v>16</v>
      </c>
      <c r="Q31">
        <v>33.742399999999996</v>
      </c>
      <c r="T31">
        <v>35968</v>
      </c>
      <c r="U31">
        <f t="shared" si="0"/>
        <v>36000</v>
      </c>
      <c r="V31">
        <v>128</v>
      </c>
      <c r="W31">
        <v>1</v>
      </c>
      <c r="X31">
        <v>16</v>
      </c>
      <c r="Y31">
        <v>38.288800000000002</v>
      </c>
      <c r="AA31">
        <v>35968</v>
      </c>
      <c r="AB31">
        <f t="shared" si="1"/>
        <v>36000</v>
      </c>
      <c r="AC31">
        <v>128</v>
      </c>
      <c r="AD31">
        <v>1</v>
      </c>
      <c r="AE31">
        <v>16</v>
      </c>
      <c r="AF31">
        <v>41.903399999999998</v>
      </c>
    </row>
    <row r="32" spans="1:32">
      <c r="A32">
        <v>38016</v>
      </c>
      <c r="B32">
        <v>128</v>
      </c>
      <c r="C32">
        <v>1</v>
      </c>
      <c r="D32">
        <v>16</v>
      </c>
      <c r="E32">
        <v>38.615200000000002</v>
      </c>
      <c r="G32">
        <v>38016</v>
      </c>
      <c r="H32">
        <v>128</v>
      </c>
      <c r="I32">
        <v>1</v>
      </c>
      <c r="J32">
        <v>16</v>
      </c>
      <c r="K32">
        <v>42.802199999999992</v>
      </c>
      <c r="M32">
        <v>38016</v>
      </c>
      <c r="N32">
        <v>128</v>
      </c>
      <c r="O32">
        <v>1</v>
      </c>
      <c r="P32">
        <v>16</v>
      </c>
      <c r="Q32">
        <v>34.620799999999996</v>
      </c>
      <c r="T32">
        <v>38016</v>
      </c>
      <c r="U32">
        <f t="shared" si="0"/>
        <v>38080</v>
      </c>
      <c r="V32">
        <v>128</v>
      </c>
      <c r="W32">
        <v>1</v>
      </c>
      <c r="X32">
        <v>16</v>
      </c>
      <c r="Y32">
        <v>38.615200000000002</v>
      </c>
      <c r="AA32">
        <v>38016</v>
      </c>
      <c r="AB32">
        <f t="shared" si="1"/>
        <v>38080</v>
      </c>
      <c r="AC32">
        <v>128</v>
      </c>
      <c r="AD32">
        <v>1</v>
      </c>
      <c r="AE32">
        <v>16</v>
      </c>
      <c r="AF32">
        <v>42.802199999999992</v>
      </c>
    </row>
    <row r="33" spans="1:32">
      <c r="A33">
        <v>40064</v>
      </c>
      <c r="B33">
        <v>128</v>
      </c>
      <c r="C33">
        <v>1</v>
      </c>
      <c r="D33">
        <v>16</v>
      </c>
      <c r="E33">
        <v>38.554200000000002</v>
      </c>
      <c r="G33">
        <v>40064</v>
      </c>
      <c r="H33">
        <v>128</v>
      </c>
      <c r="I33">
        <v>1</v>
      </c>
      <c r="J33">
        <v>16</v>
      </c>
      <c r="K33">
        <v>42.755399999999995</v>
      </c>
      <c r="M33">
        <v>40064</v>
      </c>
      <c r="N33">
        <v>128</v>
      </c>
      <c r="O33">
        <v>1</v>
      </c>
      <c r="P33">
        <v>16</v>
      </c>
      <c r="Q33">
        <v>35.224000000000004</v>
      </c>
      <c r="T33">
        <v>40064</v>
      </c>
      <c r="U33">
        <f t="shared" si="0"/>
        <v>40160</v>
      </c>
      <c r="V33">
        <v>128</v>
      </c>
      <c r="W33">
        <v>1</v>
      </c>
      <c r="X33">
        <v>16</v>
      </c>
      <c r="Y33">
        <v>38.554200000000002</v>
      </c>
      <c r="AA33">
        <v>40064</v>
      </c>
      <c r="AB33">
        <f t="shared" si="1"/>
        <v>40160</v>
      </c>
      <c r="AC33">
        <v>128</v>
      </c>
      <c r="AD33">
        <v>1</v>
      </c>
      <c r="AE33">
        <v>16</v>
      </c>
      <c r="AF33">
        <v>42.755399999999995</v>
      </c>
    </row>
    <row r="34" spans="1:32">
      <c r="A34">
        <v>35968</v>
      </c>
      <c r="B34">
        <v>128</v>
      </c>
      <c r="C34">
        <v>2</v>
      </c>
      <c r="D34">
        <v>8</v>
      </c>
      <c r="E34">
        <v>35.421599999999998</v>
      </c>
      <c r="G34">
        <v>35968</v>
      </c>
      <c r="H34">
        <v>128</v>
      </c>
      <c r="I34">
        <v>2</v>
      </c>
      <c r="J34">
        <v>8</v>
      </c>
      <c r="K34">
        <v>44.401599999999995</v>
      </c>
      <c r="M34">
        <v>35968</v>
      </c>
      <c r="N34">
        <v>128</v>
      </c>
      <c r="O34">
        <v>2</v>
      </c>
      <c r="P34">
        <v>8</v>
      </c>
      <c r="Q34">
        <v>31.229800000000001</v>
      </c>
      <c r="T34">
        <v>35968</v>
      </c>
      <c r="U34">
        <f t="shared" si="0"/>
        <v>36000</v>
      </c>
      <c r="V34">
        <v>128</v>
      </c>
      <c r="W34">
        <v>2</v>
      </c>
      <c r="X34">
        <v>8</v>
      </c>
      <c r="Y34">
        <v>35.421599999999998</v>
      </c>
      <c r="AA34">
        <v>35968</v>
      </c>
      <c r="AB34">
        <f t="shared" si="1"/>
        <v>36000</v>
      </c>
      <c r="AC34">
        <v>128</v>
      </c>
      <c r="AD34">
        <v>2</v>
      </c>
      <c r="AE34">
        <v>8</v>
      </c>
      <c r="AF34">
        <v>44.401599999999995</v>
      </c>
    </row>
    <row r="35" spans="1:32">
      <c r="A35">
        <v>38016</v>
      </c>
      <c r="B35">
        <v>128</v>
      </c>
      <c r="C35">
        <v>2</v>
      </c>
      <c r="D35">
        <v>8</v>
      </c>
      <c r="E35">
        <v>36.284599999999998</v>
      </c>
      <c r="G35">
        <v>38016</v>
      </c>
      <c r="H35">
        <v>128</v>
      </c>
      <c r="I35">
        <v>2</v>
      </c>
      <c r="J35">
        <v>8</v>
      </c>
      <c r="K35">
        <v>45.131399999999999</v>
      </c>
      <c r="M35">
        <v>38016</v>
      </c>
      <c r="N35">
        <v>128</v>
      </c>
      <c r="O35">
        <v>2</v>
      </c>
      <c r="P35">
        <v>8</v>
      </c>
      <c r="Q35">
        <v>32.1404</v>
      </c>
      <c r="T35">
        <v>38016</v>
      </c>
      <c r="U35">
        <f t="shared" si="0"/>
        <v>38080</v>
      </c>
      <c r="V35">
        <v>128</v>
      </c>
      <c r="W35">
        <v>2</v>
      </c>
      <c r="X35">
        <v>8</v>
      </c>
      <c r="Y35">
        <v>36.284599999999998</v>
      </c>
      <c r="AA35">
        <v>38016</v>
      </c>
      <c r="AB35">
        <f t="shared" si="1"/>
        <v>38080</v>
      </c>
      <c r="AC35">
        <v>128</v>
      </c>
      <c r="AD35">
        <v>2</v>
      </c>
      <c r="AE35">
        <v>8</v>
      </c>
      <c r="AF35">
        <v>45.131399999999999</v>
      </c>
    </row>
    <row r="36" spans="1:32">
      <c r="A36">
        <v>40064</v>
      </c>
      <c r="B36">
        <v>128</v>
      </c>
      <c r="C36">
        <v>2</v>
      </c>
      <c r="D36">
        <v>8</v>
      </c>
      <c r="E36">
        <v>38.232600000000005</v>
      </c>
      <c r="G36">
        <v>40064</v>
      </c>
      <c r="H36">
        <v>128</v>
      </c>
      <c r="I36">
        <v>2</v>
      </c>
      <c r="J36">
        <v>8</v>
      </c>
      <c r="K36">
        <v>45.218400000000003</v>
      </c>
      <c r="M36">
        <v>40064</v>
      </c>
      <c r="N36">
        <v>128</v>
      </c>
      <c r="O36">
        <v>2</v>
      </c>
      <c r="P36">
        <v>8</v>
      </c>
      <c r="Q36">
        <v>33.1004</v>
      </c>
      <c r="T36">
        <v>40064</v>
      </c>
      <c r="U36">
        <f t="shared" si="0"/>
        <v>40160</v>
      </c>
      <c r="V36">
        <v>128</v>
      </c>
      <c r="W36">
        <v>2</v>
      </c>
      <c r="X36">
        <v>8</v>
      </c>
      <c r="Y36">
        <v>38.232600000000005</v>
      </c>
      <c r="AA36">
        <v>40064</v>
      </c>
      <c r="AB36">
        <f t="shared" si="1"/>
        <v>40160</v>
      </c>
      <c r="AC36">
        <v>128</v>
      </c>
      <c r="AD36">
        <v>2</v>
      </c>
      <c r="AE36">
        <v>8</v>
      </c>
      <c r="AF36">
        <v>45.218400000000003</v>
      </c>
    </row>
    <row r="37" spans="1:32">
      <c r="A37">
        <v>35968</v>
      </c>
      <c r="B37">
        <v>128</v>
      </c>
      <c r="C37">
        <v>4</v>
      </c>
      <c r="D37">
        <v>4</v>
      </c>
      <c r="E37">
        <v>37.413799999999995</v>
      </c>
      <c r="G37">
        <v>35968</v>
      </c>
      <c r="H37">
        <v>128</v>
      </c>
      <c r="I37">
        <v>4</v>
      </c>
      <c r="J37">
        <v>4</v>
      </c>
      <c r="K37">
        <v>41.830400000000004</v>
      </c>
      <c r="M37">
        <v>35968</v>
      </c>
      <c r="N37">
        <v>128</v>
      </c>
      <c r="O37">
        <v>4</v>
      </c>
      <c r="P37">
        <v>4</v>
      </c>
      <c r="Q37">
        <v>29.500999999999998</v>
      </c>
      <c r="T37">
        <v>35968</v>
      </c>
      <c r="U37">
        <f t="shared" si="0"/>
        <v>36000</v>
      </c>
      <c r="V37">
        <v>128</v>
      </c>
      <c r="W37">
        <v>4</v>
      </c>
      <c r="X37">
        <v>4</v>
      </c>
      <c r="Y37">
        <v>37.413799999999995</v>
      </c>
      <c r="AA37">
        <v>35968</v>
      </c>
      <c r="AB37">
        <f t="shared" si="1"/>
        <v>36000</v>
      </c>
      <c r="AC37">
        <v>128</v>
      </c>
      <c r="AD37">
        <v>4</v>
      </c>
      <c r="AE37">
        <v>4</v>
      </c>
      <c r="AF37">
        <v>41.830400000000004</v>
      </c>
    </row>
    <row r="38" spans="1:32">
      <c r="A38">
        <v>38016</v>
      </c>
      <c r="B38">
        <v>128</v>
      </c>
      <c r="C38">
        <v>4</v>
      </c>
      <c r="D38">
        <v>4</v>
      </c>
      <c r="E38">
        <v>37.741200000000006</v>
      </c>
      <c r="G38">
        <v>38016</v>
      </c>
      <c r="H38">
        <v>128</v>
      </c>
      <c r="I38">
        <v>4</v>
      </c>
      <c r="J38">
        <v>4</v>
      </c>
      <c r="K38">
        <v>42.014399999999995</v>
      </c>
      <c r="M38">
        <v>38016</v>
      </c>
      <c r="N38">
        <v>128</v>
      </c>
      <c r="O38">
        <v>4</v>
      </c>
      <c r="P38">
        <v>4</v>
      </c>
      <c r="Q38">
        <v>30.378399999999999</v>
      </c>
      <c r="T38">
        <v>38016</v>
      </c>
      <c r="U38">
        <f t="shared" si="0"/>
        <v>38080</v>
      </c>
      <c r="V38">
        <v>128</v>
      </c>
      <c r="W38">
        <v>4</v>
      </c>
      <c r="X38">
        <v>4</v>
      </c>
      <c r="Y38">
        <v>37.741200000000006</v>
      </c>
      <c r="AA38">
        <v>38016</v>
      </c>
      <c r="AB38">
        <f t="shared" si="1"/>
        <v>38080</v>
      </c>
      <c r="AC38">
        <v>128</v>
      </c>
      <c r="AD38">
        <v>4</v>
      </c>
      <c r="AE38">
        <v>4</v>
      </c>
      <c r="AF38">
        <v>42.014399999999995</v>
      </c>
    </row>
    <row r="39" spans="1:32">
      <c r="A39">
        <v>40064</v>
      </c>
      <c r="B39">
        <v>128</v>
      </c>
      <c r="C39">
        <v>4</v>
      </c>
      <c r="D39">
        <v>4</v>
      </c>
      <c r="E39">
        <v>38.856399999999994</v>
      </c>
      <c r="G39">
        <v>40064</v>
      </c>
      <c r="H39">
        <v>128</v>
      </c>
      <c r="I39">
        <v>4</v>
      </c>
      <c r="J39">
        <v>4</v>
      </c>
      <c r="K39">
        <v>43.093000000000004</v>
      </c>
      <c r="M39">
        <v>40064</v>
      </c>
      <c r="N39">
        <v>128</v>
      </c>
      <c r="O39">
        <v>4</v>
      </c>
      <c r="P39">
        <v>4</v>
      </c>
      <c r="Q39">
        <v>31.154200000000003</v>
      </c>
      <c r="T39">
        <v>40064</v>
      </c>
      <c r="U39">
        <f t="shared" si="0"/>
        <v>40160</v>
      </c>
      <c r="V39">
        <v>128</v>
      </c>
      <c r="W39">
        <v>4</v>
      </c>
      <c r="X39">
        <v>4</v>
      </c>
      <c r="Y39">
        <v>38.856399999999994</v>
      </c>
      <c r="AA39">
        <v>40064</v>
      </c>
      <c r="AB39">
        <f t="shared" si="1"/>
        <v>40160</v>
      </c>
      <c r="AC39">
        <v>128</v>
      </c>
      <c r="AD39">
        <v>4</v>
      </c>
      <c r="AE39">
        <v>4</v>
      </c>
      <c r="AF39">
        <v>43.093000000000004</v>
      </c>
    </row>
    <row r="40" spans="1:32">
      <c r="A40">
        <v>36000</v>
      </c>
      <c r="B40">
        <v>160</v>
      </c>
      <c r="C40">
        <v>1</v>
      </c>
      <c r="D40">
        <v>16</v>
      </c>
      <c r="E40">
        <v>40.327799999999996</v>
      </c>
      <c r="G40">
        <v>36000</v>
      </c>
      <c r="H40">
        <v>160</v>
      </c>
      <c r="I40">
        <v>1</v>
      </c>
      <c r="J40">
        <v>16</v>
      </c>
      <c r="K40">
        <v>40.647800000000004</v>
      </c>
      <c r="M40">
        <v>36000</v>
      </c>
      <c r="N40">
        <v>160</v>
      </c>
      <c r="O40">
        <v>1</v>
      </c>
      <c r="P40">
        <v>16</v>
      </c>
      <c r="Q40">
        <v>31.865400000000001</v>
      </c>
      <c r="T40">
        <v>36000</v>
      </c>
      <c r="U40">
        <f t="shared" si="0"/>
        <v>36000</v>
      </c>
      <c r="V40">
        <v>160</v>
      </c>
      <c r="W40">
        <v>1</v>
      </c>
      <c r="X40">
        <v>16</v>
      </c>
      <c r="Y40">
        <v>40.327799999999996</v>
      </c>
      <c r="AA40">
        <v>36000</v>
      </c>
      <c r="AB40">
        <f t="shared" si="1"/>
        <v>36000</v>
      </c>
      <c r="AC40">
        <v>160</v>
      </c>
      <c r="AD40">
        <v>1</v>
      </c>
      <c r="AE40">
        <v>16</v>
      </c>
      <c r="AF40">
        <v>40.647800000000004</v>
      </c>
    </row>
    <row r="41" spans="1:32">
      <c r="A41">
        <v>38080</v>
      </c>
      <c r="B41">
        <v>160</v>
      </c>
      <c r="C41">
        <v>1</v>
      </c>
      <c r="D41">
        <v>16</v>
      </c>
      <c r="E41">
        <v>40.86</v>
      </c>
      <c r="G41">
        <v>38080</v>
      </c>
      <c r="H41">
        <v>160</v>
      </c>
      <c r="I41">
        <v>1</v>
      </c>
      <c r="J41">
        <v>16</v>
      </c>
      <c r="K41">
        <v>41.413799999999995</v>
      </c>
      <c r="M41">
        <v>38080</v>
      </c>
      <c r="N41">
        <v>160</v>
      </c>
      <c r="O41">
        <v>1</v>
      </c>
      <c r="P41">
        <v>16</v>
      </c>
      <c r="Q41">
        <v>32.728999999999999</v>
      </c>
      <c r="T41">
        <v>38080</v>
      </c>
      <c r="U41">
        <f t="shared" si="0"/>
        <v>38080</v>
      </c>
      <c r="V41">
        <v>160</v>
      </c>
      <c r="W41">
        <v>1</v>
      </c>
      <c r="X41">
        <v>16</v>
      </c>
      <c r="Y41">
        <v>40.86</v>
      </c>
      <c r="AA41">
        <v>38080</v>
      </c>
      <c r="AB41">
        <f t="shared" si="1"/>
        <v>38080</v>
      </c>
      <c r="AC41">
        <v>160</v>
      </c>
      <c r="AD41">
        <v>1</v>
      </c>
      <c r="AE41">
        <v>16</v>
      </c>
      <c r="AF41">
        <v>41.413799999999995</v>
      </c>
    </row>
    <row r="42" spans="1:32">
      <c r="A42">
        <v>40160</v>
      </c>
      <c r="B42">
        <v>160</v>
      </c>
      <c r="C42">
        <v>1</v>
      </c>
      <c r="D42">
        <v>16</v>
      </c>
      <c r="E42">
        <v>41.294400000000003</v>
      </c>
      <c r="G42">
        <v>40160</v>
      </c>
      <c r="H42">
        <v>160</v>
      </c>
      <c r="I42">
        <v>1</v>
      </c>
      <c r="J42">
        <v>16</v>
      </c>
      <c r="K42">
        <v>41.924599999999998</v>
      </c>
      <c r="M42">
        <v>40160</v>
      </c>
      <c r="N42">
        <v>160</v>
      </c>
      <c r="O42">
        <v>1</v>
      </c>
      <c r="P42">
        <v>16</v>
      </c>
      <c r="Q42">
        <v>33.511800000000008</v>
      </c>
      <c r="T42">
        <v>40160</v>
      </c>
      <c r="U42">
        <f t="shared" si="0"/>
        <v>40160</v>
      </c>
      <c r="V42">
        <v>160</v>
      </c>
      <c r="W42">
        <v>1</v>
      </c>
      <c r="X42">
        <v>16</v>
      </c>
      <c r="Y42">
        <v>41.294400000000003</v>
      </c>
      <c r="AA42">
        <v>40160</v>
      </c>
      <c r="AB42">
        <f t="shared" si="1"/>
        <v>40160</v>
      </c>
      <c r="AC42">
        <v>160</v>
      </c>
      <c r="AD42">
        <v>1</v>
      </c>
      <c r="AE42">
        <v>16</v>
      </c>
      <c r="AF42">
        <v>41.924599999999998</v>
      </c>
    </row>
    <row r="43" spans="1:32">
      <c r="A43">
        <v>36000</v>
      </c>
      <c r="B43">
        <v>160</v>
      </c>
      <c r="C43">
        <v>2</v>
      </c>
      <c r="D43">
        <v>8</v>
      </c>
      <c r="E43">
        <v>38.506399999999999</v>
      </c>
      <c r="G43">
        <v>36000</v>
      </c>
      <c r="H43">
        <v>160</v>
      </c>
      <c r="I43">
        <v>2</v>
      </c>
      <c r="J43">
        <v>8</v>
      </c>
      <c r="K43">
        <v>42.823399999999999</v>
      </c>
      <c r="M43">
        <v>36000</v>
      </c>
      <c r="N43">
        <v>160</v>
      </c>
      <c r="O43">
        <v>2</v>
      </c>
      <c r="P43">
        <v>8</v>
      </c>
      <c r="Q43">
        <v>30.26</v>
      </c>
      <c r="T43">
        <v>36000</v>
      </c>
      <c r="U43">
        <f t="shared" si="0"/>
        <v>36000</v>
      </c>
      <c r="V43">
        <v>160</v>
      </c>
      <c r="W43">
        <v>2</v>
      </c>
      <c r="X43">
        <v>8</v>
      </c>
      <c r="Y43">
        <v>38.506399999999999</v>
      </c>
      <c r="AA43">
        <v>36000</v>
      </c>
      <c r="AB43">
        <f t="shared" si="1"/>
        <v>36000</v>
      </c>
      <c r="AC43">
        <v>160</v>
      </c>
      <c r="AD43">
        <v>2</v>
      </c>
      <c r="AE43">
        <v>8</v>
      </c>
      <c r="AF43">
        <v>42.823399999999999</v>
      </c>
    </row>
    <row r="44" spans="1:32">
      <c r="A44">
        <v>38080</v>
      </c>
      <c r="B44">
        <v>160</v>
      </c>
      <c r="C44">
        <v>2</v>
      </c>
      <c r="D44">
        <v>8</v>
      </c>
      <c r="E44">
        <v>40.238000000000007</v>
      </c>
      <c r="G44">
        <v>38080</v>
      </c>
      <c r="H44">
        <v>160</v>
      </c>
      <c r="I44">
        <v>2</v>
      </c>
      <c r="J44">
        <v>8</v>
      </c>
      <c r="K44">
        <v>43.703199999999995</v>
      </c>
      <c r="M44">
        <v>38080</v>
      </c>
      <c r="N44">
        <v>160</v>
      </c>
      <c r="O44">
        <v>2</v>
      </c>
      <c r="P44">
        <v>8</v>
      </c>
      <c r="Q44">
        <v>31.2788</v>
      </c>
      <c r="T44">
        <v>38080</v>
      </c>
      <c r="U44">
        <f t="shared" si="0"/>
        <v>38080</v>
      </c>
      <c r="V44">
        <v>160</v>
      </c>
      <c r="W44">
        <v>2</v>
      </c>
      <c r="X44">
        <v>8</v>
      </c>
      <c r="Y44">
        <v>40.238000000000007</v>
      </c>
      <c r="AA44">
        <v>38080</v>
      </c>
      <c r="AB44">
        <f t="shared" si="1"/>
        <v>38080</v>
      </c>
      <c r="AC44">
        <v>160</v>
      </c>
      <c r="AD44">
        <v>2</v>
      </c>
      <c r="AE44">
        <v>8</v>
      </c>
      <c r="AF44">
        <v>43.703199999999995</v>
      </c>
    </row>
    <row r="45" spans="1:32">
      <c r="A45">
        <v>40160</v>
      </c>
      <c r="B45">
        <v>160</v>
      </c>
      <c r="C45">
        <v>2</v>
      </c>
      <c r="D45">
        <v>8</v>
      </c>
      <c r="E45">
        <v>41.387599999999999</v>
      </c>
      <c r="G45">
        <v>40160</v>
      </c>
      <c r="H45">
        <v>160</v>
      </c>
      <c r="I45">
        <v>2</v>
      </c>
      <c r="J45">
        <v>8</v>
      </c>
      <c r="K45">
        <v>44.054200000000002</v>
      </c>
      <c r="M45">
        <v>40160</v>
      </c>
      <c r="N45">
        <v>160</v>
      </c>
      <c r="O45">
        <v>2</v>
      </c>
      <c r="P45">
        <v>8</v>
      </c>
      <c r="Q45">
        <v>32.070599999999999</v>
      </c>
      <c r="T45">
        <v>40160</v>
      </c>
      <c r="U45">
        <f t="shared" si="0"/>
        <v>40160</v>
      </c>
      <c r="V45">
        <v>160</v>
      </c>
      <c r="W45">
        <v>2</v>
      </c>
      <c r="X45">
        <v>8</v>
      </c>
      <c r="Y45">
        <v>41.387599999999999</v>
      </c>
      <c r="AA45">
        <v>40160</v>
      </c>
      <c r="AB45">
        <f t="shared" si="1"/>
        <v>40160</v>
      </c>
      <c r="AC45">
        <v>160</v>
      </c>
      <c r="AD45">
        <v>2</v>
      </c>
      <c r="AE45">
        <v>8</v>
      </c>
      <c r="AF45">
        <v>44.054200000000002</v>
      </c>
    </row>
    <row r="46" spans="1:32">
      <c r="A46">
        <v>36000</v>
      </c>
      <c r="B46">
        <v>160</v>
      </c>
      <c r="C46">
        <v>4</v>
      </c>
      <c r="D46">
        <v>4</v>
      </c>
      <c r="E46">
        <v>39.752400000000002</v>
      </c>
      <c r="G46">
        <v>36000</v>
      </c>
      <c r="H46">
        <v>160</v>
      </c>
      <c r="I46">
        <v>4</v>
      </c>
      <c r="J46">
        <v>4</v>
      </c>
      <c r="K46">
        <v>40.527200000000001</v>
      </c>
      <c r="M46">
        <v>36000</v>
      </c>
      <c r="N46">
        <v>160</v>
      </c>
      <c r="O46">
        <v>4</v>
      </c>
      <c r="P46">
        <v>4</v>
      </c>
      <c r="Q46">
        <v>28.311799999999998</v>
      </c>
      <c r="T46">
        <v>36000</v>
      </c>
      <c r="U46">
        <f t="shared" si="0"/>
        <v>36000</v>
      </c>
      <c r="V46">
        <v>160</v>
      </c>
      <c r="W46">
        <v>4</v>
      </c>
      <c r="X46">
        <v>4</v>
      </c>
      <c r="Y46">
        <v>39.752400000000002</v>
      </c>
      <c r="AA46">
        <v>36000</v>
      </c>
      <c r="AB46">
        <f t="shared" si="1"/>
        <v>36000</v>
      </c>
      <c r="AC46">
        <v>160</v>
      </c>
      <c r="AD46">
        <v>4</v>
      </c>
      <c r="AE46">
        <v>4</v>
      </c>
      <c r="AF46">
        <v>40.527200000000001</v>
      </c>
    </row>
    <row r="47" spans="1:32">
      <c r="A47">
        <v>38080</v>
      </c>
      <c r="B47">
        <v>160</v>
      </c>
      <c r="C47">
        <v>4</v>
      </c>
      <c r="D47">
        <v>4</v>
      </c>
      <c r="E47">
        <v>39.992000000000004</v>
      </c>
      <c r="G47">
        <v>38080</v>
      </c>
      <c r="H47">
        <v>160</v>
      </c>
      <c r="I47">
        <v>4</v>
      </c>
      <c r="J47">
        <v>4</v>
      </c>
      <c r="K47">
        <v>41.192599999999999</v>
      </c>
      <c r="M47">
        <v>38080</v>
      </c>
      <c r="N47">
        <v>160</v>
      </c>
      <c r="O47">
        <v>4</v>
      </c>
      <c r="P47">
        <v>4</v>
      </c>
      <c r="Q47">
        <v>29.336000000000002</v>
      </c>
      <c r="T47">
        <v>38080</v>
      </c>
      <c r="U47">
        <f t="shared" si="0"/>
        <v>38080</v>
      </c>
      <c r="V47">
        <v>160</v>
      </c>
      <c r="W47">
        <v>4</v>
      </c>
      <c r="X47">
        <v>4</v>
      </c>
      <c r="Y47">
        <v>39.992000000000004</v>
      </c>
      <c r="AA47">
        <v>38080</v>
      </c>
      <c r="AB47">
        <f t="shared" si="1"/>
        <v>38080</v>
      </c>
      <c r="AC47">
        <v>160</v>
      </c>
      <c r="AD47">
        <v>4</v>
      </c>
      <c r="AE47">
        <v>4</v>
      </c>
      <c r="AF47">
        <v>41.192599999999999</v>
      </c>
    </row>
    <row r="48" spans="1:32">
      <c r="A48">
        <v>40160</v>
      </c>
      <c r="B48">
        <v>160</v>
      </c>
      <c r="C48">
        <v>4</v>
      </c>
      <c r="D48">
        <v>4</v>
      </c>
      <c r="E48">
        <v>41.390200000000007</v>
      </c>
      <c r="G48">
        <v>40160</v>
      </c>
      <c r="H48">
        <v>160</v>
      </c>
      <c r="I48">
        <v>4</v>
      </c>
      <c r="J48">
        <v>4</v>
      </c>
      <c r="K48">
        <v>41.7316</v>
      </c>
      <c r="M48">
        <v>40160</v>
      </c>
      <c r="N48">
        <v>160</v>
      </c>
      <c r="O48">
        <v>4</v>
      </c>
      <c r="P48">
        <v>4</v>
      </c>
      <c r="Q48">
        <v>30.207600000000003</v>
      </c>
      <c r="T48">
        <v>40160</v>
      </c>
      <c r="U48">
        <f t="shared" si="0"/>
        <v>40160</v>
      </c>
      <c r="V48">
        <v>160</v>
      </c>
      <c r="W48">
        <v>4</v>
      </c>
      <c r="X48">
        <v>4</v>
      </c>
      <c r="Y48">
        <v>41.390200000000007</v>
      </c>
      <c r="AA48">
        <v>40160</v>
      </c>
      <c r="AB48">
        <f t="shared" si="1"/>
        <v>40160</v>
      </c>
      <c r="AC48">
        <v>160</v>
      </c>
      <c r="AD48">
        <v>4</v>
      </c>
      <c r="AE48">
        <v>4</v>
      </c>
      <c r="AF48">
        <v>41.7316</v>
      </c>
    </row>
    <row r="49" spans="1:32">
      <c r="A49">
        <v>35904</v>
      </c>
      <c r="B49">
        <v>192</v>
      </c>
      <c r="C49">
        <v>1</v>
      </c>
      <c r="D49">
        <v>16</v>
      </c>
      <c r="E49">
        <v>39.755800000000001</v>
      </c>
      <c r="G49">
        <v>35904</v>
      </c>
      <c r="H49">
        <v>192</v>
      </c>
      <c r="I49">
        <v>1</v>
      </c>
      <c r="J49">
        <v>16</v>
      </c>
      <c r="K49">
        <v>41.584799999999994</v>
      </c>
      <c r="M49">
        <v>35904</v>
      </c>
      <c r="N49">
        <v>192</v>
      </c>
      <c r="O49">
        <v>1</v>
      </c>
      <c r="P49">
        <v>16</v>
      </c>
      <c r="Q49">
        <v>31.9726</v>
      </c>
      <c r="T49">
        <v>35904</v>
      </c>
      <c r="U49">
        <f t="shared" si="0"/>
        <v>36000</v>
      </c>
      <c r="V49">
        <v>192</v>
      </c>
      <c r="W49">
        <v>1</v>
      </c>
      <c r="X49">
        <v>16</v>
      </c>
      <c r="Y49">
        <v>39.755800000000001</v>
      </c>
      <c r="AA49">
        <v>35904</v>
      </c>
      <c r="AB49">
        <f t="shared" si="1"/>
        <v>36000</v>
      </c>
      <c r="AC49">
        <v>192</v>
      </c>
      <c r="AD49">
        <v>1</v>
      </c>
      <c r="AE49">
        <v>16</v>
      </c>
      <c r="AF49">
        <v>41.584799999999994</v>
      </c>
    </row>
    <row r="50" spans="1:32">
      <c r="A50">
        <v>38016</v>
      </c>
      <c r="B50">
        <v>192</v>
      </c>
      <c r="C50">
        <v>1</v>
      </c>
      <c r="D50">
        <v>16</v>
      </c>
      <c r="E50">
        <v>39.495600000000003</v>
      </c>
      <c r="G50">
        <v>38016</v>
      </c>
      <c r="H50">
        <v>192</v>
      </c>
      <c r="I50">
        <v>1</v>
      </c>
      <c r="J50">
        <v>16</v>
      </c>
      <c r="K50">
        <v>41.890600000000006</v>
      </c>
      <c r="M50">
        <v>38016</v>
      </c>
      <c r="N50">
        <v>192</v>
      </c>
      <c r="O50">
        <v>1</v>
      </c>
      <c r="P50">
        <v>16</v>
      </c>
      <c r="Q50">
        <v>32.877800000000001</v>
      </c>
      <c r="T50">
        <v>38016</v>
      </c>
      <c r="U50">
        <f t="shared" si="0"/>
        <v>38080</v>
      </c>
      <c r="V50">
        <v>192</v>
      </c>
      <c r="W50">
        <v>1</v>
      </c>
      <c r="X50">
        <v>16</v>
      </c>
      <c r="Y50">
        <v>39.495600000000003</v>
      </c>
      <c r="AA50">
        <v>38016</v>
      </c>
      <c r="AB50">
        <f t="shared" si="1"/>
        <v>38080</v>
      </c>
      <c r="AC50">
        <v>192</v>
      </c>
      <c r="AD50">
        <v>1</v>
      </c>
      <c r="AE50">
        <v>16</v>
      </c>
      <c r="AF50">
        <v>41.890600000000006</v>
      </c>
    </row>
    <row r="51" spans="1:32">
      <c r="A51">
        <v>40128</v>
      </c>
      <c r="B51">
        <v>192</v>
      </c>
      <c r="C51">
        <v>1</v>
      </c>
      <c r="D51">
        <v>16</v>
      </c>
      <c r="E51">
        <v>40.259200000000007</v>
      </c>
      <c r="G51">
        <v>40128</v>
      </c>
      <c r="H51">
        <v>192</v>
      </c>
      <c r="I51">
        <v>1</v>
      </c>
      <c r="J51">
        <v>16</v>
      </c>
      <c r="K51">
        <v>42.477800000000002</v>
      </c>
      <c r="M51">
        <v>40128</v>
      </c>
      <c r="N51">
        <v>192</v>
      </c>
      <c r="O51">
        <v>1</v>
      </c>
      <c r="P51">
        <v>16</v>
      </c>
      <c r="Q51">
        <v>33.851800000000004</v>
      </c>
      <c r="T51">
        <v>40128</v>
      </c>
      <c r="U51">
        <f t="shared" si="0"/>
        <v>40160</v>
      </c>
      <c r="V51">
        <v>192</v>
      </c>
      <c r="W51">
        <v>1</v>
      </c>
      <c r="X51">
        <v>16</v>
      </c>
      <c r="Y51">
        <v>40.259200000000007</v>
      </c>
      <c r="AA51">
        <v>40128</v>
      </c>
      <c r="AB51">
        <f t="shared" si="1"/>
        <v>40160</v>
      </c>
      <c r="AC51">
        <v>192</v>
      </c>
      <c r="AD51">
        <v>1</v>
      </c>
      <c r="AE51">
        <v>16</v>
      </c>
      <c r="AF51">
        <v>42.477800000000002</v>
      </c>
    </row>
    <row r="52" spans="1:32">
      <c r="A52">
        <v>35904</v>
      </c>
      <c r="B52">
        <v>192</v>
      </c>
      <c r="C52">
        <v>2</v>
      </c>
      <c r="D52">
        <v>8</v>
      </c>
      <c r="E52">
        <v>38.178399999999996</v>
      </c>
      <c r="G52">
        <v>35904</v>
      </c>
      <c r="H52">
        <v>192</v>
      </c>
      <c r="I52">
        <v>2</v>
      </c>
      <c r="J52">
        <v>8</v>
      </c>
      <c r="K52">
        <v>43.978799999999993</v>
      </c>
      <c r="M52">
        <v>35904</v>
      </c>
      <c r="N52">
        <v>192</v>
      </c>
      <c r="O52">
        <v>2</v>
      </c>
      <c r="P52">
        <v>8</v>
      </c>
      <c r="Q52">
        <v>30.356200000000001</v>
      </c>
      <c r="T52">
        <v>35904</v>
      </c>
      <c r="U52">
        <f t="shared" si="0"/>
        <v>36000</v>
      </c>
      <c r="V52">
        <v>192</v>
      </c>
      <c r="W52">
        <v>2</v>
      </c>
      <c r="X52">
        <v>8</v>
      </c>
      <c r="Y52">
        <v>38.178399999999996</v>
      </c>
      <c r="AA52">
        <v>35904</v>
      </c>
      <c r="AB52">
        <f t="shared" si="1"/>
        <v>36000</v>
      </c>
      <c r="AC52">
        <v>192</v>
      </c>
      <c r="AD52">
        <v>2</v>
      </c>
      <c r="AE52">
        <v>8</v>
      </c>
      <c r="AF52">
        <v>43.978799999999993</v>
      </c>
    </row>
    <row r="53" spans="1:32">
      <c r="A53">
        <v>38016</v>
      </c>
      <c r="B53">
        <v>192</v>
      </c>
      <c r="C53">
        <v>2</v>
      </c>
      <c r="D53">
        <v>8</v>
      </c>
      <c r="E53">
        <v>39.030800000000006</v>
      </c>
      <c r="G53">
        <v>38016</v>
      </c>
      <c r="H53">
        <v>192</v>
      </c>
      <c r="I53">
        <v>2</v>
      </c>
      <c r="J53">
        <v>8</v>
      </c>
      <c r="K53">
        <v>44.783799999999999</v>
      </c>
      <c r="M53">
        <v>38016</v>
      </c>
      <c r="N53">
        <v>192</v>
      </c>
      <c r="O53">
        <v>2</v>
      </c>
      <c r="P53">
        <v>8</v>
      </c>
      <c r="Q53">
        <v>31.489200000000004</v>
      </c>
      <c r="T53">
        <v>38016</v>
      </c>
      <c r="U53">
        <f t="shared" si="0"/>
        <v>38080</v>
      </c>
      <c r="V53">
        <v>192</v>
      </c>
      <c r="W53">
        <v>2</v>
      </c>
      <c r="X53">
        <v>8</v>
      </c>
      <c r="Y53">
        <v>39.030800000000006</v>
      </c>
      <c r="AA53">
        <v>38016</v>
      </c>
      <c r="AB53">
        <f t="shared" si="1"/>
        <v>38080</v>
      </c>
      <c r="AC53">
        <v>192</v>
      </c>
      <c r="AD53">
        <v>2</v>
      </c>
      <c r="AE53">
        <v>8</v>
      </c>
      <c r="AF53">
        <v>44.783799999999999</v>
      </c>
    </row>
    <row r="54" spans="1:32">
      <c r="A54">
        <v>40128</v>
      </c>
      <c r="B54">
        <v>192</v>
      </c>
      <c r="C54">
        <v>2</v>
      </c>
      <c r="D54">
        <v>8</v>
      </c>
      <c r="E54">
        <v>39.261999999999993</v>
      </c>
      <c r="G54">
        <v>40128</v>
      </c>
      <c r="H54">
        <v>192</v>
      </c>
      <c r="I54">
        <v>2</v>
      </c>
      <c r="J54">
        <v>8</v>
      </c>
      <c r="K54">
        <v>44.794000000000004</v>
      </c>
      <c r="M54">
        <v>40128</v>
      </c>
      <c r="N54">
        <v>192</v>
      </c>
      <c r="O54">
        <v>2</v>
      </c>
      <c r="P54">
        <v>8</v>
      </c>
      <c r="Q54">
        <v>32.294999999999995</v>
      </c>
      <c r="T54">
        <v>40128</v>
      </c>
      <c r="U54">
        <f t="shared" si="0"/>
        <v>40160</v>
      </c>
      <c r="V54">
        <v>192</v>
      </c>
      <c r="W54">
        <v>2</v>
      </c>
      <c r="X54">
        <v>8</v>
      </c>
      <c r="Y54">
        <v>39.261999999999993</v>
      </c>
      <c r="AA54">
        <v>40128</v>
      </c>
      <c r="AB54">
        <f t="shared" si="1"/>
        <v>40160</v>
      </c>
      <c r="AC54">
        <v>192</v>
      </c>
      <c r="AD54">
        <v>2</v>
      </c>
      <c r="AE54">
        <v>8</v>
      </c>
      <c r="AF54">
        <v>44.794000000000004</v>
      </c>
    </row>
    <row r="55" spans="1:32">
      <c r="A55">
        <v>35904</v>
      </c>
      <c r="B55">
        <v>192</v>
      </c>
      <c r="C55">
        <v>4</v>
      </c>
      <c r="D55">
        <v>4</v>
      </c>
      <c r="E55">
        <v>39.7986</v>
      </c>
      <c r="G55">
        <v>35904</v>
      </c>
      <c r="H55">
        <v>192</v>
      </c>
      <c r="I55">
        <v>4</v>
      </c>
      <c r="J55">
        <v>4</v>
      </c>
      <c r="K55">
        <v>41.320799999999998</v>
      </c>
      <c r="M55">
        <v>35904</v>
      </c>
      <c r="N55">
        <v>192</v>
      </c>
      <c r="O55">
        <v>4</v>
      </c>
      <c r="P55">
        <v>4</v>
      </c>
      <c r="Q55">
        <v>28.569599999999998</v>
      </c>
      <c r="T55">
        <v>35904</v>
      </c>
      <c r="U55">
        <f t="shared" si="0"/>
        <v>36000</v>
      </c>
      <c r="V55">
        <v>192</v>
      </c>
      <c r="W55">
        <v>4</v>
      </c>
      <c r="X55">
        <v>4</v>
      </c>
      <c r="Y55">
        <v>39.7986</v>
      </c>
      <c r="AA55">
        <v>35904</v>
      </c>
      <c r="AB55">
        <f t="shared" si="1"/>
        <v>36000</v>
      </c>
      <c r="AC55">
        <v>192</v>
      </c>
      <c r="AD55">
        <v>4</v>
      </c>
      <c r="AE55">
        <v>4</v>
      </c>
      <c r="AF55">
        <v>41.320799999999998</v>
      </c>
    </row>
    <row r="56" spans="1:32">
      <c r="A56">
        <v>38016</v>
      </c>
      <c r="B56">
        <v>192</v>
      </c>
      <c r="C56">
        <v>4</v>
      </c>
      <c r="D56">
        <v>4</v>
      </c>
      <c r="E56">
        <v>39.223400000000005</v>
      </c>
      <c r="G56">
        <v>38016</v>
      </c>
      <c r="H56">
        <v>192</v>
      </c>
      <c r="I56">
        <v>4</v>
      </c>
      <c r="J56">
        <v>4</v>
      </c>
      <c r="K56">
        <v>42.069800000000001</v>
      </c>
      <c r="M56">
        <v>38016</v>
      </c>
      <c r="N56">
        <v>192</v>
      </c>
      <c r="O56">
        <v>4</v>
      </c>
      <c r="P56">
        <v>4</v>
      </c>
      <c r="Q56">
        <v>29.51</v>
      </c>
      <c r="T56">
        <v>38016</v>
      </c>
      <c r="U56">
        <f t="shared" si="0"/>
        <v>38080</v>
      </c>
      <c r="V56">
        <v>192</v>
      </c>
      <c r="W56">
        <v>4</v>
      </c>
      <c r="X56">
        <v>4</v>
      </c>
      <c r="Y56">
        <v>39.223400000000005</v>
      </c>
      <c r="AA56">
        <v>38016</v>
      </c>
      <c r="AB56">
        <f t="shared" si="1"/>
        <v>38080</v>
      </c>
      <c r="AC56">
        <v>192</v>
      </c>
      <c r="AD56">
        <v>4</v>
      </c>
      <c r="AE56">
        <v>4</v>
      </c>
      <c r="AF56">
        <v>42.069800000000001</v>
      </c>
    </row>
    <row r="57" spans="1:32">
      <c r="A57">
        <v>40128</v>
      </c>
      <c r="B57">
        <v>192</v>
      </c>
      <c r="C57">
        <v>4</v>
      </c>
      <c r="D57">
        <v>4</v>
      </c>
      <c r="E57">
        <v>39.980800000000002</v>
      </c>
      <c r="G57">
        <v>40128</v>
      </c>
      <c r="H57">
        <v>192</v>
      </c>
      <c r="I57">
        <v>4</v>
      </c>
      <c r="J57">
        <v>4</v>
      </c>
      <c r="K57">
        <v>42.292400000000001</v>
      </c>
      <c r="M57">
        <v>40128</v>
      </c>
      <c r="N57">
        <v>192</v>
      </c>
      <c r="O57">
        <v>4</v>
      </c>
      <c r="P57">
        <v>4</v>
      </c>
      <c r="Q57">
        <v>30.426800000000004</v>
      </c>
      <c r="T57">
        <v>40128</v>
      </c>
      <c r="U57">
        <f t="shared" si="0"/>
        <v>40160</v>
      </c>
      <c r="V57">
        <v>192</v>
      </c>
      <c r="W57">
        <v>4</v>
      </c>
      <c r="X57">
        <v>4</v>
      </c>
      <c r="Y57">
        <v>39.980800000000002</v>
      </c>
      <c r="AA57">
        <v>40128</v>
      </c>
      <c r="AB57">
        <f t="shared" si="1"/>
        <v>40160</v>
      </c>
      <c r="AC57">
        <v>192</v>
      </c>
      <c r="AD57">
        <v>4</v>
      </c>
      <c r="AE57">
        <v>4</v>
      </c>
      <c r="AF57">
        <v>42.292400000000001</v>
      </c>
    </row>
    <row r="58" spans="1:32">
      <c r="A58">
        <v>35840</v>
      </c>
      <c r="B58">
        <v>224</v>
      </c>
      <c r="C58">
        <v>1</v>
      </c>
      <c r="D58">
        <v>16</v>
      </c>
      <c r="E58">
        <v>38.426400000000001</v>
      </c>
      <c r="G58">
        <v>35840</v>
      </c>
      <c r="H58">
        <v>224</v>
      </c>
      <c r="I58">
        <v>1</v>
      </c>
      <c r="J58">
        <v>16</v>
      </c>
      <c r="K58">
        <v>41.298199999999994</v>
      </c>
      <c r="M58">
        <v>35840</v>
      </c>
      <c r="N58">
        <v>224</v>
      </c>
      <c r="O58">
        <v>1</v>
      </c>
      <c r="P58">
        <v>16</v>
      </c>
      <c r="Q58">
        <v>31.706</v>
      </c>
      <c r="T58">
        <v>35840</v>
      </c>
      <c r="U58">
        <f t="shared" si="0"/>
        <v>36000</v>
      </c>
      <c r="V58">
        <v>224</v>
      </c>
      <c r="W58">
        <v>1</v>
      </c>
      <c r="X58">
        <v>16</v>
      </c>
      <c r="Y58">
        <v>38.426400000000001</v>
      </c>
      <c r="AA58">
        <v>35840</v>
      </c>
      <c r="AB58">
        <f t="shared" si="1"/>
        <v>36000</v>
      </c>
      <c r="AC58">
        <v>224</v>
      </c>
      <c r="AD58">
        <v>1</v>
      </c>
      <c r="AE58">
        <v>16</v>
      </c>
      <c r="AF58">
        <v>41.298199999999994</v>
      </c>
    </row>
    <row r="59" spans="1:32">
      <c r="A59">
        <v>38080</v>
      </c>
      <c r="B59">
        <v>224</v>
      </c>
      <c r="C59">
        <v>1</v>
      </c>
      <c r="D59">
        <v>16</v>
      </c>
      <c r="E59">
        <v>39.754800000000003</v>
      </c>
      <c r="G59">
        <v>38080</v>
      </c>
      <c r="H59">
        <v>224</v>
      </c>
      <c r="I59">
        <v>1</v>
      </c>
      <c r="J59">
        <v>16</v>
      </c>
      <c r="K59">
        <v>41.1494</v>
      </c>
      <c r="M59">
        <v>38080</v>
      </c>
      <c r="N59">
        <v>224</v>
      </c>
      <c r="O59">
        <v>1</v>
      </c>
      <c r="P59">
        <v>16</v>
      </c>
      <c r="Q59">
        <v>32.611000000000004</v>
      </c>
      <c r="T59">
        <v>38080</v>
      </c>
      <c r="U59">
        <f t="shared" si="0"/>
        <v>38080</v>
      </c>
      <c r="V59">
        <v>224</v>
      </c>
      <c r="W59">
        <v>1</v>
      </c>
      <c r="X59">
        <v>16</v>
      </c>
      <c r="Y59">
        <v>39.754800000000003</v>
      </c>
      <c r="AA59">
        <v>38080</v>
      </c>
      <c r="AB59">
        <f t="shared" si="1"/>
        <v>38080</v>
      </c>
      <c r="AC59">
        <v>224</v>
      </c>
      <c r="AD59">
        <v>1</v>
      </c>
      <c r="AE59">
        <v>16</v>
      </c>
      <c r="AF59">
        <v>41.1494</v>
      </c>
    </row>
    <row r="60" spans="1:32">
      <c r="A60">
        <v>40096</v>
      </c>
      <c r="B60">
        <v>224</v>
      </c>
      <c r="C60">
        <v>1</v>
      </c>
      <c r="D60">
        <v>16</v>
      </c>
      <c r="E60">
        <v>40.293199999999999</v>
      </c>
      <c r="G60">
        <v>40096</v>
      </c>
      <c r="H60">
        <v>224</v>
      </c>
      <c r="I60">
        <v>1</v>
      </c>
      <c r="J60">
        <v>16</v>
      </c>
      <c r="K60">
        <v>41.643000000000001</v>
      </c>
      <c r="M60">
        <v>40096</v>
      </c>
      <c r="N60">
        <v>224</v>
      </c>
      <c r="O60">
        <v>1</v>
      </c>
      <c r="P60">
        <v>16</v>
      </c>
      <c r="Q60">
        <v>33.308199999999999</v>
      </c>
      <c r="T60">
        <v>40096</v>
      </c>
      <c r="U60">
        <f t="shared" si="0"/>
        <v>40160</v>
      </c>
      <c r="V60">
        <v>224</v>
      </c>
      <c r="W60">
        <v>1</v>
      </c>
      <c r="X60">
        <v>16</v>
      </c>
      <c r="Y60">
        <v>40.293199999999999</v>
      </c>
      <c r="AA60">
        <v>40096</v>
      </c>
      <c r="AB60">
        <f t="shared" si="1"/>
        <v>40160</v>
      </c>
      <c r="AC60">
        <v>224</v>
      </c>
      <c r="AD60">
        <v>1</v>
      </c>
      <c r="AE60">
        <v>16</v>
      </c>
      <c r="AF60">
        <v>41.643000000000001</v>
      </c>
    </row>
    <row r="61" spans="1:32">
      <c r="A61">
        <v>35840</v>
      </c>
      <c r="B61">
        <v>224</v>
      </c>
      <c r="C61">
        <v>2</v>
      </c>
      <c r="D61">
        <v>8</v>
      </c>
      <c r="E61">
        <v>38.073599999999999</v>
      </c>
      <c r="G61">
        <v>35840</v>
      </c>
      <c r="H61">
        <v>224</v>
      </c>
      <c r="I61">
        <v>2</v>
      </c>
      <c r="J61">
        <v>8</v>
      </c>
      <c r="K61">
        <v>44.110400000000006</v>
      </c>
      <c r="M61">
        <v>35840</v>
      </c>
      <c r="N61">
        <v>224</v>
      </c>
      <c r="O61">
        <v>2</v>
      </c>
      <c r="P61">
        <v>8</v>
      </c>
      <c r="Q61">
        <v>30.209199999999999</v>
      </c>
      <c r="T61">
        <v>35840</v>
      </c>
      <c r="U61">
        <f t="shared" si="0"/>
        <v>36000</v>
      </c>
      <c r="V61">
        <v>224</v>
      </c>
      <c r="W61">
        <v>2</v>
      </c>
      <c r="X61">
        <v>8</v>
      </c>
      <c r="Y61">
        <v>38.073599999999999</v>
      </c>
      <c r="AA61">
        <v>35840</v>
      </c>
      <c r="AB61">
        <f t="shared" si="1"/>
        <v>36000</v>
      </c>
      <c r="AC61">
        <v>224</v>
      </c>
      <c r="AD61">
        <v>2</v>
      </c>
      <c r="AE61">
        <v>8</v>
      </c>
      <c r="AF61">
        <v>44.110400000000006</v>
      </c>
    </row>
    <row r="62" spans="1:32">
      <c r="A62">
        <v>38080</v>
      </c>
      <c r="B62">
        <v>224</v>
      </c>
      <c r="C62">
        <v>2</v>
      </c>
      <c r="D62">
        <v>8</v>
      </c>
      <c r="E62">
        <v>39.935200000000002</v>
      </c>
      <c r="G62">
        <v>38080</v>
      </c>
      <c r="H62">
        <v>224</v>
      </c>
      <c r="I62">
        <v>2</v>
      </c>
      <c r="J62">
        <v>8</v>
      </c>
      <c r="K62">
        <v>44.909200000000013</v>
      </c>
      <c r="M62">
        <v>38080</v>
      </c>
      <c r="N62">
        <v>224</v>
      </c>
      <c r="O62">
        <v>2</v>
      </c>
      <c r="P62">
        <v>8</v>
      </c>
      <c r="Q62">
        <v>31.491399999999999</v>
      </c>
      <c r="T62">
        <v>38080</v>
      </c>
      <c r="U62">
        <f t="shared" si="0"/>
        <v>38080</v>
      </c>
      <c r="V62">
        <v>224</v>
      </c>
      <c r="W62">
        <v>2</v>
      </c>
      <c r="X62">
        <v>8</v>
      </c>
      <c r="Y62">
        <v>39.935200000000002</v>
      </c>
      <c r="AA62">
        <v>38080</v>
      </c>
      <c r="AB62">
        <f t="shared" si="1"/>
        <v>38080</v>
      </c>
      <c r="AC62">
        <v>224</v>
      </c>
      <c r="AD62">
        <v>2</v>
      </c>
      <c r="AE62">
        <v>8</v>
      </c>
      <c r="AF62">
        <v>44.909200000000013</v>
      </c>
    </row>
    <row r="63" spans="1:32">
      <c r="A63">
        <v>40096</v>
      </c>
      <c r="B63">
        <v>224</v>
      </c>
      <c r="C63">
        <v>2</v>
      </c>
      <c r="D63">
        <v>8</v>
      </c>
      <c r="E63">
        <v>40.863599999999998</v>
      </c>
      <c r="G63">
        <v>40096</v>
      </c>
      <c r="H63">
        <v>224</v>
      </c>
      <c r="I63">
        <v>2</v>
      </c>
      <c r="J63">
        <v>8</v>
      </c>
      <c r="K63">
        <v>44.968599999999995</v>
      </c>
      <c r="M63">
        <v>40096</v>
      </c>
      <c r="N63">
        <v>224</v>
      </c>
      <c r="O63">
        <v>2</v>
      </c>
      <c r="P63">
        <v>8</v>
      </c>
      <c r="Q63">
        <v>32.273800000000008</v>
      </c>
      <c r="T63">
        <v>40096</v>
      </c>
      <c r="U63">
        <f t="shared" si="0"/>
        <v>40160</v>
      </c>
      <c r="V63">
        <v>224</v>
      </c>
      <c r="W63">
        <v>2</v>
      </c>
      <c r="X63">
        <v>8</v>
      </c>
      <c r="Y63">
        <v>40.863599999999998</v>
      </c>
      <c r="AA63">
        <v>40096</v>
      </c>
      <c r="AB63">
        <f t="shared" si="1"/>
        <v>40160</v>
      </c>
      <c r="AC63">
        <v>224</v>
      </c>
      <c r="AD63">
        <v>2</v>
      </c>
      <c r="AE63">
        <v>8</v>
      </c>
      <c r="AF63">
        <v>44.968599999999995</v>
      </c>
    </row>
    <row r="64" spans="1:32">
      <c r="A64">
        <v>35840</v>
      </c>
      <c r="B64">
        <v>224</v>
      </c>
      <c r="C64">
        <v>4</v>
      </c>
      <c r="D64">
        <v>4</v>
      </c>
      <c r="E64">
        <v>37.537999999999997</v>
      </c>
      <c r="G64">
        <v>35840</v>
      </c>
      <c r="H64">
        <v>224</v>
      </c>
      <c r="I64">
        <v>4</v>
      </c>
      <c r="J64">
        <v>4</v>
      </c>
      <c r="K64">
        <v>41.572200000000002</v>
      </c>
      <c r="M64">
        <v>35840</v>
      </c>
      <c r="N64">
        <v>224</v>
      </c>
      <c r="O64">
        <v>4</v>
      </c>
      <c r="P64">
        <v>4</v>
      </c>
      <c r="Q64">
        <v>28.691399999999998</v>
      </c>
      <c r="T64">
        <v>35840</v>
      </c>
      <c r="U64">
        <f t="shared" si="0"/>
        <v>36000</v>
      </c>
      <c r="V64">
        <v>224</v>
      </c>
      <c r="W64">
        <v>4</v>
      </c>
      <c r="X64">
        <v>4</v>
      </c>
      <c r="Y64">
        <v>37.537999999999997</v>
      </c>
      <c r="AA64">
        <v>35840</v>
      </c>
      <c r="AB64">
        <f t="shared" si="1"/>
        <v>36000</v>
      </c>
      <c r="AC64">
        <v>224</v>
      </c>
      <c r="AD64">
        <v>4</v>
      </c>
      <c r="AE64">
        <v>4</v>
      </c>
      <c r="AF64">
        <v>41.572200000000002</v>
      </c>
    </row>
    <row r="65" spans="1:32">
      <c r="A65">
        <v>38080</v>
      </c>
      <c r="B65">
        <v>224</v>
      </c>
      <c r="C65">
        <v>4</v>
      </c>
      <c r="D65">
        <v>4</v>
      </c>
      <c r="E65">
        <v>40.073999999999998</v>
      </c>
      <c r="G65">
        <v>38080</v>
      </c>
      <c r="H65">
        <v>224</v>
      </c>
      <c r="I65">
        <v>4</v>
      </c>
      <c r="J65">
        <v>4</v>
      </c>
      <c r="K65">
        <v>41.8874</v>
      </c>
      <c r="M65">
        <v>38080</v>
      </c>
      <c r="N65">
        <v>224</v>
      </c>
      <c r="O65">
        <v>4</v>
      </c>
      <c r="P65">
        <v>4</v>
      </c>
      <c r="Q65">
        <v>29.8858</v>
      </c>
      <c r="T65">
        <v>38080</v>
      </c>
      <c r="U65">
        <f t="shared" si="0"/>
        <v>38080</v>
      </c>
      <c r="V65">
        <v>224</v>
      </c>
      <c r="W65">
        <v>4</v>
      </c>
      <c r="X65">
        <v>4</v>
      </c>
      <c r="Y65">
        <v>40.073999999999998</v>
      </c>
      <c r="AA65">
        <v>38080</v>
      </c>
      <c r="AB65">
        <f t="shared" si="1"/>
        <v>38080</v>
      </c>
      <c r="AC65">
        <v>224</v>
      </c>
      <c r="AD65">
        <v>4</v>
      </c>
      <c r="AE65">
        <v>4</v>
      </c>
      <c r="AF65">
        <v>41.8874</v>
      </c>
    </row>
    <row r="66" spans="1:32">
      <c r="A66">
        <v>40096</v>
      </c>
      <c r="B66">
        <v>224</v>
      </c>
      <c r="C66">
        <v>4</v>
      </c>
      <c r="D66">
        <v>4</v>
      </c>
      <c r="E66">
        <v>40.733600000000003</v>
      </c>
      <c r="G66">
        <v>40096</v>
      </c>
      <c r="H66">
        <v>224</v>
      </c>
      <c r="I66">
        <v>4</v>
      </c>
      <c r="J66">
        <v>4</v>
      </c>
      <c r="K66">
        <v>42.583999999999996</v>
      </c>
      <c r="M66">
        <v>40096</v>
      </c>
      <c r="N66">
        <v>224</v>
      </c>
      <c r="O66">
        <v>4</v>
      </c>
      <c r="P66">
        <v>4</v>
      </c>
      <c r="Q66">
        <v>30.834199999999999</v>
      </c>
      <c r="T66">
        <v>40096</v>
      </c>
      <c r="U66">
        <f t="shared" si="0"/>
        <v>40160</v>
      </c>
      <c r="V66">
        <v>224</v>
      </c>
      <c r="W66">
        <v>4</v>
      </c>
      <c r="X66">
        <v>4</v>
      </c>
      <c r="Y66">
        <v>40.733600000000003</v>
      </c>
      <c r="AA66">
        <v>40096</v>
      </c>
      <c r="AB66">
        <f t="shared" si="1"/>
        <v>40160</v>
      </c>
      <c r="AC66">
        <v>224</v>
      </c>
      <c r="AD66">
        <v>4</v>
      </c>
      <c r="AE66">
        <v>4</v>
      </c>
      <c r="AF66">
        <v>42.583999999999996</v>
      </c>
    </row>
    <row r="67" spans="1:32">
      <c r="A67">
        <v>35840</v>
      </c>
      <c r="B67">
        <v>256</v>
      </c>
      <c r="C67">
        <v>1</v>
      </c>
      <c r="D67">
        <v>16</v>
      </c>
      <c r="E67">
        <v>37.439799999999998</v>
      </c>
      <c r="G67">
        <v>35840</v>
      </c>
      <c r="H67">
        <v>256</v>
      </c>
      <c r="I67">
        <v>1</v>
      </c>
      <c r="J67">
        <v>16</v>
      </c>
      <c r="K67">
        <v>40.499000000000002</v>
      </c>
      <c r="M67">
        <v>35840</v>
      </c>
      <c r="N67">
        <v>256</v>
      </c>
      <c r="O67">
        <v>1</v>
      </c>
      <c r="P67">
        <v>16</v>
      </c>
      <c r="Q67">
        <v>31.706799999999998</v>
      </c>
      <c r="T67">
        <v>35840</v>
      </c>
      <c r="U67">
        <f t="shared" si="0"/>
        <v>36000</v>
      </c>
      <c r="V67">
        <v>256</v>
      </c>
      <c r="W67">
        <v>1</v>
      </c>
      <c r="X67">
        <v>16</v>
      </c>
      <c r="Y67">
        <v>37.439799999999998</v>
      </c>
      <c r="AA67">
        <v>35840</v>
      </c>
      <c r="AB67">
        <f t="shared" si="1"/>
        <v>36000</v>
      </c>
      <c r="AC67">
        <v>256</v>
      </c>
      <c r="AD67">
        <v>1</v>
      </c>
      <c r="AE67">
        <v>16</v>
      </c>
      <c r="AF67">
        <v>40.499000000000002</v>
      </c>
    </row>
    <row r="68" spans="1:32">
      <c r="A68">
        <v>37888</v>
      </c>
      <c r="B68">
        <v>256</v>
      </c>
      <c r="C68">
        <v>1</v>
      </c>
      <c r="D68">
        <v>16</v>
      </c>
      <c r="E68">
        <v>36.613799999999998</v>
      </c>
      <c r="G68">
        <v>37888</v>
      </c>
      <c r="H68">
        <v>256</v>
      </c>
      <c r="I68">
        <v>1</v>
      </c>
      <c r="J68">
        <v>16</v>
      </c>
      <c r="K68">
        <v>41.646000000000001</v>
      </c>
      <c r="M68">
        <v>37888</v>
      </c>
      <c r="N68">
        <v>256</v>
      </c>
      <c r="O68">
        <v>1</v>
      </c>
      <c r="P68">
        <v>16</v>
      </c>
      <c r="Q68">
        <v>32.576800000000006</v>
      </c>
      <c r="T68">
        <v>37888</v>
      </c>
      <c r="U68">
        <f t="shared" si="0"/>
        <v>38080</v>
      </c>
      <c r="V68">
        <v>256</v>
      </c>
      <c r="W68">
        <v>1</v>
      </c>
      <c r="X68">
        <v>16</v>
      </c>
      <c r="Y68">
        <v>36.613799999999998</v>
      </c>
      <c r="AA68">
        <v>37888</v>
      </c>
      <c r="AB68">
        <f t="shared" si="1"/>
        <v>38080</v>
      </c>
      <c r="AC68">
        <v>256</v>
      </c>
      <c r="AD68">
        <v>1</v>
      </c>
      <c r="AE68">
        <v>16</v>
      </c>
      <c r="AF68">
        <v>41.646000000000001</v>
      </c>
    </row>
    <row r="69" spans="1:32">
      <c r="A69">
        <v>39936</v>
      </c>
      <c r="B69">
        <v>256</v>
      </c>
      <c r="C69">
        <v>1</v>
      </c>
      <c r="D69">
        <v>16</v>
      </c>
      <c r="E69">
        <v>37.982199999999999</v>
      </c>
      <c r="G69">
        <v>39936</v>
      </c>
      <c r="H69">
        <v>256</v>
      </c>
      <c r="I69">
        <v>1</v>
      </c>
      <c r="J69">
        <v>16</v>
      </c>
      <c r="K69">
        <v>41.826000000000001</v>
      </c>
      <c r="M69">
        <v>39936</v>
      </c>
      <c r="N69">
        <v>256</v>
      </c>
      <c r="O69">
        <v>1</v>
      </c>
      <c r="P69">
        <v>16</v>
      </c>
      <c r="Q69">
        <v>33.198999999999998</v>
      </c>
      <c r="T69">
        <v>39936</v>
      </c>
      <c r="U69">
        <f t="shared" ref="U69:U75" si="2">IF(ABS(T69-36000)&lt;ABS(T69-38080),IF(ABS(T69-36000)&lt;ABS(T69-40160),36000,40160),IF(ABS(T69-38080)&lt;ABS(T69-40160),38080,40160))</f>
        <v>40160</v>
      </c>
      <c r="V69">
        <v>256</v>
      </c>
      <c r="W69">
        <v>1</v>
      </c>
      <c r="X69">
        <v>16</v>
      </c>
      <c r="Y69">
        <v>37.982199999999999</v>
      </c>
      <c r="AA69">
        <v>39936</v>
      </c>
      <c r="AB69">
        <f t="shared" ref="AB69:AB75" si="3">IF(ABS(AA69-36000)&lt;ABS(AA69-38080),IF(ABS(AA69-36000)&lt;ABS(AA69-40160),36000,40160),IF(ABS(AA69-38080)&lt;ABS(AA69-40160),38080,40160))</f>
        <v>40160</v>
      </c>
      <c r="AC69">
        <v>256</v>
      </c>
      <c r="AD69">
        <v>1</v>
      </c>
      <c r="AE69">
        <v>16</v>
      </c>
      <c r="AF69">
        <v>41.826000000000001</v>
      </c>
    </row>
    <row r="70" spans="1:32">
      <c r="A70">
        <v>35840</v>
      </c>
      <c r="B70">
        <v>256</v>
      </c>
      <c r="C70">
        <v>2</v>
      </c>
      <c r="D70">
        <v>8</v>
      </c>
      <c r="E70">
        <v>37.9114</v>
      </c>
      <c r="G70">
        <v>35840</v>
      </c>
      <c r="H70">
        <v>256</v>
      </c>
      <c r="I70">
        <v>2</v>
      </c>
      <c r="J70">
        <v>8</v>
      </c>
      <c r="K70">
        <v>42.948</v>
      </c>
      <c r="M70">
        <v>35840</v>
      </c>
      <c r="N70">
        <v>256</v>
      </c>
      <c r="O70">
        <v>2</v>
      </c>
      <c r="P70">
        <v>8</v>
      </c>
      <c r="Q70">
        <v>29.5336</v>
      </c>
      <c r="T70">
        <v>35840</v>
      </c>
      <c r="U70">
        <f t="shared" si="2"/>
        <v>36000</v>
      </c>
      <c r="V70">
        <v>256</v>
      </c>
      <c r="W70">
        <v>2</v>
      </c>
      <c r="X70">
        <v>8</v>
      </c>
      <c r="Y70">
        <v>37.9114</v>
      </c>
      <c r="AA70">
        <v>35840</v>
      </c>
      <c r="AB70">
        <f t="shared" si="3"/>
        <v>36000</v>
      </c>
      <c r="AC70">
        <v>256</v>
      </c>
      <c r="AD70">
        <v>2</v>
      </c>
      <c r="AE70">
        <v>8</v>
      </c>
      <c r="AF70">
        <v>42.948</v>
      </c>
    </row>
    <row r="71" spans="1:32">
      <c r="A71">
        <v>37888</v>
      </c>
      <c r="B71">
        <v>256</v>
      </c>
      <c r="C71">
        <v>2</v>
      </c>
      <c r="D71">
        <v>8</v>
      </c>
      <c r="E71">
        <v>37.390799999999999</v>
      </c>
      <c r="G71">
        <v>37888</v>
      </c>
      <c r="H71">
        <v>256</v>
      </c>
      <c r="I71">
        <v>2</v>
      </c>
      <c r="J71">
        <v>8</v>
      </c>
      <c r="K71">
        <v>45.135199999999998</v>
      </c>
      <c r="M71">
        <v>37888</v>
      </c>
      <c r="N71">
        <v>256</v>
      </c>
      <c r="O71">
        <v>2</v>
      </c>
      <c r="P71">
        <v>8</v>
      </c>
      <c r="Q71">
        <v>30.751599999999996</v>
      </c>
      <c r="T71">
        <v>37888</v>
      </c>
      <c r="U71">
        <f t="shared" si="2"/>
        <v>38080</v>
      </c>
      <c r="V71">
        <v>256</v>
      </c>
      <c r="W71">
        <v>2</v>
      </c>
      <c r="X71">
        <v>8</v>
      </c>
      <c r="Y71">
        <v>37.390799999999999</v>
      </c>
      <c r="AA71">
        <v>37888</v>
      </c>
      <c r="AB71">
        <f t="shared" si="3"/>
        <v>38080</v>
      </c>
      <c r="AC71">
        <v>256</v>
      </c>
      <c r="AD71">
        <v>2</v>
      </c>
      <c r="AE71">
        <v>8</v>
      </c>
      <c r="AF71">
        <v>45.135199999999998</v>
      </c>
    </row>
    <row r="72" spans="1:32">
      <c r="A72">
        <v>39936</v>
      </c>
      <c r="B72">
        <v>256</v>
      </c>
      <c r="C72">
        <v>2</v>
      </c>
      <c r="D72">
        <v>8</v>
      </c>
      <c r="E72">
        <v>38.640799999999999</v>
      </c>
      <c r="G72">
        <v>39936</v>
      </c>
      <c r="H72">
        <v>256</v>
      </c>
      <c r="I72">
        <v>2</v>
      </c>
      <c r="J72">
        <v>8</v>
      </c>
      <c r="K72">
        <v>44.809600000000003</v>
      </c>
      <c r="M72">
        <v>39936</v>
      </c>
      <c r="N72">
        <v>256</v>
      </c>
      <c r="O72">
        <v>2</v>
      </c>
      <c r="P72">
        <v>8</v>
      </c>
      <c r="Q72">
        <v>31.450599999999998</v>
      </c>
      <c r="T72">
        <v>39936</v>
      </c>
      <c r="U72">
        <f t="shared" si="2"/>
        <v>40160</v>
      </c>
      <c r="V72">
        <v>256</v>
      </c>
      <c r="W72">
        <v>2</v>
      </c>
      <c r="X72">
        <v>8</v>
      </c>
      <c r="Y72">
        <v>38.640799999999999</v>
      </c>
      <c r="AA72">
        <v>39936</v>
      </c>
      <c r="AB72">
        <f t="shared" si="3"/>
        <v>40160</v>
      </c>
      <c r="AC72">
        <v>256</v>
      </c>
      <c r="AD72">
        <v>2</v>
      </c>
      <c r="AE72">
        <v>8</v>
      </c>
      <c r="AF72">
        <v>44.809600000000003</v>
      </c>
    </row>
    <row r="73" spans="1:32">
      <c r="A73">
        <v>35840</v>
      </c>
      <c r="B73">
        <v>256</v>
      </c>
      <c r="C73">
        <v>4</v>
      </c>
      <c r="D73">
        <v>4</v>
      </c>
      <c r="E73">
        <v>38.563400000000001</v>
      </c>
      <c r="G73">
        <v>35840</v>
      </c>
      <c r="H73">
        <v>256</v>
      </c>
      <c r="I73">
        <v>4</v>
      </c>
      <c r="J73">
        <v>4</v>
      </c>
      <c r="K73">
        <v>41.213000000000001</v>
      </c>
      <c r="M73">
        <v>35840</v>
      </c>
      <c r="N73">
        <v>256</v>
      </c>
      <c r="O73">
        <v>4</v>
      </c>
      <c r="P73">
        <v>4</v>
      </c>
      <c r="Q73">
        <v>28.149799999999999</v>
      </c>
      <c r="T73">
        <v>35840</v>
      </c>
      <c r="U73">
        <f t="shared" si="2"/>
        <v>36000</v>
      </c>
      <c r="V73">
        <v>256</v>
      </c>
      <c r="W73">
        <v>4</v>
      </c>
      <c r="X73">
        <v>4</v>
      </c>
      <c r="Y73">
        <v>38.563400000000001</v>
      </c>
      <c r="AA73">
        <v>35840</v>
      </c>
      <c r="AB73">
        <f t="shared" si="3"/>
        <v>36000</v>
      </c>
      <c r="AC73">
        <v>256</v>
      </c>
      <c r="AD73">
        <v>4</v>
      </c>
      <c r="AE73">
        <v>4</v>
      </c>
      <c r="AF73">
        <v>41.213000000000001</v>
      </c>
    </row>
    <row r="74" spans="1:32">
      <c r="A74">
        <v>37888</v>
      </c>
      <c r="B74">
        <v>256</v>
      </c>
      <c r="C74">
        <v>4</v>
      </c>
      <c r="D74">
        <v>4</v>
      </c>
      <c r="E74">
        <v>39.238999999999997</v>
      </c>
      <c r="G74">
        <v>37888</v>
      </c>
      <c r="H74">
        <v>256</v>
      </c>
      <c r="I74">
        <v>4</v>
      </c>
      <c r="J74">
        <v>4</v>
      </c>
      <c r="K74">
        <v>41.375399999999999</v>
      </c>
      <c r="M74">
        <v>37888</v>
      </c>
      <c r="N74">
        <v>256</v>
      </c>
      <c r="O74">
        <v>4</v>
      </c>
      <c r="P74">
        <v>4</v>
      </c>
      <c r="Q74">
        <v>29.052800000000001</v>
      </c>
      <c r="T74">
        <v>37888</v>
      </c>
      <c r="U74">
        <f t="shared" si="2"/>
        <v>38080</v>
      </c>
      <c r="V74">
        <v>256</v>
      </c>
      <c r="W74">
        <v>4</v>
      </c>
      <c r="X74">
        <v>4</v>
      </c>
      <c r="Y74">
        <v>39.238999999999997</v>
      </c>
      <c r="AA74">
        <v>37888</v>
      </c>
      <c r="AB74">
        <f t="shared" si="3"/>
        <v>38080</v>
      </c>
      <c r="AC74">
        <v>256</v>
      </c>
      <c r="AD74">
        <v>4</v>
      </c>
      <c r="AE74">
        <v>4</v>
      </c>
      <c r="AF74">
        <v>41.375399999999999</v>
      </c>
    </row>
    <row r="75" spans="1:32">
      <c r="A75">
        <v>39936</v>
      </c>
      <c r="B75">
        <v>256</v>
      </c>
      <c r="C75">
        <v>4</v>
      </c>
      <c r="D75">
        <v>4</v>
      </c>
      <c r="E75">
        <v>39.383600000000001</v>
      </c>
      <c r="G75">
        <v>39936</v>
      </c>
      <c r="H75">
        <v>256</v>
      </c>
      <c r="I75">
        <v>4</v>
      </c>
      <c r="J75">
        <v>4</v>
      </c>
      <c r="K75">
        <v>42.132800000000003</v>
      </c>
      <c r="M75">
        <v>39936</v>
      </c>
      <c r="N75">
        <v>256</v>
      </c>
      <c r="O75">
        <v>4</v>
      </c>
      <c r="P75">
        <v>4</v>
      </c>
      <c r="Q75">
        <v>30.0182</v>
      </c>
      <c r="T75">
        <v>39936</v>
      </c>
      <c r="U75">
        <f t="shared" si="2"/>
        <v>40160</v>
      </c>
      <c r="V75">
        <v>256</v>
      </c>
      <c r="W75">
        <v>4</v>
      </c>
      <c r="X75">
        <v>4</v>
      </c>
      <c r="Y75">
        <v>39.383600000000001</v>
      </c>
      <c r="AA75">
        <v>39936</v>
      </c>
      <c r="AB75">
        <f t="shared" si="3"/>
        <v>40160</v>
      </c>
      <c r="AC75">
        <v>256</v>
      </c>
      <c r="AD75">
        <v>4</v>
      </c>
      <c r="AE75">
        <v>4</v>
      </c>
      <c r="AF75">
        <v>42.132800000000003</v>
      </c>
    </row>
    <row r="76" spans="1:32">
      <c r="A76">
        <v>0</v>
      </c>
      <c r="B76">
        <v>0</v>
      </c>
      <c r="C76">
        <v>0</v>
      </c>
      <c r="D76">
        <v>0</v>
      </c>
      <c r="E76">
        <v>0</v>
      </c>
      <c r="G76">
        <v>0</v>
      </c>
      <c r="H76">
        <v>0</v>
      </c>
      <c r="I76">
        <v>0</v>
      </c>
      <c r="J76">
        <v>0</v>
      </c>
      <c r="K76">
        <v>0</v>
      </c>
      <c r="M76">
        <v>36960</v>
      </c>
      <c r="N76">
        <v>120</v>
      </c>
      <c r="O76">
        <v>2</v>
      </c>
      <c r="P76">
        <v>8</v>
      </c>
      <c r="Q76">
        <v>32.705999999999996</v>
      </c>
    </row>
    <row r="77" spans="1:32">
      <c r="A77">
        <v>0</v>
      </c>
      <c r="B77">
        <v>0</v>
      </c>
      <c r="C77">
        <v>0</v>
      </c>
      <c r="D77">
        <v>0</v>
      </c>
      <c r="E77">
        <v>0</v>
      </c>
      <c r="G77">
        <v>0</v>
      </c>
      <c r="H77">
        <v>0</v>
      </c>
      <c r="I77">
        <v>0</v>
      </c>
      <c r="J77">
        <v>0</v>
      </c>
      <c r="K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32">
      <c r="A78">
        <v>0</v>
      </c>
      <c r="B78">
        <v>0</v>
      </c>
      <c r="C78">
        <v>0</v>
      </c>
      <c r="D78">
        <v>0</v>
      </c>
      <c r="E78">
        <v>0</v>
      </c>
      <c r="G78">
        <v>0</v>
      </c>
      <c r="H78">
        <v>0</v>
      </c>
      <c r="I78">
        <v>0</v>
      </c>
      <c r="J78">
        <v>0</v>
      </c>
      <c r="K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32">
      <c r="A79">
        <v>0</v>
      </c>
      <c r="B79">
        <v>0</v>
      </c>
      <c r="C79">
        <v>0</v>
      </c>
      <c r="D79">
        <v>0</v>
      </c>
      <c r="E79">
        <v>0</v>
      </c>
      <c r="G79">
        <v>0</v>
      </c>
      <c r="H79">
        <v>0</v>
      </c>
      <c r="I79">
        <v>0</v>
      </c>
      <c r="J79">
        <v>0</v>
      </c>
      <c r="K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32">
      <c r="A80">
        <v>0</v>
      </c>
      <c r="B80">
        <v>0</v>
      </c>
      <c r="C80">
        <v>0</v>
      </c>
      <c r="D80">
        <v>0</v>
      </c>
      <c r="E80">
        <v>0</v>
      </c>
      <c r="G80">
        <v>0</v>
      </c>
      <c r="H80">
        <v>0</v>
      </c>
      <c r="I80">
        <v>0</v>
      </c>
      <c r="J80">
        <v>0</v>
      </c>
      <c r="K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>
      <c r="A81">
        <v>0</v>
      </c>
      <c r="B81">
        <v>0</v>
      </c>
      <c r="C81">
        <v>0</v>
      </c>
      <c r="D81">
        <v>0</v>
      </c>
      <c r="E81">
        <v>0</v>
      </c>
      <c r="G81">
        <v>0</v>
      </c>
      <c r="H81">
        <v>0</v>
      </c>
      <c r="I81">
        <v>0</v>
      </c>
      <c r="J81">
        <v>0</v>
      </c>
      <c r="K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>
        <v>0</v>
      </c>
      <c r="B82">
        <v>0</v>
      </c>
      <c r="C82">
        <v>0</v>
      </c>
      <c r="D82">
        <v>0</v>
      </c>
      <c r="E82">
        <v>0</v>
      </c>
      <c r="G82">
        <v>0</v>
      </c>
      <c r="H82">
        <v>0</v>
      </c>
      <c r="I82">
        <v>0</v>
      </c>
      <c r="J82">
        <v>0</v>
      </c>
      <c r="K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>
        <v>0</v>
      </c>
      <c r="B83">
        <v>0</v>
      </c>
      <c r="C83">
        <v>0</v>
      </c>
      <c r="D83">
        <v>0</v>
      </c>
      <c r="E83">
        <v>0</v>
      </c>
      <c r="G83">
        <v>0</v>
      </c>
      <c r="H83">
        <v>0</v>
      </c>
      <c r="I83">
        <v>0</v>
      </c>
      <c r="J83">
        <v>0</v>
      </c>
      <c r="K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>
        <v>0</v>
      </c>
      <c r="B84">
        <v>0</v>
      </c>
      <c r="C84">
        <v>0</v>
      </c>
      <c r="D84">
        <v>0</v>
      </c>
      <c r="E84">
        <v>0</v>
      </c>
      <c r="G84">
        <v>0</v>
      </c>
      <c r="H84">
        <v>0</v>
      </c>
      <c r="I84">
        <v>0</v>
      </c>
      <c r="J84">
        <v>0</v>
      </c>
      <c r="K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>
      <c r="A85">
        <v>0</v>
      </c>
      <c r="B85">
        <v>0</v>
      </c>
      <c r="C85">
        <v>0</v>
      </c>
      <c r="D85">
        <v>0</v>
      </c>
      <c r="E85">
        <v>0</v>
      </c>
      <c r="G85">
        <v>0</v>
      </c>
      <c r="H85">
        <v>0</v>
      </c>
      <c r="I85">
        <v>0</v>
      </c>
      <c r="J85">
        <v>0</v>
      </c>
      <c r="K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>
      <c r="A86">
        <v>0</v>
      </c>
      <c r="B86">
        <v>0</v>
      </c>
      <c r="C86">
        <v>0</v>
      </c>
      <c r="D86">
        <v>0</v>
      </c>
      <c r="E86">
        <v>0</v>
      </c>
      <c r="G86">
        <v>0</v>
      </c>
      <c r="H86">
        <v>0</v>
      </c>
      <c r="I86">
        <v>0</v>
      </c>
      <c r="J86">
        <v>0</v>
      </c>
      <c r="K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>
        <v>0</v>
      </c>
      <c r="B87">
        <v>0</v>
      </c>
      <c r="C87">
        <v>0</v>
      </c>
      <c r="D87">
        <v>0</v>
      </c>
      <c r="E87">
        <v>0</v>
      </c>
      <c r="G87">
        <v>0</v>
      </c>
      <c r="H87">
        <v>0</v>
      </c>
      <c r="I87">
        <v>0</v>
      </c>
      <c r="J87">
        <v>0</v>
      </c>
      <c r="K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>
        <v>0</v>
      </c>
      <c r="B88">
        <v>0</v>
      </c>
      <c r="C88">
        <v>0</v>
      </c>
      <c r="D88">
        <v>0</v>
      </c>
      <c r="E88">
        <v>0</v>
      </c>
      <c r="G88">
        <v>0</v>
      </c>
      <c r="H88">
        <v>0</v>
      </c>
      <c r="I88">
        <v>0</v>
      </c>
      <c r="J88">
        <v>0</v>
      </c>
      <c r="K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>
        <v>0</v>
      </c>
      <c r="B89">
        <v>0</v>
      </c>
      <c r="C89">
        <v>0</v>
      </c>
      <c r="D89">
        <v>0</v>
      </c>
      <c r="E89">
        <v>0</v>
      </c>
      <c r="G89">
        <v>0</v>
      </c>
      <c r="H89">
        <v>0</v>
      </c>
      <c r="I89">
        <v>0</v>
      </c>
      <c r="J89">
        <v>0</v>
      </c>
      <c r="K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>
      <c r="A90">
        <v>0</v>
      </c>
      <c r="B90">
        <v>0</v>
      </c>
      <c r="C90">
        <v>0</v>
      </c>
      <c r="D90">
        <v>0</v>
      </c>
      <c r="E90">
        <v>0</v>
      </c>
      <c r="G90">
        <v>0</v>
      </c>
      <c r="H90">
        <v>0</v>
      </c>
      <c r="I90">
        <v>0</v>
      </c>
      <c r="J90">
        <v>0</v>
      </c>
      <c r="K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>
        <v>0</v>
      </c>
      <c r="B91">
        <v>0</v>
      </c>
      <c r="C91">
        <v>0</v>
      </c>
      <c r="D91">
        <v>0</v>
      </c>
      <c r="E91">
        <v>0</v>
      </c>
      <c r="G91">
        <v>0</v>
      </c>
      <c r="H91">
        <v>0</v>
      </c>
      <c r="I91">
        <v>0</v>
      </c>
      <c r="J91">
        <v>0</v>
      </c>
      <c r="K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>
        <v>0</v>
      </c>
      <c r="B92">
        <v>0</v>
      </c>
      <c r="C92">
        <v>0</v>
      </c>
      <c r="D92">
        <v>0</v>
      </c>
      <c r="E92">
        <v>0</v>
      </c>
      <c r="G92">
        <v>0</v>
      </c>
      <c r="H92">
        <v>0</v>
      </c>
      <c r="I92">
        <v>0</v>
      </c>
      <c r="J92">
        <v>0</v>
      </c>
      <c r="K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>
      <c r="A93">
        <v>0</v>
      </c>
      <c r="B93">
        <v>0</v>
      </c>
      <c r="C93">
        <v>0</v>
      </c>
      <c r="D93">
        <v>0</v>
      </c>
      <c r="E93">
        <v>0</v>
      </c>
      <c r="G93">
        <v>0</v>
      </c>
      <c r="H93">
        <v>0</v>
      </c>
      <c r="I93">
        <v>0</v>
      </c>
      <c r="J93">
        <v>0</v>
      </c>
      <c r="K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>
        <v>0</v>
      </c>
      <c r="B94">
        <v>0</v>
      </c>
      <c r="C94">
        <v>0</v>
      </c>
      <c r="D94">
        <v>0</v>
      </c>
      <c r="E94">
        <v>0</v>
      </c>
      <c r="G94">
        <v>0</v>
      </c>
      <c r="H94">
        <v>0</v>
      </c>
      <c r="I94">
        <v>0</v>
      </c>
      <c r="J94">
        <v>0</v>
      </c>
      <c r="K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>
        <v>0</v>
      </c>
      <c r="B95">
        <v>0</v>
      </c>
      <c r="C95">
        <v>0</v>
      </c>
      <c r="D95">
        <v>0</v>
      </c>
      <c r="E95">
        <v>0</v>
      </c>
      <c r="G95">
        <v>0</v>
      </c>
      <c r="H95">
        <v>0</v>
      </c>
      <c r="I95">
        <v>0</v>
      </c>
      <c r="J95">
        <v>0</v>
      </c>
      <c r="K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>
        <v>0</v>
      </c>
      <c r="B96">
        <v>0</v>
      </c>
      <c r="C96">
        <v>0</v>
      </c>
      <c r="D96">
        <v>0</v>
      </c>
      <c r="E96">
        <v>0</v>
      </c>
      <c r="G96">
        <v>0</v>
      </c>
      <c r="H96">
        <v>0</v>
      </c>
      <c r="I96">
        <v>0</v>
      </c>
      <c r="J96">
        <v>0</v>
      </c>
      <c r="K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>
      <c r="A97">
        <v>0</v>
      </c>
      <c r="B97">
        <v>0</v>
      </c>
      <c r="C97">
        <v>0</v>
      </c>
      <c r="D97">
        <v>0</v>
      </c>
      <c r="E97">
        <v>0</v>
      </c>
      <c r="G97">
        <v>0</v>
      </c>
      <c r="H97">
        <v>0</v>
      </c>
      <c r="I97">
        <v>0</v>
      </c>
      <c r="J97">
        <v>0</v>
      </c>
      <c r="K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>
        <v>0</v>
      </c>
      <c r="B98">
        <v>0</v>
      </c>
      <c r="C98">
        <v>0</v>
      </c>
      <c r="D98">
        <v>0</v>
      </c>
      <c r="E98">
        <v>0</v>
      </c>
      <c r="G98">
        <v>0</v>
      </c>
      <c r="H98">
        <v>0</v>
      </c>
      <c r="I98">
        <v>0</v>
      </c>
      <c r="J98">
        <v>0</v>
      </c>
      <c r="K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>
      <c r="A99">
        <v>0</v>
      </c>
      <c r="B99">
        <v>0</v>
      </c>
      <c r="C99">
        <v>0</v>
      </c>
      <c r="D99">
        <v>0</v>
      </c>
      <c r="E99">
        <v>0</v>
      </c>
      <c r="G99">
        <v>0</v>
      </c>
      <c r="H99">
        <v>0</v>
      </c>
      <c r="I99">
        <v>0</v>
      </c>
      <c r="J99">
        <v>0</v>
      </c>
      <c r="K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>
      <c r="A100">
        <v>0</v>
      </c>
      <c r="B100">
        <v>0</v>
      </c>
      <c r="C100">
        <v>0</v>
      </c>
      <c r="D100">
        <v>0</v>
      </c>
      <c r="E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>
        <v>0</v>
      </c>
      <c r="B101">
        <v>0</v>
      </c>
      <c r="C101">
        <v>0</v>
      </c>
      <c r="D101">
        <v>0</v>
      </c>
      <c r="E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>
      <c r="A102">
        <v>0</v>
      </c>
      <c r="B102">
        <v>0</v>
      </c>
      <c r="C102">
        <v>0</v>
      </c>
      <c r="D102">
        <v>0</v>
      </c>
      <c r="E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>
        <v>0</v>
      </c>
      <c r="B103">
        <v>0</v>
      </c>
      <c r="C103">
        <v>0</v>
      </c>
      <c r="D103">
        <v>0</v>
      </c>
      <c r="E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>
        <v>0</v>
      </c>
      <c r="B104">
        <v>0</v>
      </c>
      <c r="C104">
        <v>0</v>
      </c>
      <c r="D104">
        <v>0</v>
      </c>
      <c r="E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>
      <c r="A105">
        <v>0</v>
      </c>
      <c r="B105">
        <v>0</v>
      </c>
      <c r="C105">
        <v>0</v>
      </c>
      <c r="D105">
        <v>0</v>
      </c>
      <c r="E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>
        <v>0</v>
      </c>
      <c r="B106">
        <v>0</v>
      </c>
      <c r="C106">
        <v>0</v>
      </c>
      <c r="D106">
        <v>0</v>
      </c>
      <c r="E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>
        <v>0</v>
      </c>
      <c r="B107">
        <v>0</v>
      </c>
      <c r="C107">
        <v>0</v>
      </c>
      <c r="D107">
        <v>0</v>
      </c>
      <c r="E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>
      <c r="A108">
        <v>0</v>
      </c>
      <c r="B108">
        <v>0</v>
      </c>
      <c r="C108">
        <v>0</v>
      </c>
      <c r="D108">
        <v>0</v>
      </c>
      <c r="E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>
        <v>0</v>
      </c>
      <c r="B109">
        <v>0</v>
      </c>
      <c r="C109">
        <v>0</v>
      </c>
      <c r="D109">
        <v>0</v>
      </c>
      <c r="E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>
        <v>0</v>
      </c>
      <c r="B110">
        <v>0</v>
      </c>
      <c r="C110">
        <v>0</v>
      </c>
      <c r="D110">
        <v>0</v>
      </c>
      <c r="E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>
      <c r="A111">
        <v>0</v>
      </c>
      <c r="B111">
        <v>0</v>
      </c>
      <c r="C111">
        <v>0</v>
      </c>
      <c r="D111">
        <v>0</v>
      </c>
      <c r="E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>
      <c r="A112">
        <v>0</v>
      </c>
      <c r="B112">
        <v>0</v>
      </c>
      <c r="C112">
        <v>0</v>
      </c>
      <c r="D112">
        <v>0</v>
      </c>
      <c r="E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>
      <c r="A113">
        <v>0</v>
      </c>
      <c r="B113">
        <v>0</v>
      </c>
      <c r="C113">
        <v>0</v>
      </c>
      <c r="D113">
        <v>0</v>
      </c>
      <c r="E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>
      <c r="A114">
        <v>0</v>
      </c>
      <c r="B114">
        <v>0</v>
      </c>
      <c r="C114">
        <v>0</v>
      </c>
      <c r="D114">
        <v>0</v>
      </c>
      <c r="E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>
      <c r="A115">
        <v>0</v>
      </c>
      <c r="B115">
        <v>0</v>
      </c>
      <c r="C115">
        <v>0</v>
      </c>
      <c r="D115">
        <v>0</v>
      </c>
      <c r="E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>
      <c r="A116">
        <v>0</v>
      </c>
      <c r="B116">
        <v>0</v>
      </c>
      <c r="C116">
        <v>0</v>
      </c>
      <c r="D116">
        <v>0</v>
      </c>
      <c r="E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>
      <c r="A117">
        <v>0</v>
      </c>
      <c r="B117">
        <v>0</v>
      </c>
      <c r="C117">
        <v>0</v>
      </c>
      <c r="D117">
        <v>0</v>
      </c>
      <c r="E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>
      <c r="A118">
        <v>0</v>
      </c>
      <c r="B118">
        <v>0</v>
      </c>
      <c r="C118">
        <v>0</v>
      </c>
      <c r="D118">
        <v>0</v>
      </c>
      <c r="E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>
        <v>0</v>
      </c>
      <c r="B119">
        <v>0</v>
      </c>
      <c r="C119">
        <v>0</v>
      </c>
      <c r="D119">
        <v>0</v>
      </c>
      <c r="E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>
      <c r="A120">
        <v>0</v>
      </c>
      <c r="B120">
        <v>0</v>
      </c>
      <c r="C120">
        <v>0</v>
      </c>
      <c r="D120">
        <v>0</v>
      </c>
      <c r="E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>
        <v>0</v>
      </c>
      <c r="B121">
        <v>0</v>
      </c>
      <c r="C121">
        <v>0</v>
      </c>
      <c r="D121">
        <v>0</v>
      </c>
      <c r="E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>
      <c r="A122">
        <v>0</v>
      </c>
      <c r="B122">
        <v>0</v>
      </c>
      <c r="C122">
        <v>0</v>
      </c>
      <c r="D122">
        <v>0</v>
      </c>
      <c r="E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>
      <c r="A123">
        <v>0</v>
      </c>
      <c r="B123">
        <v>0</v>
      </c>
      <c r="C123">
        <v>0</v>
      </c>
      <c r="D123">
        <v>0</v>
      </c>
      <c r="E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>
      <c r="A124">
        <v>0</v>
      </c>
      <c r="B124">
        <v>0</v>
      </c>
      <c r="C124">
        <v>0</v>
      </c>
      <c r="D124">
        <v>0</v>
      </c>
      <c r="E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>
      <c r="A125">
        <v>0</v>
      </c>
      <c r="B125">
        <v>0</v>
      </c>
      <c r="C125">
        <v>0</v>
      </c>
      <c r="D125">
        <v>0</v>
      </c>
      <c r="E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>
      <c r="A126">
        <v>0</v>
      </c>
      <c r="B126">
        <v>0</v>
      </c>
      <c r="C126">
        <v>0</v>
      </c>
      <c r="D126">
        <v>0</v>
      </c>
      <c r="E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>
      <c r="A127">
        <v>0</v>
      </c>
      <c r="B127">
        <v>0</v>
      </c>
      <c r="C127">
        <v>0</v>
      </c>
      <c r="D127">
        <v>0</v>
      </c>
      <c r="E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>
      <c r="A128">
        <v>0</v>
      </c>
      <c r="B128">
        <v>0</v>
      </c>
      <c r="C128">
        <v>0</v>
      </c>
      <c r="D128">
        <v>0</v>
      </c>
      <c r="E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>
      <c r="A129">
        <v>0</v>
      </c>
      <c r="B129">
        <v>0</v>
      </c>
      <c r="C129">
        <v>0</v>
      </c>
      <c r="D129">
        <v>0</v>
      </c>
      <c r="E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>
      <c r="A130">
        <v>0</v>
      </c>
      <c r="B130">
        <v>0</v>
      </c>
      <c r="C130">
        <v>0</v>
      </c>
      <c r="D130">
        <v>0</v>
      </c>
      <c r="E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>
      <c r="A131">
        <v>0</v>
      </c>
      <c r="B131">
        <v>0</v>
      </c>
      <c r="C131">
        <v>0</v>
      </c>
      <c r="D131">
        <v>0</v>
      </c>
      <c r="E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>
      <c r="A132">
        <v>0</v>
      </c>
      <c r="B132">
        <v>0</v>
      </c>
      <c r="C132">
        <v>0</v>
      </c>
      <c r="D132">
        <v>0</v>
      </c>
      <c r="E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>
      <c r="A133">
        <v>0</v>
      </c>
      <c r="B133">
        <v>0</v>
      </c>
      <c r="C133">
        <v>0</v>
      </c>
      <c r="D133">
        <v>0</v>
      </c>
      <c r="E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>
      <c r="A134">
        <v>0</v>
      </c>
      <c r="B134">
        <v>0</v>
      </c>
      <c r="C134">
        <v>0</v>
      </c>
      <c r="D134">
        <v>0</v>
      </c>
      <c r="E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>
      <c r="A135">
        <v>0</v>
      </c>
      <c r="B135">
        <v>0</v>
      </c>
      <c r="C135">
        <v>0</v>
      </c>
      <c r="D135">
        <v>0</v>
      </c>
      <c r="E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7">
      <c r="A136">
        <v>0</v>
      </c>
      <c r="B136">
        <v>0</v>
      </c>
      <c r="C136">
        <v>0</v>
      </c>
      <c r="D136">
        <v>0</v>
      </c>
      <c r="E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7">
      <c r="A137">
        <v>0</v>
      </c>
      <c r="B137">
        <v>0</v>
      </c>
      <c r="C137">
        <v>0</v>
      </c>
      <c r="D137">
        <v>0</v>
      </c>
      <c r="E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7">
      <c r="A138">
        <v>0</v>
      </c>
      <c r="B138">
        <v>0</v>
      </c>
      <c r="C138">
        <v>0</v>
      </c>
      <c r="D138">
        <v>0</v>
      </c>
      <c r="E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7">
      <c r="A139">
        <v>0</v>
      </c>
      <c r="B139">
        <v>0</v>
      </c>
      <c r="C139">
        <v>0</v>
      </c>
      <c r="D139">
        <v>0</v>
      </c>
      <c r="E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7">
      <c r="A140">
        <v>0</v>
      </c>
      <c r="B140">
        <v>0</v>
      </c>
      <c r="C140">
        <v>0</v>
      </c>
      <c r="D140">
        <v>0</v>
      </c>
      <c r="E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7">
      <c r="A141">
        <v>0</v>
      </c>
      <c r="B141">
        <v>0</v>
      </c>
      <c r="C141">
        <v>0</v>
      </c>
      <c r="D141">
        <v>0</v>
      </c>
      <c r="E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7">
      <c r="A142">
        <v>0</v>
      </c>
      <c r="B142">
        <v>0</v>
      </c>
      <c r="C142">
        <v>0</v>
      </c>
      <c r="D142">
        <v>0</v>
      </c>
      <c r="E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7">
      <c r="A143">
        <v>0</v>
      </c>
      <c r="B143">
        <v>0</v>
      </c>
      <c r="C143">
        <v>0</v>
      </c>
      <c r="D143">
        <v>0</v>
      </c>
      <c r="E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7">
      <c r="A144">
        <v>0</v>
      </c>
      <c r="B144">
        <v>0</v>
      </c>
      <c r="C144">
        <v>0</v>
      </c>
      <c r="D144">
        <v>0</v>
      </c>
      <c r="E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>
        <v>0</v>
      </c>
      <c r="B145">
        <v>0</v>
      </c>
      <c r="C145">
        <v>0</v>
      </c>
      <c r="D145">
        <v>0</v>
      </c>
      <c r="E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>
        <v>0</v>
      </c>
      <c r="B146">
        <v>0</v>
      </c>
      <c r="C146">
        <v>0</v>
      </c>
      <c r="D146">
        <v>0</v>
      </c>
      <c r="E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>
        <v>0</v>
      </c>
      <c r="B147">
        <v>0</v>
      </c>
      <c r="C147">
        <v>0</v>
      </c>
      <c r="D147">
        <v>0</v>
      </c>
      <c r="E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>
        <v>0</v>
      </c>
      <c r="B148">
        <v>0</v>
      </c>
      <c r="C148">
        <v>0</v>
      </c>
      <c r="D148">
        <v>0</v>
      </c>
      <c r="E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>
        <v>0</v>
      </c>
      <c r="B149">
        <v>0</v>
      </c>
      <c r="C149">
        <v>0</v>
      </c>
      <c r="D149">
        <v>0</v>
      </c>
      <c r="E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>
        <v>0</v>
      </c>
      <c r="B150">
        <v>0</v>
      </c>
      <c r="C150">
        <v>0</v>
      </c>
      <c r="D150">
        <v>0</v>
      </c>
      <c r="E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>
        <v>0</v>
      </c>
      <c r="B151">
        <v>0</v>
      </c>
      <c r="C151">
        <v>0</v>
      </c>
      <c r="D151">
        <v>0</v>
      </c>
      <c r="E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>
        <v>0</v>
      </c>
      <c r="B152">
        <v>0</v>
      </c>
      <c r="C152">
        <v>0</v>
      </c>
      <c r="D152">
        <v>0</v>
      </c>
      <c r="E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>
        <v>0</v>
      </c>
      <c r="B153">
        <v>0</v>
      </c>
      <c r="C153">
        <v>0</v>
      </c>
      <c r="D153">
        <v>0</v>
      </c>
      <c r="E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>
        <v>0</v>
      </c>
      <c r="B154">
        <v>0</v>
      </c>
      <c r="C154">
        <v>0</v>
      </c>
      <c r="D154">
        <v>0</v>
      </c>
      <c r="E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>
        <v>0</v>
      </c>
      <c r="B155">
        <v>0</v>
      </c>
      <c r="C155">
        <v>0</v>
      </c>
      <c r="D155">
        <v>0</v>
      </c>
      <c r="E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>
        <v>0</v>
      </c>
      <c r="B156">
        <v>0</v>
      </c>
      <c r="C156">
        <v>0</v>
      </c>
      <c r="D156">
        <v>0</v>
      </c>
      <c r="E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>
        <v>0</v>
      </c>
      <c r="B157">
        <v>0</v>
      </c>
      <c r="C157">
        <v>0</v>
      </c>
      <c r="D157">
        <v>0</v>
      </c>
      <c r="E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>
        <v>0</v>
      </c>
      <c r="B158">
        <v>0</v>
      </c>
      <c r="C158">
        <v>0</v>
      </c>
      <c r="D158">
        <v>0</v>
      </c>
      <c r="E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>
        <v>0</v>
      </c>
      <c r="B159">
        <v>0</v>
      </c>
      <c r="C159">
        <v>0</v>
      </c>
      <c r="D159">
        <v>0</v>
      </c>
      <c r="E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>
        <v>0</v>
      </c>
      <c r="B160">
        <v>0</v>
      </c>
      <c r="C160">
        <v>0</v>
      </c>
      <c r="D160">
        <v>0</v>
      </c>
      <c r="E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>
        <v>0</v>
      </c>
      <c r="B161">
        <v>0</v>
      </c>
      <c r="C161">
        <v>0</v>
      </c>
      <c r="D161">
        <v>0</v>
      </c>
      <c r="E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>
        <v>0</v>
      </c>
      <c r="B162">
        <v>0</v>
      </c>
      <c r="C162">
        <v>0</v>
      </c>
      <c r="D162">
        <v>0</v>
      </c>
      <c r="E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>
        <v>0</v>
      </c>
      <c r="B163">
        <v>0</v>
      </c>
      <c r="C163">
        <v>0</v>
      </c>
      <c r="D163">
        <v>0</v>
      </c>
      <c r="E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>
        <v>0</v>
      </c>
      <c r="B164">
        <v>0</v>
      </c>
      <c r="C164">
        <v>0</v>
      </c>
      <c r="D164">
        <v>0</v>
      </c>
      <c r="E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>
        <v>0</v>
      </c>
      <c r="B165">
        <v>0</v>
      </c>
      <c r="C165">
        <v>0</v>
      </c>
      <c r="D165">
        <v>0</v>
      </c>
      <c r="E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>
        <v>0</v>
      </c>
      <c r="B166">
        <v>0</v>
      </c>
      <c r="C166">
        <v>0</v>
      </c>
      <c r="D166">
        <v>0</v>
      </c>
      <c r="E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>
        <v>0</v>
      </c>
      <c r="B167">
        <v>0</v>
      </c>
      <c r="C167">
        <v>0</v>
      </c>
      <c r="D167">
        <v>0</v>
      </c>
      <c r="E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>
        <v>0</v>
      </c>
      <c r="B168">
        <v>0</v>
      </c>
      <c r="C168">
        <v>0</v>
      </c>
      <c r="D168">
        <v>0</v>
      </c>
      <c r="E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>
        <v>0</v>
      </c>
      <c r="B169">
        <v>0</v>
      </c>
      <c r="C169">
        <v>0</v>
      </c>
      <c r="D169">
        <v>0</v>
      </c>
      <c r="E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>
        <v>0</v>
      </c>
      <c r="B170">
        <v>0</v>
      </c>
      <c r="C170">
        <v>0</v>
      </c>
      <c r="D170">
        <v>0</v>
      </c>
      <c r="E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>
        <v>0</v>
      </c>
      <c r="B171">
        <v>0</v>
      </c>
      <c r="C171">
        <v>0</v>
      </c>
      <c r="D171">
        <v>0</v>
      </c>
      <c r="E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>
        <v>0</v>
      </c>
      <c r="B172">
        <v>0</v>
      </c>
      <c r="C172">
        <v>0</v>
      </c>
      <c r="D172">
        <v>0</v>
      </c>
      <c r="E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>
        <v>0</v>
      </c>
      <c r="B173">
        <v>0</v>
      </c>
      <c r="C173">
        <v>0</v>
      </c>
      <c r="D173">
        <v>0</v>
      </c>
      <c r="E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>
        <v>0</v>
      </c>
      <c r="B174">
        <v>0</v>
      </c>
      <c r="C174">
        <v>0</v>
      </c>
      <c r="D174">
        <v>0</v>
      </c>
      <c r="E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>
        <v>0</v>
      </c>
      <c r="B175">
        <v>0</v>
      </c>
      <c r="C175">
        <v>0</v>
      </c>
      <c r="D175">
        <v>0</v>
      </c>
      <c r="E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>
        <v>0</v>
      </c>
      <c r="B176">
        <v>0</v>
      </c>
      <c r="C176">
        <v>0</v>
      </c>
      <c r="D176">
        <v>0</v>
      </c>
      <c r="E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>
        <v>0</v>
      </c>
      <c r="B177">
        <v>0</v>
      </c>
      <c r="C177">
        <v>0</v>
      </c>
      <c r="D177">
        <v>0</v>
      </c>
      <c r="E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>
        <v>0</v>
      </c>
      <c r="B178">
        <v>0</v>
      </c>
      <c r="C178">
        <v>0</v>
      </c>
      <c r="D178">
        <v>0</v>
      </c>
      <c r="E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>
        <v>0</v>
      </c>
      <c r="B179">
        <v>0</v>
      </c>
      <c r="C179">
        <v>0</v>
      </c>
      <c r="D179">
        <v>0</v>
      </c>
      <c r="E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>
        <v>0</v>
      </c>
      <c r="B180">
        <v>0</v>
      </c>
      <c r="C180">
        <v>0</v>
      </c>
      <c r="D180">
        <v>0</v>
      </c>
      <c r="E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>
        <v>0</v>
      </c>
      <c r="B181">
        <v>0</v>
      </c>
      <c r="C181">
        <v>0</v>
      </c>
      <c r="D181">
        <v>0</v>
      </c>
      <c r="E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>
        <v>0</v>
      </c>
      <c r="B182">
        <v>0</v>
      </c>
      <c r="C182">
        <v>0</v>
      </c>
      <c r="D182">
        <v>0</v>
      </c>
      <c r="E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>
        <v>0</v>
      </c>
      <c r="B183">
        <v>0</v>
      </c>
      <c r="C183">
        <v>0</v>
      </c>
      <c r="D183">
        <v>0</v>
      </c>
      <c r="E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>
        <v>0</v>
      </c>
      <c r="B184">
        <v>0</v>
      </c>
      <c r="C184">
        <v>0</v>
      </c>
      <c r="D184">
        <v>0</v>
      </c>
      <c r="E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>
        <v>0</v>
      </c>
      <c r="B185">
        <v>0</v>
      </c>
      <c r="C185">
        <v>0</v>
      </c>
      <c r="D185">
        <v>0</v>
      </c>
      <c r="E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>
        <v>0</v>
      </c>
      <c r="B186">
        <v>0</v>
      </c>
      <c r="C186">
        <v>0</v>
      </c>
      <c r="D186">
        <v>0</v>
      </c>
      <c r="E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>
        <v>0</v>
      </c>
      <c r="B187">
        <v>0</v>
      </c>
      <c r="C187">
        <v>0</v>
      </c>
      <c r="D187">
        <v>0</v>
      </c>
      <c r="E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>
        <v>0</v>
      </c>
      <c r="B188">
        <v>0</v>
      </c>
      <c r="C188">
        <v>0</v>
      </c>
      <c r="D188">
        <v>0</v>
      </c>
      <c r="E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>
        <v>0</v>
      </c>
      <c r="B189">
        <v>0</v>
      </c>
      <c r="C189">
        <v>0</v>
      </c>
      <c r="D189">
        <v>0</v>
      </c>
      <c r="E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>
        <v>0</v>
      </c>
      <c r="B190">
        <v>0</v>
      </c>
      <c r="C190">
        <v>0</v>
      </c>
      <c r="D190">
        <v>0</v>
      </c>
      <c r="E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>
        <v>0</v>
      </c>
      <c r="B191">
        <v>0</v>
      </c>
      <c r="C191">
        <v>0</v>
      </c>
      <c r="D191">
        <v>0</v>
      </c>
      <c r="E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>
        <v>0</v>
      </c>
      <c r="B192">
        <v>0</v>
      </c>
      <c r="C192">
        <v>0</v>
      </c>
      <c r="D192">
        <v>0</v>
      </c>
      <c r="E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>
        <v>0</v>
      </c>
      <c r="B193">
        <v>0</v>
      </c>
      <c r="C193">
        <v>0</v>
      </c>
      <c r="D193">
        <v>0</v>
      </c>
      <c r="E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>
        <v>0</v>
      </c>
      <c r="B194">
        <v>0</v>
      </c>
      <c r="C194">
        <v>0</v>
      </c>
      <c r="D194">
        <v>0</v>
      </c>
      <c r="E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>
        <v>0</v>
      </c>
      <c r="B195">
        <v>0</v>
      </c>
      <c r="C195">
        <v>0</v>
      </c>
      <c r="D195">
        <v>0</v>
      </c>
      <c r="E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>
        <v>0</v>
      </c>
      <c r="B196">
        <v>0</v>
      </c>
      <c r="C196">
        <v>0</v>
      </c>
      <c r="D196">
        <v>0</v>
      </c>
      <c r="E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>
        <v>0</v>
      </c>
      <c r="B197">
        <v>0</v>
      </c>
      <c r="C197">
        <v>0</v>
      </c>
      <c r="D197">
        <v>0</v>
      </c>
      <c r="E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>
        <v>0</v>
      </c>
      <c r="B198">
        <v>0</v>
      </c>
      <c r="C198">
        <v>0</v>
      </c>
      <c r="D198">
        <v>0</v>
      </c>
      <c r="E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>
        <v>0</v>
      </c>
      <c r="B199">
        <v>0</v>
      </c>
      <c r="C199">
        <v>0</v>
      </c>
      <c r="D199">
        <v>0</v>
      </c>
      <c r="E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>
        <v>0</v>
      </c>
      <c r="B200">
        <v>0</v>
      </c>
      <c r="C200">
        <v>0</v>
      </c>
      <c r="D200">
        <v>0</v>
      </c>
      <c r="E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>
        <v>0</v>
      </c>
      <c r="B201">
        <v>0</v>
      </c>
      <c r="C201">
        <v>0</v>
      </c>
      <c r="D201">
        <v>0</v>
      </c>
      <c r="E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>
        <v>0</v>
      </c>
      <c r="B202">
        <v>0</v>
      </c>
      <c r="C202">
        <v>0</v>
      </c>
      <c r="D202">
        <v>0</v>
      </c>
      <c r="E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>
        <v>0</v>
      </c>
      <c r="B203">
        <v>0</v>
      </c>
      <c r="C203">
        <v>0</v>
      </c>
      <c r="D203">
        <v>0</v>
      </c>
      <c r="E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>
        <v>0</v>
      </c>
      <c r="B204">
        <v>0</v>
      </c>
      <c r="C204">
        <v>0</v>
      </c>
      <c r="D204">
        <v>0</v>
      </c>
      <c r="E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>
        <v>0</v>
      </c>
      <c r="B205">
        <v>0</v>
      </c>
      <c r="C205">
        <v>0</v>
      </c>
      <c r="D205">
        <v>0</v>
      </c>
      <c r="E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>
        <v>0</v>
      </c>
      <c r="B206">
        <v>0</v>
      </c>
      <c r="C206">
        <v>0</v>
      </c>
      <c r="D206">
        <v>0</v>
      </c>
      <c r="E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>
        <v>0</v>
      </c>
      <c r="B207">
        <v>0</v>
      </c>
      <c r="C207">
        <v>0</v>
      </c>
      <c r="D207">
        <v>0</v>
      </c>
      <c r="E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>
        <v>0</v>
      </c>
      <c r="B208">
        <v>0</v>
      </c>
      <c r="C208">
        <v>0</v>
      </c>
      <c r="D208">
        <v>0</v>
      </c>
      <c r="E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>
        <v>0</v>
      </c>
      <c r="B209">
        <v>0</v>
      </c>
      <c r="C209">
        <v>0</v>
      </c>
      <c r="D209">
        <v>0</v>
      </c>
      <c r="E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>
        <v>0</v>
      </c>
      <c r="B210">
        <v>0</v>
      </c>
      <c r="C210">
        <v>0</v>
      </c>
      <c r="D210">
        <v>0</v>
      </c>
      <c r="E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>
        <v>0</v>
      </c>
      <c r="B211">
        <v>0</v>
      </c>
      <c r="C211">
        <v>0</v>
      </c>
      <c r="D211">
        <v>0</v>
      </c>
      <c r="E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>
        <v>0</v>
      </c>
      <c r="B212">
        <v>0</v>
      </c>
      <c r="C212">
        <v>0</v>
      </c>
      <c r="D212">
        <v>0</v>
      </c>
      <c r="E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</sheetData>
  <mergeCells count="3">
    <mergeCell ref="A1:E1"/>
    <mergeCell ref="G1:K1"/>
    <mergeCell ref="M1:Q1"/>
  </mergeCells>
  <conditionalFormatting sqref="E4:E75 K4:K75 Q4:Q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9F39-0EAE-4A83-A4C3-9FBBA9920425}">
  <dimension ref="A1:R28"/>
  <sheetViews>
    <sheetView tabSelected="1" workbookViewId="0">
      <selection activeCell="Q18" sqref="Q18:Q22"/>
    </sheetView>
  </sheetViews>
  <sheetFormatPr defaultRowHeight="15"/>
  <cols>
    <col min="1" max="1" width="20.7109375" bestFit="1" customWidth="1"/>
    <col min="2" max="2" width="19.5703125" bestFit="1" customWidth="1"/>
    <col min="16" max="16" width="16.28515625" bestFit="1" customWidth="1"/>
    <col min="17" max="17" width="17.85546875" bestFit="1" customWidth="1"/>
    <col min="18" max="18" width="51.85546875" bestFit="1" customWidth="1"/>
  </cols>
  <sheetData>
    <row r="1" spans="1:18">
      <c r="A1" s="98" t="s">
        <v>145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113</v>
      </c>
      <c r="Q2" s="12" t="s">
        <v>141</v>
      </c>
      <c r="R2" s="12" t="s">
        <v>143</v>
      </c>
    </row>
    <row r="3" spans="1:18" ht="15" customHeight="1">
      <c r="A3" t="s">
        <v>137</v>
      </c>
      <c r="B3" t="s">
        <v>138</v>
      </c>
      <c r="C3">
        <v>0</v>
      </c>
      <c r="D3" t="s">
        <v>7</v>
      </c>
      <c r="E3">
        <v>20096</v>
      </c>
      <c r="F3">
        <v>128</v>
      </c>
      <c r="G3">
        <v>1</v>
      </c>
      <c r="H3">
        <v>4</v>
      </c>
      <c r="I3">
        <v>416.98</v>
      </c>
      <c r="J3" s="65">
        <v>12.977</v>
      </c>
      <c r="K3" s="27">
        <v>45547</v>
      </c>
      <c r="L3" s="53">
        <v>0.87545138888888885</v>
      </c>
      <c r="M3">
        <v>0</v>
      </c>
      <c r="N3">
        <v>0</v>
      </c>
      <c r="O3">
        <v>0</v>
      </c>
      <c r="P3" s="100">
        <f>AVERAGE(J3:J7)</f>
        <v>13.047800000000001</v>
      </c>
    </row>
    <row r="4" spans="1:18">
      <c r="A4" t="s">
        <v>137</v>
      </c>
      <c r="B4" t="s">
        <v>138</v>
      </c>
      <c r="C4">
        <v>1</v>
      </c>
      <c r="D4" t="s">
        <v>7</v>
      </c>
      <c r="E4">
        <v>20096</v>
      </c>
      <c r="F4">
        <v>128</v>
      </c>
      <c r="G4">
        <v>1</v>
      </c>
      <c r="H4">
        <v>4</v>
      </c>
      <c r="I4">
        <v>420.08</v>
      </c>
      <c r="J4" s="65">
        <v>12.881</v>
      </c>
      <c r="K4" s="27">
        <v>45547</v>
      </c>
      <c r="L4" s="53">
        <v>0.88064814814814818</v>
      </c>
      <c r="M4">
        <v>0</v>
      </c>
      <c r="N4">
        <v>0</v>
      </c>
      <c r="O4">
        <v>0</v>
      </c>
      <c r="P4" s="100"/>
      <c r="Q4" s="12"/>
      <c r="R4" s="12"/>
    </row>
    <row r="5" spans="1:18">
      <c r="A5" t="s">
        <v>137</v>
      </c>
      <c r="B5" t="s">
        <v>138</v>
      </c>
      <c r="C5">
        <v>2</v>
      </c>
      <c r="D5" t="s">
        <v>7</v>
      </c>
      <c r="E5">
        <v>20096</v>
      </c>
      <c r="F5">
        <v>128</v>
      </c>
      <c r="G5">
        <v>1</v>
      </c>
      <c r="H5">
        <v>4</v>
      </c>
      <c r="I5">
        <v>410.69</v>
      </c>
      <c r="J5" s="65">
        <v>13.176</v>
      </c>
      <c r="K5" s="27">
        <v>45547</v>
      </c>
      <c r="L5" s="53">
        <v>0.88574074074074072</v>
      </c>
      <c r="M5">
        <v>0</v>
      </c>
      <c r="N5">
        <v>0</v>
      </c>
      <c r="O5">
        <v>0</v>
      </c>
      <c r="P5" s="100"/>
      <c r="Q5" s="12"/>
      <c r="R5" s="12"/>
    </row>
    <row r="6" spans="1:18">
      <c r="A6" t="s">
        <v>137</v>
      </c>
      <c r="B6" t="s">
        <v>138</v>
      </c>
      <c r="C6">
        <v>3</v>
      </c>
      <c r="D6" t="s">
        <v>7</v>
      </c>
      <c r="E6">
        <v>20096</v>
      </c>
      <c r="F6">
        <v>128</v>
      </c>
      <c r="G6">
        <v>1</v>
      </c>
      <c r="H6">
        <v>4</v>
      </c>
      <c r="I6">
        <v>414.91</v>
      </c>
      <c r="J6" s="65">
        <v>13.042</v>
      </c>
      <c r="K6" s="27">
        <v>45547</v>
      </c>
      <c r="L6" s="53">
        <v>0.89086805555555559</v>
      </c>
      <c r="M6">
        <v>0</v>
      </c>
      <c r="N6">
        <v>0</v>
      </c>
      <c r="O6">
        <v>0</v>
      </c>
      <c r="P6" s="100"/>
      <c r="Q6" s="12"/>
      <c r="R6" s="12"/>
    </row>
    <row r="7" spans="1:18">
      <c r="A7" t="s">
        <v>137</v>
      </c>
      <c r="B7" t="s">
        <v>138</v>
      </c>
      <c r="C7">
        <v>4</v>
      </c>
      <c r="D7" t="s">
        <v>7</v>
      </c>
      <c r="E7">
        <v>20096</v>
      </c>
      <c r="F7">
        <v>128</v>
      </c>
      <c r="G7">
        <v>1</v>
      </c>
      <c r="H7">
        <v>4</v>
      </c>
      <c r="I7">
        <v>411.1</v>
      </c>
      <c r="J7" s="65">
        <v>13.163</v>
      </c>
      <c r="K7" s="27">
        <v>45547</v>
      </c>
      <c r="L7" s="53">
        <v>0.89596064814814813</v>
      </c>
      <c r="M7">
        <v>0</v>
      </c>
      <c r="N7">
        <v>0</v>
      </c>
      <c r="O7">
        <v>0</v>
      </c>
      <c r="P7" s="100"/>
      <c r="Q7" s="12"/>
      <c r="R7" s="12"/>
    </row>
    <row r="8" spans="1:18" ht="15" customHeight="1">
      <c r="A8" t="s">
        <v>139</v>
      </c>
      <c r="B8" t="s">
        <v>138</v>
      </c>
      <c r="C8">
        <v>0</v>
      </c>
      <c r="D8" t="s">
        <v>7</v>
      </c>
      <c r="E8">
        <v>20096</v>
      </c>
      <c r="F8">
        <v>128</v>
      </c>
      <c r="G8">
        <v>1</v>
      </c>
      <c r="H8">
        <v>4</v>
      </c>
      <c r="I8">
        <v>412.93</v>
      </c>
      <c r="J8" s="65">
        <v>13.103999999999999</v>
      </c>
      <c r="K8" s="27">
        <v>45548</v>
      </c>
      <c r="L8" s="53">
        <v>0.34435185185185185</v>
      </c>
      <c r="M8">
        <v>0</v>
      </c>
      <c r="N8">
        <v>0</v>
      </c>
      <c r="O8">
        <v>0</v>
      </c>
      <c r="P8" s="97">
        <f>AVERAGE(J8:J16)</f>
        <v>12.886111111111111</v>
      </c>
      <c r="Q8" s="97">
        <f>(P3-P8)*100/P3</f>
        <v>1.2392042251482198</v>
      </c>
      <c r="R8" s="71" t="s">
        <v>142</v>
      </c>
    </row>
    <row r="9" spans="1:18">
      <c r="A9" t="s">
        <v>139</v>
      </c>
      <c r="B9" t="s">
        <v>138</v>
      </c>
      <c r="C9">
        <v>1</v>
      </c>
      <c r="D9" t="s">
        <v>7</v>
      </c>
      <c r="E9">
        <v>20096</v>
      </c>
      <c r="F9">
        <v>128</v>
      </c>
      <c r="G9">
        <v>1</v>
      </c>
      <c r="H9">
        <v>4</v>
      </c>
      <c r="I9">
        <v>433.69</v>
      </c>
      <c r="J9" s="65">
        <v>12.477</v>
      </c>
      <c r="K9" s="27">
        <v>45548</v>
      </c>
      <c r="L9" s="53">
        <v>0.34971064814814817</v>
      </c>
      <c r="M9">
        <v>0</v>
      </c>
      <c r="N9">
        <v>0</v>
      </c>
      <c r="O9">
        <v>0</v>
      </c>
      <c r="P9" s="97"/>
      <c r="Q9" s="97"/>
      <c r="R9" s="71"/>
    </row>
    <row r="10" spans="1:18">
      <c r="A10" t="s">
        <v>139</v>
      </c>
      <c r="B10" t="s">
        <v>138</v>
      </c>
      <c r="C10">
        <v>2</v>
      </c>
      <c r="D10" t="s">
        <v>7</v>
      </c>
      <c r="E10">
        <v>20096</v>
      </c>
      <c r="F10">
        <v>128</v>
      </c>
      <c r="G10">
        <v>1</v>
      </c>
      <c r="H10">
        <v>4</v>
      </c>
      <c r="I10">
        <v>413.39</v>
      </c>
      <c r="J10" s="65">
        <v>13.089</v>
      </c>
      <c r="K10" s="27">
        <v>45548</v>
      </c>
      <c r="L10" s="53">
        <v>0.3548263888888889</v>
      </c>
      <c r="M10">
        <v>0</v>
      </c>
      <c r="N10">
        <v>0</v>
      </c>
      <c r="O10">
        <v>0</v>
      </c>
      <c r="P10" s="97"/>
      <c r="Q10" s="97"/>
      <c r="R10" s="71"/>
    </row>
    <row r="11" spans="1:18">
      <c r="A11" t="s">
        <v>139</v>
      </c>
      <c r="B11" t="s">
        <v>138</v>
      </c>
      <c r="C11">
        <v>3</v>
      </c>
      <c r="D11" t="s">
        <v>7</v>
      </c>
      <c r="E11">
        <v>20096</v>
      </c>
      <c r="F11">
        <v>128</v>
      </c>
      <c r="G11">
        <v>1</v>
      </c>
      <c r="H11">
        <v>4</v>
      </c>
      <c r="I11">
        <v>428.81</v>
      </c>
      <c r="J11" s="65">
        <v>12.619</v>
      </c>
      <c r="K11" s="27">
        <v>45548</v>
      </c>
      <c r="L11" s="53">
        <v>0.3601273148148148</v>
      </c>
      <c r="M11">
        <v>0</v>
      </c>
      <c r="N11">
        <v>0</v>
      </c>
      <c r="O11">
        <v>0</v>
      </c>
      <c r="P11" s="97"/>
      <c r="Q11" s="97"/>
      <c r="R11" s="71"/>
    </row>
    <row r="12" spans="1:18">
      <c r="A12" t="s">
        <v>139</v>
      </c>
      <c r="B12" t="s">
        <v>138</v>
      </c>
      <c r="C12">
        <v>4</v>
      </c>
      <c r="D12" t="s">
        <v>7</v>
      </c>
      <c r="E12">
        <v>20096</v>
      </c>
      <c r="F12">
        <v>128</v>
      </c>
      <c r="G12">
        <v>1</v>
      </c>
      <c r="H12">
        <v>4</v>
      </c>
      <c r="I12">
        <v>417.87</v>
      </c>
      <c r="J12" s="65">
        <v>12.949</v>
      </c>
      <c r="K12" s="27">
        <v>45548</v>
      </c>
      <c r="L12" s="53">
        <v>0.36528935185185185</v>
      </c>
      <c r="M12">
        <v>0</v>
      </c>
      <c r="N12">
        <v>0</v>
      </c>
      <c r="O12">
        <v>0</v>
      </c>
      <c r="P12" s="97"/>
      <c r="Q12" s="97"/>
      <c r="R12" s="71"/>
    </row>
    <row r="13" spans="1:18" ht="15" customHeight="1">
      <c r="A13" t="s">
        <v>139</v>
      </c>
      <c r="B13" t="s">
        <v>138</v>
      </c>
      <c r="C13">
        <v>0</v>
      </c>
      <c r="D13" t="s">
        <v>7</v>
      </c>
      <c r="E13">
        <v>20096</v>
      </c>
      <c r="F13">
        <v>128</v>
      </c>
      <c r="G13">
        <v>1</v>
      </c>
      <c r="H13">
        <v>4</v>
      </c>
      <c r="I13">
        <v>420.43</v>
      </c>
      <c r="J13" s="65">
        <v>12.87</v>
      </c>
      <c r="K13" s="27">
        <v>45547</v>
      </c>
      <c r="L13" s="53">
        <v>0.66766203703703708</v>
      </c>
      <c r="M13">
        <v>0</v>
      </c>
      <c r="N13">
        <v>0</v>
      </c>
      <c r="O13">
        <v>0</v>
      </c>
      <c r="P13" s="97"/>
      <c r="Q13" s="97"/>
      <c r="R13" s="71"/>
    </row>
    <row r="14" spans="1:18">
      <c r="A14" t="s">
        <v>139</v>
      </c>
      <c r="B14" t="s">
        <v>138</v>
      </c>
      <c r="C14">
        <v>1</v>
      </c>
      <c r="D14" t="s">
        <v>7</v>
      </c>
      <c r="E14">
        <v>20096</v>
      </c>
      <c r="F14">
        <v>128</v>
      </c>
      <c r="G14">
        <v>1</v>
      </c>
      <c r="H14">
        <v>4</v>
      </c>
      <c r="I14">
        <v>422.9</v>
      </c>
      <c r="J14" s="65">
        <v>12.795</v>
      </c>
      <c r="K14" s="27">
        <v>45547</v>
      </c>
      <c r="L14" s="53">
        <v>0.67288194444444449</v>
      </c>
      <c r="M14">
        <v>0</v>
      </c>
      <c r="N14">
        <v>0</v>
      </c>
      <c r="O14">
        <v>0</v>
      </c>
      <c r="P14" s="97"/>
      <c r="Q14" s="97"/>
      <c r="R14" s="71"/>
    </row>
    <row r="15" spans="1:18">
      <c r="A15" t="s">
        <v>139</v>
      </c>
      <c r="B15" t="s">
        <v>138</v>
      </c>
      <c r="C15">
        <v>0</v>
      </c>
      <c r="D15" t="s">
        <v>7</v>
      </c>
      <c r="E15">
        <v>20096</v>
      </c>
      <c r="F15">
        <v>128</v>
      </c>
      <c r="G15">
        <v>1</v>
      </c>
      <c r="H15">
        <v>4</v>
      </c>
      <c r="I15">
        <v>417.71</v>
      </c>
      <c r="J15" s="65">
        <v>12.954000000000001</v>
      </c>
      <c r="K15" s="27">
        <v>45547</v>
      </c>
      <c r="L15" s="53">
        <v>0.8421643518518519</v>
      </c>
      <c r="M15">
        <v>0</v>
      </c>
      <c r="N15">
        <v>0</v>
      </c>
      <c r="O15">
        <v>0</v>
      </c>
      <c r="P15" s="97"/>
      <c r="Q15" s="97"/>
      <c r="R15" s="71"/>
    </row>
    <row r="16" spans="1:18">
      <c r="A16" t="s">
        <v>139</v>
      </c>
      <c r="B16" t="s">
        <v>138</v>
      </c>
      <c r="C16">
        <v>1</v>
      </c>
      <c r="D16" t="s">
        <v>7</v>
      </c>
      <c r="E16">
        <v>20096</v>
      </c>
      <c r="F16">
        <v>128</v>
      </c>
      <c r="G16">
        <v>1</v>
      </c>
      <c r="H16">
        <v>4</v>
      </c>
      <c r="I16">
        <v>412.49</v>
      </c>
      <c r="J16" s="65">
        <v>13.118</v>
      </c>
      <c r="K16" s="27">
        <v>45547</v>
      </c>
      <c r="L16" s="53">
        <v>0.84726851851851848</v>
      </c>
      <c r="M16">
        <v>0</v>
      </c>
      <c r="N16">
        <v>0</v>
      </c>
      <c r="O16">
        <v>0</v>
      </c>
      <c r="P16" s="97"/>
      <c r="Q16" s="97"/>
      <c r="R16" s="71"/>
    </row>
    <row r="17" spans="2:18">
      <c r="P17" s="66"/>
      <c r="R17" s="67"/>
    </row>
    <row r="18" spans="2:18">
      <c r="B18" t="s">
        <v>138</v>
      </c>
      <c r="C18">
        <v>0</v>
      </c>
      <c r="D18" t="s">
        <v>7</v>
      </c>
      <c r="E18">
        <v>20096</v>
      </c>
      <c r="F18">
        <v>128</v>
      </c>
      <c r="G18">
        <v>1</v>
      </c>
      <c r="H18">
        <v>4</v>
      </c>
      <c r="I18">
        <v>545.16</v>
      </c>
      <c r="J18" s="65">
        <v>9.9257000000000009</v>
      </c>
      <c r="K18" s="27">
        <v>45548</v>
      </c>
      <c r="L18" s="53">
        <v>0.39612268518518517</v>
      </c>
      <c r="M18">
        <v>0</v>
      </c>
      <c r="N18">
        <v>0</v>
      </c>
      <c r="O18">
        <v>0</v>
      </c>
      <c r="P18" s="97">
        <f>AVERAGE(J18:J22)</f>
        <v>9.9138200000000012</v>
      </c>
      <c r="Q18" s="97">
        <f>(P3-P18)*100/P3</f>
        <v>24.019221631232845</v>
      </c>
      <c r="R18" s="99" t="s">
        <v>144</v>
      </c>
    </row>
    <row r="19" spans="2:18">
      <c r="B19" t="s">
        <v>138</v>
      </c>
      <c r="C19">
        <v>1</v>
      </c>
      <c r="D19" t="s">
        <v>7</v>
      </c>
      <c r="E19">
        <v>20096</v>
      </c>
      <c r="F19">
        <v>128</v>
      </c>
      <c r="G19">
        <v>1</v>
      </c>
      <c r="H19">
        <v>4</v>
      </c>
      <c r="I19">
        <v>546.58000000000004</v>
      </c>
      <c r="J19" s="65">
        <v>9.8999000000000006</v>
      </c>
      <c r="K19" s="27">
        <v>45548</v>
      </c>
      <c r="L19" s="53">
        <v>0.4027662037037037</v>
      </c>
      <c r="M19">
        <v>0</v>
      </c>
      <c r="N19">
        <v>0</v>
      </c>
      <c r="O19">
        <v>0</v>
      </c>
      <c r="P19" s="97"/>
      <c r="Q19" s="97"/>
      <c r="R19" s="99"/>
    </row>
    <row r="20" spans="2:18">
      <c r="B20" t="s">
        <v>138</v>
      </c>
      <c r="C20">
        <v>2</v>
      </c>
      <c r="D20" t="s">
        <v>7</v>
      </c>
      <c r="E20">
        <v>20096</v>
      </c>
      <c r="F20">
        <v>128</v>
      </c>
      <c r="G20">
        <v>1</v>
      </c>
      <c r="H20">
        <v>4</v>
      </c>
      <c r="I20">
        <v>546</v>
      </c>
      <c r="J20" s="65">
        <v>9.9103999999999992</v>
      </c>
      <c r="K20" s="27">
        <v>45548</v>
      </c>
      <c r="L20" s="53">
        <v>0.40940972222222222</v>
      </c>
      <c r="M20">
        <v>0</v>
      </c>
      <c r="N20">
        <v>0</v>
      </c>
      <c r="O20">
        <v>0</v>
      </c>
      <c r="P20" s="97"/>
      <c r="Q20" s="97"/>
      <c r="R20" s="99"/>
    </row>
    <row r="21" spans="2:18">
      <c r="B21" t="s">
        <v>138</v>
      </c>
      <c r="C21">
        <v>3</v>
      </c>
      <c r="D21" t="s">
        <v>7</v>
      </c>
      <c r="E21">
        <v>20096</v>
      </c>
      <c r="F21">
        <v>128</v>
      </c>
      <c r="G21">
        <v>1</v>
      </c>
      <c r="H21">
        <v>4</v>
      </c>
      <c r="I21">
        <v>546.5</v>
      </c>
      <c r="J21" s="65">
        <v>9.9013000000000009</v>
      </c>
      <c r="K21" s="27">
        <v>45548</v>
      </c>
      <c r="L21" s="53">
        <v>0.41605324074074074</v>
      </c>
      <c r="M21">
        <v>0</v>
      </c>
      <c r="N21">
        <v>0</v>
      </c>
      <c r="O21">
        <v>0</v>
      </c>
      <c r="P21" s="97"/>
      <c r="Q21" s="97"/>
      <c r="R21" s="99"/>
    </row>
    <row r="22" spans="2:18">
      <c r="B22" t="s">
        <v>138</v>
      </c>
      <c r="C22">
        <v>4</v>
      </c>
      <c r="D22" t="s">
        <v>7</v>
      </c>
      <c r="E22">
        <v>20096</v>
      </c>
      <c r="F22">
        <v>128</v>
      </c>
      <c r="G22">
        <v>1</v>
      </c>
      <c r="H22">
        <v>4</v>
      </c>
      <c r="I22">
        <v>544.82000000000005</v>
      </c>
      <c r="J22" s="65">
        <v>9.9318000000000008</v>
      </c>
      <c r="K22" s="27">
        <v>45548</v>
      </c>
      <c r="L22" s="53">
        <v>0.42267361111111112</v>
      </c>
      <c r="M22">
        <v>0</v>
      </c>
      <c r="N22">
        <v>0</v>
      </c>
      <c r="O22">
        <v>0</v>
      </c>
      <c r="P22" s="97"/>
      <c r="Q22" s="97"/>
      <c r="R22" s="99"/>
    </row>
    <row r="24" spans="2:18">
      <c r="B24" t="s">
        <v>127</v>
      </c>
      <c r="C24">
        <v>0</v>
      </c>
      <c r="D24" t="s">
        <v>7</v>
      </c>
      <c r="E24">
        <v>20096</v>
      </c>
      <c r="F24">
        <v>128</v>
      </c>
      <c r="G24">
        <v>1</v>
      </c>
      <c r="H24">
        <v>4</v>
      </c>
      <c r="I24">
        <v>501.24</v>
      </c>
      <c r="J24" s="65">
        <v>10.795</v>
      </c>
      <c r="K24" s="27">
        <v>45548</v>
      </c>
      <c r="L24" s="53">
        <v>0.48979166666666668</v>
      </c>
      <c r="M24">
        <v>0</v>
      </c>
      <c r="N24">
        <v>0</v>
      </c>
      <c r="O24">
        <v>0</v>
      </c>
      <c r="P24" s="97">
        <f>AVERAGE(J24:J28)</f>
        <v>10.793200000000001</v>
      </c>
    </row>
    <row r="25" spans="2:18">
      <c r="B25" t="s">
        <v>127</v>
      </c>
      <c r="C25">
        <v>1</v>
      </c>
      <c r="D25" t="s">
        <v>7</v>
      </c>
      <c r="E25">
        <v>20096</v>
      </c>
      <c r="F25">
        <v>128</v>
      </c>
      <c r="G25">
        <v>1</v>
      </c>
      <c r="H25">
        <v>4</v>
      </c>
      <c r="I25">
        <v>499.73</v>
      </c>
      <c r="J25" s="65">
        <v>10.827999999999999</v>
      </c>
      <c r="K25" s="27">
        <v>45548</v>
      </c>
      <c r="L25" s="53">
        <v>0.49589120370370371</v>
      </c>
      <c r="M25">
        <v>0</v>
      </c>
      <c r="N25">
        <v>0</v>
      </c>
      <c r="O25">
        <v>0</v>
      </c>
      <c r="P25" s="97"/>
    </row>
    <row r="26" spans="2:18">
      <c r="B26" t="s">
        <v>127</v>
      </c>
      <c r="C26">
        <v>2</v>
      </c>
      <c r="D26" t="s">
        <v>7</v>
      </c>
      <c r="E26">
        <v>20096</v>
      </c>
      <c r="F26">
        <v>128</v>
      </c>
      <c r="G26">
        <v>1</v>
      </c>
      <c r="H26">
        <v>4</v>
      </c>
      <c r="I26">
        <v>503.49</v>
      </c>
      <c r="J26" s="65">
        <v>10.747</v>
      </c>
      <c r="K26" s="27">
        <v>45548</v>
      </c>
      <c r="L26" s="53">
        <v>0.50202546296296291</v>
      </c>
      <c r="M26">
        <v>0</v>
      </c>
      <c r="N26">
        <v>0</v>
      </c>
      <c r="O26">
        <v>0</v>
      </c>
      <c r="P26" s="97"/>
    </row>
    <row r="27" spans="2:18">
      <c r="B27" t="s">
        <v>127</v>
      </c>
      <c r="C27">
        <v>3</v>
      </c>
      <c r="D27" t="s">
        <v>7</v>
      </c>
      <c r="E27">
        <v>20096</v>
      </c>
      <c r="F27">
        <v>128</v>
      </c>
      <c r="G27">
        <v>1</v>
      </c>
      <c r="H27">
        <v>4</v>
      </c>
      <c r="I27">
        <v>501.41</v>
      </c>
      <c r="J27" s="65">
        <v>10.792</v>
      </c>
      <c r="K27" s="27">
        <v>45548</v>
      </c>
      <c r="L27" s="53">
        <v>0.50814814814814813</v>
      </c>
      <c r="M27">
        <v>0</v>
      </c>
      <c r="N27">
        <v>0</v>
      </c>
      <c r="O27">
        <v>0</v>
      </c>
      <c r="P27" s="97"/>
    </row>
    <row r="28" spans="2:18">
      <c r="B28" t="s">
        <v>127</v>
      </c>
      <c r="C28">
        <v>4</v>
      </c>
      <c r="D28" t="s">
        <v>7</v>
      </c>
      <c r="E28">
        <v>20096</v>
      </c>
      <c r="F28">
        <v>128</v>
      </c>
      <c r="G28">
        <v>1</v>
      </c>
      <c r="H28">
        <v>4</v>
      </c>
      <c r="I28">
        <v>500.83</v>
      </c>
      <c r="J28" s="65">
        <v>10.804</v>
      </c>
      <c r="K28" s="27">
        <v>45548</v>
      </c>
      <c r="L28" s="53">
        <v>0.5142592592592593</v>
      </c>
      <c r="M28">
        <v>0</v>
      </c>
      <c r="N28">
        <v>0</v>
      </c>
      <c r="O28">
        <v>0</v>
      </c>
      <c r="P28" s="97"/>
    </row>
  </sheetData>
  <mergeCells count="9">
    <mergeCell ref="P24:P28"/>
    <mergeCell ref="Q18:Q22"/>
    <mergeCell ref="R8:R16"/>
    <mergeCell ref="A1:R1"/>
    <mergeCell ref="P18:P22"/>
    <mergeCell ref="P8:P16"/>
    <mergeCell ref="R18:R22"/>
    <mergeCell ref="Q8:Q16"/>
    <mergeCell ref="P3:P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BAA5-0FFF-4460-AD18-936DF5D1B2BA}">
  <dimension ref="A1:BC74"/>
  <sheetViews>
    <sheetView workbookViewId="0">
      <selection activeCell="T3" sqref="T3:X50"/>
    </sheetView>
  </sheetViews>
  <sheetFormatPr defaultRowHeight="15"/>
  <cols>
    <col min="1" max="1" width="11" customWidth="1"/>
    <col min="5" max="5" width="18.42578125" customWidth="1"/>
    <col min="7" max="7" width="11" customWidth="1"/>
    <col min="11" max="11" width="18.42578125" customWidth="1"/>
    <col min="14" max="14" width="11" customWidth="1"/>
    <col min="18" max="18" width="18.42578125" customWidth="1"/>
    <col min="20" max="20" width="11" customWidth="1"/>
    <col min="24" max="24" width="18.42578125" customWidth="1"/>
  </cols>
  <sheetData>
    <row r="1" spans="1:55">
      <c r="Z1" s="98" t="s">
        <v>179</v>
      </c>
      <c r="AA1" s="98"/>
      <c r="AB1" s="98"/>
      <c r="AC1" s="98"/>
      <c r="AD1" s="98"/>
      <c r="AF1" s="98" t="s">
        <v>180</v>
      </c>
      <c r="AG1" s="98"/>
      <c r="AH1" s="98"/>
      <c r="AI1" s="98"/>
      <c r="AJ1" s="98"/>
      <c r="AM1" s="98" t="s">
        <v>181</v>
      </c>
      <c r="AN1" s="98"/>
      <c r="AO1" s="98"/>
      <c r="AP1" s="98"/>
      <c r="AQ1" s="98"/>
      <c r="AS1" s="98" t="s">
        <v>182</v>
      </c>
      <c r="AT1" s="98"/>
      <c r="AU1" s="98"/>
      <c r="AV1" s="98"/>
      <c r="AW1" s="98"/>
    </row>
    <row r="2" spans="1:55">
      <c r="A2" t="s">
        <v>183</v>
      </c>
      <c r="B2" t="s">
        <v>2</v>
      </c>
      <c r="C2" t="s">
        <v>3</v>
      </c>
      <c r="D2" t="s">
        <v>4</v>
      </c>
      <c r="E2" t="s">
        <v>113</v>
      </c>
      <c r="G2" t="s">
        <v>183</v>
      </c>
      <c r="H2" t="s">
        <v>2</v>
      </c>
      <c r="I2" t="s">
        <v>3</v>
      </c>
      <c r="J2" t="s">
        <v>4</v>
      </c>
      <c r="K2" t="s">
        <v>113</v>
      </c>
      <c r="N2" t="s">
        <v>183</v>
      </c>
      <c r="O2" t="s">
        <v>2</v>
      </c>
      <c r="P2" t="s">
        <v>3</v>
      </c>
      <c r="Q2" t="s">
        <v>4</v>
      </c>
      <c r="R2" t="s">
        <v>113</v>
      </c>
      <c r="T2" t="s">
        <v>183</v>
      </c>
      <c r="U2" t="s">
        <v>2</v>
      </c>
      <c r="V2" t="s">
        <v>3</v>
      </c>
      <c r="W2" t="s">
        <v>4</v>
      </c>
      <c r="X2" t="s">
        <v>113</v>
      </c>
      <c r="Z2" t="s">
        <v>189</v>
      </c>
      <c r="AA2" t="s">
        <v>2</v>
      </c>
      <c r="AB2" t="s">
        <v>3</v>
      </c>
      <c r="AC2" t="s">
        <v>4</v>
      </c>
      <c r="AD2" t="s">
        <v>113</v>
      </c>
      <c r="AF2" t="s">
        <v>189</v>
      </c>
      <c r="AG2" t="s">
        <v>2</v>
      </c>
      <c r="AH2" t="s">
        <v>3</v>
      </c>
      <c r="AI2" t="s">
        <v>4</v>
      </c>
      <c r="AJ2" t="s">
        <v>113</v>
      </c>
      <c r="AM2" t="s">
        <v>189</v>
      </c>
      <c r="AN2" t="s">
        <v>2</v>
      </c>
      <c r="AO2" t="s">
        <v>3</v>
      </c>
      <c r="AP2" t="s">
        <v>4</v>
      </c>
      <c r="AQ2" t="s">
        <v>113</v>
      </c>
      <c r="AS2" t="s">
        <v>1</v>
      </c>
      <c r="AT2" t="s">
        <v>2</v>
      </c>
      <c r="AU2" t="s">
        <v>3</v>
      </c>
      <c r="AV2" t="s">
        <v>4</v>
      </c>
      <c r="AW2" t="s">
        <v>113</v>
      </c>
      <c r="BA2" t="s">
        <v>184</v>
      </c>
      <c r="BC2" t="s">
        <v>185</v>
      </c>
    </row>
    <row r="3" spans="1:55">
      <c r="A3">
        <v>40160</v>
      </c>
      <c r="B3">
        <v>32</v>
      </c>
      <c r="C3">
        <v>1</v>
      </c>
      <c r="D3">
        <v>16</v>
      </c>
      <c r="E3">
        <v>25.820999999999998</v>
      </c>
      <c r="G3">
        <v>40160</v>
      </c>
      <c r="H3">
        <v>32</v>
      </c>
      <c r="I3">
        <v>1</v>
      </c>
      <c r="J3">
        <v>16</v>
      </c>
      <c r="K3">
        <v>28.027800000000003</v>
      </c>
      <c r="N3">
        <v>20160</v>
      </c>
      <c r="O3">
        <v>32</v>
      </c>
      <c r="P3">
        <v>1</v>
      </c>
      <c r="Q3">
        <v>4</v>
      </c>
      <c r="R3">
        <v>6.9230199999999993</v>
      </c>
      <c r="T3">
        <v>20160</v>
      </c>
      <c r="U3">
        <v>32</v>
      </c>
      <c r="V3">
        <v>1</v>
      </c>
      <c r="W3">
        <v>4</v>
      </c>
      <c r="X3">
        <v>7.6669999999999998</v>
      </c>
      <c r="Z3">
        <v>40160</v>
      </c>
      <c r="AA3">
        <v>32</v>
      </c>
      <c r="AB3">
        <v>4</v>
      </c>
      <c r="AC3">
        <v>4</v>
      </c>
      <c r="AD3">
        <v>26.1692</v>
      </c>
      <c r="AF3">
        <v>40160</v>
      </c>
      <c r="AG3">
        <v>32</v>
      </c>
      <c r="AH3">
        <v>2</v>
      </c>
      <c r="AI3">
        <v>8</v>
      </c>
      <c r="AJ3">
        <v>28.695800000000002</v>
      </c>
      <c r="AM3">
        <v>20160</v>
      </c>
      <c r="AN3">
        <v>32</v>
      </c>
      <c r="AO3">
        <v>1</v>
      </c>
      <c r="AP3">
        <v>4</v>
      </c>
      <c r="AQ3">
        <v>6.9230199999999993</v>
      </c>
      <c r="AS3">
        <v>20160</v>
      </c>
      <c r="AT3">
        <v>32</v>
      </c>
      <c r="AU3">
        <v>1</v>
      </c>
      <c r="AV3">
        <v>4</v>
      </c>
      <c r="AW3">
        <v>7.6669999999999998</v>
      </c>
      <c r="AY3" t="s">
        <v>186</v>
      </c>
      <c r="AZ3">
        <v>32</v>
      </c>
      <c r="BA3">
        <f>AD3/AQ3</f>
        <v>3.7800266357745613</v>
      </c>
      <c r="BC3">
        <f>AJ3/AW3</f>
        <v>3.7427677057519242</v>
      </c>
    </row>
    <row r="4" spans="1:55">
      <c r="A4">
        <v>40160</v>
      </c>
      <c r="B4">
        <v>64</v>
      </c>
      <c r="C4">
        <v>1</v>
      </c>
      <c r="D4">
        <v>16</v>
      </c>
      <c r="E4">
        <v>37.244</v>
      </c>
      <c r="G4">
        <v>40160</v>
      </c>
      <c r="H4">
        <v>64</v>
      </c>
      <c r="I4">
        <v>1</v>
      </c>
      <c r="J4">
        <v>16</v>
      </c>
      <c r="K4">
        <v>40.449800000000003</v>
      </c>
      <c r="N4">
        <v>20160</v>
      </c>
      <c r="O4">
        <v>64</v>
      </c>
      <c r="P4">
        <v>1</v>
      </c>
      <c r="Q4">
        <v>4</v>
      </c>
      <c r="R4">
        <v>10.085600000000001</v>
      </c>
      <c r="T4">
        <v>20160</v>
      </c>
      <c r="U4">
        <v>64</v>
      </c>
      <c r="V4">
        <v>1</v>
      </c>
      <c r="W4">
        <v>4</v>
      </c>
      <c r="X4">
        <v>11.840199999999999</v>
      </c>
      <c r="Z4">
        <v>40160</v>
      </c>
      <c r="AA4">
        <v>64</v>
      </c>
      <c r="AB4">
        <v>4</v>
      </c>
      <c r="AC4">
        <v>4</v>
      </c>
      <c r="AD4">
        <v>36.488399999999999</v>
      </c>
      <c r="AF4">
        <v>40160</v>
      </c>
      <c r="AG4">
        <v>64</v>
      </c>
      <c r="AH4">
        <v>2</v>
      </c>
      <c r="AI4">
        <v>8</v>
      </c>
      <c r="AJ4">
        <v>42.1922</v>
      </c>
      <c r="AM4">
        <v>20160</v>
      </c>
      <c r="AN4">
        <v>64</v>
      </c>
      <c r="AO4">
        <v>1</v>
      </c>
      <c r="AP4">
        <v>4</v>
      </c>
      <c r="AQ4">
        <v>10.085600000000001</v>
      </c>
      <c r="AS4">
        <v>20160</v>
      </c>
      <c r="AT4">
        <v>64</v>
      </c>
      <c r="AU4">
        <v>1</v>
      </c>
      <c r="AV4">
        <v>4</v>
      </c>
      <c r="AW4">
        <v>11.840199999999999</v>
      </c>
      <c r="AY4" t="s">
        <v>186</v>
      </c>
      <c r="AZ4">
        <v>64</v>
      </c>
      <c r="BA4">
        <f t="shared" ref="BA4:BA26" si="0">AD4/AQ4</f>
        <v>3.6178710240342662</v>
      </c>
      <c r="BC4">
        <f t="shared" ref="BC4:BC26" si="1">AJ4/AW4</f>
        <v>3.5634702116518304</v>
      </c>
    </row>
    <row r="5" spans="1:55">
      <c r="A5">
        <v>40160</v>
      </c>
      <c r="B5">
        <v>96</v>
      </c>
      <c r="C5">
        <v>1</v>
      </c>
      <c r="D5">
        <v>16</v>
      </c>
      <c r="E5">
        <v>36.202000000000005</v>
      </c>
      <c r="G5">
        <v>40160</v>
      </c>
      <c r="H5">
        <v>96</v>
      </c>
      <c r="I5">
        <v>1</v>
      </c>
      <c r="J5">
        <v>16</v>
      </c>
      <c r="K5">
        <v>43.191599999999994</v>
      </c>
      <c r="N5">
        <v>20160</v>
      </c>
      <c r="O5">
        <v>96</v>
      </c>
      <c r="P5">
        <v>1</v>
      </c>
      <c r="Q5">
        <v>4</v>
      </c>
      <c r="R5">
        <v>9.7688400000000009</v>
      </c>
      <c r="T5">
        <v>20160</v>
      </c>
      <c r="U5">
        <v>96</v>
      </c>
      <c r="V5">
        <v>1</v>
      </c>
      <c r="W5">
        <v>4</v>
      </c>
      <c r="X5">
        <v>12.540000000000001</v>
      </c>
      <c r="Z5">
        <v>40160</v>
      </c>
      <c r="AA5">
        <v>96</v>
      </c>
      <c r="AB5">
        <v>4</v>
      </c>
      <c r="AC5">
        <v>4</v>
      </c>
      <c r="AD5">
        <v>37.1494</v>
      </c>
      <c r="AF5">
        <v>40160</v>
      </c>
      <c r="AG5">
        <v>96</v>
      </c>
      <c r="AH5">
        <v>2</v>
      </c>
      <c r="AI5">
        <v>8</v>
      </c>
      <c r="AJ5">
        <v>45.105199999999996</v>
      </c>
      <c r="AM5">
        <v>20160</v>
      </c>
      <c r="AN5">
        <v>96</v>
      </c>
      <c r="AO5">
        <v>1</v>
      </c>
      <c r="AP5">
        <v>4</v>
      </c>
      <c r="AQ5">
        <v>9.7688400000000009</v>
      </c>
      <c r="AS5">
        <v>20160</v>
      </c>
      <c r="AT5">
        <v>96</v>
      </c>
      <c r="AU5">
        <v>1</v>
      </c>
      <c r="AV5">
        <v>4</v>
      </c>
      <c r="AW5">
        <v>12.540000000000001</v>
      </c>
      <c r="AY5" t="s">
        <v>186</v>
      </c>
      <c r="AZ5">
        <v>96</v>
      </c>
      <c r="BA5">
        <f t="shared" si="0"/>
        <v>3.8028466020530582</v>
      </c>
      <c r="BC5">
        <f t="shared" si="1"/>
        <v>3.5969059011164268</v>
      </c>
    </row>
    <row r="6" spans="1:55">
      <c r="A6">
        <v>40160</v>
      </c>
      <c r="B6">
        <v>128</v>
      </c>
      <c r="C6">
        <v>1</v>
      </c>
      <c r="D6">
        <v>16</v>
      </c>
      <c r="E6">
        <v>38.554200000000002</v>
      </c>
      <c r="G6">
        <v>40160</v>
      </c>
      <c r="H6">
        <v>128</v>
      </c>
      <c r="I6">
        <v>1</v>
      </c>
      <c r="J6">
        <v>16</v>
      </c>
      <c r="K6">
        <v>42.755399999999995</v>
      </c>
      <c r="N6">
        <v>20160</v>
      </c>
      <c r="O6">
        <v>128</v>
      </c>
      <c r="P6">
        <v>1</v>
      </c>
      <c r="Q6">
        <v>4</v>
      </c>
      <c r="R6">
        <v>10.788599999999999</v>
      </c>
      <c r="T6">
        <v>20160</v>
      </c>
      <c r="U6">
        <v>128</v>
      </c>
      <c r="V6">
        <v>1</v>
      </c>
      <c r="W6">
        <v>4</v>
      </c>
      <c r="X6">
        <v>13.006600000000001</v>
      </c>
      <c r="Z6">
        <v>40160</v>
      </c>
      <c r="AA6">
        <v>128</v>
      </c>
      <c r="AB6">
        <v>4</v>
      </c>
      <c r="AC6">
        <v>4</v>
      </c>
      <c r="AD6">
        <v>38.856399999999994</v>
      </c>
      <c r="AF6">
        <v>40160</v>
      </c>
      <c r="AG6">
        <v>128</v>
      </c>
      <c r="AH6">
        <v>2</v>
      </c>
      <c r="AI6">
        <v>8</v>
      </c>
      <c r="AJ6">
        <v>45.218400000000003</v>
      </c>
      <c r="AM6">
        <v>20160</v>
      </c>
      <c r="AN6">
        <v>128</v>
      </c>
      <c r="AO6">
        <v>1</v>
      </c>
      <c r="AP6">
        <v>4</v>
      </c>
      <c r="AQ6">
        <v>10.788599999999999</v>
      </c>
      <c r="AS6">
        <v>20160</v>
      </c>
      <c r="AT6">
        <v>128</v>
      </c>
      <c r="AU6">
        <v>1</v>
      </c>
      <c r="AV6">
        <v>4</v>
      </c>
      <c r="AW6">
        <v>13.006600000000001</v>
      </c>
      <c r="AY6" t="s">
        <v>186</v>
      </c>
      <c r="AZ6">
        <v>128</v>
      </c>
      <c r="BA6">
        <f t="shared" si="0"/>
        <v>3.6016165211426876</v>
      </c>
      <c r="BC6">
        <f t="shared" si="1"/>
        <v>3.4765734319499333</v>
      </c>
    </row>
    <row r="7" spans="1:55">
      <c r="A7">
        <v>40160</v>
      </c>
      <c r="B7">
        <v>160</v>
      </c>
      <c r="C7">
        <v>1</v>
      </c>
      <c r="D7">
        <v>16</v>
      </c>
      <c r="E7">
        <v>41.294400000000003</v>
      </c>
      <c r="G7">
        <v>40160</v>
      </c>
      <c r="H7">
        <v>160</v>
      </c>
      <c r="I7">
        <v>1</v>
      </c>
      <c r="J7">
        <v>16</v>
      </c>
      <c r="K7">
        <v>41.924599999999998</v>
      </c>
      <c r="N7">
        <v>20160</v>
      </c>
      <c r="O7">
        <v>160</v>
      </c>
      <c r="P7">
        <v>1</v>
      </c>
      <c r="Q7">
        <v>4</v>
      </c>
      <c r="R7">
        <v>11.657399999999999</v>
      </c>
      <c r="T7">
        <v>20160</v>
      </c>
      <c r="U7">
        <v>160</v>
      </c>
      <c r="V7">
        <v>1</v>
      </c>
      <c r="W7">
        <v>4</v>
      </c>
      <c r="X7">
        <v>12.5244</v>
      </c>
      <c r="Z7">
        <v>40160</v>
      </c>
      <c r="AA7">
        <v>160</v>
      </c>
      <c r="AB7">
        <v>4</v>
      </c>
      <c r="AC7">
        <v>4</v>
      </c>
      <c r="AD7">
        <v>41.390200000000007</v>
      </c>
      <c r="AF7">
        <v>40160</v>
      </c>
      <c r="AG7">
        <v>160</v>
      </c>
      <c r="AH7">
        <v>2</v>
      </c>
      <c r="AI7">
        <v>8</v>
      </c>
      <c r="AJ7">
        <v>44.054200000000002</v>
      </c>
      <c r="AM7">
        <v>20160</v>
      </c>
      <c r="AN7">
        <v>160</v>
      </c>
      <c r="AO7">
        <v>1</v>
      </c>
      <c r="AP7">
        <v>4</v>
      </c>
      <c r="AQ7">
        <v>11.657399999999999</v>
      </c>
      <c r="AS7">
        <v>20160</v>
      </c>
      <c r="AT7">
        <v>160</v>
      </c>
      <c r="AU7">
        <v>1</v>
      </c>
      <c r="AV7">
        <v>4</v>
      </c>
      <c r="AW7">
        <v>12.5244</v>
      </c>
      <c r="AY7" t="s">
        <v>186</v>
      </c>
      <c r="AZ7">
        <v>160</v>
      </c>
      <c r="BA7">
        <f t="shared" si="0"/>
        <v>3.5505515809700285</v>
      </c>
      <c r="BC7">
        <f t="shared" si="1"/>
        <v>3.5174698987576254</v>
      </c>
    </row>
    <row r="8" spans="1:55">
      <c r="A8">
        <v>40160</v>
      </c>
      <c r="B8">
        <v>192</v>
      </c>
      <c r="C8">
        <v>1</v>
      </c>
      <c r="D8">
        <v>16</v>
      </c>
      <c r="E8">
        <v>40.259200000000007</v>
      </c>
      <c r="G8">
        <v>40160</v>
      </c>
      <c r="H8">
        <v>192</v>
      </c>
      <c r="I8">
        <v>1</v>
      </c>
      <c r="J8">
        <v>16</v>
      </c>
      <c r="K8">
        <v>42.477800000000002</v>
      </c>
      <c r="N8">
        <v>20160</v>
      </c>
      <c r="O8">
        <v>192</v>
      </c>
      <c r="P8">
        <v>1</v>
      </c>
      <c r="Q8">
        <v>4</v>
      </c>
      <c r="R8">
        <v>11.3056</v>
      </c>
      <c r="T8">
        <v>20160</v>
      </c>
      <c r="U8">
        <v>192</v>
      </c>
      <c r="V8">
        <v>1</v>
      </c>
      <c r="W8">
        <v>4</v>
      </c>
      <c r="X8">
        <v>12.789399999999999</v>
      </c>
      <c r="Z8">
        <v>40160</v>
      </c>
      <c r="AA8">
        <v>192</v>
      </c>
      <c r="AB8">
        <v>4</v>
      </c>
      <c r="AC8">
        <v>4</v>
      </c>
      <c r="AD8">
        <v>39.980800000000002</v>
      </c>
      <c r="AF8">
        <v>40160</v>
      </c>
      <c r="AG8">
        <v>192</v>
      </c>
      <c r="AH8">
        <v>2</v>
      </c>
      <c r="AI8">
        <v>8</v>
      </c>
      <c r="AJ8">
        <v>44.794000000000004</v>
      </c>
      <c r="AM8">
        <v>20160</v>
      </c>
      <c r="AN8">
        <v>192</v>
      </c>
      <c r="AO8">
        <v>1</v>
      </c>
      <c r="AP8">
        <v>4</v>
      </c>
      <c r="AQ8">
        <v>11.3056</v>
      </c>
      <c r="AS8">
        <v>20160</v>
      </c>
      <c r="AT8">
        <v>192</v>
      </c>
      <c r="AU8">
        <v>1</v>
      </c>
      <c r="AV8">
        <v>4</v>
      </c>
      <c r="AW8">
        <v>12.789399999999999</v>
      </c>
      <c r="AY8" t="s">
        <v>186</v>
      </c>
      <c r="AZ8">
        <v>192</v>
      </c>
      <c r="BA8">
        <f t="shared" si="0"/>
        <v>3.5363713557882819</v>
      </c>
      <c r="BC8">
        <f t="shared" si="1"/>
        <v>3.5024317012526005</v>
      </c>
    </row>
    <row r="9" spans="1:55">
      <c r="A9">
        <v>40160</v>
      </c>
      <c r="B9">
        <v>224</v>
      </c>
      <c r="C9">
        <v>1</v>
      </c>
      <c r="D9">
        <v>16</v>
      </c>
      <c r="E9">
        <v>40.293199999999999</v>
      </c>
      <c r="G9">
        <v>40160</v>
      </c>
      <c r="H9">
        <v>224</v>
      </c>
      <c r="I9">
        <v>1</v>
      </c>
      <c r="J9">
        <v>16</v>
      </c>
      <c r="K9">
        <v>41.643000000000001</v>
      </c>
      <c r="N9">
        <v>20160</v>
      </c>
      <c r="O9">
        <v>224</v>
      </c>
      <c r="P9">
        <v>1</v>
      </c>
      <c r="Q9">
        <v>4</v>
      </c>
      <c r="R9">
        <v>11.352799999999998</v>
      </c>
      <c r="T9">
        <v>20160</v>
      </c>
      <c r="U9">
        <v>224</v>
      </c>
      <c r="V9">
        <v>1</v>
      </c>
      <c r="W9">
        <v>4</v>
      </c>
      <c r="X9">
        <v>12.657599999999999</v>
      </c>
      <c r="Z9">
        <v>40160</v>
      </c>
      <c r="AA9">
        <v>224</v>
      </c>
      <c r="AB9">
        <v>4</v>
      </c>
      <c r="AC9">
        <v>4</v>
      </c>
      <c r="AD9">
        <v>40.733600000000003</v>
      </c>
      <c r="AF9">
        <v>40160</v>
      </c>
      <c r="AG9">
        <v>224</v>
      </c>
      <c r="AH9">
        <v>2</v>
      </c>
      <c r="AI9">
        <v>8</v>
      </c>
      <c r="AJ9">
        <v>44.968599999999995</v>
      </c>
      <c r="AM9">
        <v>20160</v>
      </c>
      <c r="AN9">
        <v>224</v>
      </c>
      <c r="AO9">
        <v>1</v>
      </c>
      <c r="AP9">
        <v>4</v>
      </c>
      <c r="AQ9">
        <v>11.352799999999998</v>
      </c>
      <c r="AS9">
        <v>20160</v>
      </c>
      <c r="AT9">
        <v>224</v>
      </c>
      <c r="AU9">
        <v>1</v>
      </c>
      <c r="AV9">
        <v>4</v>
      </c>
      <c r="AW9">
        <v>12.657599999999999</v>
      </c>
      <c r="AY9" t="s">
        <v>186</v>
      </c>
      <c r="AZ9">
        <v>224</v>
      </c>
      <c r="BA9">
        <f t="shared" si="0"/>
        <v>3.5879782961031648</v>
      </c>
      <c r="BC9">
        <f t="shared" si="1"/>
        <v>3.5526956137024395</v>
      </c>
    </row>
    <row r="10" spans="1:55">
      <c r="A10">
        <v>40160</v>
      </c>
      <c r="B10">
        <v>256</v>
      </c>
      <c r="C10">
        <v>1</v>
      </c>
      <c r="D10">
        <v>16</v>
      </c>
      <c r="E10">
        <v>37.982199999999999</v>
      </c>
      <c r="G10">
        <v>40160</v>
      </c>
      <c r="H10">
        <v>256</v>
      </c>
      <c r="I10">
        <v>1</v>
      </c>
      <c r="J10">
        <v>16</v>
      </c>
      <c r="K10">
        <v>41.826000000000001</v>
      </c>
      <c r="N10">
        <v>20160</v>
      </c>
      <c r="O10">
        <v>256</v>
      </c>
      <c r="P10">
        <v>1</v>
      </c>
      <c r="Q10">
        <v>4</v>
      </c>
      <c r="R10">
        <v>10.601400000000002</v>
      </c>
      <c r="T10">
        <v>20160</v>
      </c>
      <c r="U10">
        <v>256</v>
      </c>
      <c r="V10">
        <v>1</v>
      </c>
      <c r="W10">
        <v>4</v>
      </c>
      <c r="X10">
        <v>12.654</v>
      </c>
      <c r="Z10">
        <v>40160</v>
      </c>
      <c r="AA10">
        <v>256</v>
      </c>
      <c r="AB10">
        <v>4</v>
      </c>
      <c r="AC10">
        <v>4</v>
      </c>
      <c r="AD10">
        <v>39.383600000000001</v>
      </c>
      <c r="AF10">
        <v>40160</v>
      </c>
      <c r="AG10">
        <v>256</v>
      </c>
      <c r="AH10">
        <v>2</v>
      </c>
      <c r="AI10">
        <v>8</v>
      </c>
      <c r="AJ10">
        <v>44.809600000000003</v>
      </c>
      <c r="AM10">
        <v>20160</v>
      </c>
      <c r="AN10">
        <v>256</v>
      </c>
      <c r="AO10">
        <v>1</v>
      </c>
      <c r="AP10">
        <v>4</v>
      </c>
      <c r="AQ10">
        <v>10.601400000000002</v>
      </c>
      <c r="AS10">
        <v>20160</v>
      </c>
      <c r="AT10">
        <v>256</v>
      </c>
      <c r="AU10">
        <v>1</v>
      </c>
      <c r="AV10">
        <v>4</v>
      </c>
      <c r="AW10">
        <v>12.654</v>
      </c>
      <c r="AY10" t="s">
        <v>186</v>
      </c>
      <c r="AZ10">
        <v>256</v>
      </c>
      <c r="BA10">
        <f t="shared" si="0"/>
        <v>3.7149433093742332</v>
      </c>
      <c r="BC10">
        <f t="shared" si="1"/>
        <v>3.5411411411411415</v>
      </c>
    </row>
    <row r="11" spans="1:55">
      <c r="A11">
        <v>38080</v>
      </c>
      <c r="B11">
        <v>32</v>
      </c>
      <c r="C11">
        <v>1</v>
      </c>
      <c r="D11">
        <v>16</v>
      </c>
      <c r="E11">
        <v>25.642000000000003</v>
      </c>
      <c r="G11">
        <v>38080</v>
      </c>
      <c r="H11">
        <v>32</v>
      </c>
      <c r="I11">
        <v>1</v>
      </c>
      <c r="J11">
        <v>16</v>
      </c>
      <c r="K11">
        <v>27.536999999999999</v>
      </c>
      <c r="N11">
        <v>19072</v>
      </c>
      <c r="O11">
        <v>32</v>
      </c>
      <c r="P11">
        <v>1</v>
      </c>
      <c r="Q11">
        <v>4</v>
      </c>
      <c r="R11">
        <v>7.0233000000000008</v>
      </c>
      <c r="T11">
        <v>19072</v>
      </c>
      <c r="U11">
        <v>32</v>
      </c>
      <c r="V11">
        <v>1</v>
      </c>
      <c r="W11">
        <v>4</v>
      </c>
      <c r="X11">
        <v>7.8392999999999997</v>
      </c>
      <c r="Z11">
        <v>38080</v>
      </c>
      <c r="AA11">
        <v>32</v>
      </c>
      <c r="AB11">
        <v>4</v>
      </c>
      <c r="AC11">
        <v>4</v>
      </c>
      <c r="AD11">
        <v>26.345799999999997</v>
      </c>
      <c r="AF11">
        <v>38080</v>
      </c>
      <c r="AG11">
        <v>32</v>
      </c>
      <c r="AH11">
        <v>2</v>
      </c>
      <c r="AI11">
        <v>8</v>
      </c>
      <c r="AJ11">
        <v>29.197800000000001</v>
      </c>
      <c r="AM11">
        <v>19072</v>
      </c>
      <c r="AN11">
        <v>32</v>
      </c>
      <c r="AO11">
        <v>1</v>
      </c>
      <c r="AP11">
        <v>4</v>
      </c>
      <c r="AQ11">
        <v>7.0233000000000008</v>
      </c>
      <c r="AS11">
        <v>19072</v>
      </c>
      <c r="AT11">
        <v>32</v>
      </c>
      <c r="AU11">
        <v>1</v>
      </c>
      <c r="AV11">
        <v>4</v>
      </c>
      <c r="AW11">
        <v>7.8392999999999997</v>
      </c>
      <c r="AY11" t="s">
        <v>187</v>
      </c>
      <c r="AZ11">
        <v>32</v>
      </c>
      <c r="BA11">
        <f t="shared" si="0"/>
        <v>3.7511995785456969</v>
      </c>
      <c r="BC11">
        <f t="shared" si="1"/>
        <v>3.7245417320424021</v>
      </c>
    </row>
    <row r="12" spans="1:55">
      <c r="A12">
        <v>38080</v>
      </c>
      <c r="B12">
        <v>64</v>
      </c>
      <c r="C12">
        <v>1</v>
      </c>
      <c r="D12">
        <v>16</v>
      </c>
      <c r="E12">
        <v>37.024999999999999</v>
      </c>
      <c r="G12">
        <v>38080</v>
      </c>
      <c r="H12">
        <v>64</v>
      </c>
      <c r="I12">
        <v>1</v>
      </c>
      <c r="J12">
        <v>16</v>
      </c>
      <c r="K12">
        <v>39.834199999999996</v>
      </c>
      <c r="N12">
        <v>19072</v>
      </c>
      <c r="O12">
        <v>64</v>
      </c>
      <c r="P12">
        <v>1</v>
      </c>
      <c r="Q12">
        <v>4</v>
      </c>
      <c r="R12">
        <v>10.278</v>
      </c>
      <c r="T12">
        <v>19072</v>
      </c>
      <c r="U12">
        <v>64</v>
      </c>
      <c r="V12">
        <v>1</v>
      </c>
      <c r="W12">
        <v>4</v>
      </c>
      <c r="X12">
        <v>11.950799999999999</v>
      </c>
      <c r="Z12">
        <v>38080</v>
      </c>
      <c r="AA12">
        <v>64</v>
      </c>
      <c r="AB12">
        <v>4</v>
      </c>
      <c r="AC12">
        <v>4</v>
      </c>
      <c r="AD12">
        <v>35.693799999999996</v>
      </c>
      <c r="AF12">
        <v>38080</v>
      </c>
      <c r="AG12">
        <v>64</v>
      </c>
      <c r="AH12">
        <v>2</v>
      </c>
      <c r="AI12">
        <v>8</v>
      </c>
      <c r="AJ12">
        <v>42.027000000000001</v>
      </c>
      <c r="AM12">
        <v>19072</v>
      </c>
      <c r="AN12">
        <v>64</v>
      </c>
      <c r="AO12">
        <v>1</v>
      </c>
      <c r="AP12">
        <v>4</v>
      </c>
      <c r="AQ12">
        <v>10.278</v>
      </c>
      <c r="AS12">
        <v>19072</v>
      </c>
      <c r="AT12">
        <v>64</v>
      </c>
      <c r="AU12">
        <v>1</v>
      </c>
      <c r="AV12">
        <v>4</v>
      </c>
      <c r="AW12">
        <v>11.950799999999999</v>
      </c>
      <c r="AY12" t="s">
        <v>187</v>
      </c>
      <c r="AZ12">
        <v>64</v>
      </c>
      <c r="BA12">
        <f t="shared" si="0"/>
        <v>3.4728351819420116</v>
      </c>
      <c r="BC12">
        <f t="shared" si="1"/>
        <v>3.5166683401947991</v>
      </c>
    </row>
    <row r="13" spans="1:55">
      <c r="A13">
        <v>38080</v>
      </c>
      <c r="B13">
        <v>96</v>
      </c>
      <c r="C13">
        <v>1</v>
      </c>
      <c r="D13">
        <v>16</v>
      </c>
      <c r="E13">
        <v>36.255200000000002</v>
      </c>
      <c r="G13">
        <v>38080</v>
      </c>
      <c r="H13">
        <v>96</v>
      </c>
      <c r="I13">
        <v>1</v>
      </c>
      <c r="J13">
        <v>16</v>
      </c>
      <c r="K13">
        <v>43.2226</v>
      </c>
      <c r="N13">
        <v>19072</v>
      </c>
      <c r="O13">
        <v>96</v>
      </c>
      <c r="P13">
        <v>1</v>
      </c>
      <c r="Q13">
        <v>4</v>
      </c>
      <c r="R13">
        <v>9.8672600000000017</v>
      </c>
      <c r="T13">
        <v>19072</v>
      </c>
      <c r="U13">
        <v>96</v>
      </c>
      <c r="V13">
        <v>1</v>
      </c>
      <c r="W13">
        <v>4</v>
      </c>
      <c r="X13">
        <v>12.779</v>
      </c>
      <c r="Z13">
        <v>38080</v>
      </c>
      <c r="AA13">
        <v>96</v>
      </c>
      <c r="AB13">
        <v>4</v>
      </c>
      <c r="AC13">
        <v>4</v>
      </c>
      <c r="AD13">
        <v>36.874200000000002</v>
      </c>
      <c r="AF13">
        <v>38080</v>
      </c>
      <c r="AG13">
        <v>96</v>
      </c>
      <c r="AH13">
        <v>2</v>
      </c>
      <c r="AI13">
        <v>8</v>
      </c>
      <c r="AJ13">
        <v>44.773799999999994</v>
      </c>
      <c r="AM13">
        <v>19072</v>
      </c>
      <c r="AN13">
        <v>96</v>
      </c>
      <c r="AO13">
        <v>1</v>
      </c>
      <c r="AP13">
        <v>4</v>
      </c>
      <c r="AQ13">
        <v>9.8672600000000017</v>
      </c>
      <c r="AS13">
        <v>19072</v>
      </c>
      <c r="AT13">
        <v>96</v>
      </c>
      <c r="AU13">
        <v>1</v>
      </c>
      <c r="AV13">
        <v>4</v>
      </c>
      <c r="AW13">
        <v>12.779</v>
      </c>
      <c r="AY13" t="s">
        <v>187</v>
      </c>
      <c r="AZ13">
        <v>96</v>
      </c>
      <c r="BA13">
        <f t="shared" si="0"/>
        <v>3.7370252734801754</v>
      </c>
      <c r="BC13">
        <f t="shared" si="1"/>
        <v>3.5037013850849044</v>
      </c>
    </row>
    <row r="14" spans="1:55">
      <c r="A14">
        <v>38080</v>
      </c>
      <c r="B14">
        <v>128</v>
      </c>
      <c r="C14">
        <v>1</v>
      </c>
      <c r="D14">
        <v>16</v>
      </c>
      <c r="E14">
        <v>38.615200000000002</v>
      </c>
      <c r="G14">
        <v>38080</v>
      </c>
      <c r="H14">
        <v>128</v>
      </c>
      <c r="I14">
        <v>1</v>
      </c>
      <c r="J14">
        <v>16</v>
      </c>
      <c r="K14">
        <v>42.802199999999992</v>
      </c>
      <c r="N14">
        <v>19072</v>
      </c>
      <c r="O14">
        <v>128</v>
      </c>
      <c r="P14">
        <v>1</v>
      </c>
      <c r="Q14">
        <v>4</v>
      </c>
      <c r="R14">
        <v>10.746599999999999</v>
      </c>
      <c r="T14">
        <v>19072</v>
      </c>
      <c r="U14">
        <v>128</v>
      </c>
      <c r="V14">
        <v>1</v>
      </c>
      <c r="W14">
        <v>4</v>
      </c>
      <c r="X14">
        <v>12.961400000000001</v>
      </c>
      <c r="Z14">
        <v>38080</v>
      </c>
      <c r="AA14">
        <v>128</v>
      </c>
      <c r="AB14">
        <v>4</v>
      </c>
      <c r="AC14">
        <v>4</v>
      </c>
      <c r="AD14">
        <v>37.741200000000006</v>
      </c>
      <c r="AF14">
        <v>38080</v>
      </c>
      <c r="AG14">
        <v>128</v>
      </c>
      <c r="AH14">
        <v>2</v>
      </c>
      <c r="AI14">
        <v>8</v>
      </c>
      <c r="AJ14">
        <v>45.131399999999999</v>
      </c>
      <c r="AM14">
        <v>19072</v>
      </c>
      <c r="AN14">
        <v>128</v>
      </c>
      <c r="AO14">
        <v>1</v>
      </c>
      <c r="AP14">
        <v>4</v>
      </c>
      <c r="AQ14">
        <v>10.746599999999999</v>
      </c>
      <c r="AS14">
        <v>19072</v>
      </c>
      <c r="AT14">
        <v>128</v>
      </c>
      <c r="AU14">
        <v>1</v>
      </c>
      <c r="AV14">
        <v>4</v>
      </c>
      <c r="AW14">
        <v>12.961400000000001</v>
      </c>
      <c r="AY14" t="s">
        <v>187</v>
      </c>
      <c r="AZ14">
        <v>128</v>
      </c>
      <c r="BA14">
        <f t="shared" si="0"/>
        <v>3.5119200491318194</v>
      </c>
      <c r="BC14">
        <f t="shared" si="1"/>
        <v>3.4819849707593313</v>
      </c>
    </row>
    <row r="15" spans="1:55">
      <c r="A15">
        <v>38080</v>
      </c>
      <c r="B15">
        <v>160</v>
      </c>
      <c r="C15">
        <v>1</v>
      </c>
      <c r="D15">
        <v>16</v>
      </c>
      <c r="E15">
        <v>40.86</v>
      </c>
      <c r="G15">
        <v>38080</v>
      </c>
      <c r="H15">
        <v>160</v>
      </c>
      <c r="I15">
        <v>1</v>
      </c>
      <c r="J15">
        <v>16</v>
      </c>
      <c r="K15">
        <v>41.413799999999995</v>
      </c>
      <c r="N15">
        <v>19072</v>
      </c>
      <c r="O15">
        <v>160</v>
      </c>
      <c r="P15">
        <v>1</v>
      </c>
      <c r="Q15">
        <v>4</v>
      </c>
      <c r="R15">
        <v>11.672999999999998</v>
      </c>
      <c r="T15">
        <v>19072</v>
      </c>
      <c r="U15">
        <v>160</v>
      </c>
      <c r="V15">
        <v>1</v>
      </c>
      <c r="W15">
        <v>4</v>
      </c>
      <c r="X15">
        <v>12.519600000000001</v>
      </c>
      <c r="Z15">
        <v>38080</v>
      </c>
      <c r="AA15">
        <v>160</v>
      </c>
      <c r="AB15">
        <v>4</v>
      </c>
      <c r="AC15">
        <v>4</v>
      </c>
      <c r="AD15">
        <v>39.992000000000004</v>
      </c>
      <c r="AF15">
        <v>38080</v>
      </c>
      <c r="AG15">
        <v>160</v>
      </c>
      <c r="AH15">
        <v>2</v>
      </c>
      <c r="AI15">
        <v>8</v>
      </c>
      <c r="AJ15">
        <v>43.703199999999995</v>
      </c>
      <c r="AM15">
        <v>19072</v>
      </c>
      <c r="AN15">
        <v>160</v>
      </c>
      <c r="AO15">
        <v>1</v>
      </c>
      <c r="AP15">
        <v>4</v>
      </c>
      <c r="AQ15">
        <v>11.672999999999998</v>
      </c>
      <c r="AS15">
        <v>19072</v>
      </c>
      <c r="AT15">
        <v>160</v>
      </c>
      <c r="AU15">
        <v>1</v>
      </c>
      <c r="AV15">
        <v>4</v>
      </c>
      <c r="AW15">
        <v>12.519600000000001</v>
      </c>
      <c r="AY15" t="s">
        <v>187</v>
      </c>
      <c r="AZ15">
        <v>160</v>
      </c>
      <c r="BA15">
        <f t="shared" si="0"/>
        <v>3.4260258716696659</v>
      </c>
      <c r="BC15">
        <f t="shared" si="1"/>
        <v>3.4907824531135176</v>
      </c>
    </row>
    <row r="16" spans="1:55">
      <c r="A16">
        <v>38080</v>
      </c>
      <c r="B16">
        <v>192</v>
      </c>
      <c r="C16">
        <v>1</v>
      </c>
      <c r="D16">
        <v>16</v>
      </c>
      <c r="E16">
        <v>39.495600000000003</v>
      </c>
      <c r="G16">
        <v>38080</v>
      </c>
      <c r="H16">
        <v>192</v>
      </c>
      <c r="I16">
        <v>1</v>
      </c>
      <c r="J16">
        <v>16</v>
      </c>
      <c r="K16">
        <v>41.890600000000006</v>
      </c>
      <c r="N16">
        <v>19072</v>
      </c>
      <c r="O16">
        <v>192</v>
      </c>
      <c r="P16">
        <v>1</v>
      </c>
      <c r="Q16">
        <v>4</v>
      </c>
      <c r="R16">
        <v>11.289</v>
      </c>
      <c r="T16">
        <v>19072</v>
      </c>
      <c r="U16">
        <v>192</v>
      </c>
      <c r="V16">
        <v>1</v>
      </c>
      <c r="W16">
        <v>4</v>
      </c>
      <c r="X16">
        <v>12.860199999999997</v>
      </c>
      <c r="Z16">
        <v>38080</v>
      </c>
      <c r="AA16">
        <v>192</v>
      </c>
      <c r="AB16">
        <v>4</v>
      </c>
      <c r="AC16">
        <v>4</v>
      </c>
      <c r="AD16">
        <v>39.223400000000005</v>
      </c>
      <c r="AF16">
        <v>38080</v>
      </c>
      <c r="AG16">
        <v>192</v>
      </c>
      <c r="AH16">
        <v>2</v>
      </c>
      <c r="AI16">
        <v>8</v>
      </c>
      <c r="AJ16">
        <v>44.783799999999999</v>
      </c>
      <c r="AM16">
        <v>19072</v>
      </c>
      <c r="AN16">
        <v>192</v>
      </c>
      <c r="AO16">
        <v>1</v>
      </c>
      <c r="AP16">
        <v>4</v>
      </c>
      <c r="AQ16">
        <v>11.289</v>
      </c>
      <c r="AS16">
        <v>19072</v>
      </c>
      <c r="AT16">
        <v>192</v>
      </c>
      <c r="AU16">
        <v>1</v>
      </c>
      <c r="AV16">
        <v>4</v>
      </c>
      <c r="AW16">
        <v>12.860199999999997</v>
      </c>
      <c r="AY16" t="s">
        <v>187</v>
      </c>
      <c r="AZ16">
        <v>192</v>
      </c>
      <c r="BA16">
        <f t="shared" si="0"/>
        <v>3.4744795818938794</v>
      </c>
      <c r="BC16">
        <f t="shared" si="1"/>
        <v>3.482356417474068</v>
      </c>
    </row>
    <row r="17" spans="1:55">
      <c r="A17">
        <v>38080</v>
      </c>
      <c r="B17">
        <v>224</v>
      </c>
      <c r="C17">
        <v>1</v>
      </c>
      <c r="D17">
        <v>16</v>
      </c>
      <c r="E17">
        <v>39.754800000000003</v>
      </c>
      <c r="G17">
        <v>38080</v>
      </c>
      <c r="H17">
        <v>224</v>
      </c>
      <c r="I17">
        <v>1</v>
      </c>
      <c r="J17">
        <v>16</v>
      </c>
      <c r="K17">
        <v>41.1494</v>
      </c>
      <c r="N17">
        <v>19072</v>
      </c>
      <c r="O17">
        <v>224</v>
      </c>
      <c r="P17">
        <v>1</v>
      </c>
      <c r="Q17">
        <v>4</v>
      </c>
      <c r="R17">
        <v>11.3934</v>
      </c>
      <c r="T17">
        <v>19072</v>
      </c>
      <c r="U17">
        <v>224</v>
      </c>
      <c r="V17">
        <v>1</v>
      </c>
      <c r="W17">
        <v>4</v>
      </c>
      <c r="X17">
        <v>12.729800000000001</v>
      </c>
      <c r="Z17">
        <v>38080</v>
      </c>
      <c r="AA17">
        <v>224</v>
      </c>
      <c r="AB17">
        <v>4</v>
      </c>
      <c r="AC17">
        <v>4</v>
      </c>
      <c r="AD17">
        <v>40.073999999999998</v>
      </c>
      <c r="AF17">
        <v>38080</v>
      </c>
      <c r="AG17">
        <v>224</v>
      </c>
      <c r="AH17">
        <v>2</v>
      </c>
      <c r="AI17">
        <v>8</v>
      </c>
      <c r="AJ17">
        <v>44.909200000000013</v>
      </c>
      <c r="AM17">
        <v>19072</v>
      </c>
      <c r="AN17">
        <v>224</v>
      </c>
      <c r="AO17">
        <v>1</v>
      </c>
      <c r="AP17">
        <v>4</v>
      </c>
      <c r="AQ17">
        <v>11.3934</v>
      </c>
      <c r="AS17">
        <v>19072</v>
      </c>
      <c r="AT17">
        <v>224</v>
      </c>
      <c r="AU17">
        <v>1</v>
      </c>
      <c r="AV17">
        <v>4</v>
      </c>
      <c r="AW17">
        <v>12.729800000000001</v>
      </c>
      <c r="AY17" t="s">
        <v>187</v>
      </c>
      <c r="AZ17">
        <v>224</v>
      </c>
      <c r="BA17">
        <f t="shared" si="0"/>
        <v>3.5172994891779452</v>
      </c>
      <c r="BC17">
        <f t="shared" si="1"/>
        <v>3.5278794639350193</v>
      </c>
    </row>
    <row r="18" spans="1:55">
      <c r="A18">
        <v>38080</v>
      </c>
      <c r="B18">
        <v>256</v>
      </c>
      <c r="C18">
        <v>1</v>
      </c>
      <c r="D18">
        <v>16</v>
      </c>
      <c r="E18">
        <v>36.613799999999998</v>
      </c>
      <c r="G18">
        <v>38080</v>
      </c>
      <c r="H18">
        <v>256</v>
      </c>
      <c r="I18">
        <v>1</v>
      </c>
      <c r="J18">
        <v>16</v>
      </c>
      <c r="K18">
        <v>41.646000000000001</v>
      </c>
      <c r="N18">
        <v>19072</v>
      </c>
      <c r="O18">
        <v>256</v>
      </c>
      <c r="P18">
        <v>1</v>
      </c>
      <c r="Q18">
        <v>4</v>
      </c>
      <c r="R18">
        <v>10.3424</v>
      </c>
      <c r="T18">
        <v>19072</v>
      </c>
      <c r="U18">
        <v>256</v>
      </c>
      <c r="V18">
        <v>1</v>
      </c>
      <c r="W18">
        <v>4</v>
      </c>
      <c r="X18">
        <v>12.710400000000002</v>
      </c>
      <c r="Z18">
        <v>38080</v>
      </c>
      <c r="AA18">
        <v>256</v>
      </c>
      <c r="AB18">
        <v>4</v>
      </c>
      <c r="AC18">
        <v>4</v>
      </c>
      <c r="AD18">
        <v>39.238999999999997</v>
      </c>
      <c r="AF18">
        <v>38080</v>
      </c>
      <c r="AG18">
        <v>256</v>
      </c>
      <c r="AH18">
        <v>2</v>
      </c>
      <c r="AI18">
        <v>8</v>
      </c>
      <c r="AJ18">
        <v>45.135199999999998</v>
      </c>
      <c r="AM18">
        <v>19072</v>
      </c>
      <c r="AN18">
        <v>256</v>
      </c>
      <c r="AO18">
        <v>1</v>
      </c>
      <c r="AP18">
        <v>4</v>
      </c>
      <c r="AQ18">
        <v>10.3424</v>
      </c>
      <c r="AS18">
        <v>19072</v>
      </c>
      <c r="AT18">
        <v>256</v>
      </c>
      <c r="AU18">
        <v>1</v>
      </c>
      <c r="AV18">
        <v>4</v>
      </c>
      <c r="AW18">
        <v>12.710400000000002</v>
      </c>
      <c r="AY18" t="s">
        <v>187</v>
      </c>
      <c r="AZ18">
        <v>256</v>
      </c>
      <c r="BA18">
        <f t="shared" si="0"/>
        <v>3.7939936571782176</v>
      </c>
      <c r="BC18">
        <f t="shared" si="1"/>
        <v>3.5510448136958703</v>
      </c>
    </row>
    <row r="19" spans="1:55">
      <c r="A19">
        <v>36000</v>
      </c>
      <c r="B19">
        <v>32</v>
      </c>
      <c r="C19">
        <v>1</v>
      </c>
      <c r="D19">
        <v>16</v>
      </c>
      <c r="E19">
        <v>25.883199999999999</v>
      </c>
      <c r="G19">
        <v>36000</v>
      </c>
      <c r="H19">
        <v>32</v>
      </c>
      <c r="I19">
        <v>1</v>
      </c>
      <c r="J19">
        <v>16</v>
      </c>
      <c r="K19">
        <v>28.092000000000002</v>
      </c>
      <c r="N19">
        <v>17984</v>
      </c>
      <c r="O19">
        <v>32</v>
      </c>
      <c r="P19">
        <v>1</v>
      </c>
      <c r="Q19">
        <v>4</v>
      </c>
      <c r="R19">
        <v>6.8726399999999996</v>
      </c>
      <c r="T19">
        <v>17984</v>
      </c>
      <c r="U19">
        <v>32</v>
      </c>
      <c r="V19">
        <v>1</v>
      </c>
      <c r="W19">
        <v>4</v>
      </c>
      <c r="X19">
        <v>7.4731799999999993</v>
      </c>
      <c r="Z19">
        <v>36000</v>
      </c>
      <c r="AA19">
        <v>32</v>
      </c>
      <c r="AB19">
        <v>4</v>
      </c>
      <c r="AC19">
        <v>4</v>
      </c>
      <c r="AD19">
        <v>25.848399999999998</v>
      </c>
      <c r="AF19">
        <v>36000</v>
      </c>
      <c r="AG19">
        <v>32</v>
      </c>
      <c r="AH19">
        <v>2</v>
      </c>
      <c r="AI19">
        <v>8</v>
      </c>
      <c r="AJ19">
        <v>27.536399999999997</v>
      </c>
      <c r="AM19">
        <v>17984</v>
      </c>
      <c r="AN19">
        <v>32</v>
      </c>
      <c r="AO19">
        <v>1</v>
      </c>
      <c r="AP19">
        <v>4</v>
      </c>
      <c r="AQ19">
        <v>6.8726399999999996</v>
      </c>
      <c r="AS19">
        <v>17984</v>
      </c>
      <c r="AT19">
        <v>32</v>
      </c>
      <c r="AU19">
        <v>1</v>
      </c>
      <c r="AV19">
        <v>4</v>
      </c>
      <c r="AW19">
        <v>7.4731799999999993</v>
      </c>
      <c r="AY19" t="s">
        <v>188</v>
      </c>
      <c r="AZ19">
        <v>32</v>
      </c>
      <c r="BA19">
        <f t="shared" si="0"/>
        <v>3.761058341481585</v>
      </c>
      <c r="BC19">
        <f t="shared" si="1"/>
        <v>3.684696474593145</v>
      </c>
    </row>
    <row r="20" spans="1:55">
      <c r="A20">
        <v>36000</v>
      </c>
      <c r="B20">
        <v>64</v>
      </c>
      <c r="C20">
        <v>1</v>
      </c>
      <c r="D20">
        <v>16</v>
      </c>
      <c r="E20">
        <v>36.826200000000007</v>
      </c>
      <c r="G20">
        <v>36000</v>
      </c>
      <c r="H20">
        <v>64</v>
      </c>
      <c r="I20">
        <v>1</v>
      </c>
      <c r="J20">
        <v>16</v>
      </c>
      <c r="K20">
        <v>39.628399999999999</v>
      </c>
      <c r="N20">
        <v>17984</v>
      </c>
      <c r="O20">
        <v>64</v>
      </c>
      <c r="P20">
        <v>1</v>
      </c>
      <c r="Q20">
        <v>4</v>
      </c>
      <c r="R20">
        <v>10.1258</v>
      </c>
      <c r="T20">
        <v>17984</v>
      </c>
      <c r="U20">
        <v>64</v>
      </c>
      <c r="V20">
        <v>1</v>
      </c>
      <c r="W20">
        <v>4</v>
      </c>
      <c r="X20">
        <v>11.7486</v>
      </c>
      <c r="Z20">
        <v>36000</v>
      </c>
      <c r="AA20">
        <v>64</v>
      </c>
      <c r="AB20">
        <v>4</v>
      </c>
      <c r="AC20">
        <v>4</v>
      </c>
      <c r="AD20">
        <v>35.228400000000001</v>
      </c>
      <c r="AF20">
        <v>36000</v>
      </c>
      <c r="AG20">
        <v>64</v>
      </c>
      <c r="AH20">
        <v>2</v>
      </c>
      <c r="AI20">
        <v>8</v>
      </c>
      <c r="AJ20">
        <v>40.939800000000005</v>
      </c>
      <c r="AM20">
        <v>17984</v>
      </c>
      <c r="AN20">
        <v>64</v>
      </c>
      <c r="AO20">
        <v>1</v>
      </c>
      <c r="AP20">
        <v>4</v>
      </c>
      <c r="AQ20">
        <v>10.1258</v>
      </c>
      <c r="AS20">
        <v>17984</v>
      </c>
      <c r="AT20">
        <v>64</v>
      </c>
      <c r="AU20">
        <v>1</v>
      </c>
      <c r="AV20">
        <v>4</v>
      </c>
      <c r="AW20">
        <v>11.7486</v>
      </c>
      <c r="AY20" t="s">
        <v>188</v>
      </c>
      <c r="AZ20">
        <v>64</v>
      </c>
      <c r="BA20">
        <f t="shared" si="0"/>
        <v>3.4790732584092123</v>
      </c>
      <c r="BC20">
        <f t="shared" si="1"/>
        <v>3.4846534906286712</v>
      </c>
    </row>
    <row r="21" spans="1:55">
      <c r="A21">
        <v>36000</v>
      </c>
      <c r="B21">
        <v>96</v>
      </c>
      <c r="C21">
        <v>1</v>
      </c>
      <c r="D21">
        <v>16</v>
      </c>
      <c r="E21">
        <v>35.958600000000004</v>
      </c>
      <c r="G21">
        <v>36000</v>
      </c>
      <c r="H21">
        <v>96</v>
      </c>
      <c r="I21">
        <v>1</v>
      </c>
      <c r="J21">
        <v>16</v>
      </c>
      <c r="K21">
        <v>42.007600000000004</v>
      </c>
      <c r="N21">
        <v>17984</v>
      </c>
      <c r="O21">
        <v>96</v>
      </c>
      <c r="P21">
        <v>1</v>
      </c>
      <c r="Q21">
        <v>4</v>
      </c>
      <c r="R21">
        <v>9.6265600000000013</v>
      </c>
      <c r="T21">
        <v>17984</v>
      </c>
      <c r="U21">
        <v>96</v>
      </c>
      <c r="V21">
        <v>1</v>
      </c>
      <c r="W21">
        <v>4</v>
      </c>
      <c r="X21">
        <v>12.646799999999999</v>
      </c>
      <c r="Z21">
        <v>36000</v>
      </c>
      <c r="AA21">
        <v>96</v>
      </c>
      <c r="AB21">
        <v>4</v>
      </c>
      <c r="AC21">
        <v>4</v>
      </c>
      <c r="AD21">
        <v>36.658200000000001</v>
      </c>
      <c r="AF21">
        <v>36000</v>
      </c>
      <c r="AG21">
        <v>96</v>
      </c>
      <c r="AH21">
        <v>2</v>
      </c>
      <c r="AI21">
        <v>8</v>
      </c>
      <c r="AJ21">
        <v>44.076000000000008</v>
      </c>
      <c r="AM21">
        <v>17984</v>
      </c>
      <c r="AN21">
        <v>96</v>
      </c>
      <c r="AO21">
        <v>1</v>
      </c>
      <c r="AP21">
        <v>4</v>
      </c>
      <c r="AQ21">
        <v>9.6265600000000013</v>
      </c>
      <c r="AS21">
        <v>17984</v>
      </c>
      <c r="AT21">
        <v>96</v>
      </c>
      <c r="AU21">
        <v>1</v>
      </c>
      <c r="AV21">
        <v>4</v>
      </c>
      <c r="AW21">
        <v>12.646799999999999</v>
      </c>
      <c r="AY21" t="s">
        <v>188</v>
      </c>
      <c r="AZ21">
        <v>96</v>
      </c>
      <c r="BA21">
        <f t="shared" si="0"/>
        <v>3.8080269587474649</v>
      </c>
      <c r="BC21">
        <f t="shared" si="1"/>
        <v>3.4851503937755015</v>
      </c>
    </row>
    <row r="22" spans="1:55">
      <c r="A22">
        <v>36000</v>
      </c>
      <c r="B22">
        <v>128</v>
      </c>
      <c r="C22">
        <v>1</v>
      </c>
      <c r="D22">
        <v>16</v>
      </c>
      <c r="E22">
        <v>38.288800000000002</v>
      </c>
      <c r="G22">
        <v>36000</v>
      </c>
      <c r="H22">
        <v>128</v>
      </c>
      <c r="I22">
        <v>1</v>
      </c>
      <c r="J22">
        <v>16</v>
      </c>
      <c r="K22">
        <v>41.903399999999998</v>
      </c>
      <c r="N22">
        <v>17984</v>
      </c>
      <c r="O22">
        <v>128</v>
      </c>
      <c r="P22">
        <v>1</v>
      </c>
      <c r="Q22">
        <v>4</v>
      </c>
      <c r="R22">
        <v>10.04222</v>
      </c>
      <c r="T22">
        <v>17984</v>
      </c>
      <c r="U22">
        <v>128</v>
      </c>
      <c r="V22">
        <v>1</v>
      </c>
      <c r="W22">
        <v>4</v>
      </c>
      <c r="X22">
        <v>12.766</v>
      </c>
      <c r="Z22">
        <v>36000</v>
      </c>
      <c r="AA22">
        <v>128</v>
      </c>
      <c r="AB22">
        <v>4</v>
      </c>
      <c r="AC22">
        <v>4</v>
      </c>
      <c r="AD22">
        <v>37.413799999999995</v>
      </c>
      <c r="AF22">
        <v>36000</v>
      </c>
      <c r="AG22">
        <v>128</v>
      </c>
      <c r="AH22">
        <v>2</v>
      </c>
      <c r="AI22">
        <v>8</v>
      </c>
      <c r="AJ22">
        <v>44.401599999999995</v>
      </c>
      <c r="AM22">
        <v>17984</v>
      </c>
      <c r="AN22">
        <v>128</v>
      </c>
      <c r="AO22">
        <v>1</v>
      </c>
      <c r="AP22">
        <v>4</v>
      </c>
      <c r="AQ22">
        <v>10.04222</v>
      </c>
      <c r="AS22">
        <v>17984</v>
      </c>
      <c r="AT22">
        <v>128</v>
      </c>
      <c r="AU22">
        <v>1</v>
      </c>
      <c r="AV22">
        <v>4</v>
      </c>
      <c r="AW22">
        <v>12.766</v>
      </c>
      <c r="AY22" t="s">
        <v>188</v>
      </c>
      <c r="AZ22">
        <v>128</v>
      </c>
      <c r="BA22">
        <f t="shared" si="0"/>
        <v>3.7256503044147604</v>
      </c>
      <c r="BC22">
        <f t="shared" si="1"/>
        <v>3.4781137396208677</v>
      </c>
    </row>
    <row r="23" spans="1:55">
      <c r="A23">
        <v>36000</v>
      </c>
      <c r="B23">
        <v>160</v>
      </c>
      <c r="C23">
        <v>1</v>
      </c>
      <c r="D23">
        <v>16</v>
      </c>
      <c r="E23">
        <v>40.327799999999996</v>
      </c>
      <c r="G23">
        <v>36000</v>
      </c>
      <c r="H23">
        <v>160</v>
      </c>
      <c r="I23">
        <v>1</v>
      </c>
      <c r="J23">
        <v>16</v>
      </c>
      <c r="K23">
        <v>40.647800000000004</v>
      </c>
      <c r="N23">
        <v>17984</v>
      </c>
      <c r="O23">
        <v>160</v>
      </c>
      <c r="P23">
        <v>1</v>
      </c>
      <c r="Q23">
        <v>4</v>
      </c>
      <c r="R23">
        <v>10.887</v>
      </c>
      <c r="T23">
        <v>17984</v>
      </c>
      <c r="U23">
        <v>160</v>
      </c>
      <c r="V23">
        <v>1</v>
      </c>
      <c r="W23">
        <v>4</v>
      </c>
      <c r="X23">
        <v>12.3612</v>
      </c>
      <c r="Z23">
        <v>36000</v>
      </c>
      <c r="AA23">
        <v>160</v>
      </c>
      <c r="AB23">
        <v>4</v>
      </c>
      <c r="AC23">
        <v>4</v>
      </c>
      <c r="AD23">
        <v>39.752400000000002</v>
      </c>
      <c r="AF23">
        <v>36000</v>
      </c>
      <c r="AG23">
        <v>160</v>
      </c>
      <c r="AH23">
        <v>2</v>
      </c>
      <c r="AI23">
        <v>8</v>
      </c>
      <c r="AJ23">
        <v>42.823399999999999</v>
      </c>
      <c r="AM23">
        <v>17984</v>
      </c>
      <c r="AN23">
        <v>160</v>
      </c>
      <c r="AO23">
        <v>1</v>
      </c>
      <c r="AP23">
        <v>4</v>
      </c>
      <c r="AQ23">
        <v>10.887</v>
      </c>
      <c r="AS23">
        <v>17984</v>
      </c>
      <c r="AT23">
        <v>160</v>
      </c>
      <c r="AU23">
        <v>1</v>
      </c>
      <c r="AV23">
        <v>4</v>
      </c>
      <c r="AW23">
        <v>12.3612</v>
      </c>
      <c r="AY23" t="s">
        <v>188</v>
      </c>
      <c r="AZ23">
        <v>160</v>
      </c>
      <c r="BA23">
        <f t="shared" si="0"/>
        <v>3.6513640121245521</v>
      </c>
      <c r="BC23">
        <f t="shared" si="1"/>
        <v>3.4643400317121316</v>
      </c>
    </row>
    <row r="24" spans="1:55">
      <c r="A24">
        <v>36000</v>
      </c>
      <c r="B24">
        <v>192</v>
      </c>
      <c r="C24">
        <v>1</v>
      </c>
      <c r="D24">
        <v>16</v>
      </c>
      <c r="E24">
        <v>39.755800000000001</v>
      </c>
      <c r="G24">
        <v>36000</v>
      </c>
      <c r="H24">
        <v>192</v>
      </c>
      <c r="I24">
        <v>1</v>
      </c>
      <c r="J24">
        <v>16</v>
      </c>
      <c r="K24">
        <v>41.584799999999994</v>
      </c>
      <c r="N24">
        <v>17984</v>
      </c>
      <c r="O24">
        <v>192</v>
      </c>
      <c r="P24">
        <v>1</v>
      </c>
      <c r="Q24">
        <v>4</v>
      </c>
      <c r="R24">
        <v>11.1442</v>
      </c>
      <c r="T24">
        <v>17984</v>
      </c>
      <c r="U24">
        <v>192</v>
      </c>
      <c r="V24">
        <v>1</v>
      </c>
      <c r="W24">
        <v>4</v>
      </c>
      <c r="X24">
        <v>12.6838</v>
      </c>
      <c r="Z24">
        <v>36000</v>
      </c>
      <c r="AA24">
        <v>192</v>
      </c>
      <c r="AB24">
        <v>4</v>
      </c>
      <c r="AC24">
        <v>4</v>
      </c>
      <c r="AD24">
        <v>39.7986</v>
      </c>
      <c r="AF24">
        <v>36000</v>
      </c>
      <c r="AG24">
        <v>192</v>
      </c>
      <c r="AH24">
        <v>2</v>
      </c>
      <c r="AI24">
        <v>8</v>
      </c>
      <c r="AJ24">
        <v>43.978799999999993</v>
      </c>
      <c r="AM24">
        <v>17984</v>
      </c>
      <c r="AN24">
        <v>192</v>
      </c>
      <c r="AO24">
        <v>1</v>
      </c>
      <c r="AP24">
        <v>4</v>
      </c>
      <c r="AQ24">
        <v>11.1442</v>
      </c>
      <c r="AS24">
        <v>17984</v>
      </c>
      <c r="AT24">
        <v>192</v>
      </c>
      <c r="AU24">
        <v>1</v>
      </c>
      <c r="AV24">
        <v>4</v>
      </c>
      <c r="AW24">
        <v>12.6838</v>
      </c>
      <c r="AY24" t="s">
        <v>188</v>
      </c>
      <c r="AZ24">
        <v>192</v>
      </c>
      <c r="BA24">
        <f t="shared" si="0"/>
        <v>3.5712388507026076</v>
      </c>
      <c r="BC24">
        <f t="shared" si="1"/>
        <v>3.4673205190873393</v>
      </c>
    </row>
    <row r="25" spans="1:55">
      <c r="A25">
        <v>36000</v>
      </c>
      <c r="B25">
        <v>224</v>
      </c>
      <c r="C25">
        <v>1</v>
      </c>
      <c r="D25">
        <v>16</v>
      </c>
      <c r="E25">
        <v>38.426400000000001</v>
      </c>
      <c r="G25">
        <v>36000</v>
      </c>
      <c r="H25">
        <v>224</v>
      </c>
      <c r="I25">
        <v>1</v>
      </c>
      <c r="J25">
        <v>16</v>
      </c>
      <c r="K25">
        <v>41.298199999999994</v>
      </c>
      <c r="N25">
        <v>17984</v>
      </c>
      <c r="O25">
        <v>224</v>
      </c>
      <c r="P25">
        <v>1</v>
      </c>
      <c r="Q25">
        <v>4</v>
      </c>
      <c r="R25">
        <v>10.725599999999998</v>
      </c>
      <c r="T25">
        <v>17984</v>
      </c>
      <c r="U25">
        <v>224</v>
      </c>
      <c r="V25">
        <v>1</v>
      </c>
      <c r="W25">
        <v>4</v>
      </c>
      <c r="X25">
        <v>12.583600000000001</v>
      </c>
      <c r="Z25">
        <v>36000</v>
      </c>
      <c r="AA25">
        <v>224</v>
      </c>
      <c r="AB25">
        <v>4</v>
      </c>
      <c r="AC25">
        <v>4</v>
      </c>
      <c r="AD25">
        <v>37.537999999999997</v>
      </c>
      <c r="AF25">
        <v>36000</v>
      </c>
      <c r="AG25">
        <v>224</v>
      </c>
      <c r="AH25">
        <v>2</v>
      </c>
      <c r="AI25">
        <v>8</v>
      </c>
      <c r="AJ25">
        <v>44.110400000000006</v>
      </c>
      <c r="AM25">
        <v>17984</v>
      </c>
      <c r="AN25">
        <v>224</v>
      </c>
      <c r="AO25">
        <v>1</v>
      </c>
      <c r="AP25">
        <v>4</v>
      </c>
      <c r="AQ25">
        <v>10.725599999999998</v>
      </c>
      <c r="AS25">
        <v>17984</v>
      </c>
      <c r="AT25">
        <v>224</v>
      </c>
      <c r="AU25">
        <v>1</v>
      </c>
      <c r="AV25">
        <v>4</v>
      </c>
      <c r="AW25">
        <v>12.583600000000001</v>
      </c>
      <c r="AY25" t="s">
        <v>188</v>
      </c>
      <c r="AZ25">
        <v>224</v>
      </c>
      <c r="BA25">
        <f t="shared" si="0"/>
        <v>3.4998508241963155</v>
      </c>
      <c r="BC25">
        <f t="shared" si="1"/>
        <v>3.5053879652881532</v>
      </c>
    </row>
    <row r="26" spans="1:55">
      <c r="A26">
        <v>36000</v>
      </c>
      <c r="B26">
        <v>256</v>
      </c>
      <c r="C26">
        <v>1</v>
      </c>
      <c r="D26">
        <v>16</v>
      </c>
      <c r="E26">
        <v>37.439799999999998</v>
      </c>
      <c r="G26">
        <v>36000</v>
      </c>
      <c r="H26">
        <v>256</v>
      </c>
      <c r="I26">
        <v>1</v>
      </c>
      <c r="J26">
        <v>16</v>
      </c>
      <c r="K26">
        <v>40.499000000000002</v>
      </c>
      <c r="N26">
        <v>17984</v>
      </c>
      <c r="O26">
        <v>256</v>
      </c>
      <c r="P26">
        <v>1</v>
      </c>
      <c r="Q26">
        <v>4</v>
      </c>
      <c r="R26">
        <v>10.541</v>
      </c>
      <c r="T26">
        <v>17984</v>
      </c>
      <c r="U26">
        <v>256</v>
      </c>
      <c r="V26">
        <v>1</v>
      </c>
      <c r="W26">
        <v>4</v>
      </c>
      <c r="X26">
        <v>12.576000000000002</v>
      </c>
      <c r="Z26">
        <v>36000</v>
      </c>
      <c r="AA26">
        <v>256</v>
      </c>
      <c r="AB26">
        <v>4</v>
      </c>
      <c r="AC26">
        <v>4</v>
      </c>
      <c r="AD26">
        <v>38.563400000000001</v>
      </c>
      <c r="AF26">
        <v>36000</v>
      </c>
      <c r="AG26">
        <v>256</v>
      </c>
      <c r="AH26">
        <v>2</v>
      </c>
      <c r="AI26">
        <v>8</v>
      </c>
      <c r="AJ26">
        <v>42.948</v>
      </c>
      <c r="AM26">
        <v>17984</v>
      </c>
      <c r="AN26">
        <v>256</v>
      </c>
      <c r="AO26">
        <v>1</v>
      </c>
      <c r="AP26">
        <v>4</v>
      </c>
      <c r="AQ26">
        <v>10.541</v>
      </c>
      <c r="AS26">
        <v>17984</v>
      </c>
      <c r="AT26">
        <v>256</v>
      </c>
      <c r="AU26">
        <v>1</v>
      </c>
      <c r="AV26">
        <v>4</v>
      </c>
      <c r="AW26">
        <v>12.576000000000002</v>
      </c>
      <c r="AY26" t="s">
        <v>188</v>
      </c>
      <c r="AZ26">
        <v>256</v>
      </c>
      <c r="BA26">
        <f t="shared" si="0"/>
        <v>3.658419504790817</v>
      </c>
      <c r="BC26">
        <f t="shared" si="1"/>
        <v>3.415076335877862</v>
      </c>
    </row>
    <row r="27" spans="1:55">
      <c r="A27">
        <v>40160</v>
      </c>
      <c r="B27">
        <v>32</v>
      </c>
      <c r="C27">
        <v>2</v>
      </c>
      <c r="D27">
        <v>8</v>
      </c>
      <c r="E27">
        <v>26.947600000000001</v>
      </c>
      <c r="G27">
        <v>40160</v>
      </c>
      <c r="H27">
        <v>32</v>
      </c>
      <c r="I27">
        <v>2</v>
      </c>
      <c r="J27">
        <v>8</v>
      </c>
      <c r="K27">
        <v>28.695800000000002</v>
      </c>
      <c r="N27">
        <v>20160</v>
      </c>
      <c r="O27">
        <v>32</v>
      </c>
      <c r="P27">
        <v>2</v>
      </c>
      <c r="Q27">
        <v>2</v>
      </c>
      <c r="R27">
        <v>6.7942599999999995</v>
      </c>
      <c r="T27">
        <v>20160</v>
      </c>
      <c r="U27">
        <v>32</v>
      </c>
      <c r="V27">
        <v>2</v>
      </c>
      <c r="W27">
        <v>2</v>
      </c>
      <c r="X27">
        <v>7.4978400000000009</v>
      </c>
    </row>
    <row r="28" spans="1:55">
      <c r="A28">
        <v>40160</v>
      </c>
      <c r="B28">
        <v>64</v>
      </c>
      <c r="C28">
        <v>2</v>
      </c>
      <c r="D28">
        <v>8</v>
      </c>
      <c r="E28">
        <v>38.261600000000001</v>
      </c>
      <c r="G28">
        <v>40160</v>
      </c>
      <c r="H28">
        <v>64</v>
      </c>
      <c r="I28">
        <v>2</v>
      </c>
      <c r="J28">
        <v>8</v>
      </c>
      <c r="K28">
        <v>42.1922</v>
      </c>
      <c r="N28">
        <v>20160</v>
      </c>
      <c r="O28">
        <v>64</v>
      </c>
      <c r="P28">
        <v>2</v>
      </c>
      <c r="Q28">
        <v>2</v>
      </c>
      <c r="R28">
        <v>10.029799999999998</v>
      </c>
      <c r="T28">
        <v>20160</v>
      </c>
      <c r="U28">
        <v>64</v>
      </c>
      <c r="V28">
        <v>2</v>
      </c>
      <c r="W28">
        <v>2</v>
      </c>
      <c r="X28">
        <v>11.6516</v>
      </c>
    </row>
    <row r="29" spans="1:55">
      <c r="A29">
        <v>40160</v>
      </c>
      <c r="B29">
        <v>96</v>
      </c>
      <c r="C29">
        <v>2</v>
      </c>
      <c r="D29">
        <v>8</v>
      </c>
      <c r="E29">
        <v>36.089600000000004</v>
      </c>
      <c r="G29">
        <v>40160</v>
      </c>
      <c r="H29">
        <v>96</v>
      </c>
      <c r="I29">
        <v>2</v>
      </c>
      <c r="J29">
        <v>8</v>
      </c>
      <c r="K29">
        <v>45.105199999999996</v>
      </c>
      <c r="N29">
        <v>20160</v>
      </c>
      <c r="O29">
        <v>96</v>
      </c>
      <c r="P29">
        <v>2</v>
      </c>
      <c r="Q29">
        <v>2</v>
      </c>
      <c r="R29">
        <v>10.398</v>
      </c>
      <c r="T29">
        <v>20160</v>
      </c>
      <c r="U29">
        <v>96</v>
      </c>
      <c r="V29">
        <v>2</v>
      </c>
      <c r="W29">
        <v>2</v>
      </c>
      <c r="X29">
        <v>12.458600000000001</v>
      </c>
    </row>
    <row r="30" spans="1:55">
      <c r="A30">
        <v>40160</v>
      </c>
      <c r="B30">
        <v>128</v>
      </c>
      <c r="C30">
        <v>2</v>
      </c>
      <c r="D30">
        <v>8</v>
      </c>
      <c r="E30">
        <v>38.232600000000005</v>
      </c>
      <c r="G30">
        <v>40160</v>
      </c>
      <c r="H30">
        <v>128</v>
      </c>
      <c r="I30">
        <v>2</v>
      </c>
      <c r="J30">
        <v>8</v>
      </c>
      <c r="K30">
        <v>45.218400000000003</v>
      </c>
      <c r="N30">
        <v>20160</v>
      </c>
      <c r="O30">
        <v>128</v>
      </c>
      <c r="P30">
        <v>2</v>
      </c>
      <c r="Q30">
        <v>2</v>
      </c>
      <c r="R30">
        <v>11.1082</v>
      </c>
      <c r="T30">
        <v>20160</v>
      </c>
      <c r="U30">
        <v>128</v>
      </c>
      <c r="V30">
        <v>2</v>
      </c>
      <c r="W30">
        <v>2</v>
      </c>
      <c r="X30">
        <v>12.3406</v>
      </c>
    </row>
    <row r="31" spans="1:55">
      <c r="A31">
        <v>40160</v>
      </c>
      <c r="B31">
        <v>160</v>
      </c>
      <c r="C31">
        <v>2</v>
      </c>
      <c r="D31">
        <v>8</v>
      </c>
      <c r="E31">
        <v>41.387599999999999</v>
      </c>
      <c r="G31">
        <v>40160</v>
      </c>
      <c r="H31">
        <v>160</v>
      </c>
      <c r="I31">
        <v>2</v>
      </c>
      <c r="J31">
        <v>8</v>
      </c>
      <c r="K31">
        <v>44.054200000000002</v>
      </c>
      <c r="N31">
        <v>20160</v>
      </c>
      <c r="O31">
        <v>160</v>
      </c>
      <c r="P31">
        <v>2</v>
      </c>
      <c r="Q31">
        <v>2</v>
      </c>
      <c r="R31">
        <v>11.606399999999999</v>
      </c>
      <c r="T31">
        <v>20160</v>
      </c>
      <c r="U31">
        <v>160</v>
      </c>
      <c r="V31">
        <v>2</v>
      </c>
      <c r="W31">
        <v>2</v>
      </c>
      <c r="X31">
        <v>12.1294</v>
      </c>
    </row>
    <row r="32" spans="1:55">
      <c r="A32">
        <v>40160</v>
      </c>
      <c r="B32">
        <v>192</v>
      </c>
      <c r="C32">
        <v>2</v>
      </c>
      <c r="D32">
        <v>8</v>
      </c>
      <c r="E32">
        <v>39.261999999999993</v>
      </c>
      <c r="G32">
        <v>40160</v>
      </c>
      <c r="H32">
        <v>192</v>
      </c>
      <c r="I32">
        <v>2</v>
      </c>
      <c r="J32">
        <v>8</v>
      </c>
      <c r="K32">
        <v>44.794000000000004</v>
      </c>
      <c r="N32">
        <v>20160</v>
      </c>
      <c r="O32">
        <v>192</v>
      </c>
      <c r="P32">
        <v>2</v>
      </c>
      <c r="Q32">
        <v>2</v>
      </c>
      <c r="R32">
        <v>11.4686</v>
      </c>
      <c r="T32">
        <v>20160</v>
      </c>
      <c r="U32">
        <v>192</v>
      </c>
      <c r="V32">
        <v>2</v>
      </c>
      <c r="W32">
        <v>2</v>
      </c>
      <c r="X32">
        <v>12.503399999999999</v>
      </c>
    </row>
    <row r="33" spans="1:24">
      <c r="A33">
        <v>40160</v>
      </c>
      <c r="B33">
        <v>224</v>
      </c>
      <c r="C33">
        <v>2</v>
      </c>
      <c r="D33">
        <v>8</v>
      </c>
      <c r="E33">
        <v>40.863599999999998</v>
      </c>
      <c r="G33">
        <v>40160</v>
      </c>
      <c r="H33">
        <v>224</v>
      </c>
      <c r="I33">
        <v>2</v>
      </c>
      <c r="J33">
        <v>8</v>
      </c>
      <c r="K33">
        <v>44.968599999999995</v>
      </c>
      <c r="N33">
        <v>20160</v>
      </c>
      <c r="O33">
        <v>224</v>
      </c>
      <c r="P33">
        <v>2</v>
      </c>
      <c r="Q33">
        <v>2</v>
      </c>
      <c r="R33">
        <v>11.428999999999998</v>
      </c>
      <c r="T33">
        <v>20160</v>
      </c>
      <c r="U33">
        <v>224</v>
      </c>
      <c r="V33">
        <v>2</v>
      </c>
      <c r="W33">
        <v>2</v>
      </c>
      <c r="X33">
        <v>12.352599999999999</v>
      </c>
    </row>
    <row r="34" spans="1:24">
      <c r="A34">
        <v>40160</v>
      </c>
      <c r="B34">
        <v>256</v>
      </c>
      <c r="C34">
        <v>2</v>
      </c>
      <c r="D34">
        <v>8</v>
      </c>
      <c r="E34">
        <v>38.640799999999999</v>
      </c>
      <c r="G34">
        <v>40160</v>
      </c>
      <c r="H34">
        <v>256</v>
      </c>
      <c r="I34">
        <v>2</v>
      </c>
      <c r="J34">
        <v>8</v>
      </c>
      <c r="K34">
        <v>44.809600000000003</v>
      </c>
      <c r="N34">
        <v>20160</v>
      </c>
      <c r="O34">
        <v>256</v>
      </c>
      <c r="P34">
        <v>2</v>
      </c>
      <c r="Q34">
        <v>2</v>
      </c>
      <c r="R34">
        <v>11.109</v>
      </c>
      <c r="T34">
        <v>20160</v>
      </c>
      <c r="U34">
        <v>256</v>
      </c>
      <c r="V34">
        <v>2</v>
      </c>
      <c r="W34">
        <v>2</v>
      </c>
      <c r="X34">
        <v>11.743399999999999</v>
      </c>
    </row>
    <row r="35" spans="1:24">
      <c r="A35">
        <v>38080</v>
      </c>
      <c r="B35">
        <v>32</v>
      </c>
      <c r="C35">
        <v>2</v>
      </c>
      <c r="D35">
        <v>8</v>
      </c>
      <c r="E35">
        <v>27.111599999999999</v>
      </c>
      <c r="G35">
        <v>38080</v>
      </c>
      <c r="H35">
        <v>32</v>
      </c>
      <c r="I35">
        <v>2</v>
      </c>
      <c r="J35">
        <v>8</v>
      </c>
      <c r="K35">
        <v>29.197800000000001</v>
      </c>
      <c r="N35">
        <v>19072</v>
      </c>
      <c r="O35">
        <v>32</v>
      </c>
      <c r="P35">
        <v>2</v>
      </c>
      <c r="Q35">
        <v>2</v>
      </c>
      <c r="R35">
        <v>6.9460600000000001</v>
      </c>
      <c r="T35">
        <v>19072</v>
      </c>
      <c r="U35">
        <v>32</v>
      </c>
      <c r="V35">
        <v>2</v>
      </c>
      <c r="W35">
        <v>2</v>
      </c>
      <c r="X35">
        <v>7.7670399999999997</v>
      </c>
    </row>
    <row r="36" spans="1:24">
      <c r="A36">
        <v>38080</v>
      </c>
      <c r="B36">
        <v>64</v>
      </c>
      <c r="C36">
        <v>2</v>
      </c>
      <c r="D36">
        <v>8</v>
      </c>
      <c r="E36">
        <v>37.890599999999999</v>
      </c>
      <c r="G36">
        <v>38080</v>
      </c>
      <c r="H36">
        <v>64</v>
      </c>
      <c r="I36">
        <v>2</v>
      </c>
      <c r="J36">
        <v>8</v>
      </c>
      <c r="K36">
        <v>42.027000000000001</v>
      </c>
      <c r="N36">
        <v>19072</v>
      </c>
      <c r="O36">
        <v>64</v>
      </c>
      <c r="P36">
        <v>2</v>
      </c>
      <c r="Q36">
        <v>2</v>
      </c>
      <c r="R36">
        <v>10.065800000000001</v>
      </c>
      <c r="T36">
        <v>19072</v>
      </c>
      <c r="U36">
        <v>64</v>
      </c>
      <c r="V36">
        <v>2</v>
      </c>
      <c r="W36">
        <v>2</v>
      </c>
      <c r="X36">
        <v>11.6424</v>
      </c>
    </row>
    <row r="37" spans="1:24">
      <c r="A37">
        <v>38080</v>
      </c>
      <c r="B37">
        <v>96</v>
      </c>
      <c r="C37">
        <v>2</v>
      </c>
      <c r="D37">
        <v>8</v>
      </c>
      <c r="E37">
        <v>35.146599999999999</v>
      </c>
      <c r="G37">
        <v>38080</v>
      </c>
      <c r="H37">
        <v>96</v>
      </c>
      <c r="I37">
        <v>2</v>
      </c>
      <c r="J37">
        <v>8</v>
      </c>
      <c r="K37">
        <v>44.773799999999994</v>
      </c>
      <c r="N37">
        <v>19072</v>
      </c>
      <c r="O37">
        <v>96</v>
      </c>
      <c r="P37">
        <v>2</v>
      </c>
      <c r="Q37">
        <v>2</v>
      </c>
      <c r="R37">
        <v>10.5764</v>
      </c>
      <c r="T37">
        <v>19072</v>
      </c>
      <c r="U37">
        <v>96</v>
      </c>
      <c r="V37">
        <v>2</v>
      </c>
      <c r="W37">
        <v>2</v>
      </c>
      <c r="X37">
        <v>12.275</v>
      </c>
    </row>
    <row r="38" spans="1:24">
      <c r="A38">
        <v>38080</v>
      </c>
      <c r="B38">
        <v>128</v>
      </c>
      <c r="C38">
        <v>2</v>
      </c>
      <c r="D38">
        <v>8</v>
      </c>
      <c r="E38">
        <v>36.284599999999998</v>
      </c>
      <c r="G38">
        <v>38080</v>
      </c>
      <c r="H38">
        <v>128</v>
      </c>
      <c r="I38">
        <v>2</v>
      </c>
      <c r="J38">
        <v>8</v>
      </c>
      <c r="K38">
        <v>45.131399999999999</v>
      </c>
      <c r="N38">
        <v>19072</v>
      </c>
      <c r="O38">
        <v>128</v>
      </c>
      <c r="P38">
        <v>2</v>
      </c>
      <c r="Q38">
        <v>2</v>
      </c>
      <c r="R38">
        <v>10.786</v>
      </c>
      <c r="T38">
        <v>19072</v>
      </c>
      <c r="U38">
        <v>128</v>
      </c>
      <c r="V38">
        <v>2</v>
      </c>
      <c r="W38">
        <v>2</v>
      </c>
      <c r="X38">
        <v>12.6206</v>
      </c>
    </row>
    <row r="39" spans="1:24">
      <c r="A39">
        <v>38080</v>
      </c>
      <c r="B39">
        <v>160</v>
      </c>
      <c r="C39">
        <v>2</v>
      </c>
      <c r="D39">
        <v>8</v>
      </c>
      <c r="E39">
        <v>40.238000000000007</v>
      </c>
      <c r="G39">
        <v>38080</v>
      </c>
      <c r="H39">
        <v>160</v>
      </c>
      <c r="I39">
        <v>2</v>
      </c>
      <c r="J39">
        <v>8</v>
      </c>
      <c r="K39">
        <v>43.703199999999995</v>
      </c>
      <c r="N39">
        <v>19072</v>
      </c>
      <c r="O39">
        <v>160</v>
      </c>
      <c r="P39">
        <v>2</v>
      </c>
      <c r="Q39">
        <v>2</v>
      </c>
      <c r="R39">
        <v>11.594800000000001</v>
      </c>
      <c r="T39">
        <v>19072</v>
      </c>
      <c r="U39">
        <v>160</v>
      </c>
      <c r="V39">
        <v>2</v>
      </c>
      <c r="W39">
        <v>2</v>
      </c>
      <c r="X39">
        <v>12.143000000000001</v>
      </c>
    </row>
    <row r="40" spans="1:24">
      <c r="A40">
        <v>38080</v>
      </c>
      <c r="B40">
        <v>192</v>
      </c>
      <c r="C40">
        <v>2</v>
      </c>
      <c r="D40">
        <v>8</v>
      </c>
      <c r="E40">
        <v>39.030800000000006</v>
      </c>
      <c r="G40">
        <v>38080</v>
      </c>
      <c r="H40">
        <v>192</v>
      </c>
      <c r="I40">
        <v>2</v>
      </c>
      <c r="J40">
        <v>8</v>
      </c>
      <c r="K40">
        <v>44.783799999999999</v>
      </c>
      <c r="N40">
        <v>19072</v>
      </c>
      <c r="O40">
        <v>192</v>
      </c>
      <c r="P40">
        <v>2</v>
      </c>
      <c r="Q40">
        <v>2</v>
      </c>
      <c r="R40">
        <v>11.365799999999998</v>
      </c>
      <c r="T40">
        <v>19072</v>
      </c>
      <c r="U40">
        <v>192</v>
      </c>
      <c r="V40">
        <v>2</v>
      </c>
      <c r="W40">
        <v>2</v>
      </c>
      <c r="X40">
        <v>12.203999999999999</v>
      </c>
    </row>
    <row r="41" spans="1:24">
      <c r="A41">
        <v>38080</v>
      </c>
      <c r="B41">
        <v>224</v>
      </c>
      <c r="C41">
        <v>2</v>
      </c>
      <c r="D41">
        <v>8</v>
      </c>
      <c r="E41">
        <v>39.935200000000002</v>
      </c>
      <c r="G41">
        <v>38080</v>
      </c>
      <c r="H41">
        <v>224</v>
      </c>
      <c r="I41">
        <v>2</v>
      </c>
      <c r="J41">
        <v>8</v>
      </c>
      <c r="K41">
        <v>44.909200000000013</v>
      </c>
      <c r="N41">
        <v>19072</v>
      </c>
      <c r="O41">
        <v>224</v>
      </c>
      <c r="P41">
        <v>2</v>
      </c>
      <c r="Q41">
        <v>2</v>
      </c>
      <c r="R41">
        <v>11.488</v>
      </c>
      <c r="T41">
        <v>19072</v>
      </c>
      <c r="U41">
        <v>224</v>
      </c>
      <c r="V41">
        <v>2</v>
      </c>
      <c r="W41">
        <v>2</v>
      </c>
      <c r="X41">
        <v>12.4498</v>
      </c>
    </row>
    <row r="42" spans="1:24">
      <c r="A42">
        <v>38080</v>
      </c>
      <c r="B42">
        <v>256</v>
      </c>
      <c r="C42">
        <v>2</v>
      </c>
      <c r="D42">
        <v>8</v>
      </c>
      <c r="E42">
        <v>37.390799999999999</v>
      </c>
      <c r="G42">
        <v>38080</v>
      </c>
      <c r="H42">
        <v>256</v>
      </c>
      <c r="I42">
        <v>2</v>
      </c>
      <c r="J42">
        <v>8</v>
      </c>
      <c r="K42">
        <v>45.135199999999998</v>
      </c>
      <c r="N42">
        <v>19072</v>
      </c>
      <c r="O42">
        <v>256</v>
      </c>
      <c r="P42">
        <v>2</v>
      </c>
      <c r="Q42">
        <v>2</v>
      </c>
      <c r="R42">
        <v>11.074999999999999</v>
      </c>
      <c r="T42">
        <v>19072</v>
      </c>
      <c r="U42">
        <v>256</v>
      </c>
      <c r="V42">
        <v>2</v>
      </c>
      <c r="W42">
        <v>2</v>
      </c>
      <c r="X42">
        <v>12.248999999999999</v>
      </c>
    </row>
    <row r="43" spans="1:24">
      <c r="A43">
        <v>36000</v>
      </c>
      <c r="B43">
        <v>32</v>
      </c>
      <c r="C43">
        <v>2</v>
      </c>
      <c r="D43">
        <v>8</v>
      </c>
      <c r="E43">
        <v>26.306399999999996</v>
      </c>
      <c r="G43">
        <v>36000</v>
      </c>
      <c r="H43">
        <v>32</v>
      </c>
      <c r="I43">
        <v>2</v>
      </c>
      <c r="J43">
        <v>8</v>
      </c>
      <c r="K43">
        <v>27.536399999999997</v>
      </c>
      <c r="N43">
        <v>17984</v>
      </c>
      <c r="O43">
        <v>32</v>
      </c>
      <c r="P43">
        <v>2</v>
      </c>
      <c r="Q43">
        <v>2</v>
      </c>
      <c r="R43">
        <v>6.8487999999999998</v>
      </c>
      <c r="T43">
        <v>17984</v>
      </c>
      <c r="U43">
        <v>32</v>
      </c>
      <c r="V43">
        <v>2</v>
      </c>
      <c r="W43">
        <v>2</v>
      </c>
      <c r="X43">
        <v>7.6558999999999999</v>
      </c>
    </row>
    <row r="44" spans="1:24">
      <c r="A44">
        <v>36000</v>
      </c>
      <c r="B44">
        <v>64</v>
      </c>
      <c r="C44">
        <v>2</v>
      </c>
      <c r="D44">
        <v>8</v>
      </c>
      <c r="E44">
        <v>37.062600000000003</v>
      </c>
      <c r="G44">
        <v>36000</v>
      </c>
      <c r="H44">
        <v>64</v>
      </c>
      <c r="I44">
        <v>2</v>
      </c>
      <c r="J44">
        <v>8</v>
      </c>
      <c r="K44">
        <v>40.939800000000005</v>
      </c>
      <c r="N44">
        <v>17984</v>
      </c>
      <c r="O44">
        <v>64</v>
      </c>
      <c r="P44">
        <v>2</v>
      </c>
      <c r="Q44">
        <v>2</v>
      </c>
      <c r="R44">
        <v>9.8255799999999986</v>
      </c>
      <c r="T44">
        <v>17984</v>
      </c>
      <c r="U44">
        <v>64</v>
      </c>
      <c r="V44">
        <v>2</v>
      </c>
      <c r="W44">
        <v>2</v>
      </c>
      <c r="X44">
        <v>11.646999999999998</v>
      </c>
    </row>
    <row r="45" spans="1:24">
      <c r="A45">
        <v>36000</v>
      </c>
      <c r="B45">
        <v>96</v>
      </c>
      <c r="C45">
        <v>2</v>
      </c>
      <c r="D45">
        <v>8</v>
      </c>
      <c r="E45">
        <v>33.711200000000005</v>
      </c>
      <c r="G45">
        <v>36000</v>
      </c>
      <c r="H45">
        <v>96</v>
      </c>
      <c r="I45">
        <v>2</v>
      </c>
      <c r="J45">
        <v>8</v>
      </c>
      <c r="K45">
        <v>44.076000000000008</v>
      </c>
      <c r="N45">
        <v>17984</v>
      </c>
      <c r="O45">
        <v>96</v>
      </c>
      <c r="P45">
        <v>2</v>
      </c>
      <c r="Q45">
        <v>2</v>
      </c>
      <c r="R45">
        <v>10.421799999999999</v>
      </c>
      <c r="T45">
        <v>17984</v>
      </c>
      <c r="U45">
        <v>96</v>
      </c>
      <c r="V45">
        <v>2</v>
      </c>
      <c r="W45">
        <v>2</v>
      </c>
      <c r="X45">
        <v>12.4032</v>
      </c>
    </row>
    <row r="46" spans="1:24">
      <c r="A46">
        <v>36000</v>
      </c>
      <c r="B46">
        <v>128</v>
      </c>
      <c r="C46">
        <v>2</v>
      </c>
      <c r="D46">
        <v>8</v>
      </c>
      <c r="E46">
        <v>35.421599999999998</v>
      </c>
      <c r="G46">
        <v>36000</v>
      </c>
      <c r="H46">
        <v>128</v>
      </c>
      <c r="I46">
        <v>2</v>
      </c>
      <c r="J46">
        <v>8</v>
      </c>
      <c r="K46">
        <v>44.401599999999995</v>
      </c>
      <c r="N46">
        <v>17984</v>
      </c>
      <c r="O46">
        <v>128</v>
      </c>
      <c r="P46">
        <v>2</v>
      </c>
      <c r="Q46">
        <v>2</v>
      </c>
      <c r="R46">
        <v>10.624600000000001</v>
      </c>
      <c r="T46">
        <v>17984</v>
      </c>
      <c r="U46">
        <v>128</v>
      </c>
      <c r="V46">
        <v>2</v>
      </c>
      <c r="W46">
        <v>2</v>
      </c>
      <c r="X46">
        <v>12.327199999999999</v>
      </c>
    </row>
    <row r="47" spans="1:24">
      <c r="A47">
        <v>36000</v>
      </c>
      <c r="B47">
        <v>160</v>
      </c>
      <c r="C47">
        <v>2</v>
      </c>
      <c r="D47">
        <v>8</v>
      </c>
      <c r="E47">
        <v>38.506399999999999</v>
      </c>
      <c r="G47">
        <v>36000</v>
      </c>
      <c r="H47">
        <v>160</v>
      </c>
      <c r="I47">
        <v>2</v>
      </c>
      <c r="J47">
        <v>8</v>
      </c>
      <c r="K47">
        <v>42.823399999999999</v>
      </c>
      <c r="N47">
        <v>17984</v>
      </c>
      <c r="O47">
        <v>160</v>
      </c>
      <c r="P47">
        <v>2</v>
      </c>
      <c r="Q47">
        <v>2</v>
      </c>
      <c r="R47">
        <v>11.3202</v>
      </c>
      <c r="T47">
        <v>17984</v>
      </c>
      <c r="U47">
        <v>160</v>
      </c>
      <c r="V47">
        <v>2</v>
      </c>
      <c r="W47">
        <v>2</v>
      </c>
      <c r="X47">
        <v>12.0434</v>
      </c>
    </row>
    <row r="48" spans="1:24">
      <c r="A48">
        <v>36000</v>
      </c>
      <c r="B48">
        <v>192</v>
      </c>
      <c r="C48">
        <v>2</v>
      </c>
      <c r="D48">
        <v>8</v>
      </c>
      <c r="E48">
        <v>38.178399999999996</v>
      </c>
      <c r="G48">
        <v>36000</v>
      </c>
      <c r="H48">
        <v>192</v>
      </c>
      <c r="I48">
        <v>2</v>
      </c>
      <c r="J48">
        <v>8</v>
      </c>
      <c r="K48">
        <v>43.978799999999993</v>
      </c>
      <c r="N48">
        <v>17984</v>
      </c>
      <c r="O48">
        <v>192</v>
      </c>
      <c r="P48">
        <v>2</v>
      </c>
      <c r="Q48">
        <v>2</v>
      </c>
      <c r="R48">
        <v>11.434799999999999</v>
      </c>
      <c r="T48">
        <v>17984</v>
      </c>
      <c r="U48">
        <v>192</v>
      </c>
      <c r="V48">
        <v>2</v>
      </c>
      <c r="W48">
        <v>2</v>
      </c>
      <c r="X48">
        <v>12.360799999999999</v>
      </c>
    </row>
    <row r="49" spans="1:24">
      <c r="A49">
        <v>36000</v>
      </c>
      <c r="B49">
        <v>224</v>
      </c>
      <c r="C49">
        <v>2</v>
      </c>
      <c r="D49">
        <v>8</v>
      </c>
      <c r="E49">
        <v>38.073599999999999</v>
      </c>
      <c r="G49">
        <v>36000</v>
      </c>
      <c r="H49">
        <v>224</v>
      </c>
      <c r="I49">
        <v>2</v>
      </c>
      <c r="J49">
        <v>8</v>
      </c>
      <c r="K49">
        <v>44.110400000000006</v>
      </c>
      <c r="N49">
        <v>17984</v>
      </c>
      <c r="O49">
        <v>224</v>
      </c>
      <c r="P49">
        <v>2</v>
      </c>
      <c r="Q49">
        <v>2</v>
      </c>
      <c r="R49">
        <v>11.1624</v>
      </c>
      <c r="T49">
        <v>17984</v>
      </c>
      <c r="U49">
        <v>224</v>
      </c>
      <c r="V49">
        <v>2</v>
      </c>
      <c r="W49">
        <v>2</v>
      </c>
      <c r="X49">
        <v>12.3368</v>
      </c>
    </row>
    <row r="50" spans="1:24">
      <c r="A50">
        <v>36000</v>
      </c>
      <c r="B50">
        <v>256</v>
      </c>
      <c r="C50">
        <v>2</v>
      </c>
      <c r="D50">
        <v>8</v>
      </c>
      <c r="E50">
        <v>37.9114</v>
      </c>
      <c r="G50">
        <v>36000</v>
      </c>
      <c r="H50">
        <v>256</v>
      </c>
      <c r="I50">
        <v>2</v>
      </c>
      <c r="J50">
        <v>8</v>
      </c>
      <c r="K50">
        <v>42.948</v>
      </c>
      <c r="N50">
        <v>17984</v>
      </c>
      <c r="O50">
        <v>256</v>
      </c>
      <c r="P50">
        <v>2</v>
      </c>
      <c r="Q50">
        <v>2</v>
      </c>
      <c r="R50">
        <v>10.949199999999999</v>
      </c>
      <c r="T50">
        <v>17984</v>
      </c>
      <c r="U50">
        <v>256</v>
      </c>
      <c r="V50">
        <v>2</v>
      </c>
      <c r="W50">
        <v>2</v>
      </c>
      <c r="X50">
        <v>12.157</v>
      </c>
    </row>
    <row r="51" spans="1:24">
      <c r="A51">
        <v>40160</v>
      </c>
      <c r="B51">
        <v>32</v>
      </c>
      <c r="C51">
        <v>4</v>
      </c>
      <c r="D51">
        <v>4</v>
      </c>
      <c r="E51">
        <v>26.1692</v>
      </c>
      <c r="G51">
        <v>40160</v>
      </c>
      <c r="H51">
        <v>32</v>
      </c>
      <c r="I51">
        <v>4</v>
      </c>
      <c r="J51">
        <v>4</v>
      </c>
      <c r="K51">
        <v>27.548999999999999</v>
      </c>
    </row>
    <row r="52" spans="1:24">
      <c r="A52">
        <v>40160</v>
      </c>
      <c r="B52">
        <v>64</v>
      </c>
      <c r="C52">
        <v>4</v>
      </c>
      <c r="D52">
        <v>4</v>
      </c>
      <c r="E52">
        <v>36.488399999999999</v>
      </c>
      <c r="G52">
        <v>40160</v>
      </c>
      <c r="H52">
        <v>64</v>
      </c>
      <c r="I52">
        <v>4</v>
      </c>
      <c r="J52">
        <v>4</v>
      </c>
      <c r="K52">
        <v>39.871600000000001</v>
      </c>
    </row>
    <row r="53" spans="1:24">
      <c r="A53">
        <v>40160</v>
      </c>
      <c r="B53">
        <v>96</v>
      </c>
      <c r="C53">
        <v>4</v>
      </c>
      <c r="D53">
        <v>4</v>
      </c>
      <c r="E53">
        <v>37.1494</v>
      </c>
      <c r="G53">
        <v>40160</v>
      </c>
      <c r="H53">
        <v>96</v>
      </c>
      <c r="I53">
        <v>4</v>
      </c>
      <c r="J53">
        <v>4</v>
      </c>
      <c r="K53">
        <v>42.409199999999998</v>
      </c>
    </row>
    <row r="54" spans="1:24">
      <c r="A54">
        <v>40160</v>
      </c>
      <c r="B54">
        <v>128</v>
      </c>
      <c r="C54">
        <v>4</v>
      </c>
      <c r="D54">
        <v>4</v>
      </c>
      <c r="E54">
        <v>38.856399999999994</v>
      </c>
      <c r="G54">
        <v>40160</v>
      </c>
      <c r="H54">
        <v>128</v>
      </c>
      <c r="I54">
        <v>4</v>
      </c>
      <c r="J54">
        <v>4</v>
      </c>
      <c r="K54">
        <v>43.093000000000004</v>
      </c>
    </row>
    <row r="55" spans="1:24">
      <c r="A55">
        <v>40160</v>
      </c>
      <c r="B55">
        <v>160</v>
      </c>
      <c r="C55">
        <v>4</v>
      </c>
      <c r="D55">
        <v>4</v>
      </c>
      <c r="E55">
        <v>41.390200000000007</v>
      </c>
      <c r="G55">
        <v>40160</v>
      </c>
      <c r="H55">
        <v>160</v>
      </c>
      <c r="I55">
        <v>4</v>
      </c>
      <c r="J55">
        <v>4</v>
      </c>
      <c r="K55">
        <v>41.7316</v>
      </c>
    </row>
    <row r="56" spans="1:24">
      <c r="A56">
        <v>40160</v>
      </c>
      <c r="B56">
        <v>192</v>
      </c>
      <c r="C56">
        <v>4</v>
      </c>
      <c r="D56">
        <v>4</v>
      </c>
      <c r="E56">
        <v>39.980800000000002</v>
      </c>
      <c r="G56">
        <v>40160</v>
      </c>
      <c r="H56">
        <v>192</v>
      </c>
      <c r="I56">
        <v>4</v>
      </c>
      <c r="J56">
        <v>4</v>
      </c>
      <c r="K56">
        <v>42.292400000000001</v>
      </c>
    </row>
    <row r="57" spans="1:24">
      <c r="A57">
        <v>40160</v>
      </c>
      <c r="B57">
        <v>224</v>
      </c>
      <c r="C57">
        <v>4</v>
      </c>
      <c r="D57">
        <v>4</v>
      </c>
      <c r="E57">
        <v>40.733600000000003</v>
      </c>
      <c r="G57">
        <v>40160</v>
      </c>
      <c r="H57">
        <v>224</v>
      </c>
      <c r="I57">
        <v>4</v>
      </c>
      <c r="J57">
        <v>4</v>
      </c>
      <c r="K57">
        <v>42.583999999999996</v>
      </c>
    </row>
    <row r="58" spans="1:24">
      <c r="A58">
        <v>40160</v>
      </c>
      <c r="B58">
        <v>256</v>
      </c>
      <c r="C58">
        <v>4</v>
      </c>
      <c r="D58">
        <v>4</v>
      </c>
      <c r="E58">
        <v>39.383600000000001</v>
      </c>
      <c r="G58">
        <v>40160</v>
      </c>
      <c r="H58">
        <v>256</v>
      </c>
      <c r="I58">
        <v>4</v>
      </c>
      <c r="J58">
        <v>4</v>
      </c>
      <c r="K58">
        <v>42.132800000000003</v>
      </c>
    </row>
    <row r="59" spans="1:24">
      <c r="A59">
        <v>38080</v>
      </c>
      <c r="B59">
        <v>32</v>
      </c>
      <c r="C59">
        <v>4</v>
      </c>
      <c r="D59">
        <v>4</v>
      </c>
      <c r="E59">
        <v>26.345799999999997</v>
      </c>
      <c r="G59">
        <v>38080</v>
      </c>
      <c r="H59">
        <v>32</v>
      </c>
      <c r="I59">
        <v>4</v>
      </c>
      <c r="J59">
        <v>4</v>
      </c>
      <c r="K59">
        <v>27.963999999999999</v>
      </c>
    </row>
    <row r="60" spans="1:24">
      <c r="A60">
        <v>38080</v>
      </c>
      <c r="B60">
        <v>64</v>
      </c>
      <c r="C60">
        <v>4</v>
      </c>
      <c r="D60">
        <v>4</v>
      </c>
      <c r="E60">
        <v>35.693799999999996</v>
      </c>
      <c r="G60">
        <v>38080</v>
      </c>
      <c r="H60">
        <v>64</v>
      </c>
      <c r="I60">
        <v>4</v>
      </c>
      <c r="J60">
        <v>4</v>
      </c>
      <c r="K60">
        <v>39.7378</v>
      </c>
    </row>
    <row r="61" spans="1:24">
      <c r="A61">
        <v>38080</v>
      </c>
      <c r="B61">
        <v>96</v>
      </c>
      <c r="C61">
        <v>4</v>
      </c>
      <c r="D61">
        <v>4</v>
      </c>
      <c r="E61">
        <v>36.874200000000002</v>
      </c>
      <c r="G61">
        <v>38080</v>
      </c>
      <c r="H61">
        <v>96</v>
      </c>
      <c r="I61">
        <v>4</v>
      </c>
      <c r="J61">
        <v>4</v>
      </c>
      <c r="K61">
        <v>42.063000000000002</v>
      </c>
    </row>
    <row r="62" spans="1:24">
      <c r="A62">
        <v>38080</v>
      </c>
      <c r="B62">
        <v>128</v>
      </c>
      <c r="C62">
        <v>4</v>
      </c>
      <c r="D62">
        <v>4</v>
      </c>
      <c r="E62">
        <v>37.741200000000006</v>
      </c>
      <c r="G62">
        <v>38080</v>
      </c>
      <c r="H62">
        <v>128</v>
      </c>
      <c r="I62">
        <v>4</v>
      </c>
      <c r="J62">
        <v>4</v>
      </c>
      <c r="K62">
        <v>42.014399999999995</v>
      </c>
    </row>
    <row r="63" spans="1:24">
      <c r="A63">
        <v>38080</v>
      </c>
      <c r="B63">
        <v>160</v>
      </c>
      <c r="C63">
        <v>4</v>
      </c>
      <c r="D63">
        <v>4</v>
      </c>
      <c r="E63">
        <v>39.992000000000004</v>
      </c>
      <c r="G63">
        <v>38080</v>
      </c>
      <c r="H63">
        <v>160</v>
      </c>
      <c r="I63">
        <v>4</v>
      </c>
      <c r="J63">
        <v>4</v>
      </c>
      <c r="K63">
        <v>41.192599999999999</v>
      </c>
    </row>
    <row r="64" spans="1:24">
      <c r="A64">
        <v>38080</v>
      </c>
      <c r="B64">
        <v>192</v>
      </c>
      <c r="C64">
        <v>4</v>
      </c>
      <c r="D64">
        <v>4</v>
      </c>
      <c r="E64">
        <v>39.223400000000005</v>
      </c>
      <c r="G64">
        <v>38080</v>
      </c>
      <c r="H64">
        <v>192</v>
      </c>
      <c r="I64">
        <v>4</v>
      </c>
      <c r="J64">
        <v>4</v>
      </c>
      <c r="K64">
        <v>42.069800000000001</v>
      </c>
    </row>
    <row r="65" spans="1:11">
      <c r="A65">
        <v>38080</v>
      </c>
      <c r="B65">
        <v>224</v>
      </c>
      <c r="C65">
        <v>4</v>
      </c>
      <c r="D65">
        <v>4</v>
      </c>
      <c r="E65">
        <v>40.073999999999998</v>
      </c>
      <c r="G65">
        <v>38080</v>
      </c>
      <c r="H65">
        <v>224</v>
      </c>
      <c r="I65">
        <v>4</v>
      </c>
      <c r="J65">
        <v>4</v>
      </c>
      <c r="K65">
        <v>41.8874</v>
      </c>
    </row>
    <row r="66" spans="1:11">
      <c r="A66">
        <v>38080</v>
      </c>
      <c r="B66">
        <v>256</v>
      </c>
      <c r="C66">
        <v>4</v>
      </c>
      <c r="D66">
        <v>4</v>
      </c>
      <c r="E66">
        <v>39.238999999999997</v>
      </c>
      <c r="G66">
        <v>38080</v>
      </c>
      <c r="H66">
        <v>256</v>
      </c>
      <c r="I66">
        <v>4</v>
      </c>
      <c r="J66">
        <v>4</v>
      </c>
      <c r="K66">
        <v>41.375399999999999</v>
      </c>
    </row>
    <row r="67" spans="1:11">
      <c r="A67">
        <v>36000</v>
      </c>
      <c r="B67">
        <v>32</v>
      </c>
      <c r="C67">
        <v>4</v>
      </c>
      <c r="D67">
        <v>4</v>
      </c>
      <c r="E67">
        <v>25.848399999999998</v>
      </c>
      <c r="G67">
        <v>36000</v>
      </c>
      <c r="H67">
        <v>32</v>
      </c>
      <c r="I67">
        <v>4</v>
      </c>
      <c r="J67">
        <v>4</v>
      </c>
      <c r="K67">
        <v>27.448599999999999</v>
      </c>
    </row>
    <row r="68" spans="1:11">
      <c r="A68">
        <v>36000</v>
      </c>
      <c r="B68">
        <v>64</v>
      </c>
      <c r="C68">
        <v>4</v>
      </c>
      <c r="D68">
        <v>4</v>
      </c>
      <c r="E68">
        <v>35.228400000000001</v>
      </c>
      <c r="G68">
        <v>36000</v>
      </c>
      <c r="H68">
        <v>64</v>
      </c>
      <c r="I68">
        <v>4</v>
      </c>
      <c r="J68">
        <v>4</v>
      </c>
      <c r="K68">
        <v>39.039400000000001</v>
      </c>
    </row>
    <row r="69" spans="1:11">
      <c r="A69">
        <v>36000</v>
      </c>
      <c r="B69">
        <v>96</v>
      </c>
      <c r="C69">
        <v>4</v>
      </c>
      <c r="D69">
        <v>4</v>
      </c>
      <c r="E69">
        <v>36.658200000000001</v>
      </c>
      <c r="G69">
        <v>36000</v>
      </c>
      <c r="H69">
        <v>96</v>
      </c>
      <c r="I69">
        <v>4</v>
      </c>
      <c r="J69">
        <v>4</v>
      </c>
      <c r="K69">
        <v>41.680199999999999</v>
      </c>
    </row>
    <row r="70" spans="1:11">
      <c r="A70">
        <v>36000</v>
      </c>
      <c r="B70">
        <v>128</v>
      </c>
      <c r="C70">
        <v>4</v>
      </c>
      <c r="D70">
        <v>4</v>
      </c>
      <c r="E70">
        <v>37.413799999999995</v>
      </c>
      <c r="G70">
        <v>36000</v>
      </c>
      <c r="H70">
        <v>128</v>
      </c>
      <c r="I70">
        <v>4</v>
      </c>
      <c r="J70">
        <v>4</v>
      </c>
      <c r="K70">
        <v>41.830400000000004</v>
      </c>
    </row>
    <row r="71" spans="1:11">
      <c r="A71">
        <v>36000</v>
      </c>
      <c r="B71">
        <v>160</v>
      </c>
      <c r="C71">
        <v>4</v>
      </c>
      <c r="D71">
        <v>4</v>
      </c>
      <c r="E71">
        <v>39.752400000000002</v>
      </c>
      <c r="G71">
        <v>36000</v>
      </c>
      <c r="H71">
        <v>160</v>
      </c>
      <c r="I71">
        <v>4</v>
      </c>
      <c r="J71">
        <v>4</v>
      </c>
      <c r="K71">
        <v>40.527200000000001</v>
      </c>
    </row>
    <row r="72" spans="1:11">
      <c r="A72">
        <v>36000</v>
      </c>
      <c r="B72">
        <v>192</v>
      </c>
      <c r="C72">
        <v>4</v>
      </c>
      <c r="D72">
        <v>4</v>
      </c>
      <c r="E72">
        <v>39.7986</v>
      </c>
      <c r="G72">
        <v>36000</v>
      </c>
      <c r="H72">
        <v>192</v>
      </c>
      <c r="I72">
        <v>4</v>
      </c>
      <c r="J72">
        <v>4</v>
      </c>
      <c r="K72">
        <v>41.320799999999998</v>
      </c>
    </row>
    <row r="73" spans="1:11">
      <c r="A73">
        <v>36000</v>
      </c>
      <c r="B73">
        <v>224</v>
      </c>
      <c r="C73">
        <v>4</v>
      </c>
      <c r="D73">
        <v>4</v>
      </c>
      <c r="E73">
        <v>37.537999999999997</v>
      </c>
      <c r="G73">
        <v>36000</v>
      </c>
      <c r="H73">
        <v>224</v>
      </c>
      <c r="I73">
        <v>4</v>
      </c>
      <c r="J73">
        <v>4</v>
      </c>
      <c r="K73">
        <v>41.572200000000002</v>
      </c>
    </row>
    <row r="74" spans="1:11">
      <c r="A74">
        <v>36000</v>
      </c>
      <c r="B74">
        <v>256</v>
      </c>
      <c r="C74">
        <v>4</v>
      </c>
      <c r="D74">
        <v>4</v>
      </c>
      <c r="E74">
        <v>38.563400000000001</v>
      </c>
      <c r="G74">
        <v>36000</v>
      </c>
      <c r="H74">
        <v>256</v>
      </c>
      <c r="I74">
        <v>4</v>
      </c>
      <c r="J74">
        <v>4</v>
      </c>
      <c r="K74">
        <v>41.213000000000001</v>
      </c>
    </row>
  </sheetData>
  <sortState xmlns:xlrd2="http://schemas.microsoft.com/office/spreadsheetml/2017/richdata2" ref="G3:K74">
    <sortCondition descending="1" ref="G3:G74"/>
    <sortCondition ref="H3:H74"/>
    <sortCondition ref="I3:I74"/>
  </sortState>
  <mergeCells count="4">
    <mergeCell ref="AF1:AJ1"/>
    <mergeCell ref="AM1:AQ1"/>
    <mergeCell ref="AS1:AW1"/>
    <mergeCell ref="Z1:AD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9</vt:i4>
      </vt:variant>
    </vt:vector>
  </HeadingPairs>
  <TitlesOfParts>
    <vt:vector size="9" baseType="lpstr">
      <vt:lpstr>Arch details</vt:lpstr>
      <vt:lpstr>ATLAS builds</vt:lpstr>
      <vt:lpstr>HPL 4 nodes, builds</vt:lpstr>
      <vt:lpstr>1 node, params, RAW</vt:lpstr>
      <vt:lpstr>4 node, params, RAW</vt:lpstr>
      <vt:lpstr>1 node, params</vt:lpstr>
      <vt:lpstr>4 node, params</vt:lpstr>
      <vt:lpstr>OMP vars analysis</vt:lpstr>
      <vt:lpstr>Scalability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Zdravko Krpić</dc:creator>
  <cp:keywords/>
  <dc:description/>
  <cp:lastModifiedBy>Zdravko Krpić</cp:lastModifiedBy>
  <cp:revision/>
  <dcterms:created xsi:type="dcterms:W3CDTF">2022-06-10T13:31:47Z</dcterms:created>
  <dcterms:modified xsi:type="dcterms:W3CDTF">2025-04-29T06:41:56Z</dcterms:modified>
  <cp:category/>
  <cp:contentStatus/>
</cp:coreProperties>
</file>